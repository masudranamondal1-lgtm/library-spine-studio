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D48AE99-9FA6-45A8-995A-D84787BB781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ADME" sheetId="1" r:id="rId1"/>
    <sheet name="Catalog" sheetId="4" r:id="rId2"/>
    <sheet name="Digital_Catalog" sheetId="5" r:id="rId3"/>
    <sheet name="Archive" sheetId="6" r:id="rId4"/>
    <sheet name="Circulation" sheetId="7" r:id="rId5"/>
    <sheet name="Members" sheetId="8" r:id="rId6"/>
    <sheet name="Spine_Labels" sheetId="9" r:id="rId7"/>
    <sheet name="Settings" sheetId="2" r:id="rId8"/>
    <sheet name="Lookup_Codes" sheetId="3" r:id="rId9"/>
    <sheet name="Dublin_Core" sheetId="10" r:id="rId10"/>
    <sheet name="Data_Quality" sheetId="11" r:id="rId11"/>
    <sheet name="Dashboard" sheetId="12" r:id="rId12"/>
    <sheet name="JSON_Export" sheetId="13" r:id="rId13"/>
  </sheets>
  <definedNames>
    <definedName name="_xlnm._FilterDatabase" localSheetId="3" hidden="1">Archive!$A$1:$T$201</definedName>
    <definedName name="_xlnm._FilterDatabase" localSheetId="1" hidden="1">Catalog!$A$1:$AG$501</definedName>
    <definedName name="_xlnm._FilterDatabase" localSheetId="4" hidden="1">Circulation!$A$1:$I$501</definedName>
    <definedName name="_xlnm._FilterDatabase" localSheetId="2" hidden="1">Digital_Catalog!$A$1:$AA$501</definedName>
    <definedName name="AccessLevelList">Lookup_Codes!$I$2:$I$10</definedName>
    <definedName name="AccPrefix">Settings!$B$8</definedName>
    <definedName name="AcqTypeList">Lookup_Codes!$K$2:$K$10</definedName>
    <definedName name="AuthorCodeLen">Settings!$B$9</definedName>
    <definedName name="CirculationList">Lookup_Codes!$G$2:$G$10</definedName>
    <definedName name="CollectionName">Settings!$B$5</definedName>
    <definedName name="ConditionList">Lookup_Codes!$F$2:$F$10</definedName>
    <definedName name="DefaultLang">Settings!$B$6</definedName>
    <definedName name="DigitisationList">Lookup_Codes!$M$2:$M$10</definedName>
    <definedName name="FormatList">Lookup_Codes!$D$2:$D$30</definedName>
    <definedName name="FrequencyList">Lookup_Codes!$L$2:$L$12</definedName>
    <definedName name="GenreList">Lookup_Codes!$B$2:$B$15</definedName>
    <definedName name="LanguageList">Lookup_Codes!$C$2:$C$10</definedName>
    <definedName name="LibraryName">Settings!$B$4</definedName>
    <definedName name="LoanPeriod">Settings!$B$7</definedName>
    <definedName name="LocationTypeList">Lookup_Codes!$H$2:$H$10</definedName>
    <definedName name="MembershipList">Lookup_Codes!$O$2:$O$10</definedName>
    <definedName name="MemberStatusList">Lookup_Codes!$P$2:$P$6</definedName>
    <definedName name="OCRStatusList">Lookup_Codes!$E$2:$E$10</definedName>
    <definedName name="PhysDigiList">Lookup_Codes!$N$2:$N$5</definedName>
    <definedName name="PreservationList">Lookup_Codes!$R$2:$R$6</definedName>
    <definedName name="ReadingStatusList">Lookup_Codes!$Q$2:$Q$6</definedName>
    <definedName name="ResourceTypeList">Lookup_Codes!$A$2:$A$30</definedName>
    <definedName name="RightsList">Lookup_Codes!$J$2:$J$10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5" i="13" l="1"/>
  <c r="C505" i="13"/>
  <c r="B505" i="13"/>
  <c r="D504" i="13"/>
  <c r="C504" i="13"/>
  <c r="B504" i="13"/>
  <c r="D503" i="13"/>
  <c r="C503" i="13"/>
  <c r="B503" i="13"/>
  <c r="D502" i="13"/>
  <c r="C502" i="13"/>
  <c r="B502" i="13"/>
  <c r="D501" i="13"/>
  <c r="C501" i="13"/>
  <c r="B501" i="13"/>
  <c r="D500" i="13"/>
  <c r="C500" i="13"/>
  <c r="B500" i="13"/>
  <c r="D499" i="13"/>
  <c r="C499" i="13"/>
  <c r="B499" i="13"/>
  <c r="D498" i="13"/>
  <c r="C498" i="13"/>
  <c r="B498" i="13"/>
  <c r="D497" i="13"/>
  <c r="C497" i="13"/>
  <c r="B497" i="13"/>
  <c r="D496" i="13"/>
  <c r="C496" i="13"/>
  <c r="B496" i="13"/>
  <c r="D495" i="13"/>
  <c r="C495" i="13"/>
  <c r="B495" i="13"/>
  <c r="D494" i="13"/>
  <c r="C494" i="13"/>
  <c r="B494" i="13"/>
  <c r="D493" i="13"/>
  <c r="C493" i="13"/>
  <c r="B493" i="13"/>
  <c r="D492" i="13"/>
  <c r="C492" i="13"/>
  <c r="B492" i="13"/>
  <c r="D491" i="13"/>
  <c r="C491" i="13"/>
  <c r="B491" i="13"/>
  <c r="D490" i="13"/>
  <c r="C490" i="13"/>
  <c r="B490" i="13"/>
  <c r="D489" i="13"/>
  <c r="C489" i="13"/>
  <c r="B489" i="13"/>
  <c r="D488" i="13"/>
  <c r="C488" i="13"/>
  <c r="B488" i="13"/>
  <c r="D487" i="13"/>
  <c r="C487" i="13"/>
  <c r="B487" i="13"/>
  <c r="D486" i="13"/>
  <c r="C486" i="13"/>
  <c r="B486" i="13"/>
  <c r="D485" i="13"/>
  <c r="C485" i="13"/>
  <c r="B485" i="13"/>
  <c r="D484" i="13"/>
  <c r="C484" i="13"/>
  <c r="B484" i="13"/>
  <c r="D483" i="13"/>
  <c r="C483" i="13"/>
  <c r="B483" i="13"/>
  <c r="D482" i="13"/>
  <c r="C482" i="13"/>
  <c r="B482" i="13"/>
  <c r="D481" i="13"/>
  <c r="C481" i="13"/>
  <c r="B481" i="13"/>
  <c r="D480" i="13"/>
  <c r="C480" i="13"/>
  <c r="B480" i="13"/>
  <c r="D479" i="13"/>
  <c r="C479" i="13"/>
  <c r="B479" i="13"/>
  <c r="D478" i="13"/>
  <c r="C478" i="13"/>
  <c r="B478" i="13"/>
  <c r="D477" i="13"/>
  <c r="C477" i="13"/>
  <c r="B477" i="13"/>
  <c r="D476" i="13"/>
  <c r="C476" i="13"/>
  <c r="B476" i="13"/>
  <c r="D475" i="13"/>
  <c r="C475" i="13"/>
  <c r="B475" i="13"/>
  <c r="D474" i="13"/>
  <c r="C474" i="13"/>
  <c r="B474" i="13"/>
  <c r="D473" i="13"/>
  <c r="C473" i="13"/>
  <c r="B473" i="13"/>
  <c r="D472" i="13"/>
  <c r="C472" i="13"/>
  <c r="B472" i="13"/>
  <c r="D471" i="13"/>
  <c r="C471" i="13"/>
  <c r="B471" i="13"/>
  <c r="D470" i="13"/>
  <c r="C470" i="13"/>
  <c r="B470" i="13"/>
  <c r="D469" i="13"/>
  <c r="C469" i="13"/>
  <c r="B469" i="13"/>
  <c r="D468" i="13"/>
  <c r="C468" i="13"/>
  <c r="B468" i="13"/>
  <c r="D467" i="13"/>
  <c r="C467" i="13"/>
  <c r="B467" i="13"/>
  <c r="D466" i="13"/>
  <c r="C466" i="13"/>
  <c r="B466" i="13"/>
  <c r="D465" i="13"/>
  <c r="C465" i="13"/>
  <c r="B465" i="13"/>
  <c r="D464" i="13"/>
  <c r="C464" i="13"/>
  <c r="B464" i="13"/>
  <c r="D463" i="13"/>
  <c r="C463" i="13"/>
  <c r="B463" i="13"/>
  <c r="D462" i="13"/>
  <c r="C462" i="13"/>
  <c r="B462" i="13"/>
  <c r="D461" i="13"/>
  <c r="C461" i="13"/>
  <c r="B461" i="13"/>
  <c r="D460" i="13"/>
  <c r="C460" i="13"/>
  <c r="B460" i="13"/>
  <c r="D459" i="13"/>
  <c r="C459" i="13"/>
  <c r="B459" i="13"/>
  <c r="D458" i="13"/>
  <c r="C458" i="13"/>
  <c r="B458" i="13"/>
  <c r="D457" i="13"/>
  <c r="C457" i="13"/>
  <c r="B457" i="13"/>
  <c r="D456" i="13"/>
  <c r="C456" i="13"/>
  <c r="B456" i="13"/>
  <c r="D455" i="13"/>
  <c r="C455" i="13"/>
  <c r="B455" i="13"/>
  <c r="D454" i="13"/>
  <c r="C454" i="13"/>
  <c r="B454" i="13"/>
  <c r="D453" i="13"/>
  <c r="C453" i="13"/>
  <c r="B453" i="13"/>
  <c r="D452" i="13"/>
  <c r="C452" i="13"/>
  <c r="B452" i="13"/>
  <c r="D451" i="13"/>
  <c r="C451" i="13"/>
  <c r="B451" i="13"/>
  <c r="D450" i="13"/>
  <c r="C450" i="13"/>
  <c r="B450" i="13"/>
  <c r="D449" i="13"/>
  <c r="C449" i="13"/>
  <c r="B449" i="13"/>
  <c r="D448" i="13"/>
  <c r="C448" i="13"/>
  <c r="B448" i="13"/>
  <c r="D447" i="13"/>
  <c r="C447" i="13"/>
  <c r="B447" i="13"/>
  <c r="D446" i="13"/>
  <c r="C446" i="13"/>
  <c r="B446" i="13"/>
  <c r="D445" i="13"/>
  <c r="C445" i="13"/>
  <c r="B445" i="13"/>
  <c r="D444" i="13"/>
  <c r="C444" i="13"/>
  <c r="B444" i="13"/>
  <c r="D443" i="13"/>
  <c r="C443" i="13"/>
  <c r="B443" i="13"/>
  <c r="D442" i="13"/>
  <c r="C442" i="13"/>
  <c r="B442" i="13"/>
  <c r="D441" i="13"/>
  <c r="C441" i="13"/>
  <c r="B441" i="13"/>
  <c r="D440" i="13"/>
  <c r="C440" i="13"/>
  <c r="B440" i="13"/>
  <c r="D439" i="13"/>
  <c r="C439" i="13"/>
  <c r="B439" i="13"/>
  <c r="D438" i="13"/>
  <c r="C438" i="13"/>
  <c r="B438" i="13"/>
  <c r="D437" i="13"/>
  <c r="C437" i="13"/>
  <c r="B437" i="13"/>
  <c r="D436" i="13"/>
  <c r="C436" i="13"/>
  <c r="B436" i="13"/>
  <c r="D435" i="13"/>
  <c r="C435" i="13"/>
  <c r="B435" i="13"/>
  <c r="D434" i="13"/>
  <c r="C434" i="13"/>
  <c r="B434" i="13"/>
  <c r="D433" i="13"/>
  <c r="C433" i="13"/>
  <c r="B433" i="13"/>
  <c r="D432" i="13"/>
  <c r="C432" i="13"/>
  <c r="B432" i="13"/>
  <c r="D431" i="13"/>
  <c r="C431" i="13"/>
  <c r="B431" i="13"/>
  <c r="D430" i="13"/>
  <c r="C430" i="13"/>
  <c r="B430" i="13"/>
  <c r="D429" i="13"/>
  <c r="C429" i="13"/>
  <c r="B429" i="13"/>
  <c r="D428" i="13"/>
  <c r="C428" i="13"/>
  <c r="B428" i="13"/>
  <c r="D427" i="13"/>
  <c r="C427" i="13"/>
  <c r="B427" i="13"/>
  <c r="D426" i="13"/>
  <c r="C426" i="13"/>
  <c r="B426" i="13"/>
  <c r="D425" i="13"/>
  <c r="C425" i="13"/>
  <c r="B425" i="13"/>
  <c r="D424" i="13"/>
  <c r="C424" i="13"/>
  <c r="B424" i="13"/>
  <c r="D423" i="13"/>
  <c r="C423" i="13"/>
  <c r="B423" i="13"/>
  <c r="D422" i="13"/>
  <c r="C422" i="13"/>
  <c r="B422" i="13"/>
  <c r="D421" i="13"/>
  <c r="C421" i="13"/>
  <c r="B421" i="13"/>
  <c r="D420" i="13"/>
  <c r="C420" i="13"/>
  <c r="B420" i="13"/>
  <c r="D419" i="13"/>
  <c r="C419" i="13"/>
  <c r="B419" i="13"/>
  <c r="D418" i="13"/>
  <c r="C418" i="13"/>
  <c r="B418" i="13"/>
  <c r="D417" i="13"/>
  <c r="C417" i="13"/>
  <c r="B417" i="13"/>
  <c r="D416" i="13"/>
  <c r="C416" i="13"/>
  <c r="B416" i="13"/>
  <c r="D415" i="13"/>
  <c r="C415" i="13"/>
  <c r="B415" i="13"/>
  <c r="D414" i="13"/>
  <c r="C414" i="13"/>
  <c r="B414" i="13"/>
  <c r="D413" i="13"/>
  <c r="C413" i="13"/>
  <c r="B413" i="13"/>
  <c r="D412" i="13"/>
  <c r="C412" i="13"/>
  <c r="B412" i="13"/>
  <c r="D411" i="13"/>
  <c r="C411" i="13"/>
  <c r="B411" i="13"/>
  <c r="D410" i="13"/>
  <c r="C410" i="13"/>
  <c r="B410" i="13"/>
  <c r="D409" i="13"/>
  <c r="C409" i="13"/>
  <c r="B409" i="13"/>
  <c r="D408" i="13"/>
  <c r="C408" i="13"/>
  <c r="B408" i="13"/>
  <c r="D407" i="13"/>
  <c r="C407" i="13"/>
  <c r="B407" i="13"/>
  <c r="D406" i="13"/>
  <c r="C406" i="13"/>
  <c r="B406" i="13"/>
  <c r="D405" i="13"/>
  <c r="C405" i="13"/>
  <c r="B405" i="13"/>
  <c r="D404" i="13"/>
  <c r="C404" i="13"/>
  <c r="B404" i="13"/>
  <c r="D403" i="13"/>
  <c r="C403" i="13"/>
  <c r="B403" i="13"/>
  <c r="D402" i="13"/>
  <c r="C402" i="13"/>
  <c r="B402" i="13"/>
  <c r="D401" i="13"/>
  <c r="C401" i="13"/>
  <c r="B401" i="13"/>
  <c r="D400" i="13"/>
  <c r="C400" i="13"/>
  <c r="B400" i="13"/>
  <c r="D399" i="13"/>
  <c r="C399" i="13"/>
  <c r="B399" i="13"/>
  <c r="D398" i="13"/>
  <c r="C398" i="13"/>
  <c r="B398" i="13"/>
  <c r="D397" i="13"/>
  <c r="C397" i="13"/>
  <c r="B397" i="13"/>
  <c r="D396" i="13"/>
  <c r="C396" i="13"/>
  <c r="B396" i="13"/>
  <c r="D395" i="13"/>
  <c r="C395" i="13"/>
  <c r="B395" i="13"/>
  <c r="D394" i="13"/>
  <c r="C394" i="13"/>
  <c r="B394" i="13"/>
  <c r="D393" i="13"/>
  <c r="C393" i="13"/>
  <c r="B393" i="13"/>
  <c r="D392" i="13"/>
  <c r="C392" i="13"/>
  <c r="B392" i="13"/>
  <c r="D391" i="13"/>
  <c r="C391" i="13"/>
  <c r="B391" i="13"/>
  <c r="D390" i="13"/>
  <c r="C390" i="13"/>
  <c r="B390" i="13"/>
  <c r="D389" i="13"/>
  <c r="C389" i="13"/>
  <c r="B389" i="13"/>
  <c r="D388" i="13"/>
  <c r="C388" i="13"/>
  <c r="B388" i="13"/>
  <c r="D387" i="13"/>
  <c r="C387" i="13"/>
  <c r="B387" i="13"/>
  <c r="D386" i="13"/>
  <c r="C386" i="13"/>
  <c r="B386" i="13"/>
  <c r="D385" i="13"/>
  <c r="C385" i="13"/>
  <c r="B385" i="13"/>
  <c r="D384" i="13"/>
  <c r="C384" i="13"/>
  <c r="B384" i="13"/>
  <c r="D383" i="13"/>
  <c r="C383" i="13"/>
  <c r="B383" i="13"/>
  <c r="D382" i="13"/>
  <c r="C382" i="13"/>
  <c r="B382" i="13"/>
  <c r="D381" i="13"/>
  <c r="C381" i="13"/>
  <c r="B381" i="13"/>
  <c r="D380" i="13"/>
  <c r="C380" i="13"/>
  <c r="B380" i="13"/>
  <c r="D379" i="13"/>
  <c r="C379" i="13"/>
  <c r="B379" i="13"/>
  <c r="D378" i="13"/>
  <c r="C378" i="13"/>
  <c r="B378" i="13"/>
  <c r="D377" i="13"/>
  <c r="C377" i="13"/>
  <c r="B377" i="13"/>
  <c r="D376" i="13"/>
  <c r="C376" i="13"/>
  <c r="B376" i="13"/>
  <c r="D375" i="13"/>
  <c r="C375" i="13"/>
  <c r="B375" i="13"/>
  <c r="D374" i="13"/>
  <c r="C374" i="13"/>
  <c r="B374" i="13"/>
  <c r="D373" i="13"/>
  <c r="C373" i="13"/>
  <c r="B373" i="13"/>
  <c r="D372" i="13"/>
  <c r="C372" i="13"/>
  <c r="B372" i="13"/>
  <c r="D371" i="13"/>
  <c r="C371" i="13"/>
  <c r="B371" i="13"/>
  <c r="D370" i="13"/>
  <c r="C370" i="13"/>
  <c r="B370" i="13"/>
  <c r="D369" i="13"/>
  <c r="C369" i="13"/>
  <c r="B369" i="13"/>
  <c r="D368" i="13"/>
  <c r="C368" i="13"/>
  <c r="B368" i="13"/>
  <c r="D367" i="13"/>
  <c r="C367" i="13"/>
  <c r="B367" i="13"/>
  <c r="D366" i="13"/>
  <c r="C366" i="13"/>
  <c r="B366" i="13"/>
  <c r="D365" i="13"/>
  <c r="C365" i="13"/>
  <c r="B365" i="13"/>
  <c r="D364" i="13"/>
  <c r="C364" i="13"/>
  <c r="B364" i="13"/>
  <c r="D363" i="13"/>
  <c r="C363" i="13"/>
  <c r="B363" i="13"/>
  <c r="D362" i="13"/>
  <c r="C362" i="13"/>
  <c r="B362" i="13"/>
  <c r="D361" i="13"/>
  <c r="C361" i="13"/>
  <c r="B361" i="13"/>
  <c r="D360" i="13"/>
  <c r="C360" i="13"/>
  <c r="B360" i="13"/>
  <c r="D359" i="13"/>
  <c r="C359" i="13"/>
  <c r="B359" i="13"/>
  <c r="D358" i="13"/>
  <c r="C358" i="13"/>
  <c r="B358" i="13"/>
  <c r="D357" i="13"/>
  <c r="C357" i="13"/>
  <c r="B357" i="13"/>
  <c r="D356" i="13"/>
  <c r="C356" i="13"/>
  <c r="B356" i="13"/>
  <c r="D355" i="13"/>
  <c r="C355" i="13"/>
  <c r="B355" i="13"/>
  <c r="D354" i="13"/>
  <c r="C354" i="13"/>
  <c r="B354" i="13"/>
  <c r="D353" i="13"/>
  <c r="C353" i="13"/>
  <c r="B353" i="13"/>
  <c r="D352" i="13"/>
  <c r="C352" i="13"/>
  <c r="B352" i="13"/>
  <c r="D351" i="13"/>
  <c r="C351" i="13"/>
  <c r="B351" i="13"/>
  <c r="D350" i="13"/>
  <c r="C350" i="13"/>
  <c r="B350" i="13"/>
  <c r="D349" i="13"/>
  <c r="C349" i="13"/>
  <c r="B349" i="13"/>
  <c r="D348" i="13"/>
  <c r="C348" i="13"/>
  <c r="B348" i="13"/>
  <c r="D347" i="13"/>
  <c r="C347" i="13"/>
  <c r="B347" i="13"/>
  <c r="D346" i="13"/>
  <c r="C346" i="13"/>
  <c r="B346" i="13"/>
  <c r="D345" i="13"/>
  <c r="C345" i="13"/>
  <c r="B345" i="13"/>
  <c r="D344" i="13"/>
  <c r="C344" i="13"/>
  <c r="B344" i="13"/>
  <c r="D343" i="13"/>
  <c r="C343" i="13"/>
  <c r="B343" i="13"/>
  <c r="D342" i="13"/>
  <c r="C342" i="13"/>
  <c r="B342" i="13"/>
  <c r="D341" i="13"/>
  <c r="C341" i="13"/>
  <c r="B341" i="13"/>
  <c r="D340" i="13"/>
  <c r="C340" i="13"/>
  <c r="B340" i="13"/>
  <c r="D339" i="13"/>
  <c r="C339" i="13"/>
  <c r="B339" i="13"/>
  <c r="D338" i="13"/>
  <c r="C338" i="13"/>
  <c r="B338" i="13"/>
  <c r="D337" i="13"/>
  <c r="C337" i="13"/>
  <c r="B337" i="13"/>
  <c r="D336" i="13"/>
  <c r="C336" i="13"/>
  <c r="B336" i="13"/>
  <c r="D335" i="13"/>
  <c r="C335" i="13"/>
  <c r="B335" i="13"/>
  <c r="D334" i="13"/>
  <c r="C334" i="13"/>
  <c r="B334" i="13"/>
  <c r="D333" i="13"/>
  <c r="C333" i="13"/>
  <c r="B333" i="13"/>
  <c r="D332" i="13"/>
  <c r="C332" i="13"/>
  <c r="B332" i="13"/>
  <c r="D331" i="13"/>
  <c r="C331" i="13"/>
  <c r="B331" i="13"/>
  <c r="D330" i="13"/>
  <c r="C330" i="13"/>
  <c r="B330" i="13"/>
  <c r="D329" i="13"/>
  <c r="C329" i="13"/>
  <c r="B329" i="13"/>
  <c r="D328" i="13"/>
  <c r="C328" i="13"/>
  <c r="B328" i="13"/>
  <c r="D327" i="13"/>
  <c r="C327" i="13"/>
  <c r="B327" i="13"/>
  <c r="D326" i="13"/>
  <c r="C326" i="13"/>
  <c r="B326" i="13"/>
  <c r="D325" i="13"/>
  <c r="C325" i="13"/>
  <c r="B325" i="13"/>
  <c r="D324" i="13"/>
  <c r="C324" i="13"/>
  <c r="B324" i="13"/>
  <c r="D323" i="13"/>
  <c r="C323" i="13"/>
  <c r="B323" i="13"/>
  <c r="D322" i="13"/>
  <c r="C322" i="13"/>
  <c r="B322" i="13"/>
  <c r="D321" i="13"/>
  <c r="C321" i="13"/>
  <c r="B321" i="13"/>
  <c r="D320" i="13"/>
  <c r="C320" i="13"/>
  <c r="B320" i="13"/>
  <c r="D319" i="13"/>
  <c r="C319" i="13"/>
  <c r="B319" i="13"/>
  <c r="D318" i="13"/>
  <c r="C318" i="13"/>
  <c r="B318" i="13"/>
  <c r="D317" i="13"/>
  <c r="C317" i="13"/>
  <c r="B317" i="13"/>
  <c r="D316" i="13"/>
  <c r="C316" i="13"/>
  <c r="B316" i="13"/>
  <c r="D315" i="13"/>
  <c r="C315" i="13"/>
  <c r="B315" i="13"/>
  <c r="D314" i="13"/>
  <c r="C314" i="13"/>
  <c r="B314" i="13"/>
  <c r="D313" i="13"/>
  <c r="C313" i="13"/>
  <c r="B313" i="13"/>
  <c r="D312" i="13"/>
  <c r="C312" i="13"/>
  <c r="B312" i="13"/>
  <c r="D311" i="13"/>
  <c r="C311" i="13"/>
  <c r="B311" i="13"/>
  <c r="D310" i="13"/>
  <c r="C310" i="13"/>
  <c r="B310" i="13"/>
  <c r="D309" i="13"/>
  <c r="C309" i="13"/>
  <c r="B309" i="13"/>
  <c r="D308" i="13"/>
  <c r="C308" i="13"/>
  <c r="B308" i="13"/>
  <c r="D307" i="13"/>
  <c r="C307" i="13"/>
  <c r="B307" i="13"/>
  <c r="D306" i="13"/>
  <c r="C306" i="13"/>
  <c r="B306" i="13"/>
  <c r="D305" i="13"/>
  <c r="C305" i="13"/>
  <c r="B305" i="13"/>
  <c r="D304" i="13"/>
  <c r="C304" i="13"/>
  <c r="B304" i="13"/>
  <c r="D303" i="13"/>
  <c r="C303" i="13"/>
  <c r="B303" i="13"/>
  <c r="D302" i="13"/>
  <c r="C302" i="13"/>
  <c r="B302" i="13"/>
  <c r="D301" i="13"/>
  <c r="C301" i="13"/>
  <c r="B301" i="13"/>
  <c r="D300" i="13"/>
  <c r="C300" i="13"/>
  <c r="B300" i="13"/>
  <c r="D299" i="13"/>
  <c r="C299" i="13"/>
  <c r="B299" i="13"/>
  <c r="D298" i="13"/>
  <c r="C298" i="13"/>
  <c r="B298" i="13"/>
  <c r="D297" i="13"/>
  <c r="C297" i="13"/>
  <c r="B297" i="13"/>
  <c r="D296" i="13"/>
  <c r="C296" i="13"/>
  <c r="B296" i="13"/>
  <c r="D295" i="13"/>
  <c r="C295" i="13"/>
  <c r="B295" i="13"/>
  <c r="D294" i="13"/>
  <c r="C294" i="13"/>
  <c r="B294" i="13"/>
  <c r="D293" i="13"/>
  <c r="C293" i="13"/>
  <c r="B293" i="13"/>
  <c r="D292" i="13"/>
  <c r="C292" i="13"/>
  <c r="B292" i="13"/>
  <c r="D291" i="13"/>
  <c r="C291" i="13"/>
  <c r="B291" i="13"/>
  <c r="D290" i="13"/>
  <c r="C290" i="13"/>
  <c r="B290" i="13"/>
  <c r="D289" i="13"/>
  <c r="C289" i="13"/>
  <c r="B289" i="13"/>
  <c r="D288" i="13"/>
  <c r="C288" i="13"/>
  <c r="B288" i="13"/>
  <c r="D287" i="13"/>
  <c r="C287" i="13"/>
  <c r="B287" i="13"/>
  <c r="D286" i="13"/>
  <c r="C286" i="13"/>
  <c r="B286" i="13"/>
  <c r="D285" i="13"/>
  <c r="C285" i="13"/>
  <c r="B285" i="13"/>
  <c r="D284" i="13"/>
  <c r="C284" i="13"/>
  <c r="B284" i="13"/>
  <c r="D283" i="13"/>
  <c r="C283" i="13"/>
  <c r="B283" i="13"/>
  <c r="D282" i="13"/>
  <c r="C282" i="13"/>
  <c r="B282" i="13"/>
  <c r="D281" i="13"/>
  <c r="C281" i="13"/>
  <c r="B281" i="13"/>
  <c r="D280" i="13"/>
  <c r="C280" i="13"/>
  <c r="B280" i="13"/>
  <c r="D279" i="13"/>
  <c r="C279" i="13"/>
  <c r="B279" i="13"/>
  <c r="D278" i="13"/>
  <c r="C278" i="13"/>
  <c r="B278" i="13"/>
  <c r="D277" i="13"/>
  <c r="C277" i="13"/>
  <c r="B277" i="13"/>
  <c r="D276" i="13"/>
  <c r="C276" i="13"/>
  <c r="B276" i="13"/>
  <c r="D275" i="13"/>
  <c r="C275" i="13"/>
  <c r="B275" i="13"/>
  <c r="D274" i="13"/>
  <c r="C274" i="13"/>
  <c r="B274" i="13"/>
  <c r="D273" i="13"/>
  <c r="C273" i="13"/>
  <c r="B273" i="13"/>
  <c r="D272" i="13"/>
  <c r="C272" i="13"/>
  <c r="B272" i="13"/>
  <c r="D271" i="13"/>
  <c r="C271" i="13"/>
  <c r="B271" i="13"/>
  <c r="D270" i="13"/>
  <c r="C270" i="13"/>
  <c r="B270" i="13"/>
  <c r="D269" i="13"/>
  <c r="C269" i="13"/>
  <c r="B269" i="13"/>
  <c r="D268" i="13"/>
  <c r="C268" i="13"/>
  <c r="B268" i="13"/>
  <c r="D267" i="13"/>
  <c r="C267" i="13"/>
  <c r="B267" i="13"/>
  <c r="D266" i="13"/>
  <c r="C266" i="13"/>
  <c r="B266" i="13"/>
  <c r="D265" i="13"/>
  <c r="C265" i="13"/>
  <c r="B265" i="13"/>
  <c r="D264" i="13"/>
  <c r="C264" i="13"/>
  <c r="B264" i="13"/>
  <c r="D263" i="13"/>
  <c r="C263" i="13"/>
  <c r="B263" i="13"/>
  <c r="D262" i="13"/>
  <c r="C262" i="13"/>
  <c r="B262" i="13"/>
  <c r="D261" i="13"/>
  <c r="C261" i="13"/>
  <c r="B261" i="13"/>
  <c r="D260" i="13"/>
  <c r="C260" i="13"/>
  <c r="B260" i="13"/>
  <c r="D259" i="13"/>
  <c r="C259" i="13"/>
  <c r="B259" i="13"/>
  <c r="D258" i="13"/>
  <c r="C258" i="13"/>
  <c r="B258" i="13"/>
  <c r="D257" i="13"/>
  <c r="C257" i="13"/>
  <c r="B257" i="13"/>
  <c r="D256" i="13"/>
  <c r="C256" i="13"/>
  <c r="B256" i="13"/>
  <c r="D255" i="13"/>
  <c r="C255" i="13"/>
  <c r="B255" i="13"/>
  <c r="D254" i="13"/>
  <c r="C254" i="13"/>
  <c r="B254" i="13"/>
  <c r="D253" i="13"/>
  <c r="C253" i="13"/>
  <c r="B253" i="13"/>
  <c r="D252" i="13"/>
  <c r="C252" i="13"/>
  <c r="B252" i="13"/>
  <c r="D251" i="13"/>
  <c r="C251" i="13"/>
  <c r="B251" i="13"/>
  <c r="D250" i="13"/>
  <c r="C250" i="13"/>
  <c r="B250" i="13"/>
  <c r="D249" i="13"/>
  <c r="C249" i="13"/>
  <c r="B249" i="13"/>
  <c r="D248" i="13"/>
  <c r="C248" i="13"/>
  <c r="B248" i="13"/>
  <c r="D247" i="13"/>
  <c r="C247" i="13"/>
  <c r="B247" i="13"/>
  <c r="D246" i="13"/>
  <c r="C246" i="13"/>
  <c r="B246" i="13"/>
  <c r="D245" i="13"/>
  <c r="C245" i="13"/>
  <c r="B245" i="13"/>
  <c r="D244" i="13"/>
  <c r="C244" i="13"/>
  <c r="B244" i="13"/>
  <c r="D243" i="13"/>
  <c r="C243" i="13"/>
  <c r="B243" i="13"/>
  <c r="D242" i="13"/>
  <c r="C242" i="13"/>
  <c r="B242" i="13"/>
  <c r="D241" i="13"/>
  <c r="C241" i="13"/>
  <c r="B241" i="13"/>
  <c r="D240" i="13"/>
  <c r="C240" i="13"/>
  <c r="B240" i="13"/>
  <c r="D239" i="13"/>
  <c r="C239" i="13"/>
  <c r="B239" i="13"/>
  <c r="D238" i="13"/>
  <c r="C238" i="13"/>
  <c r="B238" i="13"/>
  <c r="D237" i="13"/>
  <c r="C237" i="13"/>
  <c r="B237" i="13"/>
  <c r="D236" i="13"/>
  <c r="C236" i="13"/>
  <c r="B236" i="13"/>
  <c r="D235" i="13"/>
  <c r="C235" i="13"/>
  <c r="B235" i="13"/>
  <c r="D234" i="13"/>
  <c r="C234" i="13"/>
  <c r="B234" i="13"/>
  <c r="D233" i="13"/>
  <c r="C233" i="13"/>
  <c r="B233" i="13"/>
  <c r="D232" i="13"/>
  <c r="C232" i="13"/>
  <c r="B232" i="13"/>
  <c r="D231" i="13"/>
  <c r="C231" i="13"/>
  <c r="B231" i="13"/>
  <c r="D230" i="13"/>
  <c r="C230" i="13"/>
  <c r="B230" i="13"/>
  <c r="D229" i="13"/>
  <c r="C229" i="13"/>
  <c r="B229" i="13"/>
  <c r="D228" i="13"/>
  <c r="C228" i="13"/>
  <c r="B228" i="13"/>
  <c r="D227" i="13"/>
  <c r="C227" i="13"/>
  <c r="B227" i="13"/>
  <c r="D226" i="13"/>
  <c r="C226" i="13"/>
  <c r="B226" i="13"/>
  <c r="D225" i="13"/>
  <c r="C225" i="13"/>
  <c r="B225" i="13"/>
  <c r="D224" i="13"/>
  <c r="C224" i="13"/>
  <c r="B224" i="13"/>
  <c r="D223" i="13"/>
  <c r="C223" i="13"/>
  <c r="B223" i="13"/>
  <c r="D222" i="13"/>
  <c r="C222" i="13"/>
  <c r="B222" i="13"/>
  <c r="D221" i="13"/>
  <c r="C221" i="13"/>
  <c r="B221" i="13"/>
  <c r="D220" i="13"/>
  <c r="C220" i="13"/>
  <c r="B220" i="13"/>
  <c r="D219" i="13"/>
  <c r="C219" i="13"/>
  <c r="B219" i="13"/>
  <c r="D218" i="13"/>
  <c r="C218" i="13"/>
  <c r="B218" i="13"/>
  <c r="D217" i="13"/>
  <c r="C217" i="13"/>
  <c r="B217" i="13"/>
  <c r="D216" i="13"/>
  <c r="C216" i="13"/>
  <c r="B216" i="13"/>
  <c r="D215" i="13"/>
  <c r="C215" i="13"/>
  <c r="B215" i="13"/>
  <c r="D214" i="13"/>
  <c r="C214" i="13"/>
  <c r="B214" i="13"/>
  <c r="D213" i="13"/>
  <c r="C213" i="13"/>
  <c r="B213" i="13"/>
  <c r="D212" i="13"/>
  <c r="C212" i="13"/>
  <c r="B212" i="13"/>
  <c r="D211" i="13"/>
  <c r="C211" i="13"/>
  <c r="B211" i="13"/>
  <c r="D210" i="13"/>
  <c r="C210" i="13"/>
  <c r="B210" i="13"/>
  <c r="D209" i="13"/>
  <c r="C209" i="13"/>
  <c r="B209" i="13"/>
  <c r="D208" i="13"/>
  <c r="C208" i="13"/>
  <c r="B208" i="13"/>
  <c r="D207" i="13"/>
  <c r="C207" i="13"/>
  <c r="B207" i="13"/>
  <c r="D206" i="13"/>
  <c r="C206" i="13"/>
  <c r="B206" i="13"/>
  <c r="D205" i="13"/>
  <c r="C205" i="13"/>
  <c r="B205" i="13"/>
  <c r="D204" i="13"/>
  <c r="C204" i="13"/>
  <c r="B204" i="13"/>
  <c r="D203" i="13"/>
  <c r="C203" i="13"/>
  <c r="B203" i="13"/>
  <c r="D202" i="13"/>
  <c r="C202" i="13"/>
  <c r="B202" i="13"/>
  <c r="D201" i="13"/>
  <c r="C201" i="13"/>
  <c r="B201" i="13"/>
  <c r="D200" i="13"/>
  <c r="C200" i="13"/>
  <c r="B200" i="13"/>
  <c r="D199" i="13"/>
  <c r="C199" i="13"/>
  <c r="B199" i="13"/>
  <c r="D198" i="13"/>
  <c r="C198" i="13"/>
  <c r="B198" i="13"/>
  <c r="D197" i="13"/>
  <c r="C197" i="13"/>
  <c r="B197" i="13"/>
  <c r="D196" i="13"/>
  <c r="C196" i="13"/>
  <c r="B196" i="13"/>
  <c r="D195" i="13"/>
  <c r="C195" i="13"/>
  <c r="B195" i="13"/>
  <c r="D194" i="13"/>
  <c r="C194" i="13"/>
  <c r="B194" i="13"/>
  <c r="D193" i="13"/>
  <c r="C193" i="13"/>
  <c r="B193" i="13"/>
  <c r="D192" i="13"/>
  <c r="C192" i="13"/>
  <c r="B192" i="13"/>
  <c r="D191" i="13"/>
  <c r="C191" i="13"/>
  <c r="B191" i="13"/>
  <c r="D190" i="13"/>
  <c r="C190" i="13"/>
  <c r="B190" i="13"/>
  <c r="D189" i="13"/>
  <c r="C189" i="13"/>
  <c r="B189" i="13"/>
  <c r="D188" i="13"/>
  <c r="C188" i="13"/>
  <c r="B188" i="13"/>
  <c r="D187" i="13"/>
  <c r="C187" i="13"/>
  <c r="B187" i="13"/>
  <c r="D186" i="13"/>
  <c r="C186" i="13"/>
  <c r="B186" i="13"/>
  <c r="D185" i="13"/>
  <c r="C185" i="13"/>
  <c r="B185" i="13"/>
  <c r="D184" i="13"/>
  <c r="C184" i="13"/>
  <c r="B184" i="13"/>
  <c r="D183" i="13"/>
  <c r="C183" i="13"/>
  <c r="B183" i="13"/>
  <c r="D182" i="13"/>
  <c r="C182" i="13"/>
  <c r="B182" i="13"/>
  <c r="D181" i="13"/>
  <c r="C181" i="13"/>
  <c r="B181" i="13"/>
  <c r="D180" i="13"/>
  <c r="C180" i="13"/>
  <c r="B180" i="13"/>
  <c r="D179" i="13"/>
  <c r="C179" i="13"/>
  <c r="B179" i="13"/>
  <c r="D178" i="13"/>
  <c r="C178" i="13"/>
  <c r="B178" i="13"/>
  <c r="D177" i="13"/>
  <c r="C177" i="13"/>
  <c r="B177" i="13"/>
  <c r="D176" i="13"/>
  <c r="C176" i="13"/>
  <c r="B176" i="13"/>
  <c r="D175" i="13"/>
  <c r="C175" i="13"/>
  <c r="B175" i="13"/>
  <c r="D174" i="13"/>
  <c r="C174" i="13"/>
  <c r="B174" i="13"/>
  <c r="D173" i="13"/>
  <c r="C173" i="13"/>
  <c r="B173" i="13"/>
  <c r="D172" i="13"/>
  <c r="C172" i="13"/>
  <c r="B172" i="13"/>
  <c r="D171" i="13"/>
  <c r="C171" i="13"/>
  <c r="B171" i="13"/>
  <c r="D170" i="13"/>
  <c r="C170" i="13"/>
  <c r="B170" i="13"/>
  <c r="D169" i="13"/>
  <c r="C169" i="13"/>
  <c r="B169" i="13"/>
  <c r="D168" i="13"/>
  <c r="C168" i="13"/>
  <c r="B168" i="13"/>
  <c r="D167" i="13"/>
  <c r="C167" i="13"/>
  <c r="B167" i="13"/>
  <c r="D166" i="13"/>
  <c r="C166" i="13"/>
  <c r="B166" i="13"/>
  <c r="D165" i="13"/>
  <c r="C165" i="13"/>
  <c r="B165" i="13"/>
  <c r="D164" i="13"/>
  <c r="C164" i="13"/>
  <c r="B164" i="13"/>
  <c r="D163" i="13"/>
  <c r="C163" i="13"/>
  <c r="B163" i="13"/>
  <c r="D162" i="13"/>
  <c r="C162" i="13"/>
  <c r="B162" i="13"/>
  <c r="D161" i="13"/>
  <c r="C161" i="13"/>
  <c r="B161" i="13"/>
  <c r="D160" i="13"/>
  <c r="C160" i="13"/>
  <c r="B160" i="13"/>
  <c r="D159" i="13"/>
  <c r="C159" i="13"/>
  <c r="B159" i="13"/>
  <c r="D158" i="13"/>
  <c r="C158" i="13"/>
  <c r="B158" i="13"/>
  <c r="D157" i="13"/>
  <c r="C157" i="13"/>
  <c r="B157" i="13"/>
  <c r="D156" i="13"/>
  <c r="C156" i="13"/>
  <c r="B156" i="13"/>
  <c r="D155" i="13"/>
  <c r="C155" i="13"/>
  <c r="B155" i="13"/>
  <c r="D154" i="13"/>
  <c r="C154" i="13"/>
  <c r="B154" i="13"/>
  <c r="D153" i="13"/>
  <c r="C153" i="13"/>
  <c r="B153" i="13"/>
  <c r="D152" i="13"/>
  <c r="C152" i="13"/>
  <c r="B152" i="13"/>
  <c r="D151" i="13"/>
  <c r="C151" i="13"/>
  <c r="B151" i="13"/>
  <c r="D150" i="13"/>
  <c r="C150" i="13"/>
  <c r="B150" i="13"/>
  <c r="D149" i="13"/>
  <c r="C149" i="13"/>
  <c r="B149" i="13"/>
  <c r="D148" i="13"/>
  <c r="C148" i="13"/>
  <c r="B148" i="13"/>
  <c r="D147" i="13"/>
  <c r="C147" i="13"/>
  <c r="B147" i="13"/>
  <c r="D146" i="13"/>
  <c r="C146" i="13"/>
  <c r="B146" i="13"/>
  <c r="D145" i="13"/>
  <c r="C145" i="13"/>
  <c r="B145" i="13"/>
  <c r="D144" i="13"/>
  <c r="C144" i="13"/>
  <c r="B144" i="13"/>
  <c r="D143" i="13"/>
  <c r="C143" i="13"/>
  <c r="B143" i="13"/>
  <c r="D142" i="13"/>
  <c r="C142" i="13"/>
  <c r="B142" i="13"/>
  <c r="D141" i="13"/>
  <c r="C141" i="13"/>
  <c r="B141" i="13"/>
  <c r="D140" i="13"/>
  <c r="C140" i="13"/>
  <c r="B140" i="13"/>
  <c r="D139" i="13"/>
  <c r="C139" i="13"/>
  <c r="B139" i="13"/>
  <c r="D138" i="13"/>
  <c r="C138" i="13"/>
  <c r="B138" i="13"/>
  <c r="D137" i="13"/>
  <c r="C137" i="13"/>
  <c r="B137" i="13"/>
  <c r="D136" i="13"/>
  <c r="C136" i="13"/>
  <c r="B136" i="13"/>
  <c r="D135" i="13"/>
  <c r="C135" i="13"/>
  <c r="B135" i="13"/>
  <c r="D134" i="13"/>
  <c r="C134" i="13"/>
  <c r="B134" i="13"/>
  <c r="D133" i="13"/>
  <c r="C133" i="13"/>
  <c r="B133" i="13"/>
  <c r="D132" i="13"/>
  <c r="C132" i="13"/>
  <c r="B132" i="13"/>
  <c r="D131" i="13"/>
  <c r="C131" i="13"/>
  <c r="B131" i="13"/>
  <c r="D130" i="13"/>
  <c r="C130" i="13"/>
  <c r="B130" i="13"/>
  <c r="D129" i="13"/>
  <c r="C129" i="13"/>
  <c r="B129" i="13"/>
  <c r="D128" i="13"/>
  <c r="C128" i="13"/>
  <c r="B128" i="13"/>
  <c r="D127" i="13"/>
  <c r="C127" i="13"/>
  <c r="B127" i="13"/>
  <c r="D126" i="13"/>
  <c r="C126" i="13"/>
  <c r="B126" i="13"/>
  <c r="D125" i="13"/>
  <c r="C125" i="13"/>
  <c r="B125" i="13"/>
  <c r="D124" i="13"/>
  <c r="C124" i="13"/>
  <c r="B124" i="13"/>
  <c r="D123" i="13"/>
  <c r="C123" i="13"/>
  <c r="B123" i="13"/>
  <c r="D122" i="13"/>
  <c r="C122" i="13"/>
  <c r="B122" i="13"/>
  <c r="D121" i="13"/>
  <c r="C121" i="13"/>
  <c r="B121" i="13"/>
  <c r="D120" i="13"/>
  <c r="C120" i="13"/>
  <c r="B120" i="13"/>
  <c r="D119" i="13"/>
  <c r="C119" i="13"/>
  <c r="B119" i="13"/>
  <c r="D118" i="13"/>
  <c r="C118" i="13"/>
  <c r="B118" i="13"/>
  <c r="D117" i="13"/>
  <c r="C117" i="13"/>
  <c r="B117" i="13"/>
  <c r="D116" i="13"/>
  <c r="C116" i="13"/>
  <c r="B116" i="13"/>
  <c r="D115" i="13"/>
  <c r="C115" i="13"/>
  <c r="B115" i="13"/>
  <c r="D114" i="13"/>
  <c r="C114" i="13"/>
  <c r="B114" i="13"/>
  <c r="D113" i="13"/>
  <c r="C113" i="13"/>
  <c r="B113" i="13"/>
  <c r="D112" i="13"/>
  <c r="C112" i="13"/>
  <c r="B112" i="13"/>
  <c r="D111" i="13"/>
  <c r="C111" i="13"/>
  <c r="B111" i="13"/>
  <c r="D110" i="13"/>
  <c r="C110" i="13"/>
  <c r="B110" i="13"/>
  <c r="D109" i="13"/>
  <c r="C109" i="13"/>
  <c r="B109" i="13"/>
  <c r="D108" i="13"/>
  <c r="C108" i="13"/>
  <c r="B108" i="13"/>
  <c r="D107" i="13"/>
  <c r="C107" i="13"/>
  <c r="B107" i="13"/>
  <c r="D106" i="13"/>
  <c r="C106" i="13"/>
  <c r="B106" i="13"/>
  <c r="D105" i="13"/>
  <c r="C105" i="13"/>
  <c r="B105" i="13"/>
  <c r="D104" i="13"/>
  <c r="C104" i="13"/>
  <c r="B104" i="13"/>
  <c r="D103" i="13"/>
  <c r="C103" i="13"/>
  <c r="B103" i="13"/>
  <c r="D102" i="13"/>
  <c r="C102" i="13"/>
  <c r="B102" i="13"/>
  <c r="D101" i="13"/>
  <c r="C101" i="13"/>
  <c r="B101" i="13"/>
  <c r="D100" i="13"/>
  <c r="C100" i="13"/>
  <c r="B100" i="13"/>
  <c r="D99" i="13"/>
  <c r="C99" i="13"/>
  <c r="B99" i="13"/>
  <c r="D98" i="13"/>
  <c r="C98" i="13"/>
  <c r="B98" i="13"/>
  <c r="D97" i="13"/>
  <c r="C97" i="13"/>
  <c r="B97" i="13"/>
  <c r="D96" i="13"/>
  <c r="C96" i="13"/>
  <c r="B96" i="13"/>
  <c r="D95" i="13"/>
  <c r="C95" i="13"/>
  <c r="B95" i="13"/>
  <c r="D94" i="13"/>
  <c r="C94" i="13"/>
  <c r="B94" i="13"/>
  <c r="D93" i="13"/>
  <c r="C93" i="13"/>
  <c r="B93" i="13"/>
  <c r="D92" i="13"/>
  <c r="C92" i="13"/>
  <c r="B92" i="13"/>
  <c r="D91" i="13"/>
  <c r="C91" i="13"/>
  <c r="B91" i="13"/>
  <c r="D90" i="13"/>
  <c r="C90" i="13"/>
  <c r="B90" i="13"/>
  <c r="D89" i="13"/>
  <c r="C89" i="13"/>
  <c r="B89" i="13"/>
  <c r="D88" i="13"/>
  <c r="C88" i="13"/>
  <c r="B88" i="13"/>
  <c r="D87" i="13"/>
  <c r="C87" i="13"/>
  <c r="B87" i="13"/>
  <c r="D86" i="13"/>
  <c r="C86" i="13"/>
  <c r="B86" i="13"/>
  <c r="D85" i="13"/>
  <c r="C85" i="13"/>
  <c r="B85" i="13"/>
  <c r="D84" i="13"/>
  <c r="C84" i="13"/>
  <c r="B84" i="13"/>
  <c r="D83" i="13"/>
  <c r="C83" i="13"/>
  <c r="B83" i="13"/>
  <c r="D82" i="13"/>
  <c r="C82" i="13"/>
  <c r="B82" i="13"/>
  <c r="D81" i="13"/>
  <c r="C81" i="13"/>
  <c r="B81" i="13"/>
  <c r="D80" i="13"/>
  <c r="C80" i="13"/>
  <c r="B80" i="13"/>
  <c r="D79" i="13"/>
  <c r="C79" i="13"/>
  <c r="B79" i="13"/>
  <c r="D78" i="13"/>
  <c r="C78" i="13"/>
  <c r="B78" i="13"/>
  <c r="D77" i="13"/>
  <c r="C77" i="13"/>
  <c r="B77" i="13"/>
  <c r="D76" i="13"/>
  <c r="C76" i="13"/>
  <c r="B76" i="13"/>
  <c r="D75" i="13"/>
  <c r="C75" i="13"/>
  <c r="B75" i="13"/>
  <c r="D74" i="13"/>
  <c r="C74" i="13"/>
  <c r="B74" i="13"/>
  <c r="D73" i="13"/>
  <c r="C73" i="13"/>
  <c r="B73" i="13"/>
  <c r="D72" i="13"/>
  <c r="C72" i="13"/>
  <c r="B72" i="13"/>
  <c r="D71" i="13"/>
  <c r="C71" i="13"/>
  <c r="B71" i="13"/>
  <c r="D70" i="13"/>
  <c r="C70" i="13"/>
  <c r="B70" i="13"/>
  <c r="D69" i="13"/>
  <c r="C69" i="13"/>
  <c r="B69" i="13"/>
  <c r="D68" i="13"/>
  <c r="C68" i="13"/>
  <c r="B68" i="13"/>
  <c r="D67" i="13"/>
  <c r="C67" i="13"/>
  <c r="B67" i="13"/>
  <c r="D66" i="13"/>
  <c r="C66" i="13"/>
  <c r="B66" i="13"/>
  <c r="D65" i="13"/>
  <c r="C65" i="13"/>
  <c r="B65" i="13"/>
  <c r="D64" i="13"/>
  <c r="C64" i="13"/>
  <c r="B64" i="13"/>
  <c r="D63" i="13"/>
  <c r="C63" i="13"/>
  <c r="B63" i="13"/>
  <c r="D62" i="13"/>
  <c r="C62" i="13"/>
  <c r="B62" i="13"/>
  <c r="D61" i="13"/>
  <c r="C61" i="13"/>
  <c r="B61" i="13"/>
  <c r="D60" i="13"/>
  <c r="C60" i="13"/>
  <c r="B60" i="13"/>
  <c r="D59" i="13"/>
  <c r="C59" i="13"/>
  <c r="B59" i="13"/>
  <c r="D58" i="13"/>
  <c r="C58" i="13"/>
  <c r="B58" i="13"/>
  <c r="D57" i="13"/>
  <c r="C57" i="13"/>
  <c r="B57" i="13"/>
  <c r="D56" i="13"/>
  <c r="C56" i="13"/>
  <c r="B56" i="13"/>
  <c r="D55" i="13"/>
  <c r="C55" i="13"/>
  <c r="B55" i="13"/>
  <c r="D54" i="13"/>
  <c r="C54" i="13"/>
  <c r="B54" i="13"/>
  <c r="D53" i="13"/>
  <c r="C53" i="13"/>
  <c r="B53" i="13"/>
  <c r="D52" i="13"/>
  <c r="C52" i="13"/>
  <c r="B52" i="13"/>
  <c r="D51" i="13"/>
  <c r="C51" i="13"/>
  <c r="B51" i="13"/>
  <c r="D50" i="13"/>
  <c r="C50" i="13"/>
  <c r="B50" i="13"/>
  <c r="D49" i="13"/>
  <c r="C49" i="13"/>
  <c r="B49" i="13"/>
  <c r="D48" i="13"/>
  <c r="C48" i="13"/>
  <c r="B48" i="13"/>
  <c r="D47" i="13"/>
  <c r="C47" i="13"/>
  <c r="B47" i="13"/>
  <c r="D46" i="13"/>
  <c r="C46" i="13"/>
  <c r="B46" i="13"/>
  <c r="D45" i="13"/>
  <c r="C45" i="13"/>
  <c r="B45" i="13"/>
  <c r="D44" i="13"/>
  <c r="C44" i="13"/>
  <c r="B44" i="13"/>
  <c r="D43" i="13"/>
  <c r="C43" i="13"/>
  <c r="B43" i="13"/>
  <c r="D42" i="13"/>
  <c r="C42" i="13"/>
  <c r="B42" i="13"/>
  <c r="D41" i="13"/>
  <c r="C41" i="13"/>
  <c r="B41" i="13"/>
  <c r="D40" i="13"/>
  <c r="C40" i="13"/>
  <c r="B40" i="13"/>
  <c r="D39" i="13"/>
  <c r="C39" i="13"/>
  <c r="B39" i="13"/>
  <c r="D38" i="13"/>
  <c r="C38" i="13"/>
  <c r="B38" i="13"/>
  <c r="D37" i="13"/>
  <c r="C37" i="13"/>
  <c r="B37" i="13"/>
  <c r="D36" i="13"/>
  <c r="C36" i="13"/>
  <c r="B36" i="13"/>
  <c r="D35" i="13"/>
  <c r="C35" i="13"/>
  <c r="B35" i="13"/>
  <c r="D34" i="13"/>
  <c r="C34" i="13"/>
  <c r="B34" i="13"/>
  <c r="D33" i="13"/>
  <c r="C33" i="13"/>
  <c r="B33" i="13"/>
  <c r="D32" i="13"/>
  <c r="C32" i="13"/>
  <c r="B32" i="13"/>
  <c r="D31" i="13"/>
  <c r="C31" i="13"/>
  <c r="B31" i="13"/>
  <c r="D30" i="13"/>
  <c r="C30" i="13"/>
  <c r="B30" i="13"/>
  <c r="D29" i="13"/>
  <c r="C29" i="13"/>
  <c r="B29" i="13"/>
  <c r="D28" i="13"/>
  <c r="C28" i="13"/>
  <c r="B28" i="13"/>
  <c r="D27" i="13"/>
  <c r="C27" i="13"/>
  <c r="B27" i="13"/>
  <c r="D26" i="13"/>
  <c r="C26" i="13"/>
  <c r="B26" i="13"/>
  <c r="C25" i="13"/>
  <c r="B25" i="13"/>
  <c r="C24" i="13"/>
  <c r="B24" i="13"/>
  <c r="C23" i="13"/>
  <c r="B23" i="13"/>
  <c r="C22" i="13"/>
  <c r="B22" i="13"/>
  <c r="C21" i="13"/>
  <c r="B21" i="13"/>
  <c r="C20" i="13"/>
  <c r="B20" i="13"/>
  <c r="C19" i="13"/>
  <c r="B19" i="13"/>
  <c r="C18" i="13"/>
  <c r="B18" i="13"/>
  <c r="C17" i="13"/>
  <c r="B17" i="13"/>
  <c r="C16" i="13"/>
  <c r="B16" i="13"/>
  <c r="C15" i="13"/>
  <c r="B15" i="13"/>
  <c r="C14" i="13"/>
  <c r="B14" i="13"/>
  <c r="C13" i="13"/>
  <c r="B13" i="13"/>
  <c r="C12" i="13"/>
  <c r="B12" i="13"/>
  <c r="C11" i="13"/>
  <c r="B11" i="13"/>
  <c r="C10" i="13"/>
  <c r="B10" i="13"/>
  <c r="C9" i="13"/>
  <c r="B9" i="13"/>
  <c r="C8" i="13"/>
  <c r="B8" i="13"/>
  <c r="C7" i="13"/>
  <c r="B7" i="13"/>
  <c r="C6" i="13"/>
  <c r="B6" i="13"/>
  <c r="F22" i="12"/>
  <c r="C22" i="12"/>
  <c r="F21" i="12"/>
  <c r="C21" i="12"/>
  <c r="F20" i="12"/>
  <c r="C20" i="12"/>
  <c r="C17" i="12"/>
  <c r="C16" i="12"/>
  <c r="C15" i="12"/>
  <c r="C10" i="12"/>
  <c r="F9" i="12"/>
  <c r="C9" i="12"/>
  <c r="F8" i="12"/>
  <c r="C8" i="12"/>
  <c r="F7" i="12"/>
  <c r="F6" i="12"/>
  <c r="C6" i="12"/>
  <c r="F5" i="12"/>
  <c r="C5" i="12"/>
  <c r="C526" i="11"/>
  <c r="B526" i="11"/>
  <c r="A526" i="11"/>
  <c r="C525" i="11"/>
  <c r="B525" i="11"/>
  <c r="A525" i="11"/>
  <c r="C524" i="11"/>
  <c r="B524" i="11"/>
  <c r="A524" i="11"/>
  <c r="C523" i="11"/>
  <c r="B523" i="11"/>
  <c r="A523" i="11"/>
  <c r="C522" i="11"/>
  <c r="B522" i="11"/>
  <c r="A522" i="11"/>
  <c r="C521" i="11"/>
  <c r="B521" i="11"/>
  <c r="A521" i="11"/>
  <c r="C520" i="11"/>
  <c r="B520" i="11"/>
  <c r="A520" i="11"/>
  <c r="C519" i="11"/>
  <c r="B519" i="11"/>
  <c r="A519" i="11"/>
  <c r="C518" i="11"/>
  <c r="B518" i="11"/>
  <c r="A518" i="11"/>
  <c r="C517" i="11"/>
  <c r="B517" i="11"/>
  <c r="A517" i="11"/>
  <c r="C516" i="11"/>
  <c r="B516" i="11"/>
  <c r="A516" i="11"/>
  <c r="C515" i="11"/>
  <c r="B515" i="11"/>
  <c r="A515" i="11"/>
  <c r="C514" i="11"/>
  <c r="B514" i="11"/>
  <c r="A514" i="11"/>
  <c r="C513" i="11"/>
  <c r="B513" i="11"/>
  <c r="A513" i="11"/>
  <c r="C512" i="11"/>
  <c r="B512" i="11"/>
  <c r="A512" i="11"/>
  <c r="C511" i="11"/>
  <c r="B511" i="11"/>
  <c r="A511" i="11"/>
  <c r="C510" i="11"/>
  <c r="B510" i="11"/>
  <c r="A510" i="11"/>
  <c r="C509" i="11"/>
  <c r="B509" i="11"/>
  <c r="A509" i="11"/>
  <c r="C508" i="11"/>
  <c r="B508" i="11"/>
  <c r="A508" i="11"/>
  <c r="C507" i="11"/>
  <c r="B507" i="11"/>
  <c r="A507" i="11"/>
  <c r="C506" i="11"/>
  <c r="B506" i="11"/>
  <c r="A506" i="11"/>
  <c r="C505" i="11"/>
  <c r="B505" i="11"/>
  <c r="A505" i="11"/>
  <c r="C504" i="11"/>
  <c r="B504" i="11"/>
  <c r="A504" i="11"/>
  <c r="C503" i="11"/>
  <c r="B503" i="11"/>
  <c r="A503" i="11"/>
  <c r="C502" i="11"/>
  <c r="B502" i="11"/>
  <c r="A502" i="11"/>
  <c r="C501" i="11"/>
  <c r="B501" i="11"/>
  <c r="A501" i="11"/>
  <c r="C500" i="11"/>
  <c r="B500" i="11"/>
  <c r="A500" i="11"/>
  <c r="C499" i="11"/>
  <c r="B499" i="11"/>
  <c r="A499" i="11"/>
  <c r="C498" i="11"/>
  <c r="B498" i="11"/>
  <c r="A498" i="11"/>
  <c r="C497" i="11"/>
  <c r="B497" i="11"/>
  <c r="A497" i="11"/>
  <c r="C496" i="11"/>
  <c r="B496" i="11"/>
  <c r="A496" i="11"/>
  <c r="C495" i="11"/>
  <c r="B495" i="11"/>
  <c r="A495" i="11"/>
  <c r="C494" i="11"/>
  <c r="B494" i="11"/>
  <c r="A494" i="11"/>
  <c r="C493" i="11"/>
  <c r="B493" i="11"/>
  <c r="A493" i="11"/>
  <c r="C492" i="11"/>
  <c r="B492" i="11"/>
  <c r="A492" i="11"/>
  <c r="C491" i="11"/>
  <c r="B491" i="11"/>
  <c r="A491" i="11"/>
  <c r="C490" i="11"/>
  <c r="B490" i="11"/>
  <c r="A490" i="11"/>
  <c r="C489" i="11"/>
  <c r="B489" i="11"/>
  <c r="A489" i="11"/>
  <c r="C488" i="11"/>
  <c r="B488" i="11"/>
  <c r="A488" i="11"/>
  <c r="C487" i="11"/>
  <c r="B487" i="11"/>
  <c r="A487" i="11"/>
  <c r="C486" i="11"/>
  <c r="B486" i="11"/>
  <c r="A486" i="11"/>
  <c r="C485" i="11"/>
  <c r="B485" i="11"/>
  <c r="A485" i="11"/>
  <c r="C484" i="11"/>
  <c r="B484" i="11"/>
  <c r="A484" i="11"/>
  <c r="C483" i="11"/>
  <c r="B483" i="11"/>
  <c r="A483" i="11"/>
  <c r="C482" i="11"/>
  <c r="B482" i="11"/>
  <c r="A482" i="11"/>
  <c r="C481" i="11"/>
  <c r="B481" i="11"/>
  <c r="A481" i="11"/>
  <c r="C480" i="11"/>
  <c r="B480" i="11"/>
  <c r="A480" i="11"/>
  <c r="C479" i="11"/>
  <c r="B479" i="11"/>
  <c r="A479" i="11"/>
  <c r="C478" i="11"/>
  <c r="B478" i="11"/>
  <c r="A478" i="11"/>
  <c r="C477" i="11"/>
  <c r="B477" i="11"/>
  <c r="A477" i="11"/>
  <c r="C476" i="11"/>
  <c r="B476" i="11"/>
  <c r="A476" i="11"/>
  <c r="C475" i="11"/>
  <c r="B475" i="11"/>
  <c r="A475" i="11"/>
  <c r="C474" i="11"/>
  <c r="B474" i="11"/>
  <c r="A474" i="11"/>
  <c r="C473" i="11"/>
  <c r="B473" i="11"/>
  <c r="A473" i="11"/>
  <c r="C472" i="11"/>
  <c r="B472" i="11"/>
  <c r="A472" i="11"/>
  <c r="C471" i="11"/>
  <c r="B471" i="11"/>
  <c r="A471" i="11"/>
  <c r="C470" i="11"/>
  <c r="B470" i="11"/>
  <c r="A470" i="11"/>
  <c r="C469" i="11"/>
  <c r="B469" i="11"/>
  <c r="A469" i="11"/>
  <c r="C468" i="11"/>
  <c r="B468" i="11"/>
  <c r="A468" i="11"/>
  <c r="C467" i="11"/>
  <c r="B467" i="11"/>
  <c r="A467" i="11"/>
  <c r="C466" i="11"/>
  <c r="B466" i="11"/>
  <c r="A466" i="11"/>
  <c r="C465" i="11"/>
  <c r="B465" i="11"/>
  <c r="A465" i="11"/>
  <c r="C464" i="11"/>
  <c r="B464" i="11"/>
  <c r="A464" i="11"/>
  <c r="C463" i="11"/>
  <c r="B463" i="11"/>
  <c r="A463" i="11"/>
  <c r="C462" i="11"/>
  <c r="B462" i="11"/>
  <c r="A462" i="11"/>
  <c r="C461" i="11"/>
  <c r="B461" i="11"/>
  <c r="A461" i="11"/>
  <c r="C460" i="11"/>
  <c r="B460" i="11"/>
  <c r="A460" i="11"/>
  <c r="C459" i="11"/>
  <c r="B459" i="11"/>
  <c r="A459" i="11"/>
  <c r="C458" i="11"/>
  <c r="B458" i="11"/>
  <c r="A458" i="11"/>
  <c r="C457" i="11"/>
  <c r="B457" i="11"/>
  <c r="A457" i="11"/>
  <c r="C456" i="11"/>
  <c r="B456" i="11"/>
  <c r="A456" i="11"/>
  <c r="C455" i="11"/>
  <c r="B455" i="11"/>
  <c r="A455" i="11"/>
  <c r="C454" i="11"/>
  <c r="B454" i="11"/>
  <c r="A454" i="11"/>
  <c r="C453" i="11"/>
  <c r="B453" i="11"/>
  <c r="A453" i="11"/>
  <c r="C452" i="11"/>
  <c r="B452" i="11"/>
  <c r="A452" i="11"/>
  <c r="C451" i="11"/>
  <c r="B451" i="11"/>
  <c r="A451" i="11"/>
  <c r="C450" i="11"/>
  <c r="B450" i="11"/>
  <c r="A450" i="11"/>
  <c r="C449" i="11"/>
  <c r="B449" i="11"/>
  <c r="A449" i="11"/>
  <c r="C448" i="11"/>
  <c r="B448" i="11"/>
  <c r="A448" i="11"/>
  <c r="C447" i="11"/>
  <c r="B447" i="11"/>
  <c r="A447" i="11"/>
  <c r="C446" i="11"/>
  <c r="B446" i="11"/>
  <c r="A446" i="11"/>
  <c r="C445" i="11"/>
  <c r="B445" i="11"/>
  <c r="A445" i="11"/>
  <c r="C444" i="11"/>
  <c r="B444" i="11"/>
  <c r="A444" i="11"/>
  <c r="C443" i="11"/>
  <c r="B443" i="11"/>
  <c r="A443" i="11"/>
  <c r="C442" i="11"/>
  <c r="B442" i="11"/>
  <c r="A442" i="11"/>
  <c r="C441" i="11"/>
  <c r="B441" i="11"/>
  <c r="A441" i="11"/>
  <c r="C440" i="11"/>
  <c r="B440" i="11"/>
  <c r="A440" i="11"/>
  <c r="C439" i="11"/>
  <c r="B439" i="11"/>
  <c r="A439" i="11"/>
  <c r="C438" i="11"/>
  <c r="B438" i="11"/>
  <c r="A438" i="11"/>
  <c r="C437" i="11"/>
  <c r="B437" i="11"/>
  <c r="A437" i="11"/>
  <c r="C436" i="11"/>
  <c r="B436" i="11"/>
  <c r="A436" i="11"/>
  <c r="C435" i="11"/>
  <c r="B435" i="11"/>
  <c r="A435" i="11"/>
  <c r="C434" i="11"/>
  <c r="B434" i="11"/>
  <c r="A434" i="11"/>
  <c r="C433" i="11"/>
  <c r="B433" i="11"/>
  <c r="A433" i="11"/>
  <c r="C432" i="11"/>
  <c r="B432" i="11"/>
  <c r="A432" i="11"/>
  <c r="C431" i="11"/>
  <c r="B431" i="11"/>
  <c r="A431" i="11"/>
  <c r="C430" i="11"/>
  <c r="B430" i="11"/>
  <c r="A430" i="11"/>
  <c r="C429" i="11"/>
  <c r="B429" i="11"/>
  <c r="A429" i="11"/>
  <c r="C428" i="11"/>
  <c r="B428" i="11"/>
  <c r="A428" i="11"/>
  <c r="C427" i="11"/>
  <c r="B427" i="11"/>
  <c r="A427" i="11"/>
  <c r="C426" i="11"/>
  <c r="B426" i="11"/>
  <c r="A426" i="11"/>
  <c r="C425" i="11"/>
  <c r="B425" i="11"/>
  <c r="A425" i="11"/>
  <c r="C424" i="11"/>
  <c r="B424" i="11"/>
  <c r="A424" i="11"/>
  <c r="C423" i="11"/>
  <c r="B423" i="11"/>
  <c r="A423" i="11"/>
  <c r="C422" i="11"/>
  <c r="B422" i="11"/>
  <c r="A422" i="11"/>
  <c r="C421" i="11"/>
  <c r="B421" i="11"/>
  <c r="A421" i="11"/>
  <c r="C420" i="11"/>
  <c r="B420" i="11"/>
  <c r="A420" i="11"/>
  <c r="C419" i="11"/>
  <c r="B419" i="11"/>
  <c r="A419" i="11"/>
  <c r="C418" i="11"/>
  <c r="B418" i="11"/>
  <c r="A418" i="11"/>
  <c r="C417" i="11"/>
  <c r="B417" i="11"/>
  <c r="A417" i="11"/>
  <c r="C416" i="11"/>
  <c r="B416" i="11"/>
  <c r="A416" i="11"/>
  <c r="C415" i="11"/>
  <c r="B415" i="11"/>
  <c r="A415" i="11"/>
  <c r="C414" i="11"/>
  <c r="B414" i="11"/>
  <c r="A414" i="11"/>
  <c r="C413" i="11"/>
  <c r="B413" i="11"/>
  <c r="A413" i="11"/>
  <c r="C412" i="11"/>
  <c r="B412" i="11"/>
  <c r="A412" i="11"/>
  <c r="C411" i="11"/>
  <c r="B411" i="11"/>
  <c r="A411" i="11"/>
  <c r="C410" i="11"/>
  <c r="B410" i="11"/>
  <c r="A410" i="11"/>
  <c r="C409" i="11"/>
  <c r="B409" i="11"/>
  <c r="A409" i="11"/>
  <c r="C408" i="11"/>
  <c r="B408" i="11"/>
  <c r="A408" i="11"/>
  <c r="C407" i="11"/>
  <c r="B407" i="11"/>
  <c r="A407" i="11"/>
  <c r="C406" i="11"/>
  <c r="B406" i="11"/>
  <c r="A406" i="11"/>
  <c r="C405" i="11"/>
  <c r="B405" i="11"/>
  <c r="A405" i="11"/>
  <c r="C404" i="11"/>
  <c r="B404" i="11"/>
  <c r="A404" i="11"/>
  <c r="C403" i="11"/>
  <c r="B403" i="11"/>
  <c r="A403" i="11"/>
  <c r="C402" i="11"/>
  <c r="B402" i="11"/>
  <c r="A402" i="11"/>
  <c r="C401" i="11"/>
  <c r="B401" i="11"/>
  <c r="A401" i="11"/>
  <c r="C400" i="11"/>
  <c r="B400" i="11"/>
  <c r="A400" i="11"/>
  <c r="C399" i="11"/>
  <c r="B399" i="11"/>
  <c r="A399" i="11"/>
  <c r="C398" i="11"/>
  <c r="B398" i="11"/>
  <c r="A398" i="11"/>
  <c r="C397" i="11"/>
  <c r="B397" i="11"/>
  <c r="A397" i="11"/>
  <c r="C396" i="11"/>
  <c r="B396" i="11"/>
  <c r="A396" i="11"/>
  <c r="C395" i="11"/>
  <c r="B395" i="11"/>
  <c r="A395" i="11"/>
  <c r="C394" i="11"/>
  <c r="B394" i="11"/>
  <c r="A394" i="11"/>
  <c r="C393" i="11"/>
  <c r="B393" i="11"/>
  <c r="A393" i="11"/>
  <c r="C392" i="11"/>
  <c r="B392" i="11"/>
  <c r="A392" i="11"/>
  <c r="C391" i="11"/>
  <c r="B391" i="11"/>
  <c r="A391" i="11"/>
  <c r="C390" i="11"/>
  <c r="B390" i="11"/>
  <c r="A390" i="11"/>
  <c r="C389" i="11"/>
  <c r="B389" i="11"/>
  <c r="A389" i="11"/>
  <c r="C388" i="11"/>
  <c r="B388" i="11"/>
  <c r="A388" i="11"/>
  <c r="C387" i="11"/>
  <c r="B387" i="11"/>
  <c r="A387" i="11"/>
  <c r="C386" i="11"/>
  <c r="B386" i="11"/>
  <c r="A386" i="11"/>
  <c r="C385" i="11"/>
  <c r="B385" i="11"/>
  <c r="A385" i="11"/>
  <c r="C384" i="11"/>
  <c r="B384" i="11"/>
  <c r="A384" i="11"/>
  <c r="C383" i="11"/>
  <c r="B383" i="11"/>
  <c r="A383" i="11"/>
  <c r="C382" i="11"/>
  <c r="B382" i="11"/>
  <c r="A382" i="11"/>
  <c r="C381" i="11"/>
  <c r="B381" i="11"/>
  <c r="A381" i="11"/>
  <c r="C380" i="11"/>
  <c r="B380" i="11"/>
  <c r="A380" i="11"/>
  <c r="C379" i="11"/>
  <c r="B379" i="11"/>
  <c r="A379" i="11"/>
  <c r="C378" i="11"/>
  <c r="B378" i="11"/>
  <c r="A378" i="11"/>
  <c r="C377" i="11"/>
  <c r="B377" i="11"/>
  <c r="A377" i="11"/>
  <c r="C376" i="11"/>
  <c r="B376" i="11"/>
  <c r="A376" i="11"/>
  <c r="C375" i="11"/>
  <c r="B375" i="11"/>
  <c r="A375" i="11"/>
  <c r="C374" i="11"/>
  <c r="B374" i="11"/>
  <c r="A374" i="11"/>
  <c r="C373" i="11"/>
  <c r="B373" i="11"/>
  <c r="A373" i="11"/>
  <c r="C372" i="11"/>
  <c r="B372" i="11"/>
  <c r="A372" i="11"/>
  <c r="C371" i="11"/>
  <c r="B371" i="11"/>
  <c r="A371" i="11"/>
  <c r="C370" i="11"/>
  <c r="B370" i="11"/>
  <c r="A370" i="11"/>
  <c r="C369" i="11"/>
  <c r="B369" i="11"/>
  <c r="A369" i="11"/>
  <c r="C368" i="11"/>
  <c r="B368" i="11"/>
  <c r="A368" i="11"/>
  <c r="C367" i="11"/>
  <c r="B367" i="11"/>
  <c r="A367" i="11"/>
  <c r="C366" i="11"/>
  <c r="B366" i="11"/>
  <c r="A366" i="11"/>
  <c r="C365" i="11"/>
  <c r="B365" i="11"/>
  <c r="A365" i="11"/>
  <c r="C364" i="11"/>
  <c r="B364" i="11"/>
  <c r="A364" i="11"/>
  <c r="C363" i="11"/>
  <c r="B363" i="11"/>
  <c r="A363" i="11"/>
  <c r="C362" i="11"/>
  <c r="B362" i="11"/>
  <c r="A362" i="11"/>
  <c r="C361" i="11"/>
  <c r="B361" i="11"/>
  <c r="A361" i="11"/>
  <c r="C360" i="11"/>
  <c r="B360" i="11"/>
  <c r="A360" i="11"/>
  <c r="C359" i="11"/>
  <c r="B359" i="11"/>
  <c r="A359" i="11"/>
  <c r="C358" i="11"/>
  <c r="B358" i="11"/>
  <c r="A358" i="11"/>
  <c r="C357" i="11"/>
  <c r="B357" i="11"/>
  <c r="A357" i="11"/>
  <c r="C356" i="11"/>
  <c r="B356" i="11"/>
  <c r="A356" i="11"/>
  <c r="C355" i="11"/>
  <c r="B355" i="11"/>
  <c r="A355" i="11"/>
  <c r="C354" i="11"/>
  <c r="B354" i="11"/>
  <c r="A354" i="11"/>
  <c r="C353" i="11"/>
  <c r="B353" i="11"/>
  <c r="A353" i="11"/>
  <c r="C352" i="11"/>
  <c r="B352" i="11"/>
  <c r="A352" i="11"/>
  <c r="C351" i="11"/>
  <c r="B351" i="11"/>
  <c r="A351" i="11"/>
  <c r="C350" i="11"/>
  <c r="B350" i="11"/>
  <c r="A350" i="11"/>
  <c r="C349" i="11"/>
  <c r="B349" i="11"/>
  <c r="A349" i="11"/>
  <c r="C348" i="11"/>
  <c r="B348" i="11"/>
  <c r="A348" i="11"/>
  <c r="C347" i="11"/>
  <c r="B347" i="11"/>
  <c r="A347" i="11"/>
  <c r="C346" i="11"/>
  <c r="B346" i="11"/>
  <c r="A346" i="11"/>
  <c r="C345" i="11"/>
  <c r="B345" i="11"/>
  <c r="A345" i="11"/>
  <c r="C344" i="11"/>
  <c r="B344" i="11"/>
  <c r="A344" i="11"/>
  <c r="C343" i="11"/>
  <c r="B343" i="11"/>
  <c r="A343" i="11"/>
  <c r="C342" i="11"/>
  <c r="B342" i="11"/>
  <c r="A342" i="11"/>
  <c r="C341" i="11"/>
  <c r="B341" i="11"/>
  <c r="A341" i="11"/>
  <c r="C340" i="11"/>
  <c r="B340" i="11"/>
  <c r="A340" i="11"/>
  <c r="C339" i="11"/>
  <c r="B339" i="11"/>
  <c r="A339" i="11"/>
  <c r="C338" i="11"/>
  <c r="B338" i="11"/>
  <c r="A338" i="11"/>
  <c r="C337" i="11"/>
  <c r="B337" i="11"/>
  <c r="A337" i="11"/>
  <c r="C336" i="11"/>
  <c r="B336" i="11"/>
  <c r="A336" i="11"/>
  <c r="C335" i="11"/>
  <c r="B335" i="11"/>
  <c r="A335" i="11"/>
  <c r="C334" i="11"/>
  <c r="B334" i="11"/>
  <c r="A334" i="11"/>
  <c r="C333" i="11"/>
  <c r="B333" i="11"/>
  <c r="A333" i="11"/>
  <c r="C332" i="11"/>
  <c r="B332" i="11"/>
  <c r="A332" i="11"/>
  <c r="C331" i="11"/>
  <c r="B331" i="11"/>
  <c r="A331" i="11"/>
  <c r="C330" i="11"/>
  <c r="B330" i="11"/>
  <c r="A330" i="11"/>
  <c r="C329" i="11"/>
  <c r="B329" i="11"/>
  <c r="A329" i="11"/>
  <c r="C328" i="11"/>
  <c r="B328" i="11"/>
  <c r="A328" i="11"/>
  <c r="C327" i="11"/>
  <c r="B327" i="11"/>
  <c r="A327" i="11"/>
  <c r="C326" i="11"/>
  <c r="B326" i="11"/>
  <c r="A326" i="11"/>
  <c r="C325" i="11"/>
  <c r="B325" i="11"/>
  <c r="A325" i="11"/>
  <c r="C324" i="11"/>
  <c r="B324" i="11"/>
  <c r="A324" i="11"/>
  <c r="C323" i="11"/>
  <c r="B323" i="11"/>
  <c r="A323" i="11"/>
  <c r="C322" i="11"/>
  <c r="B322" i="11"/>
  <c r="A322" i="11"/>
  <c r="C321" i="11"/>
  <c r="B321" i="11"/>
  <c r="A321" i="11"/>
  <c r="C320" i="11"/>
  <c r="B320" i="11"/>
  <c r="A320" i="11"/>
  <c r="C319" i="11"/>
  <c r="B319" i="11"/>
  <c r="A319" i="11"/>
  <c r="C318" i="11"/>
  <c r="B318" i="11"/>
  <c r="A318" i="11"/>
  <c r="C317" i="11"/>
  <c r="B317" i="11"/>
  <c r="A317" i="11"/>
  <c r="C316" i="11"/>
  <c r="B316" i="11"/>
  <c r="A316" i="11"/>
  <c r="C315" i="11"/>
  <c r="B315" i="11"/>
  <c r="A315" i="11"/>
  <c r="C314" i="11"/>
  <c r="B314" i="11"/>
  <c r="A314" i="11"/>
  <c r="C313" i="11"/>
  <c r="B313" i="11"/>
  <c r="A313" i="11"/>
  <c r="C312" i="11"/>
  <c r="B312" i="11"/>
  <c r="A312" i="11"/>
  <c r="C311" i="11"/>
  <c r="B311" i="11"/>
  <c r="A311" i="11"/>
  <c r="C310" i="11"/>
  <c r="B310" i="11"/>
  <c r="A310" i="11"/>
  <c r="C309" i="11"/>
  <c r="B309" i="11"/>
  <c r="A309" i="11"/>
  <c r="C308" i="11"/>
  <c r="B308" i="11"/>
  <c r="A308" i="11"/>
  <c r="C307" i="11"/>
  <c r="B307" i="11"/>
  <c r="A307" i="11"/>
  <c r="C306" i="11"/>
  <c r="B306" i="11"/>
  <c r="A306" i="11"/>
  <c r="C305" i="11"/>
  <c r="B305" i="11"/>
  <c r="A305" i="11"/>
  <c r="C304" i="11"/>
  <c r="B304" i="11"/>
  <c r="A304" i="11"/>
  <c r="C303" i="11"/>
  <c r="B303" i="11"/>
  <c r="A303" i="11"/>
  <c r="C302" i="11"/>
  <c r="B302" i="11"/>
  <c r="A302" i="11"/>
  <c r="C301" i="11"/>
  <c r="B301" i="11"/>
  <c r="A301" i="11"/>
  <c r="C300" i="11"/>
  <c r="B300" i="11"/>
  <c r="A300" i="11"/>
  <c r="C299" i="11"/>
  <c r="B299" i="11"/>
  <c r="A299" i="11"/>
  <c r="C298" i="11"/>
  <c r="B298" i="11"/>
  <c r="A298" i="11"/>
  <c r="C297" i="11"/>
  <c r="B297" i="11"/>
  <c r="A297" i="11"/>
  <c r="C296" i="11"/>
  <c r="B296" i="11"/>
  <c r="A296" i="11"/>
  <c r="C295" i="11"/>
  <c r="B295" i="11"/>
  <c r="A295" i="11"/>
  <c r="C294" i="11"/>
  <c r="B294" i="11"/>
  <c r="A294" i="11"/>
  <c r="C293" i="11"/>
  <c r="B293" i="11"/>
  <c r="A293" i="11"/>
  <c r="C292" i="11"/>
  <c r="B292" i="11"/>
  <c r="A292" i="11"/>
  <c r="C291" i="11"/>
  <c r="B291" i="11"/>
  <c r="A291" i="11"/>
  <c r="C290" i="11"/>
  <c r="B290" i="11"/>
  <c r="A290" i="11"/>
  <c r="C289" i="11"/>
  <c r="B289" i="11"/>
  <c r="A289" i="11"/>
  <c r="C288" i="11"/>
  <c r="B288" i="11"/>
  <c r="A288" i="11"/>
  <c r="C287" i="11"/>
  <c r="B287" i="11"/>
  <c r="A287" i="11"/>
  <c r="C286" i="11"/>
  <c r="B286" i="11"/>
  <c r="A286" i="11"/>
  <c r="C285" i="11"/>
  <c r="B285" i="11"/>
  <c r="A285" i="11"/>
  <c r="C284" i="11"/>
  <c r="B284" i="11"/>
  <c r="A284" i="11"/>
  <c r="C283" i="11"/>
  <c r="B283" i="11"/>
  <c r="A283" i="11"/>
  <c r="C282" i="11"/>
  <c r="B282" i="11"/>
  <c r="A282" i="11"/>
  <c r="C281" i="11"/>
  <c r="B281" i="11"/>
  <c r="A281" i="11"/>
  <c r="C280" i="11"/>
  <c r="B280" i="11"/>
  <c r="A280" i="11"/>
  <c r="C279" i="11"/>
  <c r="B279" i="11"/>
  <c r="A279" i="11"/>
  <c r="C278" i="11"/>
  <c r="B278" i="11"/>
  <c r="A278" i="11"/>
  <c r="C277" i="11"/>
  <c r="B277" i="11"/>
  <c r="A277" i="11"/>
  <c r="C276" i="11"/>
  <c r="B276" i="11"/>
  <c r="A276" i="11"/>
  <c r="C275" i="11"/>
  <c r="B275" i="11"/>
  <c r="A275" i="11"/>
  <c r="C274" i="11"/>
  <c r="B274" i="11"/>
  <c r="A274" i="11"/>
  <c r="C273" i="11"/>
  <c r="B273" i="11"/>
  <c r="A273" i="11"/>
  <c r="C272" i="11"/>
  <c r="B272" i="11"/>
  <c r="A272" i="11"/>
  <c r="C271" i="11"/>
  <c r="B271" i="11"/>
  <c r="A271" i="11"/>
  <c r="C270" i="11"/>
  <c r="B270" i="11"/>
  <c r="A270" i="11"/>
  <c r="C269" i="11"/>
  <c r="B269" i="11"/>
  <c r="A269" i="11"/>
  <c r="C268" i="11"/>
  <c r="B268" i="11"/>
  <c r="A268" i="11"/>
  <c r="C267" i="11"/>
  <c r="B267" i="11"/>
  <c r="A267" i="11"/>
  <c r="C266" i="11"/>
  <c r="B266" i="11"/>
  <c r="A266" i="11"/>
  <c r="C265" i="11"/>
  <c r="B265" i="11"/>
  <c r="A265" i="11"/>
  <c r="C264" i="11"/>
  <c r="B264" i="11"/>
  <c r="A264" i="11"/>
  <c r="C263" i="11"/>
  <c r="B263" i="11"/>
  <c r="A263" i="11"/>
  <c r="C262" i="11"/>
  <c r="B262" i="11"/>
  <c r="A262" i="11"/>
  <c r="C261" i="11"/>
  <c r="B261" i="11"/>
  <c r="A261" i="11"/>
  <c r="C260" i="11"/>
  <c r="B260" i="11"/>
  <c r="A260" i="11"/>
  <c r="C259" i="11"/>
  <c r="B259" i="11"/>
  <c r="A259" i="11"/>
  <c r="C258" i="11"/>
  <c r="B258" i="11"/>
  <c r="A258" i="11"/>
  <c r="C257" i="11"/>
  <c r="B257" i="11"/>
  <c r="A257" i="11"/>
  <c r="C256" i="11"/>
  <c r="B256" i="11"/>
  <c r="A256" i="11"/>
  <c r="C255" i="11"/>
  <c r="B255" i="11"/>
  <c r="A255" i="11"/>
  <c r="C254" i="11"/>
  <c r="B254" i="11"/>
  <c r="A254" i="11"/>
  <c r="C253" i="11"/>
  <c r="B253" i="11"/>
  <c r="A253" i="11"/>
  <c r="C252" i="11"/>
  <c r="B252" i="11"/>
  <c r="A252" i="11"/>
  <c r="C251" i="11"/>
  <c r="B251" i="11"/>
  <c r="A251" i="11"/>
  <c r="C250" i="11"/>
  <c r="B250" i="11"/>
  <c r="A250" i="11"/>
  <c r="C249" i="11"/>
  <c r="B249" i="11"/>
  <c r="A249" i="11"/>
  <c r="C248" i="11"/>
  <c r="B248" i="11"/>
  <c r="A248" i="11"/>
  <c r="C247" i="11"/>
  <c r="B247" i="11"/>
  <c r="A247" i="11"/>
  <c r="C246" i="11"/>
  <c r="B246" i="11"/>
  <c r="A246" i="11"/>
  <c r="C245" i="11"/>
  <c r="B245" i="11"/>
  <c r="A245" i="11"/>
  <c r="C244" i="11"/>
  <c r="B244" i="11"/>
  <c r="A244" i="11"/>
  <c r="C243" i="11"/>
  <c r="B243" i="11"/>
  <c r="A243" i="11"/>
  <c r="C242" i="11"/>
  <c r="B242" i="11"/>
  <c r="A242" i="11"/>
  <c r="C241" i="11"/>
  <c r="B241" i="11"/>
  <c r="A241" i="11"/>
  <c r="C240" i="11"/>
  <c r="B240" i="11"/>
  <c r="A240" i="11"/>
  <c r="C239" i="11"/>
  <c r="B239" i="11"/>
  <c r="A239" i="11"/>
  <c r="C238" i="11"/>
  <c r="B238" i="11"/>
  <c r="A238" i="11"/>
  <c r="C237" i="11"/>
  <c r="B237" i="11"/>
  <c r="A237" i="11"/>
  <c r="C236" i="11"/>
  <c r="B236" i="11"/>
  <c r="A236" i="11"/>
  <c r="C235" i="11"/>
  <c r="B235" i="11"/>
  <c r="A235" i="11"/>
  <c r="C234" i="11"/>
  <c r="B234" i="11"/>
  <c r="A234" i="11"/>
  <c r="C233" i="11"/>
  <c r="B233" i="11"/>
  <c r="A233" i="11"/>
  <c r="C232" i="11"/>
  <c r="B232" i="11"/>
  <c r="A232" i="11"/>
  <c r="C231" i="11"/>
  <c r="B231" i="11"/>
  <c r="A231" i="11"/>
  <c r="C230" i="11"/>
  <c r="B230" i="11"/>
  <c r="A230" i="11"/>
  <c r="C229" i="11"/>
  <c r="B229" i="11"/>
  <c r="A229" i="11"/>
  <c r="C228" i="11"/>
  <c r="B228" i="11"/>
  <c r="A228" i="11"/>
  <c r="C227" i="11"/>
  <c r="B227" i="11"/>
  <c r="A227" i="11"/>
  <c r="C226" i="11"/>
  <c r="B226" i="11"/>
  <c r="A226" i="11"/>
  <c r="C225" i="11"/>
  <c r="B225" i="11"/>
  <c r="A225" i="11"/>
  <c r="C224" i="11"/>
  <c r="B224" i="11"/>
  <c r="A224" i="11"/>
  <c r="C223" i="11"/>
  <c r="B223" i="11"/>
  <c r="A223" i="11"/>
  <c r="C222" i="11"/>
  <c r="B222" i="11"/>
  <c r="A222" i="11"/>
  <c r="C221" i="11"/>
  <c r="B221" i="11"/>
  <c r="A221" i="11"/>
  <c r="C220" i="11"/>
  <c r="B220" i="11"/>
  <c r="A220" i="11"/>
  <c r="C219" i="11"/>
  <c r="B219" i="11"/>
  <c r="A219" i="11"/>
  <c r="C218" i="11"/>
  <c r="B218" i="11"/>
  <c r="A218" i="11"/>
  <c r="C217" i="11"/>
  <c r="B217" i="11"/>
  <c r="A217" i="11"/>
  <c r="C216" i="11"/>
  <c r="B216" i="11"/>
  <c r="A216" i="11"/>
  <c r="C215" i="11"/>
  <c r="B215" i="11"/>
  <c r="A215" i="11"/>
  <c r="C214" i="11"/>
  <c r="B214" i="11"/>
  <c r="A214" i="11"/>
  <c r="C213" i="11"/>
  <c r="B213" i="11"/>
  <c r="A213" i="11"/>
  <c r="C212" i="11"/>
  <c r="B212" i="11"/>
  <c r="A212" i="11"/>
  <c r="C211" i="11"/>
  <c r="B211" i="11"/>
  <c r="A211" i="11"/>
  <c r="C210" i="11"/>
  <c r="B210" i="11"/>
  <c r="A210" i="11"/>
  <c r="C209" i="11"/>
  <c r="B209" i="11"/>
  <c r="A209" i="11"/>
  <c r="C208" i="11"/>
  <c r="B208" i="11"/>
  <c r="A208" i="11"/>
  <c r="C207" i="11"/>
  <c r="B207" i="11"/>
  <c r="A207" i="11"/>
  <c r="C206" i="11"/>
  <c r="B206" i="11"/>
  <c r="A206" i="11"/>
  <c r="C205" i="11"/>
  <c r="B205" i="11"/>
  <c r="A205" i="11"/>
  <c r="C204" i="11"/>
  <c r="B204" i="11"/>
  <c r="A204" i="11"/>
  <c r="C203" i="11"/>
  <c r="B203" i="11"/>
  <c r="A203" i="11"/>
  <c r="C202" i="11"/>
  <c r="B202" i="11"/>
  <c r="A202" i="11"/>
  <c r="C201" i="11"/>
  <c r="B201" i="11"/>
  <c r="A201" i="11"/>
  <c r="C200" i="11"/>
  <c r="B200" i="11"/>
  <c r="A200" i="11"/>
  <c r="C199" i="11"/>
  <c r="B199" i="11"/>
  <c r="A199" i="11"/>
  <c r="C198" i="11"/>
  <c r="B198" i="11"/>
  <c r="A198" i="11"/>
  <c r="C197" i="11"/>
  <c r="B197" i="11"/>
  <c r="A197" i="11"/>
  <c r="C196" i="11"/>
  <c r="B196" i="11"/>
  <c r="A196" i="11"/>
  <c r="C195" i="11"/>
  <c r="B195" i="11"/>
  <c r="A195" i="11"/>
  <c r="C194" i="11"/>
  <c r="B194" i="11"/>
  <c r="A194" i="11"/>
  <c r="C193" i="11"/>
  <c r="B193" i="11"/>
  <c r="A193" i="11"/>
  <c r="C192" i="11"/>
  <c r="B192" i="11"/>
  <c r="A192" i="11"/>
  <c r="C191" i="11"/>
  <c r="B191" i="11"/>
  <c r="A191" i="11"/>
  <c r="C190" i="11"/>
  <c r="B190" i="11"/>
  <c r="A190" i="11"/>
  <c r="C189" i="11"/>
  <c r="B189" i="11"/>
  <c r="A189" i="11"/>
  <c r="C188" i="11"/>
  <c r="B188" i="11"/>
  <c r="A188" i="11"/>
  <c r="C187" i="11"/>
  <c r="B187" i="11"/>
  <c r="A187" i="11"/>
  <c r="C186" i="11"/>
  <c r="B186" i="11"/>
  <c r="A186" i="11"/>
  <c r="C185" i="11"/>
  <c r="B185" i="11"/>
  <c r="A185" i="11"/>
  <c r="C184" i="11"/>
  <c r="B184" i="11"/>
  <c r="A184" i="11"/>
  <c r="C183" i="11"/>
  <c r="B183" i="11"/>
  <c r="A183" i="11"/>
  <c r="C182" i="11"/>
  <c r="B182" i="11"/>
  <c r="A182" i="11"/>
  <c r="C181" i="11"/>
  <c r="B181" i="11"/>
  <c r="A181" i="11"/>
  <c r="C180" i="11"/>
  <c r="B180" i="11"/>
  <c r="A180" i="11"/>
  <c r="C179" i="11"/>
  <c r="B179" i="11"/>
  <c r="A179" i="11"/>
  <c r="C178" i="11"/>
  <c r="B178" i="11"/>
  <c r="A178" i="11"/>
  <c r="C177" i="11"/>
  <c r="B177" i="11"/>
  <c r="A177" i="11"/>
  <c r="C176" i="11"/>
  <c r="B176" i="11"/>
  <c r="A176" i="11"/>
  <c r="C175" i="11"/>
  <c r="B175" i="11"/>
  <c r="A175" i="11"/>
  <c r="C174" i="11"/>
  <c r="B174" i="11"/>
  <c r="A174" i="11"/>
  <c r="C173" i="11"/>
  <c r="B173" i="11"/>
  <c r="A173" i="11"/>
  <c r="C172" i="11"/>
  <c r="B172" i="11"/>
  <c r="A172" i="11"/>
  <c r="C171" i="11"/>
  <c r="B171" i="11"/>
  <c r="A171" i="11"/>
  <c r="C170" i="11"/>
  <c r="B170" i="11"/>
  <c r="A170" i="11"/>
  <c r="C169" i="11"/>
  <c r="B169" i="11"/>
  <c r="A169" i="11"/>
  <c r="C168" i="11"/>
  <c r="B168" i="11"/>
  <c r="A168" i="11"/>
  <c r="C167" i="11"/>
  <c r="B167" i="11"/>
  <c r="A167" i="11"/>
  <c r="C166" i="11"/>
  <c r="B166" i="11"/>
  <c r="A166" i="11"/>
  <c r="C165" i="11"/>
  <c r="B165" i="11"/>
  <c r="A165" i="11"/>
  <c r="C164" i="11"/>
  <c r="B164" i="11"/>
  <c r="A164" i="11"/>
  <c r="C163" i="11"/>
  <c r="B163" i="11"/>
  <c r="A163" i="11"/>
  <c r="C162" i="11"/>
  <c r="B162" i="11"/>
  <c r="A162" i="11"/>
  <c r="C161" i="11"/>
  <c r="B161" i="11"/>
  <c r="A161" i="11"/>
  <c r="C160" i="11"/>
  <c r="B160" i="11"/>
  <c r="A160" i="11"/>
  <c r="C159" i="11"/>
  <c r="B159" i="11"/>
  <c r="A159" i="11"/>
  <c r="C158" i="11"/>
  <c r="B158" i="11"/>
  <c r="A158" i="11"/>
  <c r="C157" i="11"/>
  <c r="B157" i="11"/>
  <c r="A157" i="11"/>
  <c r="C156" i="11"/>
  <c r="B156" i="11"/>
  <c r="A156" i="11"/>
  <c r="C155" i="11"/>
  <c r="B155" i="11"/>
  <c r="A155" i="11"/>
  <c r="C154" i="11"/>
  <c r="B154" i="11"/>
  <c r="A154" i="11"/>
  <c r="C153" i="11"/>
  <c r="B153" i="11"/>
  <c r="A153" i="11"/>
  <c r="C152" i="11"/>
  <c r="B152" i="11"/>
  <c r="A152" i="11"/>
  <c r="C151" i="11"/>
  <c r="B151" i="11"/>
  <c r="A151" i="11"/>
  <c r="C150" i="11"/>
  <c r="B150" i="11"/>
  <c r="A150" i="11"/>
  <c r="C149" i="11"/>
  <c r="B149" i="11"/>
  <c r="A149" i="11"/>
  <c r="C148" i="11"/>
  <c r="B148" i="11"/>
  <c r="A148" i="11"/>
  <c r="C147" i="11"/>
  <c r="B147" i="11"/>
  <c r="A147" i="11"/>
  <c r="C146" i="11"/>
  <c r="B146" i="11"/>
  <c r="A146" i="11"/>
  <c r="C145" i="11"/>
  <c r="B145" i="11"/>
  <c r="A145" i="11"/>
  <c r="C144" i="11"/>
  <c r="B144" i="11"/>
  <c r="A144" i="11"/>
  <c r="C143" i="11"/>
  <c r="B143" i="11"/>
  <c r="A143" i="11"/>
  <c r="C142" i="11"/>
  <c r="B142" i="11"/>
  <c r="A142" i="11"/>
  <c r="C141" i="11"/>
  <c r="B141" i="11"/>
  <c r="A141" i="11"/>
  <c r="C140" i="11"/>
  <c r="B140" i="11"/>
  <c r="A140" i="11"/>
  <c r="C139" i="11"/>
  <c r="B139" i="11"/>
  <c r="A139" i="11"/>
  <c r="C138" i="11"/>
  <c r="B138" i="11"/>
  <c r="A138" i="11"/>
  <c r="C137" i="11"/>
  <c r="B137" i="11"/>
  <c r="A137" i="11"/>
  <c r="C136" i="11"/>
  <c r="B136" i="11"/>
  <c r="A136" i="11"/>
  <c r="C135" i="11"/>
  <c r="B135" i="11"/>
  <c r="A135" i="11"/>
  <c r="C134" i="11"/>
  <c r="B134" i="11"/>
  <c r="A134" i="11"/>
  <c r="C133" i="11"/>
  <c r="B133" i="11"/>
  <c r="A133" i="11"/>
  <c r="C132" i="11"/>
  <c r="B132" i="11"/>
  <c r="A132" i="11"/>
  <c r="C131" i="11"/>
  <c r="B131" i="11"/>
  <c r="A131" i="11"/>
  <c r="C130" i="11"/>
  <c r="B130" i="11"/>
  <c r="A130" i="11"/>
  <c r="C129" i="11"/>
  <c r="B129" i="11"/>
  <c r="A129" i="11"/>
  <c r="C128" i="11"/>
  <c r="B128" i="11"/>
  <c r="A128" i="11"/>
  <c r="C127" i="11"/>
  <c r="B127" i="11"/>
  <c r="A127" i="11"/>
  <c r="C126" i="11"/>
  <c r="B126" i="11"/>
  <c r="A126" i="11"/>
  <c r="C125" i="11"/>
  <c r="B125" i="11"/>
  <c r="A125" i="11"/>
  <c r="C124" i="11"/>
  <c r="B124" i="11"/>
  <c r="A124" i="11"/>
  <c r="C123" i="11"/>
  <c r="B123" i="11"/>
  <c r="A123" i="11"/>
  <c r="C122" i="11"/>
  <c r="B122" i="11"/>
  <c r="A122" i="11"/>
  <c r="C121" i="11"/>
  <c r="B121" i="11"/>
  <c r="A121" i="11"/>
  <c r="C120" i="11"/>
  <c r="B120" i="11"/>
  <c r="A120" i="11"/>
  <c r="C119" i="11"/>
  <c r="B119" i="11"/>
  <c r="A119" i="11"/>
  <c r="C118" i="11"/>
  <c r="B118" i="11"/>
  <c r="A118" i="11"/>
  <c r="C117" i="11"/>
  <c r="B117" i="11"/>
  <c r="A117" i="11"/>
  <c r="C116" i="11"/>
  <c r="B116" i="11"/>
  <c r="A116" i="11"/>
  <c r="C115" i="11"/>
  <c r="B115" i="11"/>
  <c r="A115" i="11"/>
  <c r="C114" i="11"/>
  <c r="B114" i="11"/>
  <c r="A114" i="11"/>
  <c r="C113" i="11"/>
  <c r="B113" i="11"/>
  <c r="A113" i="11"/>
  <c r="C112" i="11"/>
  <c r="B112" i="11"/>
  <c r="A112" i="11"/>
  <c r="C111" i="11"/>
  <c r="B111" i="11"/>
  <c r="A111" i="11"/>
  <c r="C110" i="11"/>
  <c r="B110" i="11"/>
  <c r="A110" i="11"/>
  <c r="C109" i="11"/>
  <c r="B109" i="11"/>
  <c r="A109" i="11"/>
  <c r="C108" i="11"/>
  <c r="B108" i="11"/>
  <c r="A108" i="11"/>
  <c r="C107" i="11"/>
  <c r="B107" i="11"/>
  <c r="A107" i="11"/>
  <c r="C106" i="11"/>
  <c r="B106" i="11"/>
  <c r="A106" i="11"/>
  <c r="C105" i="11"/>
  <c r="B105" i="11"/>
  <c r="A105" i="11"/>
  <c r="C104" i="11"/>
  <c r="B104" i="11"/>
  <c r="A104" i="11"/>
  <c r="C103" i="11"/>
  <c r="B103" i="11"/>
  <c r="A103" i="11"/>
  <c r="C102" i="11"/>
  <c r="B102" i="11"/>
  <c r="A102" i="11"/>
  <c r="C101" i="11"/>
  <c r="B101" i="11"/>
  <c r="A101" i="11"/>
  <c r="C100" i="11"/>
  <c r="B100" i="11"/>
  <c r="A100" i="11"/>
  <c r="C99" i="11"/>
  <c r="B99" i="11"/>
  <c r="A99" i="11"/>
  <c r="C98" i="11"/>
  <c r="B98" i="11"/>
  <c r="A98" i="11"/>
  <c r="C97" i="11"/>
  <c r="B97" i="11"/>
  <c r="A97" i="11"/>
  <c r="C96" i="11"/>
  <c r="B96" i="11"/>
  <c r="A96" i="11"/>
  <c r="C95" i="11"/>
  <c r="B95" i="11"/>
  <c r="A95" i="11"/>
  <c r="C94" i="11"/>
  <c r="B94" i="11"/>
  <c r="A94" i="11"/>
  <c r="C93" i="11"/>
  <c r="B93" i="11"/>
  <c r="A93" i="11"/>
  <c r="C92" i="11"/>
  <c r="B92" i="11"/>
  <c r="A92" i="11"/>
  <c r="C91" i="11"/>
  <c r="B91" i="11"/>
  <c r="A91" i="11"/>
  <c r="C90" i="11"/>
  <c r="B90" i="11"/>
  <c r="A90" i="11"/>
  <c r="C89" i="11"/>
  <c r="B89" i="11"/>
  <c r="A89" i="11"/>
  <c r="C88" i="11"/>
  <c r="B88" i="11"/>
  <c r="A88" i="11"/>
  <c r="C87" i="11"/>
  <c r="B87" i="11"/>
  <c r="A87" i="11"/>
  <c r="C86" i="11"/>
  <c r="B86" i="11"/>
  <c r="A86" i="11"/>
  <c r="C85" i="11"/>
  <c r="B85" i="11"/>
  <c r="A85" i="11"/>
  <c r="C84" i="11"/>
  <c r="B84" i="11"/>
  <c r="A84" i="11"/>
  <c r="C83" i="11"/>
  <c r="B83" i="11"/>
  <c r="A83" i="11"/>
  <c r="C82" i="11"/>
  <c r="B82" i="11"/>
  <c r="A82" i="11"/>
  <c r="C81" i="11"/>
  <c r="B81" i="11"/>
  <c r="A81" i="11"/>
  <c r="C80" i="11"/>
  <c r="B80" i="11"/>
  <c r="A80" i="11"/>
  <c r="C79" i="11"/>
  <c r="B79" i="11"/>
  <c r="A79" i="11"/>
  <c r="C78" i="11"/>
  <c r="B78" i="11"/>
  <c r="A78" i="11"/>
  <c r="C77" i="11"/>
  <c r="B77" i="11"/>
  <c r="A77" i="11"/>
  <c r="C76" i="11"/>
  <c r="B76" i="11"/>
  <c r="A76" i="11"/>
  <c r="C75" i="11"/>
  <c r="B75" i="11"/>
  <c r="A75" i="11"/>
  <c r="C74" i="11"/>
  <c r="B74" i="11"/>
  <c r="A74" i="11"/>
  <c r="C73" i="11"/>
  <c r="B73" i="11"/>
  <c r="A73" i="11"/>
  <c r="C72" i="11"/>
  <c r="B72" i="11"/>
  <c r="A72" i="11"/>
  <c r="C71" i="11"/>
  <c r="B71" i="11"/>
  <c r="A71" i="11"/>
  <c r="C70" i="11"/>
  <c r="B70" i="11"/>
  <c r="A70" i="11"/>
  <c r="C69" i="11"/>
  <c r="B69" i="11"/>
  <c r="A69" i="11"/>
  <c r="C68" i="11"/>
  <c r="B68" i="11"/>
  <c r="A68" i="11"/>
  <c r="C67" i="11"/>
  <c r="B67" i="11"/>
  <c r="A67" i="11"/>
  <c r="C66" i="11"/>
  <c r="B66" i="11"/>
  <c r="A66" i="11"/>
  <c r="C65" i="11"/>
  <c r="B65" i="11"/>
  <c r="A65" i="11"/>
  <c r="C64" i="11"/>
  <c r="B64" i="11"/>
  <c r="A64" i="11"/>
  <c r="C63" i="11"/>
  <c r="B63" i="11"/>
  <c r="A63" i="11"/>
  <c r="C62" i="11"/>
  <c r="B62" i="11"/>
  <c r="A62" i="11"/>
  <c r="C61" i="11"/>
  <c r="B61" i="11"/>
  <c r="A61" i="11"/>
  <c r="C60" i="11"/>
  <c r="B60" i="11"/>
  <c r="A60" i="11"/>
  <c r="C59" i="11"/>
  <c r="B59" i="11"/>
  <c r="A59" i="11"/>
  <c r="C58" i="11"/>
  <c r="B58" i="11"/>
  <c r="A58" i="11"/>
  <c r="C57" i="11"/>
  <c r="B57" i="11"/>
  <c r="A57" i="11"/>
  <c r="C56" i="11"/>
  <c r="B56" i="11"/>
  <c r="A56" i="11"/>
  <c r="C55" i="11"/>
  <c r="B55" i="11"/>
  <c r="A55" i="11"/>
  <c r="C54" i="11"/>
  <c r="B54" i="11"/>
  <c r="A54" i="11"/>
  <c r="C53" i="11"/>
  <c r="B53" i="11"/>
  <c r="A53" i="11"/>
  <c r="C52" i="11"/>
  <c r="B52" i="11"/>
  <c r="A52" i="11"/>
  <c r="C51" i="11"/>
  <c r="B51" i="11"/>
  <c r="A51" i="11"/>
  <c r="C50" i="11"/>
  <c r="B50" i="11"/>
  <c r="A50" i="11"/>
  <c r="C49" i="11"/>
  <c r="B49" i="11"/>
  <c r="A49" i="11"/>
  <c r="C48" i="11"/>
  <c r="B48" i="11"/>
  <c r="A48" i="11"/>
  <c r="C47" i="11"/>
  <c r="B47" i="11"/>
  <c r="A47" i="11"/>
  <c r="C46" i="11"/>
  <c r="B46" i="11"/>
  <c r="A46" i="11"/>
  <c r="C45" i="11"/>
  <c r="B45" i="11"/>
  <c r="A45" i="11"/>
  <c r="C44" i="11"/>
  <c r="B44" i="11"/>
  <c r="A44" i="11"/>
  <c r="C43" i="11"/>
  <c r="B43" i="11"/>
  <c r="A43" i="11"/>
  <c r="C42" i="11"/>
  <c r="B42" i="11"/>
  <c r="A42" i="11"/>
  <c r="C41" i="11"/>
  <c r="B41" i="11"/>
  <c r="A41" i="11"/>
  <c r="C40" i="11"/>
  <c r="B40" i="11"/>
  <c r="A40" i="11"/>
  <c r="C39" i="11"/>
  <c r="B39" i="11"/>
  <c r="A39" i="11"/>
  <c r="C38" i="11"/>
  <c r="B38" i="11"/>
  <c r="A38" i="11"/>
  <c r="C37" i="11"/>
  <c r="B37" i="11"/>
  <c r="A37" i="11"/>
  <c r="C36" i="11"/>
  <c r="B36" i="11"/>
  <c r="A36" i="11"/>
  <c r="C35" i="11"/>
  <c r="B35" i="11"/>
  <c r="A35" i="11"/>
  <c r="C34" i="11"/>
  <c r="B34" i="11"/>
  <c r="A34" i="11"/>
  <c r="C33" i="11"/>
  <c r="B33" i="11"/>
  <c r="A33" i="11"/>
  <c r="C32" i="11"/>
  <c r="B32" i="11"/>
  <c r="A32" i="11"/>
  <c r="C31" i="11"/>
  <c r="B31" i="11"/>
  <c r="A31" i="11"/>
  <c r="C30" i="11"/>
  <c r="B30" i="11"/>
  <c r="A30" i="11"/>
  <c r="C29" i="11"/>
  <c r="B29" i="11"/>
  <c r="A29" i="11"/>
  <c r="C28" i="11"/>
  <c r="B28" i="11"/>
  <c r="A28" i="11"/>
  <c r="C27" i="11"/>
  <c r="B27" i="11"/>
  <c r="A27" i="11"/>
  <c r="B15" i="11"/>
  <c r="B14" i="11"/>
  <c r="B13" i="11"/>
  <c r="B12" i="11"/>
  <c r="B11" i="11"/>
  <c r="B10" i="11"/>
  <c r="B9" i="11"/>
  <c r="B8" i="11"/>
  <c r="B7" i="11"/>
  <c r="B6" i="11"/>
  <c r="B5" i="11"/>
  <c r="B4" i="11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F501" i="9"/>
  <c r="E501" i="9"/>
  <c r="D501" i="9"/>
  <c r="C501" i="9"/>
  <c r="F500" i="9"/>
  <c r="E500" i="9"/>
  <c r="D500" i="9"/>
  <c r="C500" i="9"/>
  <c r="F499" i="9"/>
  <c r="E499" i="9"/>
  <c r="D499" i="9"/>
  <c r="C499" i="9"/>
  <c r="F498" i="9"/>
  <c r="E498" i="9"/>
  <c r="D498" i="9"/>
  <c r="C498" i="9"/>
  <c r="F497" i="9"/>
  <c r="E497" i="9"/>
  <c r="D497" i="9"/>
  <c r="C497" i="9"/>
  <c r="F496" i="9"/>
  <c r="E496" i="9"/>
  <c r="D496" i="9"/>
  <c r="C496" i="9"/>
  <c r="F495" i="9"/>
  <c r="E495" i="9"/>
  <c r="D495" i="9"/>
  <c r="C495" i="9"/>
  <c r="F494" i="9"/>
  <c r="E494" i="9"/>
  <c r="D494" i="9"/>
  <c r="C494" i="9"/>
  <c r="F493" i="9"/>
  <c r="E493" i="9"/>
  <c r="D493" i="9"/>
  <c r="C493" i="9"/>
  <c r="F492" i="9"/>
  <c r="E492" i="9"/>
  <c r="D492" i="9"/>
  <c r="C492" i="9"/>
  <c r="F491" i="9"/>
  <c r="E491" i="9"/>
  <c r="D491" i="9"/>
  <c r="C491" i="9"/>
  <c r="F490" i="9"/>
  <c r="E490" i="9"/>
  <c r="D490" i="9"/>
  <c r="C490" i="9"/>
  <c r="F489" i="9"/>
  <c r="E489" i="9"/>
  <c r="D489" i="9"/>
  <c r="C489" i="9"/>
  <c r="F488" i="9"/>
  <c r="E488" i="9"/>
  <c r="D488" i="9"/>
  <c r="C488" i="9"/>
  <c r="F487" i="9"/>
  <c r="E487" i="9"/>
  <c r="D487" i="9"/>
  <c r="C487" i="9"/>
  <c r="F486" i="9"/>
  <c r="E486" i="9"/>
  <c r="D486" i="9"/>
  <c r="C486" i="9"/>
  <c r="F485" i="9"/>
  <c r="E485" i="9"/>
  <c r="D485" i="9"/>
  <c r="C485" i="9"/>
  <c r="F484" i="9"/>
  <c r="E484" i="9"/>
  <c r="D484" i="9"/>
  <c r="C484" i="9"/>
  <c r="F483" i="9"/>
  <c r="E483" i="9"/>
  <c r="D483" i="9"/>
  <c r="C483" i="9"/>
  <c r="F482" i="9"/>
  <c r="E482" i="9"/>
  <c r="D482" i="9"/>
  <c r="C482" i="9"/>
  <c r="F481" i="9"/>
  <c r="E481" i="9"/>
  <c r="D481" i="9"/>
  <c r="C481" i="9"/>
  <c r="F480" i="9"/>
  <c r="E480" i="9"/>
  <c r="D480" i="9"/>
  <c r="C480" i="9"/>
  <c r="F479" i="9"/>
  <c r="E479" i="9"/>
  <c r="D479" i="9"/>
  <c r="C479" i="9"/>
  <c r="F478" i="9"/>
  <c r="E478" i="9"/>
  <c r="D478" i="9"/>
  <c r="C478" i="9"/>
  <c r="F477" i="9"/>
  <c r="E477" i="9"/>
  <c r="D477" i="9"/>
  <c r="C477" i="9"/>
  <c r="F476" i="9"/>
  <c r="E476" i="9"/>
  <c r="D476" i="9"/>
  <c r="C476" i="9"/>
  <c r="F475" i="9"/>
  <c r="E475" i="9"/>
  <c r="D475" i="9"/>
  <c r="C475" i="9"/>
  <c r="F474" i="9"/>
  <c r="E474" i="9"/>
  <c r="D474" i="9"/>
  <c r="C474" i="9"/>
  <c r="F473" i="9"/>
  <c r="E473" i="9"/>
  <c r="D473" i="9"/>
  <c r="C473" i="9"/>
  <c r="F472" i="9"/>
  <c r="E472" i="9"/>
  <c r="D472" i="9"/>
  <c r="C472" i="9"/>
  <c r="F471" i="9"/>
  <c r="E471" i="9"/>
  <c r="D471" i="9"/>
  <c r="C471" i="9"/>
  <c r="F470" i="9"/>
  <c r="E470" i="9"/>
  <c r="D470" i="9"/>
  <c r="C470" i="9"/>
  <c r="F469" i="9"/>
  <c r="E469" i="9"/>
  <c r="D469" i="9"/>
  <c r="C469" i="9"/>
  <c r="F468" i="9"/>
  <c r="E468" i="9"/>
  <c r="D468" i="9"/>
  <c r="C468" i="9"/>
  <c r="F467" i="9"/>
  <c r="E467" i="9"/>
  <c r="D467" i="9"/>
  <c r="C467" i="9"/>
  <c r="F466" i="9"/>
  <c r="E466" i="9"/>
  <c r="D466" i="9"/>
  <c r="C466" i="9"/>
  <c r="F465" i="9"/>
  <c r="E465" i="9"/>
  <c r="D465" i="9"/>
  <c r="C465" i="9"/>
  <c r="F464" i="9"/>
  <c r="E464" i="9"/>
  <c r="D464" i="9"/>
  <c r="C464" i="9"/>
  <c r="F463" i="9"/>
  <c r="E463" i="9"/>
  <c r="D463" i="9"/>
  <c r="C463" i="9"/>
  <c r="F462" i="9"/>
  <c r="E462" i="9"/>
  <c r="D462" i="9"/>
  <c r="C462" i="9"/>
  <c r="F461" i="9"/>
  <c r="E461" i="9"/>
  <c r="D461" i="9"/>
  <c r="C461" i="9"/>
  <c r="F460" i="9"/>
  <c r="E460" i="9"/>
  <c r="D460" i="9"/>
  <c r="C460" i="9"/>
  <c r="F459" i="9"/>
  <c r="E459" i="9"/>
  <c r="D459" i="9"/>
  <c r="C459" i="9"/>
  <c r="F458" i="9"/>
  <c r="E458" i="9"/>
  <c r="D458" i="9"/>
  <c r="C458" i="9"/>
  <c r="F457" i="9"/>
  <c r="E457" i="9"/>
  <c r="D457" i="9"/>
  <c r="C457" i="9"/>
  <c r="F456" i="9"/>
  <c r="E456" i="9"/>
  <c r="D456" i="9"/>
  <c r="C456" i="9"/>
  <c r="F455" i="9"/>
  <c r="E455" i="9"/>
  <c r="D455" i="9"/>
  <c r="C455" i="9"/>
  <c r="F454" i="9"/>
  <c r="E454" i="9"/>
  <c r="D454" i="9"/>
  <c r="C454" i="9"/>
  <c r="F453" i="9"/>
  <c r="E453" i="9"/>
  <c r="D453" i="9"/>
  <c r="C453" i="9"/>
  <c r="F452" i="9"/>
  <c r="E452" i="9"/>
  <c r="D452" i="9"/>
  <c r="C452" i="9"/>
  <c r="F451" i="9"/>
  <c r="E451" i="9"/>
  <c r="D451" i="9"/>
  <c r="C451" i="9"/>
  <c r="F450" i="9"/>
  <c r="E450" i="9"/>
  <c r="D450" i="9"/>
  <c r="C450" i="9"/>
  <c r="F449" i="9"/>
  <c r="E449" i="9"/>
  <c r="D449" i="9"/>
  <c r="C449" i="9"/>
  <c r="F448" i="9"/>
  <c r="E448" i="9"/>
  <c r="D448" i="9"/>
  <c r="C448" i="9"/>
  <c r="F447" i="9"/>
  <c r="E447" i="9"/>
  <c r="D447" i="9"/>
  <c r="C447" i="9"/>
  <c r="F446" i="9"/>
  <c r="E446" i="9"/>
  <c r="D446" i="9"/>
  <c r="C446" i="9"/>
  <c r="F445" i="9"/>
  <c r="E445" i="9"/>
  <c r="D445" i="9"/>
  <c r="C445" i="9"/>
  <c r="F444" i="9"/>
  <c r="E444" i="9"/>
  <c r="D444" i="9"/>
  <c r="C444" i="9"/>
  <c r="F443" i="9"/>
  <c r="E443" i="9"/>
  <c r="D443" i="9"/>
  <c r="C443" i="9"/>
  <c r="F442" i="9"/>
  <c r="E442" i="9"/>
  <c r="D442" i="9"/>
  <c r="C442" i="9"/>
  <c r="F441" i="9"/>
  <c r="E441" i="9"/>
  <c r="D441" i="9"/>
  <c r="C441" i="9"/>
  <c r="F440" i="9"/>
  <c r="E440" i="9"/>
  <c r="D440" i="9"/>
  <c r="C440" i="9"/>
  <c r="F439" i="9"/>
  <c r="E439" i="9"/>
  <c r="D439" i="9"/>
  <c r="C439" i="9"/>
  <c r="F438" i="9"/>
  <c r="E438" i="9"/>
  <c r="D438" i="9"/>
  <c r="C438" i="9"/>
  <c r="F437" i="9"/>
  <c r="E437" i="9"/>
  <c r="D437" i="9"/>
  <c r="C437" i="9"/>
  <c r="F436" i="9"/>
  <c r="E436" i="9"/>
  <c r="D436" i="9"/>
  <c r="C436" i="9"/>
  <c r="F435" i="9"/>
  <c r="E435" i="9"/>
  <c r="D435" i="9"/>
  <c r="C435" i="9"/>
  <c r="F434" i="9"/>
  <c r="E434" i="9"/>
  <c r="D434" i="9"/>
  <c r="C434" i="9"/>
  <c r="F433" i="9"/>
  <c r="E433" i="9"/>
  <c r="D433" i="9"/>
  <c r="C433" i="9"/>
  <c r="F432" i="9"/>
  <c r="E432" i="9"/>
  <c r="D432" i="9"/>
  <c r="C432" i="9"/>
  <c r="F431" i="9"/>
  <c r="E431" i="9"/>
  <c r="D431" i="9"/>
  <c r="C431" i="9"/>
  <c r="F430" i="9"/>
  <c r="E430" i="9"/>
  <c r="D430" i="9"/>
  <c r="C430" i="9"/>
  <c r="F429" i="9"/>
  <c r="E429" i="9"/>
  <c r="D429" i="9"/>
  <c r="C429" i="9"/>
  <c r="F428" i="9"/>
  <c r="E428" i="9"/>
  <c r="D428" i="9"/>
  <c r="C428" i="9"/>
  <c r="F427" i="9"/>
  <c r="E427" i="9"/>
  <c r="D427" i="9"/>
  <c r="C427" i="9"/>
  <c r="F426" i="9"/>
  <c r="E426" i="9"/>
  <c r="D426" i="9"/>
  <c r="C426" i="9"/>
  <c r="F425" i="9"/>
  <c r="E425" i="9"/>
  <c r="D425" i="9"/>
  <c r="C425" i="9"/>
  <c r="F424" i="9"/>
  <c r="E424" i="9"/>
  <c r="D424" i="9"/>
  <c r="C424" i="9"/>
  <c r="F423" i="9"/>
  <c r="E423" i="9"/>
  <c r="D423" i="9"/>
  <c r="C423" i="9"/>
  <c r="F422" i="9"/>
  <c r="E422" i="9"/>
  <c r="D422" i="9"/>
  <c r="C422" i="9"/>
  <c r="F421" i="9"/>
  <c r="E421" i="9"/>
  <c r="D421" i="9"/>
  <c r="C421" i="9"/>
  <c r="F420" i="9"/>
  <c r="E420" i="9"/>
  <c r="D420" i="9"/>
  <c r="C420" i="9"/>
  <c r="F419" i="9"/>
  <c r="E419" i="9"/>
  <c r="D419" i="9"/>
  <c r="C419" i="9"/>
  <c r="F418" i="9"/>
  <c r="E418" i="9"/>
  <c r="D418" i="9"/>
  <c r="C418" i="9"/>
  <c r="F417" i="9"/>
  <c r="E417" i="9"/>
  <c r="D417" i="9"/>
  <c r="C417" i="9"/>
  <c r="F416" i="9"/>
  <c r="E416" i="9"/>
  <c r="D416" i="9"/>
  <c r="C416" i="9"/>
  <c r="F415" i="9"/>
  <c r="E415" i="9"/>
  <c r="D415" i="9"/>
  <c r="C415" i="9"/>
  <c r="F414" i="9"/>
  <c r="E414" i="9"/>
  <c r="D414" i="9"/>
  <c r="C414" i="9"/>
  <c r="F413" i="9"/>
  <c r="E413" i="9"/>
  <c r="D413" i="9"/>
  <c r="C413" i="9"/>
  <c r="F412" i="9"/>
  <c r="E412" i="9"/>
  <c r="D412" i="9"/>
  <c r="C412" i="9"/>
  <c r="F411" i="9"/>
  <c r="E411" i="9"/>
  <c r="D411" i="9"/>
  <c r="C411" i="9"/>
  <c r="F410" i="9"/>
  <c r="E410" i="9"/>
  <c r="D410" i="9"/>
  <c r="C410" i="9"/>
  <c r="F409" i="9"/>
  <c r="E409" i="9"/>
  <c r="D409" i="9"/>
  <c r="C409" i="9"/>
  <c r="F408" i="9"/>
  <c r="E408" i="9"/>
  <c r="D408" i="9"/>
  <c r="C408" i="9"/>
  <c r="F407" i="9"/>
  <c r="E407" i="9"/>
  <c r="D407" i="9"/>
  <c r="C407" i="9"/>
  <c r="F406" i="9"/>
  <c r="E406" i="9"/>
  <c r="D406" i="9"/>
  <c r="C406" i="9"/>
  <c r="F405" i="9"/>
  <c r="E405" i="9"/>
  <c r="D405" i="9"/>
  <c r="C405" i="9"/>
  <c r="F404" i="9"/>
  <c r="E404" i="9"/>
  <c r="D404" i="9"/>
  <c r="C404" i="9"/>
  <c r="F403" i="9"/>
  <c r="E403" i="9"/>
  <c r="D403" i="9"/>
  <c r="C403" i="9"/>
  <c r="F402" i="9"/>
  <c r="E402" i="9"/>
  <c r="D402" i="9"/>
  <c r="C402" i="9"/>
  <c r="F401" i="9"/>
  <c r="E401" i="9"/>
  <c r="D401" i="9"/>
  <c r="C401" i="9"/>
  <c r="F400" i="9"/>
  <c r="E400" i="9"/>
  <c r="D400" i="9"/>
  <c r="C400" i="9"/>
  <c r="F399" i="9"/>
  <c r="E399" i="9"/>
  <c r="D399" i="9"/>
  <c r="C399" i="9"/>
  <c r="F398" i="9"/>
  <c r="E398" i="9"/>
  <c r="D398" i="9"/>
  <c r="C398" i="9"/>
  <c r="F397" i="9"/>
  <c r="E397" i="9"/>
  <c r="D397" i="9"/>
  <c r="C397" i="9"/>
  <c r="F396" i="9"/>
  <c r="E396" i="9"/>
  <c r="D396" i="9"/>
  <c r="C396" i="9"/>
  <c r="F395" i="9"/>
  <c r="E395" i="9"/>
  <c r="D395" i="9"/>
  <c r="C395" i="9"/>
  <c r="F394" i="9"/>
  <c r="E394" i="9"/>
  <c r="D394" i="9"/>
  <c r="C394" i="9"/>
  <c r="F393" i="9"/>
  <c r="E393" i="9"/>
  <c r="D393" i="9"/>
  <c r="C393" i="9"/>
  <c r="F392" i="9"/>
  <c r="E392" i="9"/>
  <c r="D392" i="9"/>
  <c r="C392" i="9"/>
  <c r="F391" i="9"/>
  <c r="E391" i="9"/>
  <c r="D391" i="9"/>
  <c r="C391" i="9"/>
  <c r="F390" i="9"/>
  <c r="E390" i="9"/>
  <c r="D390" i="9"/>
  <c r="C390" i="9"/>
  <c r="F389" i="9"/>
  <c r="E389" i="9"/>
  <c r="D389" i="9"/>
  <c r="C389" i="9"/>
  <c r="F388" i="9"/>
  <c r="E388" i="9"/>
  <c r="D388" i="9"/>
  <c r="C388" i="9"/>
  <c r="F387" i="9"/>
  <c r="E387" i="9"/>
  <c r="D387" i="9"/>
  <c r="C387" i="9"/>
  <c r="F386" i="9"/>
  <c r="E386" i="9"/>
  <c r="D386" i="9"/>
  <c r="C386" i="9"/>
  <c r="F385" i="9"/>
  <c r="E385" i="9"/>
  <c r="D385" i="9"/>
  <c r="C385" i="9"/>
  <c r="F384" i="9"/>
  <c r="E384" i="9"/>
  <c r="D384" i="9"/>
  <c r="C384" i="9"/>
  <c r="F383" i="9"/>
  <c r="E383" i="9"/>
  <c r="D383" i="9"/>
  <c r="C383" i="9"/>
  <c r="F382" i="9"/>
  <c r="E382" i="9"/>
  <c r="D382" i="9"/>
  <c r="C382" i="9"/>
  <c r="F381" i="9"/>
  <c r="E381" i="9"/>
  <c r="D381" i="9"/>
  <c r="C381" i="9"/>
  <c r="F380" i="9"/>
  <c r="E380" i="9"/>
  <c r="D380" i="9"/>
  <c r="C380" i="9"/>
  <c r="F379" i="9"/>
  <c r="E379" i="9"/>
  <c r="D379" i="9"/>
  <c r="C379" i="9"/>
  <c r="F378" i="9"/>
  <c r="E378" i="9"/>
  <c r="D378" i="9"/>
  <c r="C378" i="9"/>
  <c r="F377" i="9"/>
  <c r="E377" i="9"/>
  <c r="D377" i="9"/>
  <c r="C377" i="9"/>
  <c r="F376" i="9"/>
  <c r="E376" i="9"/>
  <c r="D376" i="9"/>
  <c r="C376" i="9"/>
  <c r="F375" i="9"/>
  <c r="E375" i="9"/>
  <c r="D375" i="9"/>
  <c r="C375" i="9"/>
  <c r="F374" i="9"/>
  <c r="E374" i="9"/>
  <c r="D374" i="9"/>
  <c r="C374" i="9"/>
  <c r="F373" i="9"/>
  <c r="E373" i="9"/>
  <c r="D373" i="9"/>
  <c r="C373" i="9"/>
  <c r="F372" i="9"/>
  <c r="E372" i="9"/>
  <c r="D372" i="9"/>
  <c r="C372" i="9"/>
  <c r="F371" i="9"/>
  <c r="E371" i="9"/>
  <c r="D371" i="9"/>
  <c r="C371" i="9"/>
  <c r="F370" i="9"/>
  <c r="E370" i="9"/>
  <c r="D370" i="9"/>
  <c r="C370" i="9"/>
  <c r="F369" i="9"/>
  <c r="E369" i="9"/>
  <c r="D369" i="9"/>
  <c r="C369" i="9"/>
  <c r="F368" i="9"/>
  <c r="E368" i="9"/>
  <c r="D368" i="9"/>
  <c r="C368" i="9"/>
  <c r="F367" i="9"/>
  <c r="E367" i="9"/>
  <c r="D367" i="9"/>
  <c r="C367" i="9"/>
  <c r="F366" i="9"/>
  <c r="E366" i="9"/>
  <c r="D366" i="9"/>
  <c r="C366" i="9"/>
  <c r="F365" i="9"/>
  <c r="E365" i="9"/>
  <c r="D365" i="9"/>
  <c r="C365" i="9"/>
  <c r="F364" i="9"/>
  <c r="E364" i="9"/>
  <c r="D364" i="9"/>
  <c r="C364" i="9"/>
  <c r="F363" i="9"/>
  <c r="E363" i="9"/>
  <c r="D363" i="9"/>
  <c r="C363" i="9"/>
  <c r="F362" i="9"/>
  <c r="E362" i="9"/>
  <c r="D362" i="9"/>
  <c r="C362" i="9"/>
  <c r="F361" i="9"/>
  <c r="E361" i="9"/>
  <c r="D361" i="9"/>
  <c r="C361" i="9"/>
  <c r="F360" i="9"/>
  <c r="E360" i="9"/>
  <c r="D360" i="9"/>
  <c r="C360" i="9"/>
  <c r="F359" i="9"/>
  <c r="E359" i="9"/>
  <c r="D359" i="9"/>
  <c r="C359" i="9"/>
  <c r="F358" i="9"/>
  <c r="E358" i="9"/>
  <c r="D358" i="9"/>
  <c r="C358" i="9"/>
  <c r="F357" i="9"/>
  <c r="E357" i="9"/>
  <c r="D357" i="9"/>
  <c r="C357" i="9"/>
  <c r="F356" i="9"/>
  <c r="E356" i="9"/>
  <c r="D356" i="9"/>
  <c r="C356" i="9"/>
  <c r="F355" i="9"/>
  <c r="E355" i="9"/>
  <c r="D355" i="9"/>
  <c r="C355" i="9"/>
  <c r="F354" i="9"/>
  <c r="E354" i="9"/>
  <c r="D354" i="9"/>
  <c r="C354" i="9"/>
  <c r="F353" i="9"/>
  <c r="E353" i="9"/>
  <c r="D353" i="9"/>
  <c r="C353" i="9"/>
  <c r="F352" i="9"/>
  <c r="E352" i="9"/>
  <c r="D352" i="9"/>
  <c r="C352" i="9"/>
  <c r="F351" i="9"/>
  <c r="E351" i="9"/>
  <c r="D351" i="9"/>
  <c r="C351" i="9"/>
  <c r="F350" i="9"/>
  <c r="E350" i="9"/>
  <c r="D350" i="9"/>
  <c r="C350" i="9"/>
  <c r="F349" i="9"/>
  <c r="E349" i="9"/>
  <c r="D349" i="9"/>
  <c r="C349" i="9"/>
  <c r="F348" i="9"/>
  <c r="E348" i="9"/>
  <c r="D348" i="9"/>
  <c r="C348" i="9"/>
  <c r="F347" i="9"/>
  <c r="E347" i="9"/>
  <c r="D347" i="9"/>
  <c r="C347" i="9"/>
  <c r="F346" i="9"/>
  <c r="E346" i="9"/>
  <c r="D346" i="9"/>
  <c r="C346" i="9"/>
  <c r="F345" i="9"/>
  <c r="E345" i="9"/>
  <c r="D345" i="9"/>
  <c r="C345" i="9"/>
  <c r="F344" i="9"/>
  <c r="E344" i="9"/>
  <c r="D344" i="9"/>
  <c r="C344" i="9"/>
  <c r="F343" i="9"/>
  <c r="E343" i="9"/>
  <c r="D343" i="9"/>
  <c r="C343" i="9"/>
  <c r="F342" i="9"/>
  <c r="E342" i="9"/>
  <c r="D342" i="9"/>
  <c r="C342" i="9"/>
  <c r="F341" i="9"/>
  <c r="E341" i="9"/>
  <c r="D341" i="9"/>
  <c r="C341" i="9"/>
  <c r="F340" i="9"/>
  <c r="E340" i="9"/>
  <c r="D340" i="9"/>
  <c r="C340" i="9"/>
  <c r="F339" i="9"/>
  <c r="E339" i="9"/>
  <c r="D339" i="9"/>
  <c r="C339" i="9"/>
  <c r="F338" i="9"/>
  <c r="E338" i="9"/>
  <c r="D338" i="9"/>
  <c r="C338" i="9"/>
  <c r="F337" i="9"/>
  <c r="E337" i="9"/>
  <c r="D337" i="9"/>
  <c r="C337" i="9"/>
  <c r="F336" i="9"/>
  <c r="E336" i="9"/>
  <c r="D336" i="9"/>
  <c r="C336" i="9"/>
  <c r="F335" i="9"/>
  <c r="E335" i="9"/>
  <c r="D335" i="9"/>
  <c r="C335" i="9"/>
  <c r="F334" i="9"/>
  <c r="E334" i="9"/>
  <c r="D334" i="9"/>
  <c r="C334" i="9"/>
  <c r="F333" i="9"/>
  <c r="E333" i="9"/>
  <c r="D333" i="9"/>
  <c r="C333" i="9"/>
  <c r="F332" i="9"/>
  <c r="E332" i="9"/>
  <c r="D332" i="9"/>
  <c r="C332" i="9"/>
  <c r="F331" i="9"/>
  <c r="E331" i="9"/>
  <c r="D331" i="9"/>
  <c r="C331" i="9"/>
  <c r="F330" i="9"/>
  <c r="E330" i="9"/>
  <c r="D330" i="9"/>
  <c r="C330" i="9"/>
  <c r="F329" i="9"/>
  <c r="E329" i="9"/>
  <c r="D329" i="9"/>
  <c r="C329" i="9"/>
  <c r="F328" i="9"/>
  <c r="E328" i="9"/>
  <c r="D328" i="9"/>
  <c r="C328" i="9"/>
  <c r="F327" i="9"/>
  <c r="E327" i="9"/>
  <c r="D327" i="9"/>
  <c r="C327" i="9"/>
  <c r="F326" i="9"/>
  <c r="E326" i="9"/>
  <c r="D326" i="9"/>
  <c r="C326" i="9"/>
  <c r="F325" i="9"/>
  <c r="E325" i="9"/>
  <c r="D325" i="9"/>
  <c r="C325" i="9"/>
  <c r="F324" i="9"/>
  <c r="E324" i="9"/>
  <c r="D324" i="9"/>
  <c r="C324" i="9"/>
  <c r="F323" i="9"/>
  <c r="E323" i="9"/>
  <c r="D323" i="9"/>
  <c r="C323" i="9"/>
  <c r="F322" i="9"/>
  <c r="E322" i="9"/>
  <c r="D322" i="9"/>
  <c r="C322" i="9"/>
  <c r="F321" i="9"/>
  <c r="E321" i="9"/>
  <c r="D321" i="9"/>
  <c r="C321" i="9"/>
  <c r="F320" i="9"/>
  <c r="E320" i="9"/>
  <c r="D320" i="9"/>
  <c r="C320" i="9"/>
  <c r="F319" i="9"/>
  <c r="E319" i="9"/>
  <c r="D319" i="9"/>
  <c r="C319" i="9"/>
  <c r="F318" i="9"/>
  <c r="E318" i="9"/>
  <c r="D318" i="9"/>
  <c r="C318" i="9"/>
  <c r="F317" i="9"/>
  <c r="E317" i="9"/>
  <c r="D317" i="9"/>
  <c r="C317" i="9"/>
  <c r="F316" i="9"/>
  <c r="E316" i="9"/>
  <c r="D316" i="9"/>
  <c r="C316" i="9"/>
  <c r="F315" i="9"/>
  <c r="E315" i="9"/>
  <c r="D315" i="9"/>
  <c r="C315" i="9"/>
  <c r="F314" i="9"/>
  <c r="E314" i="9"/>
  <c r="D314" i="9"/>
  <c r="C314" i="9"/>
  <c r="F313" i="9"/>
  <c r="E313" i="9"/>
  <c r="D313" i="9"/>
  <c r="C313" i="9"/>
  <c r="F312" i="9"/>
  <c r="E312" i="9"/>
  <c r="D312" i="9"/>
  <c r="C312" i="9"/>
  <c r="F311" i="9"/>
  <c r="E311" i="9"/>
  <c r="D311" i="9"/>
  <c r="C311" i="9"/>
  <c r="F310" i="9"/>
  <c r="E310" i="9"/>
  <c r="D310" i="9"/>
  <c r="C310" i="9"/>
  <c r="F309" i="9"/>
  <c r="E309" i="9"/>
  <c r="D309" i="9"/>
  <c r="C309" i="9"/>
  <c r="F308" i="9"/>
  <c r="E308" i="9"/>
  <c r="D308" i="9"/>
  <c r="C308" i="9"/>
  <c r="F307" i="9"/>
  <c r="E307" i="9"/>
  <c r="D307" i="9"/>
  <c r="C307" i="9"/>
  <c r="F306" i="9"/>
  <c r="E306" i="9"/>
  <c r="D306" i="9"/>
  <c r="C306" i="9"/>
  <c r="F305" i="9"/>
  <c r="E305" i="9"/>
  <c r="D305" i="9"/>
  <c r="C305" i="9"/>
  <c r="F304" i="9"/>
  <c r="E304" i="9"/>
  <c r="D304" i="9"/>
  <c r="C304" i="9"/>
  <c r="F303" i="9"/>
  <c r="E303" i="9"/>
  <c r="D303" i="9"/>
  <c r="C303" i="9"/>
  <c r="F302" i="9"/>
  <c r="E302" i="9"/>
  <c r="D302" i="9"/>
  <c r="C302" i="9"/>
  <c r="F301" i="9"/>
  <c r="E301" i="9"/>
  <c r="D301" i="9"/>
  <c r="C301" i="9"/>
  <c r="F300" i="9"/>
  <c r="E300" i="9"/>
  <c r="D300" i="9"/>
  <c r="C300" i="9"/>
  <c r="F299" i="9"/>
  <c r="E299" i="9"/>
  <c r="D299" i="9"/>
  <c r="C299" i="9"/>
  <c r="F298" i="9"/>
  <c r="E298" i="9"/>
  <c r="D298" i="9"/>
  <c r="C298" i="9"/>
  <c r="F297" i="9"/>
  <c r="E297" i="9"/>
  <c r="D297" i="9"/>
  <c r="C297" i="9"/>
  <c r="F296" i="9"/>
  <c r="E296" i="9"/>
  <c r="D296" i="9"/>
  <c r="C296" i="9"/>
  <c r="F295" i="9"/>
  <c r="E295" i="9"/>
  <c r="D295" i="9"/>
  <c r="C295" i="9"/>
  <c r="F294" i="9"/>
  <c r="E294" i="9"/>
  <c r="D294" i="9"/>
  <c r="C294" i="9"/>
  <c r="F293" i="9"/>
  <c r="E293" i="9"/>
  <c r="D293" i="9"/>
  <c r="C293" i="9"/>
  <c r="F292" i="9"/>
  <c r="E292" i="9"/>
  <c r="D292" i="9"/>
  <c r="C292" i="9"/>
  <c r="F291" i="9"/>
  <c r="E291" i="9"/>
  <c r="D291" i="9"/>
  <c r="C291" i="9"/>
  <c r="F290" i="9"/>
  <c r="E290" i="9"/>
  <c r="D290" i="9"/>
  <c r="C290" i="9"/>
  <c r="F289" i="9"/>
  <c r="E289" i="9"/>
  <c r="D289" i="9"/>
  <c r="C289" i="9"/>
  <c r="F288" i="9"/>
  <c r="E288" i="9"/>
  <c r="D288" i="9"/>
  <c r="C288" i="9"/>
  <c r="F287" i="9"/>
  <c r="E287" i="9"/>
  <c r="D287" i="9"/>
  <c r="C287" i="9"/>
  <c r="F286" i="9"/>
  <c r="E286" i="9"/>
  <c r="D286" i="9"/>
  <c r="C286" i="9"/>
  <c r="F285" i="9"/>
  <c r="E285" i="9"/>
  <c r="D285" i="9"/>
  <c r="C285" i="9"/>
  <c r="F284" i="9"/>
  <c r="E284" i="9"/>
  <c r="D284" i="9"/>
  <c r="C284" i="9"/>
  <c r="F283" i="9"/>
  <c r="E283" i="9"/>
  <c r="D283" i="9"/>
  <c r="C283" i="9"/>
  <c r="F282" i="9"/>
  <c r="E282" i="9"/>
  <c r="D282" i="9"/>
  <c r="C282" i="9"/>
  <c r="F281" i="9"/>
  <c r="E281" i="9"/>
  <c r="D281" i="9"/>
  <c r="C281" i="9"/>
  <c r="F280" i="9"/>
  <c r="E280" i="9"/>
  <c r="D280" i="9"/>
  <c r="C280" i="9"/>
  <c r="F279" i="9"/>
  <c r="E279" i="9"/>
  <c r="D279" i="9"/>
  <c r="C279" i="9"/>
  <c r="F278" i="9"/>
  <c r="E278" i="9"/>
  <c r="D278" i="9"/>
  <c r="C278" i="9"/>
  <c r="F277" i="9"/>
  <c r="E277" i="9"/>
  <c r="D277" i="9"/>
  <c r="C277" i="9"/>
  <c r="F276" i="9"/>
  <c r="E276" i="9"/>
  <c r="D276" i="9"/>
  <c r="C276" i="9"/>
  <c r="F275" i="9"/>
  <c r="E275" i="9"/>
  <c r="D275" i="9"/>
  <c r="C275" i="9"/>
  <c r="F274" i="9"/>
  <c r="E274" i="9"/>
  <c r="D274" i="9"/>
  <c r="C274" i="9"/>
  <c r="F273" i="9"/>
  <c r="E273" i="9"/>
  <c r="D273" i="9"/>
  <c r="C273" i="9"/>
  <c r="F272" i="9"/>
  <c r="E272" i="9"/>
  <c r="D272" i="9"/>
  <c r="C272" i="9"/>
  <c r="F271" i="9"/>
  <c r="E271" i="9"/>
  <c r="D271" i="9"/>
  <c r="C271" i="9"/>
  <c r="F270" i="9"/>
  <c r="E270" i="9"/>
  <c r="D270" i="9"/>
  <c r="C270" i="9"/>
  <c r="F269" i="9"/>
  <c r="E269" i="9"/>
  <c r="D269" i="9"/>
  <c r="C269" i="9"/>
  <c r="F268" i="9"/>
  <c r="E268" i="9"/>
  <c r="D268" i="9"/>
  <c r="C268" i="9"/>
  <c r="F267" i="9"/>
  <c r="E267" i="9"/>
  <c r="D267" i="9"/>
  <c r="C267" i="9"/>
  <c r="F266" i="9"/>
  <c r="E266" i="9"/>
  <c r="D266" i="9"/>
  <c r="C266" i="9"/>
  <c r="F265" i="9"/>
  <c r="E265" i="9"/>
  <c r="D265" i="9"/>
  <c r="C265" i="9"/>
  <c r="F264" i="9"/>
  <c r="E264" i="9"/>
  <c r="D264" i="9"/>
  <c r="C264" i="9"/>
  <c r="F263" i="9"/>
  <c r="E263" i="9"/>
  <c r="D263" i="9"/>
  <c r="C263" i="9"/>
  <c r="F262" i="9"/>
  <c r="E262" i="9"/>
  <c r="D262" i="9"/>
  <c r="C262" i="9"/>
  <c r="F261" i="9"/>
  <c r="E261" i="9"/>
  <c r="D261" i="9"/>
  <c r="C261" i="9"/>
  <c r="F260" i="9"/>
  <c r="E260" i="9"/>
  <c r="D260" i="9"/>
  <c r="C260" i="9"/>
  <c r="F259" i="9"/>
  <c r="E259" i="9"/>
  <c r="D259" i="9"/>
  <c r="C259" i="9"/>
  <c r="F258" i="9"/>
  <c r="E258" i="9"/>
  <c r="D258" i="9"/>
  <c r="C258" i="9"/>
  <c r="F257" i="9"/>
  <c r="E257" i="9"/>
  <c r="D257" i="9"/>
  <c r="C257" i="9"/>
  <c r="F256" i="9"/>
  <c r="E256" i="9"/>
  <c r="D256" i="9"/>
  <c r="C256" i="9"/>
  <c r="F255" i="9"/>
  <c r="E255" i="9"/>
  <c r="D255" i="9"/>
  <c r="C255" i="9"/>
  <c r="F254" i="9"/>
  <c r="E254" i="9"/>
  <c r="D254" i="9"/>
  <c r="C254" i="9"/>
  <c r="F253" i="9"/>
  <c r="E253" i="9"/>
  <c r="D253" i="9"/>
  <c r="C253" i="9"/>
  <c r="F252" i="9"/>
  <c r="E252" i="9"/>
  <c r="D252" i="9"/>
  <c r="C252" i="9"/>
  <c r="F251" i="9"/>
  <c r="E251" i="9"/>
  <c r="D251" i="9"/>
  <c r="C251" i="9"/>
  <c r="F250" i="9"/>
  <c r="E250" i="9"/>
  <c r="D250" i="9"/>
  <c r="C250" i="9"/>
  <c r="F249" i="9"/>
  <c r="E249" i="9"/>
  <c r="D249" i="9"/>
  <c r="C249" i="9"/>
  <c r="F248" i="9"/>
  <c r="E248" i="9"/>
  <c r="D248" i="9"/>
  <c r="C248" i="9"/>
  <c r="F247" i="9"/>
  <c r="E247" i="9"/>
  <c r="D247" i="9"/>
  <c r="C247" i="9"/>
  <c r="F246" i="9"/>
  <c r="E246" i="9"/>
  <c r="D246" i="9"/>
  <c r="C246" i="9"/>
  <c r="F245" i="9"/>
  <c r="E245" i="9"/>
  <c r="D245" i="9"/>
  <c r="C245" i="9"/>
  <c r="F244" i="9"/>
  <c r="E244" i="9"/>
  <c r="D244" i="9"/>
  <c r="C244" i="9"/>
  <c r="F243" i="9"/>
  <c r="E243" i="9"/>
  <c r="D243" i="9"/>
  <c r="C243" i="9"/>
  <c r="F242" i="9"/>
  <c r="E242" i="9"/>
  <c r="D242" i="9"/>
  <c r="C242" i="9"/>
  <c r="F241" i="9"/>
  <c r="E241" i="9"/>
  <c r="D241" i="9"/>
  <c r="C241" i="9"/>
  <c r="F240" i="9"/>
  <c r="E240" i="9"/>
  <c r="D240" i="9"/>
  <c r="C240" i="9"/>
  <c r="F239" i="9"/>
  <c r="E239" i="9"/>
  <c r="D239" i="9"/>
  <c r="C239" i="9"/>
  <c r="F238" i="9"/>
  <c r="E238" i="9"/>
  <c r="D238" i="9"/>
  <c r="C238" i="9"/>
  <c r="F237" i="9"/>
  <c r="E237" i="9"/>
  <c r="D237" i="9"/>
  <c r="C237" i="9"/>
  <c r="F236" i="9"/>
  <c r="E236" i="9"/>
  <c r="D236" i="9"/>
  <c r="C236" i="9"/>
  <c r="F235" i="9"/>
  <c r="E235" i="9"/>
  <c r="D235" i="9"/>
  <c r="C235" i="9"/>
  <c r="F234" i="9"/>
  <c r="E234" i="9"/>
  <c r="D234" i="9"/>
  <c r="C234" i="9"/>
  <c r="F233" i="9"/>
  <c r="E233" i="9"/>
  <c r="D233" i="9"/>
  <c r="C233" i="9"/>
  <c r="F232" i="9"/>
  <c r="E232" i="9"/>
  <c r="D232" i="9"/>
  <c r="C232" i="9"/>
  <c r="F231" i="9"/>
  <c r="E231" i="9"/>
  <c r="D231" i="9"/>
  <c r="C231" i="9"/>
  <c r="F230" i="9"/>
  <c r="E230" i="9"/>
  <c r="D230" i="9"/>
  <c r="C230" i="9"/>
  <c r="F229" i="9"/>
  <c r="E229" i="9"/>
  <c r="D229" i="9"/>
  <c r="C229" i="9"/>
  <c r="F228" i="9"/>
  <c r="E228" i="9"/>
  <c r="D228" i="9"/>
  <c r="C228" i="9"/>
  <c r="F227" i="9"/>
  <c r="E227" i="9"/>
  <c r="D227" i="9"/>
  <c r="C227" i="9"/>
  <c r="F226" i="9"/>
  <c r="E226" i="9"/>
  <c r="D226" i="9"/>
  <c r="C226" i="9"/>
  <c r="F225" i="9"/>
  <c r="E225" i="9"/>
  <c r="D225" i="9"/>
  <c r="C225" i="9"/>
  <c r="F224" i="9"/>
  <c r="E224" i="9"/>
  <c r="D224" i="9"/>
  <c r="C224" i="9"/>
  <c r="F223" i="9"/>
  <c r="E223" i="9"/>
  <c r="D223" i="9"/>
  <c r="C223" i="9"/>
  <c r="F222" i="9"/>
  <c r="E222" i="9"/>
  <c r="D222" i="9"/>
  <c r="C222" i="9"/>
  <c r="F221" i="9"/>
  <c r="E221" i="9"/>
  <c r="D221" i="9"/>
  <c r="C221" i="9"/>
  <c r="F220" i="9"/>
  <c r="E220" i="9"/>
  <c r="D220" i="9"/>
  <c r="C220" i="9"/>
  <c r="F219" i="9"/>
  <c r="E219" i="9"/>
  <c r="D219" i="9"/>
  <c r="C219" i="9"/>
  <c r="F218" i="9"/>
  <c r="E218" i="9"/>
  <c r="D218" i="9"/>
  <c r="C218" i="9"/>
  <c r="F217" i="9"/>
  <c r="E217" i="9"/>
  <c r="D217" i="9"/>
  <c r="C217" i="9"/>
  <c r="F216" i="9"/>
  <c r="E216" i="9"/>
  <c r="D216" i="9"/>
  <c r="C216" i="9"/>
  <c r="F215" i="9"/>
  <c r="E215" i="9"/>
  <c r="D215" i="9"/>
  <c r="C215" i="9"/>
  <c r="F214" i="9"/>
  <c r="E214" i="9"/>
  <c r="D214" i="9"/>
  <c r="C214" i="9"/>
  <c r="F213" i="9"/>
  <c r="E213" i="9"/>
  <c r="D213" i="9"/>
  <c r="C213" i="9"/>
  <c r="F212" i="9"/>
  <c r="E212" i="9"/>
  <c r="D212" i="9"/>
  <c r="C212" i="9"/>
  <c r="F211" i="9"/>
  <c r="E211" i="9"/>
  <c r="D211" i="9"/>
  <c r="C211" i="9"/>
  <c r="F210" i="9"/>
  <c r="E210" i="9"/>
  <c r="D210" i="9"/>
  <c r="C210" i="9"/>
  <c r="F209" i="9"/>
  <c r="E209" i="9"/>
  <c r="D209" i="9"/>
  <c r="C209" i="9"/>
  <c r="F208" i="9"/>
  <c r="E208" i="9"/>
  <c r="D208" i="9"/>
  <c r="C208" i="9"/>
  <c r="F207" i="9"/>
  <c r="E207" i="9"/>
  <c r="D207" i="9"/>
  <c r="C207" i="9"/>
  <c r="F206" i="9"/>
  <c r="E206" i="9"/>
  <c r="D206" i="9"/>
  <c r="C206" i="9"/>
  <c r="F205" i="9"/>
  <c r="E205" i="9"/>
  <c r="D205" i="9"/>
  <c r="C205" i="9"/>
  <c r="F204" i="9"/>
  <c r="E204" i="9"/>
  <c r="D204" i="9"/>
  <c r="C204" i="9"/>
  <c r="F203" i="9"/>
  <c r="E203" i="9"/>
  <c r="D203" i="9"/>
  <c r="C203" i="9"/>
  <c r="F202" i="9"/>
  <c r="E202" i="9"/>
  <c r="D202" i="9"/>
  <c r="C202" i="9"/>
  <c r="F201" i="9"/>
  <c r="E201" i="9"/>
  <c r="D201" i="9"/>
  <c r="C201" i="9"/>
  <c r="F200" i="9"/>
  <c r="E200" i="9"/>
  <c r="D200" i="9"/>
  <c r="C200" i="9"/>
  <c r="F199" i="9"/>
  <c r="E199" i="9"/>
  <c r="D199" i="9"/>
  <c r="C199" i="9"/>
  <c r="F198" i="9"/>
  <c r="E198" i="9"/>
  <c r="D198" i="9"/>
  <c r="C198" i="9"/>
  <c r="F197" i="9"/>
  <c r="E197" i="9"/>
  <c r="D197" i="9"/>
  <c r="C197" i="9"/>
  <c r="F196" i="9"/>
  <c r="E196" i="9"/>
  <c r="D196" i="9"/>
  <c r="C196" i="9"/>
  <c r="F195" i="9"/>
  <c r="E195" i="9"/>
  <c r="D195" i="9"/>
  <c r="C195" i="9"/>
  <c r="F194" i="9"/>
  <c r="E194" i="9"/>
  <c r="D194" i="9"/>
  <c r="C194" i="9"/>
  <c r="F193" i="9"/>
  <c r="E193" i="9"/>
  <c r="D193" i="9"/>
  <c r="C193" i="9"/>
  <c r="F192" i="9"/>
  <c r="E192" i="9"/>
  <c r="D192" i="9"/>
  <c r="C192" i="9"/>
  <c r="F191" i="9"/>
  <c r="E191" i="9"/>
  <c r="D191" i="9"/>
  <c r="C191" i="9"/>
  <c r="F190" i="9"/>
  <c r="E190" i="9"/>
  <c r="D190" i="9"/>
  <c r="C190" i="9"/>
  <c r="F189" i="9"/>
  <c r="E189" i="9"/>
  <c r="D189" i="9"/>
  <c r="C189" i="9"/>
  <c r="F188" i="9"/>
  <c r="E188" i="9"/>
  <c r="D188" i="9"/>
  <c r="C188" i="9"/>
  <c r="F187" i="9"/>
  <c r="E187" i="9"/>
  <c r="D187" i="9"/>
  <c r="C187" i="9"/>
  <c r="F186" i="9"/>
  <c r="E186" i="9"/>
  <c r="D186" i="9"/>
  <c r="C186" i="9"/>
  <c r="F185" i="9"/>
  <c r="E185" i="9"/>
  <c r="D185" i="9"/>
  <c r="C185" i="9"/>
  <c r="F184" i="9"/>
  <c r="E184" i="9"/>
  <c r="D184" i="9"/>
  <c r="C184" i="9"/>
  <c r="F183" i="9"/>
  <c r="E183" i="9"/>
  <c r="D183" i="9"/>
  <c r="C183" i="9"/>
  <c r="F182" i="9"/>
  <c r="E182" i="9"/>
  <c r="D182" i="9"/>
  <c r="C182" i="9"/>
  <c r="F181" i="9"/>
  <c r="E181" i="9"/>
  <c r="D181" i="9"/>
  <c r="C181" i="9"/>
  <c r="F180" i="9"/>
  <c r="E180" i="9"/>
  <c r="D180" i="9"/>
  <c r="C180" i="9"/>
  <c r="F179" i="9"/>
  <c r="E179" i="9"/>
  <c r="D179" i="9"/>
  <c r="C179" i="9"/>
  <c r="F178" i="9"/>
  <c r="E178" i="9"/>
  <c r="D178" i="9"/>
  <c r="C178" i="9"/>
  <c r="F177" i="9"/>
  <c r="E177" i="9"/>
  <c r="D177" i="9"/>
  <c r="C177" i="9"/>
  <c r="F176" i="9"/>
  <c r="E176" i="9"/>
  <c r="D176" i="9"/>
  <c r="C176" i="9"/>
  <c r="F175" i="9"/>
  <c r="E175" i="9"/>
  <c r="D175" i="9"/>
  <c r="C175" i="9"/>
  <c r="F174" i="9"/>
  <c r="E174" i="9"/>
  <c r="D174" i="9"/>
  <c r="C174" i="9"/>
  <c r="F173" i="9"/>
  <c r="E173" i="9"/>
  <c r="D173" i="9"/>
  <c r="C173" i="9"/>
  <c r="F172" i="9"/>
  <c r="E172" i="9"/>
  <c r="D172" i="9"/>
  <c r="C172" i="9"/>
  <c r="F171" i="9"/>
  <c r="E171" i="9"/>
  <c r="D171" i="9"/>
  <c r="C171" i="9"/>
  <c r="F170" i="9"/>
  <c r="E170" i="9"/>
  <c r="D170" i="9"/>
  <c r="C170" i="9"/>
  <c r="F169" i="9"/>
  <c r="E169" i="9"/>
  <c r="D169" i="9"/>
  <c r="C169" i="9"/>
  <c r="F168" i="9"/>
  <c r="E168" i="9"/>
  <c r="D168" i="9"/>
  <c r="C168" i="9"/>
  <c r="F167" i="9"/>
  <c r="E167" i="9"/>
  <c r="D167" i="9"/>
  <c r="C167" i="9"/>
  <c r="F166" i="9"/>
  <c r="E166" i="9"/>
  <c r="D166" i="9"/>
  <c r="C166" i="9"/>
  <c r="F165" i="9"/>
  <c r="E165" i="9"/>
  <c r="D165" i="9"/>
  <c r="C165" i="9"/>
  <c r="F164" i="9"/>
  <c r="E164" i="9"/>
  <c r="D164" i="9"/>
  <c r="C164" i="9"/>
  <c r="F163" i="9"/>
  <c r="E163" i="9"/>
  <c r="D163" i="9"/>
  <c r="C163" i="9"/>
  <c r="F162" i="9"/>
  <c r="E162" i="9"/>
  <c r="D162" i="9"/>
  <c r="C162" i="9"/>
  <c r="F161" i="9"/>
  <c r="E161" i="9"/>
  <c r="D161" i="9"/>
  <c r="C161" i="9"/>
  <c r="F160" i="9"/>
  <c r="E160" i="9"/>
  <c r="D160" i="9"/>
  <c r="C160" i="9"/>
  <c r="F159" i="9"/>
  <c r="E159" i="9"/>
  <c r="D159" i="9"/>
  <c r="C159" i="9"/>
  <c r="F158" i="9"/>
  <c r="E158" i="9"/>
  <c r="D158" i="9"/>
  <c r="C158" i="9"/>
  <c r="F157" i="9"/>
  <c r="E157" i="9"/>
  <c r="D157" i="9"/>
  <c r="C157" i="9"/>
  <c r="F156" i="9"/>
  <c r="E156" i="9"/>
  <c r="D156" i="9"/>
  <c r="C156" i="9"/>
  <c r="F155" i="9"/>
  <c r="E155" i="9"/>
  <c r="D155" i="9"/>
  <c r="C155" i="9"/>
  <c r="F154" i="9"/>
  <c r="E154" i="9"/>
  <c r="D154" i="9"/>
  <c r="C154" i="9"/>
  <c r="F153" i="9"/>
  <c r="E153" i="9"/>
  <c r="D153" i="9"/>
  <c r="C153" i="9"/>
  <c r="F152" i="9"/>
  <c r="E152" i="9"/>
  <c r="D152" i="9"/>
  <c r="C152" i="9"/>
  <c r="F151" i="9"/>
  <c r="E151" i="9"/>
  <c r="D151" i="9"/>
  <c r="C151" i="9"/>
  <c r="F150" i="9"/>
  <c r="E150" i="9"/>
  <c r="D150" i="9"/>
  <c r="C150" i="9"/>
  <c r="F149" i="9"/>
  <c r="E149" i="9"/>
  <c r="D149" i="9"/>
  <c r="C149" i="9"/>
  <c r="F148" i="9"/>
  <c r="E148" i="9"/>
  <c r="D148" i="9"/>
  <c r="C148" i="9"/>
  <c r="F147" i="9"/>
  <c r="E147" i="9"/>
  <c r="D147" i="9"/>
  <c r="C147" i="9"/>
  <c r="F146" i="9"/>
  <c r="E146" i="9"/>
  <c r="D146" i="9"/>
  <c r="C146" i="9"/>
  <c r="F145" i="9"/>
  <c r="E145" i="9"/>
  <c r="D145" i="9"/>
  <c r="C145" i="9"/>
  <c r="F144" i="9"/>
  <c r="E144" i="9"/>
  <c r="D144" i="9"/>
  <c r="C144" i="9"/>
  <c r="F143" i="9"/>
  <c r="E143" i="9"/>
  <c r="D143" i="9"/>
  <c r="C143" i="9"/>
  <c r="F142" i="9"/>
  <c r="E142" i="9"/>
  <c r="D142" i="9"/>
  <c r="C142" i="9"/>
  <c r="F141" i="9"/>
  <c r="E141" i="9"/>
  <c r="D141" i="9"/>
  <c r="C141" i="9"/>
  <c r="F140" i="9"/>
  <c r="E140" i="9"/>
  <c r="D140" i="9"/>
  <c r="C140" i="9"/>
  <c r="F139" i="9"/>
  <c r="E139" i="9"/>
  <c r="D139" i="9"/>
  <c r="C139" i="9"/>
  <c r="F138" i="9"/>
  <c r="E138" i="9"/>
  <c r="D138" i="9"/>
  <c r="C138" i="9"/>
  <c r="F137" i="9"/>
  <c r="E137" i="9"/>
  <c r="D137" i="9"/>
  <c r="C137" i="9"/>
  <c r="F136" i="9"/>
  <c r="E136" i="9"/>
  <c r="D136" i="9"/>
  <c r="C136" i="9"/>
  <c r="F135" i="9"/>
  <c r="E135" i="9"/>
  <c r="D135" i="9"/>
  <c r="C135" i="9"/>
  <c r="F134" i="9"/>
  <c r="E134" i="9"/>
  <c r="D134" i="9"/>
  <c r="C134" i="9"/>
  <c r="F133" i="9"/>
  <c r="E133" i="9"/>
  <c r="D133" i="9"/>
  <c r="C133" i="9"/>
  <c r="F132" i="9"/>
  <c r="E132" i="9"/>
  <c r="D132" i="9"/>
  <c r="C132" i="9"/>
  <c r="F131" i="9"/>
  <c r="E131" i="9"/>
  <c r="D131" i="9"/>
  <c r="C131" i="9"/>
  <c r="F130" i="9"/>
  <c r="E130" i="9"/>
  <c r="D130" i="9"/>
  <c r="C130" i="9"/>
  <c r="F129" i="9"/>
  <c r="E129" i="9"/>
  <c r="D129" i="9"/>
  <c r="C129" i="9"/>
  <c r="F128" i="9"/>
  <c r="E128" i="9"/>
  <c r="D128" i="9"/>
  <c r="C128" i="9"/>
  <c r="F127" i="9"/>
  <c r="E127" i="9"/>
  <c r="D127" i="9"/>
  <c r="C127" i="9"/>
  <c r="F126" i="9"/>
  <c r="E126" i="9"/>
  <c r="D126" i="9"/>
  <c r="C126" i="9"/>
  <c r="F125" i="9"/>
  <c r="E125" i="9"/>
  <c r="D125" i="9"/>
  <c r="C125" i="9"/>
  <c r="F124" i="9"/>
  <c r="E124" i="9"/>
  <c r="D124" i="9"/>
  <c r="C124" i="9"/>
  <c r="F123" i="9"/>
  <c r="E123" i="9"/>
  <c r="D123" i="9"/>
  <c r="C123" i="9"/>
  <c r="F122" i="9"/>
  <c r="E122" i="9"/>
  <c r="D122" i="9"/>
  <c r="C122" i="9"/>
  <c r="F121" i="9"/>
  <c r="E121" i="9"/>
  <c r="D121" i="9"/>
  <c r="C121" i="9"/>
  <c r="F120" i="9"/>
  <c r="E120" i="9"/>
  <c r="D120" i="9"/>
  <c r="C120" i="9"/>
  <c r="F119" i="9"/>
  <c r="E119" i="9"/>
  <c r="D119" i="9"/>
  <c r="C119" i="9"/>
  <c r="F118" i="9"/>
  <c r="E118" i="9"/>
  <c r="D118" i="9"/>
  <c r="C118" i="9"/>
  <c r="F117" i="9"/>
  <c r="E117" i="9"/>
  <c r="D117" i="9"/>
  <c r="C117" i="9"/>
  <c r="F116" i="9"/>
  <c r="E116" i="9"/>
  <c r="D116" i="9"/>
  <c r="C116" i="9"/>
  <c r="F115" i="9"/>
  <c r="E115" i="9"/>
  <c r="D115" i="9"/>
  <c r="C115" i="9"/>
  <c r="F114" i="9"/>
  <c r="E114" i="9"/>
  <c r="D114" i="9"/>
  <c r="C114" i="9"/>
  <c r="F113" i="9"/>
  <c r="E113" i="9"/>
  <c r="D113" i="9"/>
  <c r="C113" i="9"/>
  <c r="F112" i="9"/>
  <c r="E112" i="9"/>
  <c r="D112" i="9"/>
  <c r="C112" i="9"/>
  <c r="F111" i="9"/>
  <c r="E111" i="9"/>
  <c r="D111" i="9"/>
  <c r="C111" i="9"/>
  <c r="F110" i="9"/>
  <c r="E110" i="9"/>
  <c r="D110" i="9"/>
  <c r="C110" i="9"/>
  <c r="F109" i="9"/>
  <c r="E109" i="9"/>
  <c r="D109" i="9"/>
  <c r="C109" i="9"/>
  <c r="F108" i="9"/>
  <c r="E108" i="9"/>
  <c r="D108" i="9"/>
  <c r="C108" i="9"/>
  <c r="F107" i="9"/>
  <c r="E107" i="9"/>
  <c r="D107" i="9"/>
  <c r="C107" i="9"/>
  <c r="F106" i="9"/>
  <c r="E106" i="9"/>
  <c r="D106" i="9"/>
  <c r="C106" i="9"/>
  <c r="F105" i="9"/>
  <c r="E105" i="9"/>
  <c r="D105" i="9"/>
  <c r="C105" i="9"/>
  <c r="F104" i="9"/>
  <c r="E104" i="9"/>
  <c r="D104" i="9"/>
  <c r="C104" i="9"/>
  <c r="F103" i="9"/>
  <c r="E103" i="9"/>
  <c r="D103" i="9"/>
  <c r="C103" i="9"/>
  <c r="F102" i="9"/>
  <c r="E102" i="9"/>
  <c r="D102" i="9"/>
  <c r="C102" i="9"/>
  <c r="F101" i="9"/>
  <c r="E101" i="9"/>
  <c r="D101" i="9"/>
  <c r="C101" i="9"/>
  <c r="F100" i="9"/>
  <c r="E100" i="9"/>
  <c r="D100" i="9"/>
  <c r="C100" i="9"/>
  <c r="F99" i="9"/>
  <c r="E99" i="9"/>
  <c r="D99" i="9"/>
  <c r="C99" i="9"/>
  <c r="F98" i="9"/>
  <c r="E98" i="9"/>
  <c r="D98" i="9"/>
  <c r="C98" i="9"/>
  <c r="F97" i="9"/>
  <c r="E97" i="9"/>
  <c r="D97" i="9"/>
  <c r="C97" i="9"/>
  <c r="F96" i="9"/>
  <c r="E96" i="9"/>
  <c r="D96" i="9"/>
  <c r="C96" i="9"/>
  <c r="F95" i="9"/>
  <c r="E95" i="9"/>
  <c r="D95" i="9"/>
  <c r="C95" i="9"/>
  <c r="F94" i="9"/>
  <c r="E94" i="9"/>
  <c r="D94" i="9"/>
  <c r="C94" i="9"/>
  <c r="F93" i="9"/>
  <c r="E93" i="9"/>
  <c r="D93" i="9"/>
  <c r="C93" i="9"/>
  <c r="F92" i="9"/>
  <c r="E92" i="9"/>
  <c r="D92" i="9"/>
  <c r="C92" i="9"/>
  <c r="F91" i="9"/>
  <c r="E91" i="9"/>
  <c r="D91" i="9"/>
  <c r="C91" i="9"/>
  <c r="F90" i="9"/>
  <c r="E90" i="9"/>
  <c r="D90" i="9"/>
  <c r="C90" i="9"/>
  <c r="F89" i="9"/>
  <c r="E89" i="9"/>
  <c r="D89" i="9"/>
  <c r="C89" i="9"/>
  <c r="F88" i="9"/>
  <c r="E88" i="9"/>
  <c r="D88" i="9"/>
  <c r="C88" i="9"/>
  <c r="F87" i="9"/>
  <c r="E87" i="9"/>
  <c r="D87" i="9"/>
  <c r="C87" i="9"/>
  <c r="F86" i="9"/>
  <c r="E86" i="9"/>
  <c r="D86" i="9"/>
  <c r="C86" i="9"/>
  <c r="F85" i="9"/>
  <c r="E85" i="9"/>
  <c r="D85" i="9"/>
  <c r="C85" i="9"/>
  <c r="F84" i="9"/>
  <c r="E84" i="9"/>
  <c r="D84" i="9"/>
  <c r="C84" i="9"/>
  <c r="F83" i="9"/>
  <c r="E83" i="9"/>
  <c r="D83" i="9"/>
  <c r="C83" i="9"/>
  <c r="F82" i="9"/>
  <c r="E82" i="9"/>
  <c r="D82" i="9"/>
  <c r="C82" i="9"/>
  <c r="F81" i="9"/>
  <c r="E81" i="9"/>
  <c r="D81" i="9"/>
  <c r="C81" i="9"/>
  <c r="F80" i="9"/>
  <c r="E80" i="9"/>
  <c r="D80" i="9"/>
  <c r="C80" i="9"/>
  <c r="F79" i="9"/>
  <c r="E79" i="9"/>
  <c r="D79" i="9"/>
  <c r="C79" i="9"/>
  <c r="F78" i="9"/>
  <c r="E78" i="9"/>
  <c r="D78" i="9"/>
  <c r="C78" i="9"/>
  <c r="F77" i="9"/>
  <c r="E77" i="9"/>
  <c r="D77" i="9"/>
  <c r="C77" i="9"/>
  <c r="F76" i="9"/>
  <c r="E76" i="9"/>
  <c r="D76" i="9"/>
  <c r="C76" i="9"/>
  <c r="F75" i="9"/>
  <c r="E75" i="9"/>
  <c r="D75" i="9"/>
  <c r="C75" i="9"/>
  <c r="F74" i="9"/>
  <c r="E74" i="9"/>
  <c r="D74" i="9"/>
  <c r="C74" i="9"/>
  <c r="F73" i="9"/>
  <c r="E73" i="9"/>
  <c r="D73" i="9"/>
  <c r="C73" i="9"/>
  <c r="F72" i="9"/>
  <c r="E72" i="9"/>
  <c r="D72" i="9"/>
  <c r="C72" i="9"/>
  <c r="F71" i="9"/>
  <c r="E71" i="9"/>
  <c r="D71" i="9"/>
  <c r="C71" i="9"/>
  <c r="F70" i="9"/>
  <c r="E70" i="9"/>
  <c r="D70" i="9"/>
  <c r="C70" i="9"/>
  <c r="F69" i="9"/>
  <c r="E69" i="9"/>
  <c r="D69" i="9"/>
  <c r="C69" i="9"/>
  <c r="F68" i="9"/>
  <c r="E68" i="9"/>
  <c r="D68" i="9"/>
  <c r="C68" i="9"/>
  <c r="F67" i="9"/>
  <c r="E67" i="9"/>
  <c r="D67" i="9"/>
  <c r="C67" i="9"/>
  <c r="F66" i="9"/>
  <c r="E66" i="9"/>
  <c r="D66" i="9"/>
  <c r="C66" i="9"/>
  <c r="F65" i="9"/>
  <c r="E65" i="9"/>
  <c r="D65" i="9"/>
  <c r="C65" i="9"/>
  <c r="F64" i="9"/>
  <c r="E64" i="9"/>
  <c r="D64" i="9"/>
  <c r="C64" i="9"/>
  <c r="F63" i="9"/>
  <c r="E63" i="9"/>
  <c r="D63" i="9"/>
  <c r="C63" i="9"/>
  <c r="F62" i="9"/>
  <c r="E62" i="9"/>
  <c r="D62" i="9"/>
  <c r="C62" i="9"/>
  <c r="F61" i="9"/>
  <c r="E61" i="9"/>
  <c r="D61" i="9"/>
  <c r="C61" i="9"/>
  <c r="F60" i="9"/>
  <c r="E60" i="9"/>
  <c r="D60" i="9"/>
  <c r="C60" i="9"/>
  <c r="F59" i="9"/>
  <c r="E59" i="9"/>
  <c r="D59" i="9"/>
  <c r="C59" i="9"/>
  <c r="F58" i="9"/>
  <c r="E58" i="9"/>
  <c r="D58" i="9"/>
  <c r="C58" i="9"/>
  <c r="F57" i="9"/>
  <c r="E57" i="9"/>
  <c r="D57" i="9"/>
  <c r="C57" i="9"/>
  <c r="F56" i="9"/>
  <c r="E56" i="9"/>
  <c r="D56" i="9"/>
  <c r="C56" i="9"/>
  <c r="F55" i="9"/>
  <c r="E55" i="9"/>
  <c r="D55" i="9"/>
  <c r="C55" i="9"/>
  <c r="F54" i="9"/>
  <c r="E54" i="9"/>
  <c r="D54" i="9"/>
  <c r="C54" i="9"/>
  <c r="F53" i="9"/>
  <c r="E53" i="9"/>
  <c r="D53" i="9"/>
  <c r="C53" i="9"/>
  <c r="F52" i="9"/>
  <c r="E52" i="9"/>
  <c r="D52" i="9"/>
  <c r="C52" i="9"/>
  <c r="F51" i="9"/>
  <c r="E51" i="9"/>
  <c r="D51" i="9"/>
  <c r="C51" i="9"/>
  <c r="F50" i="9"/>
  <c r="E50" i="9"/>
  <c r="D50" i="9"/>
  <c r="C50" i="9"/>
  <c r="F49" i="9"/>
  <c r="E49" i="9"/>
  <c r="D49" i="9"/>
  <c r="C49" i="9"/>
  <c r="F48" i="9"/>
  <c r="E48" i="9"/>
  <c r="D48" i="9"/>
  <c r="C48" i="9"/>
  <c r="F47" i="9"/>
  <c r="E47" i="9"/>
  <c r="D47" i="9"/>
  <c r="C47" i="9"/>
  <c r="F46" i="9"/>
  <c r="E46" i="9"/>
  <c r="D46" i="9"/>
  <c r="C46" i="9"/>
  <c r="F45" i="9"/>
  <c r="E45" i="9"/>
  <c r="D45" i="9"/>
  <c r="C45" i="9"/>
  <c r="F44" i="9"/>
  <c r="E44" i="9"/>
  <c r="D44" i="9"/>
  <c r="C44" i="9"/>
  <c r="F43" i="9"/>
  <c r="E43" i="9"/>
  <c r="D43" i="9"/>
  <c r="C43" i="9"/>
  <c r="F42" i="9"/>
  <c r="E42" i="9"/>
  <c r="D42" i="9"/>
  <c r="C42" i="9"/>
  <c r="F41" i="9"/>
  <c r="E41" i="9"/>
  <c r="D41" i="9"/>
  <c r="C41" i="9"/>
  <c r="F40" i="9"/>
  <c r="E40" i="9"/>
  <c r="D40" i="9"/>
  <c r="C40" i="9"/>
  <c r="F39" i="9"/>
  <c r="E39" i="9"/>
  <c r="D39" i="9"/>
  <c r="C39" i="9"/>
  <c r="F38" i="9"/>
  <c r="E38" i="9"/>
  <c r="D38" i="9"/>
  <c r="C38" i="9"/>
  <c r="F37" i="9"/>
  <c r="E37" i="9"/>
  <c r="D37" i="9"/>
  <c r="C37" i="9"/>
  <c r="F36" i="9"/>
  <c r="E36" i="9"/>
  <c r="D36" i="9"/>
  <c r="C36" i="9"/>
  <c r="F35" i="9"/>
  <c r="E35" i="9"/>
  <c r="D35" i="9"/>
  <c r="C35" i="9"/>
  <c r="F34" i="9"/>
  <c r="E34" i="9"/>
  <c r="D34" i="9"/>
  <c r="C34" i="9"/>
  <c r="F33" i="9"/>
  <c r="E33" i="9"/>
  <c r="D33" i="9"/>
  <c r="C33" i="9"/>
  <c r="F32" i="9"/>
  <c r="E32" i="9"/>
  <c r="D32" i="9"/>
  <c r="C32" i="9"/>
  <c r="F31" i="9"/>
  <c r="E31" i="9"/>
  <c r="D31" i="9"/>
  <c r="C31" i="9"/>
  <c r="F30" i="9"/>
  <c r="E30" i="9"/>
  <c r="D30" i="9"/>
  <c r="C30" i="9"/>
  <c r="F29" i="9"/>
  <c r="E29" i="9"/>
  <c r="D29" i="9"/>
  <c r="C29" i="9"/>
  <c r="F28" i="9"/>
  <c r="E28" i="9"/>
  <c r="D28" i="9"/>
  <c r="C28" i="9"/>
  <c r="F27" i="9"/>
  <c r="E27" i="9"/>
  <c r="D27" i="9"/>
  <c r="C27" i="9"/>
  <c r="F26" i="9"/>
  <c r="E26" i="9"/>
  <c r="D26" i="9"/>
  <c r="C26" i="9"/>
  <c r="F25" i="9"/>
  <c r="E25" i="9"/>
  <c r="D25" i="9"/>
  <c r="C25" i="9"/>
  <c r="F24" i="9"/>
  <c r="E24" i="9"/>
  <c r="D24" i="9"/>
  <c r="C24" i="9"/>
  <c r="F23" i="9"/>
  <c r="E23" i="9"/>
  <c r="D23" i="9"/>
  <c r="C23" i="9"/>
  <c r="F22" i="9"/>
  <c r="E22" i="9"/>
  <c r="D22" i="9"/>
  <c r="C22" i="9"/>
  <c r="F21" i="9"/>
  <c r="E21" i="9"/>
  <c r="D21" i="9"/>
  <c r="C21" i="9"/>
  <c r="F20" i="9"/>
  <c r="E20" i="9"/>
  <c r="D20" i="9"/>
  <c r="C20" i="9"/>
  <c r="F19" i="9"/>
  <c r="E19" i="9"/>
  <c r="D19" i="9"/>
  <c r="C19" i="9"/>
  <c r="F18" i="9"/>
  <c r="E18" i="9"/>
  <c r="D18" i="9"/>
  <c r="C18" i="9"/>
  <c r="F17" i="9"/>
  <c r="E17" i="9"/>
  <c r="D17" i="9"/>
  <c r="C17" i="9"/>
  <c r="F16" i="9"/>
  <c r="E16" i="9"/>
  <c r="D16" i="9"/>
  <c r="C16" i="9"/>
  <c r="F15" i="9"/>
  <c r="E15" i="9"/>
  <c r="D15" i="9"/>
  <c r="C15" i="9"/>
  <c r="F14" i="9"/>
  <c r="E14" i="9"/>
  <c r="D14" i="9"/>
  <c r="C14" i="9"/>
  <c r="F13" i="9"/>
  <c r="E13" i="9"/>
  <c r="D13" i="9"/>
  <c r="C13" i="9"/>
  <c r="F12" i="9"/>
  <c r="E12" i="9"/>
  <c r="D12" i="9"/>
  <c r="C12" i="9"/>
  <c r="F11" i="9"/>
  <c r="E11" i="9"/>
  <c r="D11" i="9"/>
  <c r="C11" i="9"/>
  <c r="F10" i="9"/>
  <c r="E10" i="9"/>
  <c r="D10" i="9"/>
  <c r="C10" i="9"/>
  <c r="F9" i="9"/>
  <c r="E9" i="9"/>
  <c r="D9" i="9"/>
  <c r="C9" i="9"/>
  <c r="F8" i="9"/>
  <c r="E8" i="9"/>
  <c r="D8" i="9"/>
  <c r="C8" i="9"/>
  <c r="F7" i="9"/>
  <c r="E7" i="9"/>
  <c r="D7" i="9"/>
  <c r="C7" i="9"/>
  <c r="F6" i="9"/>
  <c r="E6" i="9"/>
  <c r="D6" i="9"/>
  <c r="C6" i="9"/>
  <c r="F5" i="9"/>
  <c r="E5" i="9"/>
  <c r="D5" i="9"/>
  <c r="C5" i="9"/>
  <c r="F4" i="9"/>
  <c r="E4" i="9"/>
  <c r="D4" i="9"/>
  <c r="C4" i="9"/>
  <c r="F3" i="9"/>
  <c r="E3" i="9"/>
  <c r="D3" i="9"/>
  <c r="C3" i="9"/>
  <c r="F2" i="9"/>
  <c r="E2" i="9"/>
  <c r="D2" i="9"/>
  <c r="C2" i="9"/>
  <c r="H501" i="7"/>
  <c r="F501" i="7"/>
  <c r="D501" i="7"/>
  <c r="A501" i="7"/>
  <c r="H500" i="7"/>
  <c r="F500" i="7"/>
  <c r="D500" i="7"/>
  <c r="A500" i="7"/>
  <c r="H499" i="7"/>
  <c r="F499" i="7"/>
  <c r="D499" i="7"/>
  <c r="A499" i="7"/>
  <c r="H498" i="7"/>
  <c r="F498" i="7"/>
  <c r="D498" i="7"/>
  <c r="A498" i="7"/>
  <c r="H497" i="7"/>
  <c r="F497" i="7"/>
  <c r="D497" i="7"/>
  <c r="A497" i="7"/>
  <c r="H496" i="7"/>
  <c r="F496" i="7"/>
  <c r="D496" i="7"/>
  <c r="A496" i="7"/>
  <c r="H495" i="7"/>
  <c r="F495" i="7"/>
  <c r="D495" i="7"/>
  <c r="A495" i="7"/>
  <c r="H494" i="7"/>
  <c r="F494" i="7"/>
  <c r="D494" i="7"/>
  <c r="A494" i="7"/>
  <c r="H493" i="7"/>
  <c r="F493" i="7"/>
  <c r="D493" i="7"/>
  <c r="A493" i="7"/>
  <c r="H492" i="7"/>
  <c r="F492" i="7"/>
  <c r="D492" i="7"/>
  <c r="A492" i="7"/>
  <c r="H491" i="7"/>
  <c r="F491" i="7"/>
  <c r="D491" i="7"/>
  <c r="A491" i="7"/>
  <c r="H490" i="7"/>
  <c r="F490" i="7"/>
  <c r="D490" i="7"/>
  <c r="A490" i="7"/>
  <c r="H489" i="7"/>
  <c r="F489" i="7"/>
  <c r="D489" i="7"/>
  <c r="A489" i="7"/>
  <c r="H488" i="7"/>
  <c r="F488" i="7"/>
  <c r="D488" i="7"/>
  <c r="A488" i="7"/>
  <c r="H487" i="7"/>
  <c r="F487" i="7"/>
  <c r="D487" i="7"/>
  <c r="A487" i="7"/>
  <c r="H486" i="7"/>
  <c r="F486" i="7"/>
  <c r="D486" i="7"/>
  <c r="A486" i="7"/>
  <c r="H485" i="7"/>
  <c r="F485" i="7"/>
  <c r="D485" i="7"/>
  <c r="A485" i="7"/>
  <c r="H484" i="7"/>
  <c r="F484" i="7"/>
  <c r="D484" i="7"/>
  <c r="A484" i="7"/>
  <c r="H483" i="7"/>
  <c r="F483" i="7"/>
  <c r="D483" i="7"/>
  <c r="A483" i="7"/>
  <c r="H482" i="7"/>
  <c r="F482" i="7"/>
  <c r="D482" i="7"/>
  <c r="A482" i="7"/>
  <c r="H481" i="7"/>
  <c r="F481" i="7"/>
  <c r="D481" i="7"/>
  <c r="A481" i="7"/>
  <c r="H480" i="7"/>
  <c r="F480" i="7"/>
  <c r="D480" i="7"/>
  <c r="A480" i="7"/>
  <c r="H479" i="7"/>
  <c r="F479" i="7"/>
  <c r="D479" i="7"/>
  <c r="A479" i="7"/>
  <c r="H478" i="7"/>
  <c r="F478" i="7"/>
  <c r="D478" i="7"/>
  <c r="A478" i="7"/>
  <c r="H477" i="7"/>
  <c r="F477" i="7"/>
  <c r="D477" i="7"/>
  <c r="A477" i="7"/>
  <c r="H476" i="7"/>
  <c r="F476" i="7"/>
  <c r="D476" i="7"/>
  <c r="A476" i="7"/>
  <c r="H475" i="7"/>
  <c r="F475" i="7"/>
  <c r="D475" i="7"/>
  <c r="A475" i="7"/>
  <c r="H474" i="7"/>
  <c r="F474" i="7"/>
  <c r="D474" i="7"/>
  <c r="A474" i="7"/>
  <c r="H473" i="7"/>
  <c r="F473" i="7"/>
  <c r="D473" i="7"/>
  <c r="A473" i="7"/>
  <c r="H472" i="7"/>
  <c r="F472" i="7"/>
  <c r="D472" i="7"/>
  <c r="A472" i="7"/>
  <c r="H471" i="7"/>
  <c r="F471" i="7"/>
  <c r="D471" i="7"/>
  <c r="A471" i="7"/>
  <c r="H470" i="7"/>
  <c r="F470" i="7"/>
  <c r="D470" i="7"/>
  <c r="A470" i="7"/>
  <c r="H469" i="7"/>
  <c r="F469" i="7"/>
  <c r="D469" i="7"/>
  <c r="A469" i="7"/>
  <c r="H468" i="7"/>
  <c r="F468" i="7"/>
  <c r="D468" i="7"/>
  <c r="A468" i="7"/>
  <c r="H467" i="7"/>
  <c r="F467" i="7"/>
  <c r="D467" i="7"/>
  <c r="A467" i="7"/>
  <c r="H466" i="7"/>
  <c r="F466" i="7"/>
  <c r="D466" i="7"/>
  <c r="A466" i="7"/>
  <c r="H465" i="7"/>
  <c r="F465" i="7"/>
  <c r="D465" i="7"/>
  <c r="A465" i="7"/>
  <c r="H464" i="7"/>
  <c r="F464" i="7"/>
  <c r="D464" i="7"/>
  <c r="A464" i="7"/>
  <c r="H463" i="7"/>
  <c r="F463" i="7"/>
  <c r="D463" i="7"/>
  <c r="A463" i="7"/>
  <c r="H462" i="7"/>
  <c r="F462" i="7"/>
  <c r="D462" i="7"/>
  <c r="A462" i="7"/>
  <c r="H461" i="7"/>
  <c r="F461" i="7"/>
  <c r="D461" i="7"/>
  <c r="A461" i="7"/>
  <c r="H460" i="7"/>
  <c r="F460" i="7"/>
  <c r="D460" i="7"/>
  <c r="A460" i="7"/>
  <c r="H459" i="7"/>
  <c r="F459" i="7"/>
  <c r="D459" i="7"/>
  <c r="A459" i="7"/>
  <c r="H458" i="7"/>
  <c r="F458" i="7"/>
  <c r="D458" i="7"/>
  <c r="A458" i="7"/>
  <c r="H457" i="7"/>
  <c r="F457" i="7"/>
  <c r="D457" i="7"/>
  <c r="A457" i="7"/>
  <c r="H456" i="7"/>
  <c r="F456" i="7"/>
  <c r="D456" i="7"/>
  <c r="A456" i="7"/>
  <c r="H455" i="7"/>
  <c r="F455" i="7"/>
  <c r="D455" i="7"/>
  <c r="A455" i="7"/>
  <c r="H454" i="7"/>
  <c r="F454" i="7"/>
  <c r="D454" i="7"/>
  <c r="A454" i="7"/>
  <c r="H453" i="7"/>
  <c r="F453" i="7"/>
  <c r="D453" i="7"/>
  <c r="A453" i="7"/>
  <c r="H452" i="7"/>
  <c r="F452" i="7"/>
  <c r="D452" i="7"/>
  <c r="A452" i="7"/>
  <c r="H451" i="7"/>
  <c r="F451" i="7"/>
  <c r="D451" i="7"/>
  <c r="A451" i="7"/>
  <c r="H450" i="7"/>
  <c r="F450" i="7"/>
  <c r="D450" i="7"/>
  <c r="A450" i="7"/>
  <c r="H449" i="7"/>
  <c r="F449" i="7"/>
  <c r="D449" i="7"/>
  <c r="A449" i="7"/>
  <c r="H448" i="7"/>
  <c r="F448" i="7"/>
  <c r="D448" i="7"/>
  <c r="A448" i="7"/>
  <c r="H447" i="7"/>
  <c r="F447" i="7"/>
  <c r="D447" i="7"/>
  <c r="A447" i="7"/>
  <c r="H446" i="7"/>
  <c r="F446" i="7"/>
  <c r="D446" i="7"/>
  <c r="A446" i="7"/>
  <c r="H445" i="7"/>
  <c r="F445" i="7"/>
  <c r="D445" i="7"/>
  <c r="A445" i="7"/>
  <c r="H444" i="7"/>
  <c r="F444" i="7"/>
  <c r="D444" i="7"/>
  <c r="A444" i="7"/>
  <c r="H443" i="7"/>
  <c r="F443" i="7"/>
  <c r="D443" i="7"/>
  <c r="A443" i="7"/>
  <c r="H442" i="7"/>
  <c r="F442" i="7"/>
  <c r="D442" i="7"/>
  <c r="A442" i="7"/>
  <c r="H441" i="7"/>
  <c r="F441" i="7"/>
  <c r="D441" i="7"/>
  <c r="A441" i="7"/>
  <c r="H440" i="7"/>
  <c r="F440" i="7"/>
  <c r="D440" i="7"/>
  <c r="A440" i="7"/>
  <c r="H439" i="7"/>
  <c r="F439" i="7"/>
  <c r="D439" i="7"/>
  <c r="A439" i="7"/>
  <c r="H438" i="7"/>
  <c r="F438" i="7"/>
  <c r="D438" i="7"/>
  <c r="A438" i="7"/>
  <c r="H437" i="7"/>
  <c r="F437" i="7"/>
  <c r="D437" i="7"/>
  <c r="A437" i="7"/>
  <c r="H436" i="7"/>
  <c r="F436" i="7"/>
  <c r="D436" i="7"/>
  <c r="A436" i="7"/>
  <c r="H435" i="7"/>
  <c r="F435" i="7"/>
  <c r="D435" i="7"/>
  <c r="A435" i="7"/>
  <c r="H434" i="7"/>
  <c r="F434" i="7"/>
  <c r="D434" i="7"/>
  <c r="A434" i="7"/>
  <c r="H433" i="7"/>
  <c r="F433" i="7"/>
  <c r="D433" i="7"/>
  <c r="A433" i="7"/>
  <c r="H432" i="7"/>
  <c r="F432" i="7"/>
  <c r="D432" i="7"/>
  <c r="A432" i="7"/>
  <c r="H431" i="7"/>
  <c r="F431" i="7"/>
  <c r="D431" i="7"/>
  <c r="A431" i="7"/>
  <c r="H430" i="7"/>
  <c r="F430" i="7"/>
  <c r="D430" i="7"/>
  <c r="A430" i="7"/>
  <c r="H429" i="7"/>
  <c r="F429" i="7"/>
  <c r="D429" i="7"/>
  <c r="A429" i="7"/>
  <c r="H428" i="7"/>
  <c r="F428" i="7"/>
  <c r="D428" i="7"/>
  <c r="A428" i="7"/>
  <c r="H427" i="7"/>
  <c r="F427" i="7"/>
  <c r="D427" i="7"/>
  <c r="A427" i="7"/>
  <c r="H426" i="7"/>
  <c r="F426" i="7"/>
  <c r="D426" i="7"/>
  <c r="A426" i="7"/>
  <c r="H425" i="7"/>
  <c r="F425" i="7"/>
  <c r="D425" i="7"/>
  <c r="A425" i="7"/>
  <c r="H424" i="7"/>
  <c r="F424" i="7"/>
  <c r="D424" i="7"/>
  <c r="A424" i="7"/>
  <c r="H423" i="7"/>
  <c r="F423" i="7"/>
  <c r="D423" i="7"/>
  <c r="A423" i="7"/>
  <c r="H422" i="7"/>
  <c r="F422" i="7"/>
  <c r="D422" i="7"/>
  <c r="A422" i="7"/>
  <c r="H421" i="7"/>
  <c r="F421" i="7"/>
  <c r="D421" i="7"/>
  <c r="A421" i="7"/>
  <c r="H420" i="7"/>
  <c r="F420" i="7"/>
  <c r="D420" i="7"/>
  <c r="A420" i="7"/>
  <c r="H419" i="7"/>
  <c r="F419" i="7"/>
  <c r="D419" i="7"/>
  <c r="A419" i="7"/>
  <c r="H418" i="7"/>
  <c r="F418" i="7"/>
  <c r="D418" i="7"/>
  <c r="A418" i="7"/>
  <c r="H417" i="7"/>
  <c r="F417" i="7"/>
  <c r="D417" i="7"/>
  <c r="A417" i="7"/>
  <c r="H416" i="7"/>
  <c r="F416" i="7"/>
  <c r="D416" i="7"/>
  <c r="A416" i="7"/>
  <c r="H415" i="7"/>
  <c r="F415" i="7"/>
  <c r="D415" i="7"/>
  <c r="A415" i="7"/>
  <c r="H414" i="7"/>
  <c r="F414" i="7"/>
  <c r="D414" i="7"/>
  <c r="A414" i="7"/>
  <c r="H413" i="7"/>
  <c r="F413" i="7"/>
  <c r="D413" i="7"/>
  <c r="A413" i="7"/>
  <c r="H412" i="7"/>
  <c r="F412" i="7"/>
  <c r="D412" i="7"/>
  <c r="A412" i="7"/>
  <c r="H411" i="7"/>
  <c r="F411" i="7"/>
  <c r="D411" i="7"/>
  <c r="A411" i="7"/>
  <c r="H410" i="7"/>
  <c r="F410" i="7"/>
  <c r="D410" i="7"/>
  <c r="A410" i="7"/>
  <c r="H409" i="7"/>
  <c r="F409" i="7"/>
  <c r="D409" i="7"/>
  <c r="A409" i="7"/>
  <c r="H408" i="7"/>
  <c r="F408" i="7"/>
  <c r="D408" i="7"/>
  <c r="A408" i="7"/>
  <c r="H407" i="7"/>
  <c r="F407" i="7"/>
  <c r="D407" i="7"/>
  <c r="A407" i="7"/>
  <c r="H406" i="7"/>
  <c r="F406" i="7"/>
  <c r="D406" i="7"/>
  <c r="A406" i="7"/>
  <c r="H405" i="7"/>
  <c r="F405" i="7"/>
  <c r="D405" i="7"/>
  <c r="A405" i="7"/>
  <c r="H404" i="7"/>
  <c r="F404" i="7"/>
  <c r="D404" i="7"/>
  <c r="A404" i="7"/>
  <c r="H403" i="7"/>
  <c r="F403" i="7"/>
  <c r="D403" i="7"/>
  <c r="A403" i="7"/>
  <c r="H402" i="7"/>
  <c r="F402" i="7"/>
  <c r="D402" i="7"/>
  <c r="A402" i="7"/>
  <c r="H401" i="7"/>
  <c r="F401" i="7"/>
  <c r="D401" i="7"/>
  <c r="A401" i="7"/>
  <c r="H400" i="7"/>
  <c r="F400" i="7"/>
  <c r="D400" i="7"/>
  <c r="A400" i="7"/>
  <c r="H399" i="7"/>
  <c r="F399" i="7"/>
  <c r="D399" i="7"/>
  <c r="A399" i="7"/>
  <c r="H398" i="7"/>
  <c r="F398" i="7"/>
  <c r="D398" i="7"/>
  <c r="A398" i="7"/>
  <c r="H397" i="7"/>
  <c r="F397" i="7"/>
  <c r="D397" i="7"/>
  <c r="A397" i="7"/>
  <c r="H396" i="7"/>
  <c r="F396" i="7"/>
  <c r="D396" i="7"/>
  <c r="A396" i="7"/>
  <c r="H395" i="7"/>
  <c r="F395" i="7"/>
  <c r="D395" i="7"/>
  <c r="A395" i="7"/>
  <c r="H394" i="7"/>
  <c r="F394" i="7"/>
  <c r="D394" i="7"/>
  <c r="A394" i="7"/>
  <c r="H393" i="7"/>
  <c r="F393" i="7"/>
  <c r="D393" i="7"/>
  <c r="A393" i="7"/>
  <c r="H392" i="7"/>
  <c r="F392" i="7"/>
  <c r="D392" i="7"/>
  <c r="A392" i="7"/>
  <c r="H391" i="7"/>
  <c r="F391" i="7"/>
  <c r="D391" i="7"/>
  <c r="A391" i="7"/>
  <c r="H390" i="7"/>
  <c r="F390" i="7"/>
  <c r="D390" i="7"/>
  <c r="A390" i="7"/>
  <c r="H389" i="7"/>
  <c r="F389" i="7"/>
  <c r="D389" i="7"/>
  <c r="A389" i="7"/>
  <c r="H388" i="7"/>
  <c r="F388" i="7"/>
  <c r="D388" i="7"/>
  <c r="A388" i="7"/>
  <c r="H387" i="7"/>
  <c r="F387" i="7"/>
  <c r="D387" i="7"/>
  <c r="A387" i="7"/>
  <c r="H386" i="7"/>
  <c r="F386" i="7"/>
  <c r="D386" i="7"/>
  <c r="A386" i="7"/>
  <c r="H385" i="7"/>
  <c r="F385" i="7"/>
  <c r="D385" i="7"/>
  <c r="A385" i="7"/>
  <c r="H384" i="7"/>
  <c r="F384" i="7"/>
  <c r="D384" i="7"/>
  <c r="A384" i="7"/>
  <c r="H383" i="7"/>
  <c r="F383" i="7"/>
  <c r="D383" i="7"/>
  <c r="A383" i="7"/>
  <c r="H382" i="7"/>
  <c r="F382" i="7"/>
  <c r="D382" i="7"/>
  <c r="A382" i="7"/>
  <c r="H381" i="7"/>
  <c r="F381" i="7"/>
  <c r="D381" i="7"/>
  <c r="A381" i="7"/>
  <c r="H380" i="7"/>
  <c r="F380" i="7"/>
  <c r="D380" i="7"/>
  <c r="A380" i="7"/>
  <c r="H379" i="7"/>
  <c r="F379" i="7"/>
  <c r="D379" i="7"/>
  <c r="A379" i="7"/>
  <c r="H378" i="7"/>
  <c r="F378" i="7"/>
  <c r="D378" i="7"/>
  <c r="A378" i="7"/>
  <c r="H377" i="7"/>
  <c r="F377" i="7"/>
  <c r="D377" i="7"/>
  <c r="A377" i="7"/>
  <c r="H376" i="7"/>
  <c r="F376" i="7"/>
  <c r="D376" i="7"/>
  <c r="A376" i="7"/>
  <c r="H375" i="7"/>
  <c r="F375" i="7"/>
  <c r="D375" i="7"/>
  <c r="A375" i="7"/>
  <c r="H374" i="7"/>
  <c r="F374" i="7"/>
  <c r="D374" i="7"/>
  <c r="A374" i="7"/>
  <c r="H373" i="7"/>
  <c r="F373" i="7"/>
  <c r="D373" i="7"/>
  <c r="A373" i="7"/>
  <c r="H372" i="7"/>
  <c r="F372" i="7"/>
  <c r="D372" i="7"/>
  <c r="A372" i="7"/>
  <c r="H371" i="7"/>
  <c r="F371" i="7"/>
  <c r="D371" i="7"/>
  <c r="A371" i="7"/>
  <c r="H370" i="7"/>
  <c r="F370" i="7"/>
  <c r="D370" i="7"/>
  <c r="A370" i="7"/>
  <c r="H369" i="7"/>
  <c r="F369" i="7"/>
  <c r="D369" i="7"/>
  <c r="A369" i="7"/>
  <c r="H368" i="7"/>
  <c r="F368" i="7"/>
  <c r="D368" i="7"/>
  <c r="A368" i="7"/>
  <c r="H367" i="7"/>
  <c r="F367" i="7"/>
  <c r="D367" i="7"/>
  <c r="A367" i="7"/>
  <c r="H366" i="7"/>
  <c r="F366" i="7"/>
  <c r="D366" i="7"/>
  <c r="A366" i="7"/>
  <c r="H365" i="7"/>
  <c r="F365" i="7"/>
  <c r="D365" i="7"/>
  <c r="A365" i="7"/>
  <c r="H364" i="7"/>
  <c r="F364" i="7"/>
  <c r="D364" i="7"/>
  <c r="A364" i="7"/>
  <c r="H363" i="7"/>
  <c r="F363" i="7"/>
  <c r="D363" i="7"/>
  <c r="A363" i="7"/>
  <c r="H362" i="7"/>
  <c r="F362" i="7"/>
  <c r="D362" i="7"/>
  <c r="A362" i="7"/>
  <c r="H361" i="7"/>
  <c r="F361" i="7"/>
  <c r="D361" i="7"/>
  <c r="A361" i="7"/>
  <c r="H360" i="7"/>
  <c r="F360" i="7"/>
  <c r="D360" i="7"/>
  <c r="A360" i="7"/>
  <c r="H359" i="7"/>
  <c r="F359" i="7"/>
  <c r="D359" i="7"/>
  <c r="A359" i="7"/>
  <c r="H358" i="7"/>
  <c r="F358" i="7"/>
  <c r="D358" i="7"/>
  <c r="A358" i="7"/>
  <c r="H357" i="7"/>
  <c r="F357" i="7"/>
  <c r="D357" i="7"/>
  <c r="A357" i="7"/>
  <c r="H356" i="7"/>
  <c r="F356" i="7"/>
  <c r="D356" i="7"/>
  <c r="A356" i="7"/>
  <c r="H355" i="7"/>
  <c r="F355" i="7"/>
  <c r="D355" i="7"/>
  <c r="A355" i="7"/>
  <c r="H354" i="7"/>
  <c r="F354" i="7"/>
  <c r="D354" i="7"/>
  <c r="A354" i="7"/>
  <c r="H353" i="7"/>
  <c r="F353" i="7"/>
  <c r="D353" i="7"/>
  <c r="A353" i="7"/>
  <c r="H352" i="7"/>
  <c r="F352" i="7"/>
  <c r="D352" i="7"/>
  <c r="A352" i="7"/>
  <c r="H351" i="7"/>
  <c r="F351" i="7"/>
  <c r="D351" i="7"/>
  <c r="A351" i="7"/>
  <c r="H350" i="7"/>
  <c r="F350" i="7"/>
  <c r="D350" i="7"/>
  <c r="A350" i="7"/>
  <c r="H349" i="7"/>
  <c r="F349" i="7"/>
  <c r="D349" i="7"/>
  <c r="A349" i="7"/>
  <c r="H348" i="7"/>
  <c r="F348" i="7"/>
  <c r="D348" i="7"/>
  <c r="A348" i="7"/>
  <c r="H347" i="7"/>
  <c r="F347" i="7"/>
  <c r="D347" i="7"/>
  <c r="A347" i="7"/>
  <c r="H346" i="7"/>
  <c r="F346" i="7"/>
  <c r="D346" i="7"/>
  <c r="A346" i="7"/>
  <c r="H345" i="7"/>
  <c r="F345" i="7"/>
  <c r="D345" i="7"/>
  <c r="A345" i="7"/>
  <c r="H344" i="7"/>
  <c r="F344" i="7"/>
  <c r="D344" i="7"/>
  <c r="A344" i="7"/>
  <c r="H343" i="7"/>
  <c r="F343" i="7"/>
  <c r="D343" i="7"/>
  <c r="A343" i="7"/>
  <c r="H342" i="7"/>
  <c r="F342" i="7"/>
  <c r="D342" i="7"/>
  <c r="A342" i="7"/>
  <c r="H341" i="7"/>
  <c r="F341" i="7"/>
  <c r="D341" i="7"/>
  <c r="A341" i="7"/>
  <c r="H340" i="7"/>
  <c r="F340" i="7"/>
  <c r="D340" i="7"/>
  <c r="A340" i="7"/>
  <c r="H339" i="7"/>
  <c r="F339" i="7"/>
  <c r="D339" i="7"/>
  <c r="A339" i="7"/>
  <c r="H338" i="7"/>
  <c r="F338" i="7"/>
  <c r="D338" i="7"/>
  <c r="A338" i="7"/>
  <c r="H337" i="7"/>
  <c r="F337" i="7"/>
  <c r="D337" i="7"/>
  <c r="A337" i="7"/>
  <c r="H336" i="7"/>
  <c r="F336" i="7"/>
  <c r="D336" i="7"/>
  <c r="A336" i="7"/>
  <c r="H335" i="7"/>
  <c r="F335" i="7"/>
  <c r="D335" i="7"/>
  <c r="A335" i="7"/>
  <c r="H334" i="7"/>
  <c r="F334" i="7"/>
  <c r="D334" i="7"/>
  <c r="A334" i="7"/>
  <c r="H333" i="7"/>
  <c r="F333" i="7"/>
  <c r="D333" i="7"/>
  <c r="A333" i="7"/>
  <c r="H332" i="7"/>
  <c r="F332" i="7"/>
  <c r="D332" i="7"/>
  <c r="A332" i="7"/>
  <c r="H331" i="7"/>
  <c r="F331" i="7"/>
  <c r="D331" i="7"/>
  <c r="A331" i="7"/>
  <c r="H330" i="7"/>
  <c r="F330" i="7"/>
  <c r="D330" i="7"/>
  <c r="A330" i="7"/>
  <c r="H329" i="7"/>
  <c r="F329" i="7"/>
  <c r="D329" i="7"/>
  <c r="A329" i="7"/>
  <c r="H328" i="7"/>
  <c r="F328" i="7"/>
  <c r="D328" i="7"/>
  <c r="A328" i="7"/>
  <c r="H327" i="7"/>
  <c r="F327" i="7"/>
  <c r="D327" i="7"/>
  <c r="A327" i="7"/>
  <c r="H326" i="7"/>
  <c r="F326" i="7"/>
  <c r="D326" i="7"/>
  <c r="A326" i="7"/>
  <c r="H325" i="7"/>
  <c r="F325" i="7"/>
  <c r="D325" i="7"/>
  <c r="A325" i="7"/>
  <c r="H324" i="7"/>
  <c r="F324" i="7"/>
  <c r="D324" i="7"/>
  <c r="A324" i="7"/>
  <c r="H323" i="7"/>
  <c r="F323" i="7"/>
  <c r="D323" i="7"/>
  <c r="A323" i="7"/>
  <c r="H322" i="7"/>
  <c r="F322" i="7"/>
  <c r="D322" i="7"/>
  <c r="A322" i="7"/>
  <c r="H321" i="7"/>
  <c r="F321" i="7"/>
  <c r="D321" i="7"/>
  <c r="A321" i="7"/>
  <c r="H320" i="7"/>
  <c r="F320" i="7"/>
  <c r="D320" i="7"/>
  <c r="A320" i="7"/>
  <c r="H319" i="7"/>
  <c r="F319" i="7"/>
  <c r="D319" i="7"/>
  <c r="A319" i="7"/>
  <c r="H318" i="7"/>
  <c r="F318" i="7"/>
  <c r="D318" i="7"/>
  <c r="A318" i="7"/>
  <c r="H317" i="7"/>
  <c r="F317" i="7"/>
  <c r="D317" i="7"/>
  <c r="A317" i="7"/>
  <c r="H316" i="7"/>
  <c r="F316" i="7"/>
  <c r="D316" i="7"/>
  <c r="A316" i="7"/>
  <c r="H315" i="7"/>
  <c r="F315" i="7"/>
  <c r="D315" i="7"/>
  <c r="A315" i="7"/>
  <c r="H314" i="7"/>
  <c r="F314" i="7"/>
  <c r="D314" i="7"/>
  <c r="A314" i="7"/>
  <c r="H313" i="7"/>
  <c r="F313" i="7"/>
  <c r="D313" i="7"/>
  <c r="A313" i="7"/>
  <c r="H312" i="7"/>
  <c r="F312" i="7"/>
  <c r="D312" i="7"/>
  <c r="A312" i="7"/>
  <c r="H311" i="7"/>
  <c r="F311" i="7"/>
  <c r="D311" i="7"/>
  <c r="A311" i="7"/>
  <c r="H310" i="7"/>
  <c r="F310" i="7"/>
  <c r="D310" i="7"/>
  <c r="A310" i="7"/>
  <c r="H309" i="7"/>
  <c r="F309" i="7"/>
  <c r="D309" i="7"/>
  <c r="A309" i="7"/>
  <c r="H308" i="7"/>
  <c r="F308" i="7"/>
  <c r="D308" i="7"/>
  <c r="A308" i="7"/>
  <c r="H307" i="7"/>
  <c r="F307" i="7"/>
  <c r="D307" i="7"/>
  <c r="A307" i="7"/>
  <c r="H306" i="7"/>
  <c r="F306" i="7"/>
  <c r="D306" i="7"/>
  <c r="A306" i="7"/>
  <c r="H305" i="7"/>
  <c r="F305" i="7"/>
  <c r="D305" i="7"/>
  <c r="A305" i="7"/>
  <c r="H304" i="7"/>
  <c r="F304" i="7"/>
  <c r="D304" i="7"/>
  <c r="A304" i="7"/>
  <c r="H303" i="7"/>
  <c r="F303" i="7"/>
  <c r="D303" i="7"/>
  <c r="A303" i="7"/>
  <c r="H302" i="7"/>
  <c r="F302" i="7"/>
  <c r="D302" i="7"/>
  <c r="A302" i="7"/>
  <c r="H301" i="7"/>
  <c r="F301" i="7"/>
  <c r="D301" i="7"/>
  <c r="A301" i="7"/>
  <c r="H300" i="7"/>
  <c r="F300" i="7"/>
  <c r="D300" i="7"/>
  <c r="A300" i="7"/>
  <c r="H299" i="7"/>
  <c r="F299" i="7"/>
  <c r="D299" i="7"/>
  <c r="A299" i="7"/>
  <c r="H298" i="7"/>
  <c r="F298" i="7"/>
  <c r="D298" i="7"/>
  <c r="A298" i="7"/>
  <c r="H297" i="7"/>
  <c r="F297" i="7"/>
  <c r="D297" i="7"/>
  <c r="A297" i="7"/>
  <c r="H296" i="7"/>
  <c r="F296" i="7"/>
  <c r="D296" i="7"/>
  <c r="A296" i="7"/>
  <c r="H295" i="7"/>
  <c r="F295" i="7"/>
  <c r="D295" i="7"/>
  <c r="A295" i="7"/>
  <c r="H294" i="7"/>
  <c r="F294" i="7"/>
  <c r="D294" i="7"/>
  <c r="A294" i="7"/>
  <c r="H293" i="7"/>
  <c r="F293" i="7"/>
  <c r="D293" i="7"/>
  <c r="A293" i="7"/>
  <c r="H292" i="7"/>
  <c r="F292" i="7"/>
  <c r="D292" i="7"/>
  <c r="A292" i="7"/>
  <c r="H291" i="7"/>
  <c r="F291" i="7"/>
  <c r="D291" i="7"/>
  <c r="A291" i="7"/>
  <c r="H290" i="7"/>
  <c r="F290" i="7"/>
  <c r="D290" i="7"/>
  <c r="A290" i="7"/>
  <c r="H289" i="7"/>
  <c r="F289" i="7"/>
  <c r="D289" i="7"/>
  <c r="A289" i="7"/>
  <c r="H288" i="7"/>
  <c r="F288" i="7"/>
  <c r="D288" i="7"/>
  <c r="A288" i="7"/>
  <c r="H287" i="7"/>
  <c r="F287" i="7"/>
  <c r="D287" i="7"/>
  <c r="A287" i="7"/>
  <c r="H286" i="7"/>
  <c r="F286" i="7"/>
  <c r="D286" i="7"/>
  <c r="A286" i="7"/>
  <c r="H285" i="7"/>
  <c r="F285" i="7"/>
  <c r="D285" i="7"/>
  <c r="A285" i="7"/>
  <c r="H284" i="7"/>
  <c r="F284" i="7"/>
  <c r="D284" i="7"/>
  <c r="A284" i="7"/>
  <c r="H283" i="7"/>
  <c r="F283" i="7"/>
  <c r="D283" i="7"/>
  <c r="A283" i="7"/>
  <c r="H282" i="7"/>
  <c r="F282" i="7"/>
  <c r="D282" i="7"/>
  <c r="A282" i="7"/>
  <c r="H281" i="7"/>
  <c r="F281" i="7"/>
  <c r="D281" i="7"/>
  <c r="A281" i="7"/>
  <c r="H280" i="7"/>
  <c r="F280" i="7"/>
  <c r="D280" i="7"/>
  <c r="A280" i="7"/>
  <c r="H279" i="7"/>
  <c r="F279" i="7"/>
  <c r="D279" i="7"/>
  <c r="A279" i="7"/>
  <c r="H278" i="7"/>
  <c r="F278" i="7"/>
  <c r="D278" i="7"/>
  <c r="A278" i="7"/>
  <c r="H277" i="7"/>
  <c r="F277" i="7"/>
  <c r="D277" i="7"/>
  <c r="A277" i="7"/>
  <c r="H276" i="7"/>
  <c r="F276" i="7"/>
  <c r="D276" i="7"/>
  <c r="A276" i="7"/>
  <c r="H275" i="7"/>
  <c r="F275" i="7"/>
  <c r="D275" i="7"/>
  <c r="A275" i="7"/>
  <c r="H274" i="7"/>
  <c r="F274" i="7"/>
  <c r="D274" i="7"/>
  <c r="A274" i="7"/>
  <c r="H273" i="7"/>
  <c r="F273" i="7"/>
  <c r="D273" i="7"/>
  <c r="A273" i="7"/>
  <c r="H272" i="7"/>
  <c r="F272" i="7"/>
  <c r="D272" i="7"/>
  <c r="A272" i="7"/>
  <c r="H271" i="7"/>
  <c r="F271" i="7"/>
  <c r="D271" i="7"/>
  <c r="A271" i="7"/>
  <c r="H270" i="7"/>
  <c r="F270" i="7"/>
  <c r="D270" i="7"/>
  <c r="A270" i="7"/>
  <c r="H269" i="7"/>
  <c r="F269" i="7"/>
  <c r="D269" i="7"/>
  <c r="A269" i="7"/>
  <c r="H268" i="7"/>
  <c r="F268" i="7"/>
  <c r="D268" i="7"/>
  <c r="A268" i="7"/>
  <c r="H267" i="7"/>
  <c r="F267" i="7"/>
  <c r="D267" i="7"/>
  <c r="A267" i="7"/>
  <c r="H266" i="7"/>
  <c r="F266" i="7"/>
  <c r="D266" i="7"/>
  <c r="A266" i="7"/>
  <c r="H265" i="7"/>
  <c r="F265" i="7"/>
  <c r="D265" i="7"/>
  <c r="A265" i="7"/>
  <c r="H264" i="7"/>
  <c r="F264" i="7"/>
  <c r="D264" i="7"/>
  <c r="A264" i="7"/>
  <c r="H263" i="7"/>
  <c r="F263" i="7"/>
  <c r="D263" i="7"/>
  <c r="A263" i="7"/>
  <c r="H262" i="7"/>
  <c r="F262" i="7"/>
  <c r="D262" i="7"/>
  <c r="A262" i="7"/>
  <c r="H261" i="7"/>
  <c r="F261" i="7"/>
  <c r="D261" i="7"/>
  <c r="A261" i="7"/>
  <c r="H260" i="7"/>
  <c r="F260" i="7"/>
  <c r="D260" i="7"/>
  <c r="A260" i="7"/>
  <c r="H259" i="7"/>
  <c r="F259" i="7"/>
  <c r="D259" i="7"/>
  <c r="A259" i="7"/>
  <c r="H258" i="7"/>
  <c r="F258" i="7"/>
  <c r="D258" i="7"/>
  <c r="A258" i="7"/>
  <c r="H257" i="7"/>
  <c r="F257" i="7"/>
  <c r="D257" i="7"/>
  <c r="A257" i="7"/>
  <c r="H256" i="7"/>
  <c r="F256" i="7"/>
  <c r="D256" i="7"/>
  <c r="A256" i="7"/>
  <c r="H255" i="7"/>
  <c r="F255" i="7"/>
  <c r="D255" i="7"/>
  <c r="A255" i="7"/>
  <c r="H254" i="7"/>
  <c r="F254" i="7"/>
  <c r="D254" i="7"/>
  <c r="A254" i="7"/>
  <c r="H253" i="7"/>
  <c r="F253" i="7"/>
  <c r="D253" i="7"/>
  <c r="A253" i="7"/>
  <c r="H252" i="7"/>
  <c r="F252" i="7"/>
  <c r="D252" i="7"/>
  <c r="A252" i="7"/>
  <c r="H251" i="7"/>
  <c r="F251" i="7"/>
  <c r="D251" i="7"/>
  <c r="A251" i="7"/>
  <c r="H250" i="7"/>
  <c r="F250" i="7"/>
  <c r="D250" i="7"/>
  <c r="A250" i="7"/>
  <c r="H249" i="7"/>
  <c r="F249" i="7"/>
  <c r="D249" i="7"/>
  <c r="A249" i="7"/>
  <c r="H248" i="7"/>
  <c r="F248" i="7"/>
  <c r="D248" i="7"/>
  <c r="A248" i="7"/>
  <c r="H247" i="7"/>
  <c r="F247" i="7"/>
  <c r="D247" i="7"/>
  <c r="A247" i="7"/>
  <c r="H246" i="7"/>
  <c r="F246" i="7"/>
  <c r="D246" i="7"/>
  <c r="A246" i="7"/>
  <c r="H245" i="7"/>
  <c r="F245" i="7"/>
  <c r="D245" i="7"/>
  <c r="A245" i="7"/>
  <c r="H244" i="7"/>
  <c r="F244" i="7"/>
  <c r="D244" i="7"/>
  <c r="A244" i="7"/>
  <c r="H243" i="7"/>
  <c r="F243" i="7"/>
  <c r="D243" i="7"/>
  <c r="A243" i="7"/>
  <c r="H242" i="7"/>
  <c r="F242" i="7"/>
  <c r="D242" i="7"/>
  <c r="A242" i="7"/>
  <c r="H241" i="7"/>
  <c r="F241" i="7"/>
  <c r="D241" i="7"/>
  <c r="A241" i="7"/>
  <c r="H240" i="7"/>
  <c r="F240" i="7"/>
  <c r="D240" i="7"/>
  <c r="A240" i="7"/>
  <c r="H239" i="7"/>
  <c r="F239" i="7"/>
  <c r="D239" i="7"/>
  <c r="A239" i="7"/>
  <c r="H238" i="7"/>
  <c r="F238" i="7"/>
  <c r="D238" i="7"/>
  <c r="A238" i="7"/>
  <c r="H237" i="7"/>
  <c r="F237" i="7"/>
  <c r="D237" i="7"/>
  <c r="A237" i="7"/>
  <c r="H236" i="7"/>
  <c r="F236" i="7"/>
  <c r="D236" i="7"/>
  <c r="A236" i="7"/>
  <c r="H235" i="7"/>
  <c r="F235" i="7"/>
  <c r="D235" i="7"/>
  <c r="A235" i="7"/>
  <c r="H234" i="7"/>
  <c r="F234" i="7"/>
  <c r="D234" i="7"/>
  <c r="A234" i="7"/>
  <c r="H233" i="7"/>
  <c r="F233" i="7"/>
  <c r="D233" i="7"/>
  <c r="A233" i="7"/>
  <c r="H232" i="7"/>
  <c r="F232" i="7"/>
  <c r="D232" i="7"/>
  <c r="A232" i="7"/>
  <c r="H231" i="7"/>
  <c r="F231" i="7"/>
  <c r="D231" i="7"/>
  <c r="A231" i="7"/>
  <c r="H230" i="7"/>
  <c r="F230" i="7"/>
  <c r="D230" i="7"/>
  <c r="A230" i="7"/>
  <c r="H229" i="7"/>
  <c r="F229" i="7"/>
  <c r="D229" i="7"/>
  <c r="A229" i="7"/>
  <c r="H228" i="7"/>
  <c r="F228" i="7"/>
  <c r="D228" i="7"/>
  <c r="A228" i="7"/>
  <c r="H227" i="7"/>
  <c r="F227" i="7"/>
  <c r="D227" i="7"/>
  <c r="A227" i="7"/>
  <c r="H226" i="7"/>
  <c r="F226" i="7"/>
  <c r="D226" i="7"/>
  <c r="A226" i="7"/>
  <c r="H225" i="7"/>
  <c r="F225" i="7"/>
  <c r="D225" i="7"/>
  <c r="A225" i="7"/>
  <c r="H224" i="7"/>
  <c r="F224" i="7"/>
  <c r="D224" i="7"/>
  <c r="A224" i="7"/>
  <c r="H223" i="7"/>
  <c r="F223" i="7"/>
  <c r="D223" i="7"/>
  <c r="A223" i="7"/>
  <c r="H222" i="7"/>
  <c r="F222" i="7"/>
  <c r="D222" i="7"/>
  <c r="A222" i="7"/>
  <c r="H221" i="7"/>
  <c r="F221" i="7"/>
  <c r="D221" i="7"/>
  <c r="A221" i="7"/>
  <c r="H220" i="7"/>
  <c r="F220" i="7"/>
  <c r="D220" i="7"/>
  <c r="A220" i="7"/>
  <c r="H219" i="7"/>
  <c r="F219" i="7"/>
  <c r="D219" i="7"/>
  <c r="A219" i="7"/>
  <c r="H218" i="7"/>
  <c r="F218" i="7"/>
  <c r="D218" i="7"/>
  <c r="A218" i="7"/>
  <c r="H217" i="7"/>
  <c r="F217" i="7"/>
  <c r="D217" i="7"/>
  <c r="A217" i="7"/>
  <c r="H216" i="7"/>
  <c r="F216" i="7"/>
  <c r="D216" i="7"/>
  <c r="A216" i="7"/>
  <c r="H215" i="7"/>
  <c r="F215" i="7"/>
  <c r="D215" i="7"/>
  <c r="A215" i="7"/>
  <c r="H214" i="7"/>
  <c r="F214" i="7"/>
  <c r="D214" i="7"/>
  <c r="A214" i="7"/>
  <c r="H213" i="7"/>
  <c r="F213" i="7"/>
  <c r="D213" i="7"/>
  <c r="A213" i="7"/>
  <c r="H212" i="7"/>
  <c r="F212" i="7"/>
  <c r="D212" i="7"/>
  <c r="A212" i="7"/>
  <c r="H211" i="7"/>
  <c r="F211" i="7"/>
  <c r="D211" i="7"/>
  <c r="A211" i="7"/>
  <c r="H210" i="7"/>
  <c r="F210" i="7"/>
  <c r="D210" i="7"/>
  <c r="A210" i="7"/>
  <c r="H209" i="7"/>
  <c r="F209" i="7"/>
  <c r="D209" i="7"/>
  <c r="A209" i="7"/>
  <c r="H208" i="7"/>
  <c r="F208" i="7"/>
  <c r="D208" i="7"/>
  <c r="A208" i="7"/>
  <c r="H207" i="7"/>
  <c r="F207" i="7"/>
  <c r="D207" i="7"/>
  <c r="A207" i="7"/>
  <c r="H206" i="7"/>
  <c r="F206" i="7"/>
  <c r="D206" i="7"/>
  <c r="A206" i="7"/>
  <c r="H205" i="7"/>
  <c r="F205" i="7"/>
  <c r="D205" i="7"/>
  <c r="A205" i="7"/>
  <c r="H204" i="7"/>
  <c r="F204" i="7"/>
  <c r="D204" i="7"/>
  <c r="A204" i="7"/>
  <c r="H203" i="7"/>
  <c r="F203" i="7"/>
  <c r="D203" i="7"/>
  <c r="A203" i="7"/>
  <c r="H202" i="7"/>
  <c r="F202" i="7"/>
  <c r="D202" i="7"/>
  <c r="A202" i="7"/>
  <c r="H201" i="7"/>
  <c r="F201" i="7"/>
  <c r="D201" i="7"/>
  <c r="A201" i="7"/>
  <c r="H200" i="7"/>
  <c r="F200" i="7"/>
  <c r="D200" i="7"/>
  <c r="A200" i="7"/>
  <c r="H199" i="7"/>
  <c r="F199" i="7"/>
  <c r="D199" i="7"/>
  <c r="A199" i="7"/>
  <c r="H198" i="7"/>
  <c r="F198" i="7"/>
  <c r="D198" i="7"/>
  <c r="A198" i="7"/>
  <c r="H197" i="7"/>
  <c r="F197" i="7"/>
  <c r="D197" i="7"/>
  <c r="A197" i="7"/>
  <c r="H196" i="7"/>
  <c r="F196" i="7"/>
  <c r="D196" i="7"/>
  <c r="A196" i="7"/>
  <c r="H195" i="7"/>
  <c r="F195" i="7"/>
  <c r="D195" i="7"/>
  <c r="A195" i="7"/>
  <c r="H194" i="7"/>
  <c r="F194" i="7"/>
  <c r="D194" i="7"/>
  <c r="A194" i="7"/>
  <c r="H193" i="7"/>
  <c r="F193" i="7"/>
  <c r="D193" i="7"/>
  <c r="A193" i="7"/>
  <c r="H192" i="7"/>
  <c r="F192" i="7"/>
  <c r="D192" i="7"/>
  <c r="A192" i="7"/>
  <c r="H191" i="7"/>
  <c r="F191" i="7"/>
  <c r="D191" i="7"/>
  <c r="A191" i="7"/>
  <c r="H190" i="7"/>
  <c r="F190" i="7"/>
  <c r="D190" i="7"/>
  <c r="A190" i="7"/>
  <c r="H189" i="7"/>
  <c r="F189" i="7"/>
  <c r="D189" i="7"/>
  <c r="A189" i="7"/>
  <c r="H188" i="7"/>
  <c r="F188" i="7"/>
  <c r="D188" i="7"/>
  <c r="A188" i="7"/>
  <c r="H187" i="7"/>
  <c r="F187" i="7"/>
  <c r="D187" i="7"/>
  <c r="A187" i="7"/>
  <c r="H186" i="7"/>
  <c r="F186" i="7"/>
  <c r="D186" i="7"/>
  <c r="A186" i="7"/>
  <c r="H185" i="7"/>
  <c r="F185" i="7"/>
  <c r="D185" i="7"/>
  <c r="A185" i="7"/>
  <c r="H184" i="7"/>
  <c r="F184" i="7"/>
  <c r="D184" i="7"/>
  <c r="A184" i="7"/>
  <c r="H183" i="7"/>
  <c r="F183" i="7"/>
  <c r="D183" i="7"/>
  <c r="A183" i="7"/>
  <c r="H182" i="7"/>
  <c r="F182" i="7"/>
  <c r="D182" i="7"/>
  <c r="A182" i="7"/>
  <c r="H181" i="7"/>
  <c r="F181" i="7"/>
  <c r="D181" i="7"/>
  <c r="A181" i="7"/>
  <c r="H180" i="7"/>
  <c r="F180" i="7"/>
  <c r="D180" i="7"/>
  <c r="A180" i="7"/>
  <c r="H179" i="7"/>
  <c r="F179" i="7"/>
  <c r="D179" i="7"/>
  <c r="A179" i="7"/>
  <c r="H178" i="7"/>
  <c r="F178" i="7"/>
  <c r="D178" i="7"/>
  <c r="A178" i="7"/>
  <c r="H177" i="7"/>
  <c r="F177" i="7"/>
  <c r="D177" i="7"/>
  <c r="A177" i="7"/>
  <c r="H176" i="7"/>
  <c r="F176" i="7"/>
  <c r="D176" i="7"/>
  <c r="A176" i="7"/>
  <c r="H175" i="7"/>
  <c r="F175" i="7"/>
  <c r="D175" i="7"/>
  <c r="A175" i="7"/>
  <c r="H174" i="7"/>
  <c r="F174" i="7"/>
  <c r="D174" i="7"/>
  <c r="A174" i="7"/>
  <c r="H173" i="7"/>
  <c r="F173" i="7"/>
  <c r="D173" i="7"/>
  <c r="A173" i="7"/>
  <c r="H172" i="7"/>
  <c r="F172" i="7"/>
  <c r="D172" i="7"/>
  <c r="A172" i="7"/>
  <c r="H171" i="7"/>
  <c r="F171" i="7"/>
  <c r="D171" i="7"/>
  <c r="A171" i="7"/>
  <c r="H170" i="7"/>
  <c r="F170" i="7"/>
  <c r="D170" i="7"/>
  <c r="A170" i="7"/>
  <c r="H169" i="7"/>
  <c r="F169" i="7"/>
  <c r="D169" i="7"/>
  <c r="A169" i="7"/>
  <c r="H168" i="7"/>
  <c r="F168" i="7"/>
  <c r="D168" i="7"/>
  <c r="A168" i="7"/>
  <c r="H167" i="7"/>
  <c r="F167" i="7"/>
  <c r="D167" i="7"/>
  <c r="A167" i="7"/>
  <c r="H166" i="7"/>
  <c r="F166" i="7"/>
  <c r="D166" i="7"/>
  <c r="A166" i="7"/>
  <c r="H165" i="7"/>
  <c r="F165" i="7"/>
  <c r="D165" i="7"/>
  <c r="A165" i="7"/>
  <c r="H164" i="7"/>
  <c r="F164" i="7"/>
  <c r="D164" i="7"/>
  <c r="A164" i="7"/>
  <c r="H163" i="7"/>
  <c r="F163" i="7"/>
  <c r="D163" i="7"/>
  <c r="A163" i="7"/>
  <c r="H162" i="7"/>
  <c r="F162" i="7"/>
  <c r="D162" i="7"/>
  <c r="A162" i="7"/>
  <c r="H161" i="7"/>
  <c r="F161" i="7"/>
  <c r="D161" i="7"/>
  <c r="A161" i="7"/>
  <c r="H160" i="7"/>
  <c r="F160" i="7"/>
  <c r="D160" i="7"/>
  <c r="A160" i="7"/>
  <c r="H159" i="7"/>
  <c r="F159" i="7"/>
  <c r="D159" i="7"/>
  <c r="A159" i="7"/>
  <c r="H158" i="7"/>
  <c r="F158" i="7"/>
  <c r="D158" i="7"/>
  <c r="A158" i="7"/>
  <c r="H157" i="7"/>
  <c r="F157" i="7"/>
  <c r="D157" i="7"/>
  <c r="A157" i="7"/>
  <c r="H156" i="7"/>
  <c r="F156" i="7"/>
  <c r="D156" i="7"/>
  <c r="A156" i="7"/>
  <c r="H155" i="7"/>
  <c r="F155" i="7"/>
  <c r="D155" i="7"/>
  <c r="A155" i="7"/>
  <c r="H154" i="7"/>
  <c r="F154" i="7"/>
  <c r="D154" i="7"/>
  <c r="A154" i="7"/>
  <c r="H153" i="7"/>
  <c r="F153" i="7"/>
  <c r="D153" i="7"/>
  <c r="A153" i="7"/>
  <c r="H152" i="7"/>
  <c r="F152" i="7"/>
  <c r="D152" i="7"/>
  <c r="A152" i="7"/>
  <c r="H151" i="7"/>
  <c r="F151" i="7"/>
  <c r="D151" i="7"/>
  <c r="A151" i="7"/>
  <c r="H150" i="7"/>
  <c r="F150" i="7"/>
  <c r="D150" i="7"/>
  <c r="A150" i="7"/>
  <c r="H149" i="7"/>
  <c r="F149" i="7"/>
  <c r="D149" i="7"/>
  <c r="A149" i="7"/>
  <c r="H148" i="7"/>
  <c r="F148" i="7"/>
  <c r="D148" i="7"/>
  <c r="A148" i="7"/>
  <c r="H147" i="7"/>
  <c r="F147" i="7"/>
  <c r="D147" i="7"/>
  <c r="A147" i="7"/>
  <c r="H146" i="7"/>
  <c r="F146" i="7"/>
  <c r="D146" i="7"/>
  <c r="A146" i="7"/>
  <c r="H145" i="7"/>
  <c r="F145" i="7"/>
  <c r="D145" i="7"/>
  <c r="A145" i="7"/>
  <c r="H144" i="7"/>
  <c r="F144" i="7"/>
  <c r="D144" i="7"/>
  <c r="A144" i="7"/>
  <c r="H143" i="7"/>
  <c r="F143" i="7"/>
  <c r="D143" i="7"/>
  <c r="A143" i="7"/>
  <c r="H142" i="7"/>
  <c r="F142" i="7"/>
  <c r="D142" i="7"/>
  <c r="A142" i="7"/>
  <c r="H141" i="7"/>
  <c r="F141" i="7"/>
  <c r="D141" i="7"/>
  <c r="A141" i="7"/>
  <c r="H140" i="7"/>
  <c r="F140" i="7"/>
  <c r="D140" i="7"/>
  <c r="A140" i="7"/>
  <c r="H139" i="7"/>
  <c r="F139" i="7"/>
  <c r="D139" i="7"/>
  <c r="A139" i="7"/>
  <c r="H138" i="7"/>
  <c r="F138" i="7"/>
  <c r="D138" i="7"/>
  <c r="A138" i="7"/>
  <c r="H137" i="7"/>
  <c r="F137" i="7"/>
  <c r="D137" i="7"/>
  <c r="A137" i="7"/>
  <c r="H136" i="7"/>
  <c r="F136" i="7"/>
  <c r="D136" i="7"/>
  <c r="A136" i="7"/>
  <c r="H135" i="7"/>
  <c r="F135" i="7"/>
  <c r="D135" i="7"/>
  <c r="A135" i="7"/>
  <c r="H134" i="7"/>
  <c r="F134" i="7"/>
  <c r="D134" i="7"/>
  <c r="A134" i="7"/>
  <c r="H133" i="7"/>
  <c r="F133" i="7"/>
  <c r="D133" i="7"/>
  <c r="A133" i="7"/>
  <c r="H132" i="7"/>
  <c r="F132" i="7"/>
  <c r="D132" i="7"/>
  <c r="A132" i="7"/>
  <c r="H131" i="7"/>
  <c r="F131" i="7"/>
  <c r="D131" i="7"/>
  <c r="A131" i="7"/>
  <c r="H130" i="7"/>
  <c r="F130" i="7"/>
  <c r="D130" i="7"/>
  <c r="A130" i="7"/>
  <c r="H129" i="7"/>
  <c r="F129" i="7"/>
  <c r="D129" i="7"/>
  <c r="A129" i="7"/>
  <c r="H128" i="7"/>
  <c r="F128" i="7"/>
  <c r="D128" i="7"/>
  <c r="A128" i="7"/>
  <c r="H127" i="7"/>
  <c r="F127" i="7"/>
  <c r="D127" i="7"/>
  <c r="A127" i="7"/>
  <c r="H126" i="7"/>
  <c r="F126" i="7"/>
  <c r="D126" i="7"/>
  <c r="A126" i="7"/>
  <c r="H125" i="7"/>
  <c r="F125" i="7"/>
  <c r="D125" i="7"/>
  <c r="A125" i="7"/>
  <c r="H124" i="7"/>
  <c r="F124" i="7"/>
  <c r="D124" i="7"/>
  <c r="A124" i="7"/>
  <c r="H123" i="7"/>
  <c r="F123" i="7"/>
  <c r="D123" i="7"/>
  <c r="A123" i="7"/>
  <c r="H122" i="7"/>
  <c r="F122" i="7"/>
  <c r="D122" i="7"/>
  <c r="A122" i="7"/>
  <c r="H121" i="7"/>
  <c r="F121" i="7"/>
  <c r="D121" i="7"/>
  <c r="A121" i="7"/>
  <c r="H120" i="7"/>
  <c r="F120" i="7"/>
  <c r="D120" i="7"/>
  <c r="A120" i="7"/>
  <c r="H119" i="7"/>
  <c r="F119" i="7"/>
  <c r="D119" i="7"/>
  <c r="A119" i="7"/>
  <c r="H118" i="7"/>
  <c r="F118" i="7"/>
  <c r="D118" i="7"/>
  <c r="A118" i="7"/>
  <c r="H117" i="7"/>
  <c r="F117" i="7"/>
  <c r="D117" i="7"/>
  <c r="A117" i="7"/>
  <c r="H116" i="7"/>
  <c r="F116" i="7"/>
  <c r="D116" i="7"/>
  <c r="A116" i="7"/>
  <c r="H115" i="7"/>
  <c r="F115" i="7"/>
  <c r="D115" i="7"/>
  <c r="A115" i="7"/>
  <c r="H114" i="7"/>
  <c r="F114" i="7"/>
  <c r="D114" i="7"/>
  <c r="A114" i="7"/>
  <c r="H113" i="7"/>
  <c r="F113" i="7"/>
  <c r="D113" i="7"/>
  <c r="A113" i="7"/>
  <c r="H112" i="7"/>
  <c r="F112" i="7"/>
  <c r="D112" i="7"/>
  <c r="A112" i="7"/>
  <c r="H111" i="7"/>
  <c r="F111" i="7"/>
  <c r="D111" i="7"/>
  <c r="A111" i="7"/>
  <c r="H110" i="7"/>
  <c r="F110" i="7"/>
  <c r="D110" i="7"/>
  <c r="A110" i="7"/>
  <c r="H109" i="7"/>
  <c r="F109" i="7"/>
  <c r="D109" i="7"/>
  <c r="A109" i="7"/>
  <c r="H108" i="7"/>
  <c r="F108" i="7"/>
  <c r="D108" i="7"/>
  <c r="A108" i="7"/>
  <c r="H107" i="7"/>
  <c r="F107" i="7"/>
  <c r="D107" i="7"/>
  <c r="A107" i="7"/>
  <c r="H106" i="7"/>
  <c r="F106" i="7"/>
  <c r="D106" i="7"/>
  <c r="A106" i="7"/>
  <c r="H105" i="7"/>
  <c r="F105" i="7"/>
  <c r="D105" i="7"/>
  <c r="A105" i="7"/>
  <c r="H104" i="7"/>
  <c r="F104" i="7"/>
  <c r="D104" i="7"/>
  <c r="A104" i="7"/>
  <c r="H103" i="7"/>
  <c r="F103" i="7"/>
  <c r="D103" i="7"/>
  <c r="A103" i="7"/>
  <c r="H102" i="7"/>
  <c r="F102" i="7"/>
  <c r="D102" i="7"/>
  <c r="A102" i="7"/>
  <c r="H101" i="7"/>
  <c r="F101" i="7"/>
  <c r="D101" i="7"/>
  <c r="A101" i="7"/>
  <c r="H100" i="7"/>
  <c r="F100" i="7"/>
  <c r="D100" i="7"/>
  <c r="A100" i="7"/>
  <c r="H99" i="7"/>
  <c r="F99" i="7"/>
  <c r="D99" i="7"/>
  <c r="A99" i="7"/>
  <c r="H98" i="7"/>
  <c r="F98" i="7"/>
  <c r="D98" i="7"/>
  <c r="A98" i="7"/>
  <c r="H97" i="7"/>
  <c r="F97" i="7"/>
  <c r="D97" i="7"/>
  <c r="A97" i="7"/>
  <c r="H96" i="7"/>
  <c r="F96" i="7"/>
  <c r="D96" i="7"/>
  <c r="A96" i="7"/>
  <c r="H95" i="7"/>
  <c r="F95" i="7"/>
  <c r="D95" i="7"/>
  <c r="A95" i="7"/>
  <c r="H94" i="7"/>
  <c r="F94" i="7"/>
  <c r="D94" i="7"/>
  <c r="A94" i="7"/>
  <c r="H93" i="7"/>
  <c r="F93" i="7"/>
  <c r="D93" i="7"/>
  <c r="A93" i="7"/>
  <c r="H92" i="7"/>
  <c r="F92" i="7"/>
  <c r="D92" i="7"/>
  <c r="A92" i="7"/>
  <c r="H91" i="7"/>
  <c r="F91" i="7"/>
  <c r="D91" i="7"/>
  <c r="A91" i="7"/>
  <c r="H90" i="7"/>
  <c r="F90" i="7"/>
  <c r="D90" i="7"/>
  <c r="A90" i="7"/>
  <c r="H89" i="7"/>
  <c r="F89" i="7"/>
  <c r="D89" i="7"/>
  <c r="A89" i="7"/>
  <c r="H88" i="7"/>
  <c r="F88" i="7"/>
  <c r="D88" i="7"/>
  <c r="A88" i="7"/>
  <c r="H87" i="7"/>
  <c r="F87" i="7"/>
  <c r="D87" i="7"/>
  <c r="A87" i="7"/>
  <c r="H86" i="7"/>
  <c r="F86" i="7"/>
  <c r="D86" i="7"/>
  <c r="A86" i="7"/>
  <c r="H85" i="7"/>
  <c r="F85" i="7"/>
  <c r="D85" i="7"/>
  <c r="A85" i="7"/>
  <c r="H84" i="7"/>
  <c r="F84" i="7"/>
  <c r="D84" i="7"/>
  <c r="A84" i="7"/>
  <c r="H83" i="7"/>
  <c r="F83" i="7"/>
  <c r="D83" i="7"/>
  <c r="A83" i="7"/>
  <c r="H82" i="7"/>
  <c r="F82" i="7"/>
  <c r="D82" i="7"/>
  <c r="A82" i="7"/>
  <c r="H81" i="7"/>
  <c r="F81" i="7"/>
  <c r="D81" i="7"/>
  <c r="A81" i="7"/>
  <c r="H80" i="7"/>
  <c r="F80" i="7"/>
  <c r="D80" i="7"/>
  <c r="A80" i="7"/>
  <c r="H79" i="7"/>
  <c r="F79" i="7"/>
  <c r="D79" i="7"/>
  <c r="A79" i="7"/>
  <c r="H78" i="7"/>
  <c r="F78" i="7"/>
  <c r="D78" i="7"/>
  <c r="A78" i="7"/>
  <c r="H77" i="7"/>
  <c r="F77" i="7"/>
  <c r="D77" i="7"/>
  <c r="A77" i="7"/>
  <c r="H76" i="7"/>
  <c r="F76" i="7"/>
  <c r="D76" i="7"/>
  <c r="A76" i="7"/>
  <c r="H75" i="7"/>
  <c r="F75" i="7"/>
  <c r="D75" i="7"/>
  <c r="A75" i="7"/>
  <c r="H74" i="7"/>
  <c r="F74" i="7"/>
  <c r="D74" i="7"/>
  <c r="A74" i="7"/>
  <c r="H73" i="7"/>
  <c r="F73" i="7"/>
  <c r="D73" i="7"/>
  <c r="A73" i="7"/>
  <c r="H72" i="7"/>
  <c r="F72" i="7"/>
  <c r="D72" i="7"/>
  <c r="A72" i="7"/>
  <c r="H71" i="7"/>
  <c r="F71" i="7"/>
  <c r="D71" i="7"/>
  <c r="A71" i="7"/>
  <c r="H70" i="7"/>
  <c r="F70" i="7"/>
  <c r="D70" i="7"/>
  <c r="A70" i="7"/>
  <c r="H69" i="7"/>
  <c r="F69" i="7"/>
  <c r="D69" i="7"/>
  <c r="A69" i="7"/>
  <c r="H68" i="7"/>
  <c r="F68" i="7"/>
  <c r="D68" i="7"/>
  <c r="A68" i="7"/>
  <c r="H67" i="7"/>
  <c r="F67" i="7"/>
  <c r="D67" i="7"/>
  <c r="A67" i="7"/>
  <c r="H66" i="7"/>
  <c r="F66" i="7"/>
  <c r="D66" i="7"/>
  <c r="A66" i="7"/>
  <c r="H65" i="7"/>
  <c r="F65" i="7"/>
  <c r="D65" i="7"/>
  <c r="A65" i="7"/>
  <c r="H64" i="7"/>
  <c r="F64" i="7"/>
  <c r="D64" i="7"/>
  <c r="A64" i="7"/>
  <c r="H63" i="7"/>
  <c r="F63" i="7"/>
  <c r="D63" i="7"/>
  <c r="A63" i="7"/>
  <c r="H62" i="7"/>
  <c r="F62" i="7"/>
  <c r="D62" i="7"/>
  <c r="A62" i="7"/>
  <c r="H61" i="7"/>
  <c r="F61" i="7"/>
  <c r="D61" i="7"/>
  <c r="A61" i="7"/>
  <c r="H60" i="7"/>
  <c r="F60" i="7"/>
  <c r="D60" i="7"/>
  <c r="A60" i="7"/>
  <c r="H59" i="7"/>
  <c r="F59" i="7"/>
  <c r="D59" i="7"/>
  <c r="A59" i="7"/>
  <c r="H58" i="7"/>
  <c r="F58" i="7"/>
  <c r="D58" i="7"/>
  <c r="A58" i="7"/>
  <c r="H57" i="7"/>
  <c r="F57" i="7"/>
  <c r="D57" i="7"/>
  <c r="A57" i="7"/>
  <c r="H56" i="7"/>
  <c r="F56" i="7"/>
  <c r="D56" i="7"/>
  <c r="A56" i="7"/>
  <c r="H55" i="7"/>
  <c r="F55" i="7"/>
  <c r="D55" i="7"/>
  <c r="A55" i="7"/>
  <c r="H54" i="7"/>
  <c r="F54" i="7"/>
  <c r="D54" i="7"/>
  <c r="A54" i="7"/>
  <c r="H53" i="7"/>
  <c r="F53" i="7"/>
  <c r="D53" i="7"/>
  <c r="A53" i="7"/>
  <c r="H52" i="7"/>
  <c r="F52" i="7"/>
  <c r="D52" i="7"/>
  <c r="A52" i="7"/>
  <c r="H51" i="7"/>
  <c r="F51" i="7"/>
  <c r="D51" i="7"/>
  <c r="A51" i="7"/>
  <c r="H50" i="7"/>
  <c r="F50" i="7"/>
  <c r="D50" i="7"/>
  <c r="A50" i="7"/>
  <c r="H49" i="7"/>
  <c r="F49" i="7"/>
  <c r="D49" i="7"/>
  <c r="A49" i="7"/>
  <c r="H48" i="7"/>
  <c r="F48" i="7"/>
  <c r="D48" i="7"/>
  <c r="A48" i="7"/>
  <c r="H47" i="7"/>
  <c r="F47" i="7"/>
  <c r="D47" i="7"/>
  <c r="A47" i="7"/>
  <c r="H46" i="7"/>
  <c r="F46" i="7"/>
  <c r="D46" i="7"/>
  <c r="A46" i="7"/>
  <c r="H45" i="7"/>
  <c r="F45" i="7"/>
  <c r="D45" i="7"/>
  <c r="A45" i="7"/>
  <c r="H44" i="7"/>
  <c r="F44" i="7"/>
  <c r="D44" i="7"/>
  <c r="A44" i="7"/>
  <c r="H43" i="7"/>
  <c r="F43" i="7"/>
  <c r="D43" i="7"/>
  <c r="A43" i="7"/>
  <c r="H42" i="7"/>
  <c r="F42" i="7"/>
  <c r="D42" i="7"/>
  <c r="A42" i="7"/>
  <c r="H41" i="7"/>
  <c r="F41" i="7"/>
  <c r="D41" i="7"/>
  <c r="A41" i="7"/>
  <c r="H40" i="7"/>
  <c r="F40" i="7"/>
  <c r="D40" i="7"/>
  <c r="A40" i="7"/>
  <c r="H39" i="7"/>
  <c r="F39" i="7"/>
  <c r="D39" i="7"/>
  <c r="A39" i="7"/>
  <c r="H38" i="7"/>
  <c r="F38" i="7"/>
  <c r="D38" i="7"/>
  <c r="A38" i="7"/>
  <c r="H37" i="7"/>
  <c r="F37" i="7"/>
  <c r="D37" i="7"/>
  <c r="A37" i="7"/>
  <c r="H36" i="7"/>
  <c r="F36" i="7"/>
  <c r="D36" i="7"/>
  <c r="A36" i="7"/>
  <c r="H35" i="7"/>
  <c r="F35" i="7"/>
  <c r="D35" i="7"/>
  <c r="A35" i="7"/>
  <c r="H34" i="7"/>
  <c r="F34" i="7"/>
  <c r="D34" i="7"/>
  <c r="A34" i="7"/>
  <c r="H33" i="7"/>
  <c r="F33" i="7"/>
  <c r="D33" i="7"/>
  <c r="A33" i="7"/>
  <c r="H32" i="7"/>
  <c r="F32" i="7"/>
  <c r="D32" i="7"/>
  <c r="A32" i="7"/>
  <c r="H31" i="7"/>
  <c r="F31" i="7"/>
  <c r="D31" i="7"/>
  <c r="A31" i="7"/>
  <c r="H30" i="7"/>
  <c r="F30" i="7"/>
  <c r="D30" i="7"/>
  <c r="A30" i="7"/>
  <c r="H29" i="7"/>
  <c r="F29" i="7"/>
  <c r="D29" i="7"/>
  <c r="A29" i="7"/>
  <c r="H28" i="7"/>
  <c r="F28" i="7"/>
  <c r="D28" i="7"/>
  <c r="A28" i="7"/>
  <c r="H27" i="7"/>
  <c r="F27" i="7"/>
  <c r="D27" i="7"/>
  <c r="A27" i="7"/>
  <c r="H26" i="7"/>
  <c r="F26" i="7"/>
  <c r="D26" i="7"/>
  <c r="A26" i="7"/>
  <c r="H25" i="7"/>
  <c r="F25" i="7"/>
  <c r="D25" i="7"/>
  <c r="A25" i="7"/>
  <c r="H24" i="7"/>
  <c r="F24" i="7"/>
  <c r="D24" i="7"/>
  <c r="A24" i="7"/>
  <c r="H23" i="7"/>
  <c r="F23" i="7"/>
  <c r="D23" i="7"/>
  <c r="A23" i="7"/>
  <c r="H22" i="7"/>
  <c r="F22" i="7"/>
  <c r="D22" i="7"/>
  <c r="A22" i="7"/>
  <c r="H21" i="7"/>
  <c r="F21" i="7"/>
  <c r="D21" i="7"/>
  <c r="A21" i="7"/>
  <c r="H20" i="7"/>
  <c r="F20" i="7"/>
  <c r="D20" i="7"/>
  <c r="A20" i="7"/>
  <c r="H19" i="7"/>
  <c r="F19" i="7"/>
  <c r="D19" i="7"/>
  <c r="A19" i="7"/>
  <c r="H18" i="7"/>
  <c r="F18" i="7"/>
  <c r="D18" i="7"/>
  <c r="A18" i="7"/>
  <c r="H17" i="7"/>
  <c r="F17" i="7"/>
  <c r="D17" i="7"/>
  <c r="A17" i="7"/>
  <c r="H16" i="7"/>
  <c r="F16" i="7"/>
  <c r="D16" i="7"/>
  <c r="A16" i="7"/>
  <c r="H15" i="7"/>
  <c r="F15" i="7"/>
  <c r="D15" i="7"/>
  <c r="A15" i="7"/>
  <c r="H14" i="7"/>
  <c r="F14" i="7"/>
  <c r="D14" i="7"/>
  <c r="A14" i="7"/>
  <c r="H13" i="7"/>
  <c r="F13" i="7"/>
  <c r="D13" i="7"/>
  <c r="A13" i="7"/>
  <c r="H12" i="7"/>
  <c r="F12" i="7"/>
  <c r="D12" i="7"/>
  <c r="A12" i="7"/>
  <c r="H11" i="7"/>
  <c r="F11" i="7"/>
  <c r="D11" i="7"/>
  <c r="A11" i="7"/>
  <c r="H10" i="7"/>
  <c r="F10" i="7"/>
  <c r="D10" i="7"/>
  <c r="A10" i="7"/>
  <c r="H9" i="7"/>
  <c r="F9" i="7"/>
  <c r="D9" i="7"/>
  <c r="A9" i="7"/>
  <c r="H8" i="7"/>
  <c r="F8" i="7"/>
  <c r="D8" i="7"/>
  <c r="A8" i="7"/>
  <c r="H7" i="7"/>
  <c r="F7" i="7"/>
  <c r="D7" i="7"/>
  <c r="A7" i="7"/>
  <c r="H6" i="7"/>
  <c r="F6" i="7"/>
  <c r="D6" i="7"/>
  <c r="A6" i="7"/>
  <c r="H5" i="7"/>
  <c r="F5" i="7"/>
  <c r="D5" i="7"/>
  <c r="A5" i="7"/>
  <c r="H4" i="7"/>
  <c r="F4" i="7"/>
  <c r="D4" i="7"/>
  <c r="A4" i="7"/>
  <c r="H3" i="7"/>
  <c r="F3" i="7"/>
  <c r="D3" i="7"/>
  <c r="A3" i="7"/>
  <c r="H2" i="7"/>
  <c r="F2" i="7"/>
  <c r="D2" i="7"/>
  <c r="A2" i="7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C7" i="12" s="1"/>
  <c r="B501" i="5"/>
  <c r="A501" i="5"/>
  <c r="B500" i="5"/>
  <c r="A500" i="5"/>
  <c r="B499" i="5"/>
  <c r="A499" i="5"/>
  <c r="B498" i="5"/>
  <c r="A498" i="5"/>
  <c r="B497" i="5"/>
  <c r="A497" i="5"/>
  <c r="B496" i="5"/>
  <c r="A496" i="5"/>
  <c r="B495" i="5"/>
  <c r="A495" i="5"/>
  <c r="B494" i="5"/>
  <c r="A494" i="5"/>
  <c r="B493" i="5"/>
  <c r="A493" i="5"/>
  <c r="B492" i="5"/>
  <c r="A492" i="5"/>
  <c r="B491" i="5"/>
  <c r="A491" i="5"/>
  <c r="B490" i="5"/>
  <c r="A490" i="5"/>
  <c r="B489" i="5"/>
  <c r="A489" i="5"/>
  <c r="B488" i="5"/>
  <c r="A488" i="5"/>
  <c r="B487" i="5"/>
  <c r="A487" i="5"/>
  <c r="B486" i="5"/>
  <c r="A486" i="5"/>
  <c r="B485" i="5"/>
  <c r="A485" i="5"/>
  <c r="B484" i="5"/>
  <c r="A484" i="5"/>
  <c r="B483" i="5"/>
  <c r="A483" i="5"/>
  <c r="B482" i="5"/>
  <c r="A482" i="5"/>
  <c r="B481" i="5"/>
  <c r="A481" i="5"/>
  <c r="B480" i="5"/>
  <c r="A480" i="5"/>
  <c r="B479" i="5"/>
  <c r="A479" i="5"/>
  <c r="B478" i="5"/>
  <c r="A478" i="5"/>
  <c r="B477" i="5"/>
  <c r="A477" i="5"/>
  <c r="B476" i="5"/>
  <c r="A476" i="5"/>
  <c r="B475" i="5"/>
  <c r="A475" i="5"/>
  <c r="B474" i="5"/>
  <c r="A474" i="5"/>
  <c r="B473" i="5"/>
  <c r="A473" i="5"/>
  <c r="B472" i="5"/>
  <c r="A472" i="5"/>
  <c r="B471" i="5"/>
  <c r="A471" i="5"/>
  <c r="B470" i="5"/>
  <c r="A470" i="5"/>
  <c r="B469" i="5"/>
  <c r="A469" i="5"/>
  <c r="B468" i="5"/>
  <c r="A468" i="5"/>
  <c r="B467" i="5"/>
  <c r="A467" i="5"/>
  <c r="B466" i="5"/>
  <c r="A466" i="5"/>
  <c r="B465" i="5"/>
  <c r="A465" i="5"/>
  <c r="B464" i="5"/>
  <c r="A464" i="5"/>
  <c r="B463" i="5"/>
  <c r="A463" i="5"/>
  <c r="B462" i="5"/>
  <c r="A462" i="5"/>
  <c r="B461" i="5"/>
  <c r="A461" i="5"/>
  <c r="B460" i="5"/>
  <c r="A460" i="5"/>
  <c r="B459" i="5"/>
  <c r="A459" i="5"/>
  <c r="B458" i="5"/>
  <c r="A458" i="5"/>
  <c r="B457" i="5"/>
  <c r="A457" i="5"/>
  <c r="B456" i="5"/>
  <c r="A456" i="5"/>
  <c r="B455" i="5"/>
  <c r="A455" i="5"/>
  <c r="B454" i="5"/>
  <c r="A454" i="5"/>
  <c r="B453" i="5"/>
  <c r="A453" i="5"/>
  <c r="B452" i="5"/>
  <c r="A452" i="5"/>
  <c r="B451" i="5"/>
  <c r="A451" i="5"/>
  <c r="B450" i="5"/>
  <c r="A450" i="5"/>
  <c r="B449" i="5"/>
  <c r="A449" i="5"/>
  <c r="B448" i="5"/>
  <c r="A448" i="5"/>
  <c r="B447" i="5"/>
  <c r="A447" i="5"/>
  <c r="B446" i="5"/>
  <c r="A446" i="5"/>
  <c r="B445" i="5"/>
  <c r="A445" i="5"/>
  <c r="B444" i="5"/>
  <c r="A444" i="5"/>
  <c r="B443" i="5"/>
  <c r="A443" i="5"/>
  <c r="B442" i="5"/>
  <c r="A442" i="5"/>
  <c r="B441" i="5"/>
  <c r="A441" i="5"/>
  <c r="B440" i="5"/>
  <c r="A440" i="5"/>
  <c r="B439" i="5"/>
  <c r="A439" i="5"/>
  <c r="B438" i="5"/>
  <c r="A438" i="5"/>
  <c r="B437" i="5"/>
  <c r="A437" i="5"/>
  <c r="B436" i="5"/>
  <c r="A436" i="5"/>
  <c r="B435" i="5"/>
  <c r="A435" i="5"/>
  <c r="B434" i="5"/>
  <c r="A434" i="5"/>
  <c r="B433" i="5"/>
  <c r="A433" i="5"/>
  <c r="B432" i="5"/>
  <c r="A432" i="5"/>
  <c r="B431" i="5"/>
  <c r="A431" i="5"/>
  <c r="B430" i="5"/>
  <c r="A430" i="5"/>
  <c r="B429" i="5"/>
  <c r="A429" i="5"/>
  <c r="B428" i="5"/>
  <c r="A428" i="5"/>
  <c r="B427" i="5"/>
  <c r="A427" i="5"/>
  <c r="B426" i="5"/>
  <c r="A426" i="5"/>
  <c r="B425" i="5"/>
  <c r="A425" i="5"/>
  <c r="B424" i="5"/>
  <c r="A424" i="5"/>
  <c r="B423" i="5"/>
  <c r="A423" i="5"/>
  <c r="B422" i="5"/>
  <c r="A422" i="5"/>
  <c r="B421" i="5"/>
  <c r="A421" i="5"/>
  <c r="B420" i="5"/>
  <c r="A420" i="5"/>
  <c r="B419" i="5"/>
  <c r="A419" i="5"/>
  <c r="B418" i="5"/>
  <c r="A418" i="5"/>
  <c r="B417" i="5"/>
  <c r="A417" i="5"/>
  <c r="B416" i="5"/>
  <c r="A416" i="5"/>
  <c r="B415" i="5"/>
  <c r="A415" i="5"/>
  <c r="B414" i="5"/>
  <c r="A414" i="5"/>
  <c r="B413" i="5"/>
  <c r="A413" i="5"/>
  <c r="B412" i="5"/>
  <c r="A412" i="5"/>
  <c r="B411" i="5"/>
  <c r="A411" i="5"/>
  <c r="B410" i="5"/>
  <c r="A410" i="5"/>
  <c r="B409" i="5"/>
  <c r="A409" i="5"/>
  <c r="B408" i="5"/>
  <c r="A408" i="5"/>
  <c r="B407" i="5"/>
  <c r="A407" i="5"/>
  <c r="B406" i="5"/>
  <c r="A406" i="5"/>
  <c r="B405" i="5"/>
  <c r="A405" i="5"/>
  <c r="B404" i="5"/>
  <c r="A404" i="5"/>
  <c r="B403" i="5"/>
  <c r="A403" i="5"/>
  <c r="B402" i="5"/>
  <c r="A402" i="5"/>
  <c r="B401" i="5"/>
  <c r="A401" i="5"/>
  <c r="B400" i="5"/>
  <c r="A400" i="5"/>
  <c r="B399" i="5"/>
  <c r="A399" i="5"/>
  <c r="B398" i="5"/>
  <c r="A398" i="5"/>
  <c r="B397" i="5"/>
  <c r="A397" i="5"/>
  <c r="B396" i="5"/>
  <c r="A396" i="5"/>
  <c r="B395" i="5"/>
  <c r="A395" i="5"/>
  <c r="B394" i="5"/>
  <c r="A394" i="5"/>
  <c r="B393" i="5"/>
  <c r="A393" i="5"/>
  <c r="B392" i="5"/>
  <c r="A392" i="5"/>
  <c r="B391" i="5"/>
  <c r="A391" i="5"/>
  <c r="B390" i="5"/>
  <c r="A390" i="5"/>
  <c r="B389" i="5"/>
  <c r="A389" i="5"/>
  <c r="B388" i="5"/>
  <c r="A388" i="5"/>
  <c r="B387" i="5"/>
  <c r="A387" i="5"/>
  <c r="B386" i="5"/>
  <c r="A386" i="5"/>
  <c r="B385" i="5"/>
  <c r="A385" i="5"/>
  <c r="B384" i="5"/>
  <c r="A384" i="5"/>
  <c r="B383" i="5"/>
  <c r="A383" i="5"/>
  <c r="B382" i="5"/>
  <c r="A382" i="5"/>
  <c r="B381" i="5"/>
  <c r="A381" i="5"/>
  <c r="B380" i="5"/>
  <c r="A380" i="5"/>
  <c r="B379" i="5"/>
  <c r="A379" i="5"/>
  <c r="B378" i="5"/>
  <c r="A378" i="5"/>
  <c r="B377" i="5"/>
  <c r="A377" i="5"/>
  <c r="B376" i="5"/>
  <c r="A376" i="5"/>
  <c r="B375" i="5"/>
  <c r="A375" i="5"/>
  <c r="B374" i="5"/>
  <c r="A374" i="5"/>
  <c r="B373" i="5"/>
  <c r="A373" i="5"/>
  <c r="B372" i="5"/>
  <c r="A372" i="5"/>
  <c r="B371" i="5"/>
  <c r="A371" i="5"/>
  <c r="B370" i="5"/>
  <c r="A370" i="5"/>
  <c r="B369" i="5"/>
  <c r="A369" i="5"/>
  <c r="B368" i="5"/>
  <c r="A368" i="5"/>
  <c r="B367" i="5"/>
  <c r="A367" i="5"/>
  <c r="B366" i="5"/>
  <c r="A366" i="5"/>
  <c r="B365" i="5"/>
  <c r="A365" i="5"/>
  <c r="B364" i="5"/>
  <c r="A364" i="5"/>
  <c r="B363" i="5"/>
  <c r="A363" i="5"/>
  <c r="B362" i="5"/>
  <c r="A362" i="5"/>
  <c r="B361" i="5"/>
  <c r="A361" i="5"/>
  <c r="B360" i="5"/>
  <c r="A360" i="5"/>
  <c r="B359" i="5"/>
  <c r="A359" i="5"/>
  <c r="B358" i="5"/>
  <c r="A358" i="5"/>
  <c r="B357" i="5"/>
  <c r="A357" i="5"/>
  <c r="B356" i="5"/>
  <c r="A356" i="5"/>
  <c r="B355" i="5"/>
  <c r="A355" i="5"/>
  <c r="B354" i="5"/>
  <c r="A354" i="5"/>
  <c r="B353" i="5"/>
  <c r="A353" i="5"/>
  <c r="B352" i="5"/>
  <c r="A352" i="5"/>
  <c r="B351" i="5"/>
  <c r="A351" i="5"/>
  <c r="B350" i="5"/>
  <c r="A350" i="5"/>
  <c r="B349" i="5"/>
  <c r="A349" i="5"/>
  <c r="B348" i="5"/>
  <c r="A348" i="5"/>
  <c r="B347" i="5"/>
  <c r="A347" i="5"/>
  <c r="B346" i="5"/>
  <c r="A346" i="5"/>
  <c r="B345" i="5"/>
  <c r="A345" i="5"/>
  <c r="B344" i="5"/>
  <c r="A344" i="5"/>
  <c r="B343" i="5"/>
  <c r="A343" i="5"/>
  <c r="B342" i="5"/>
  <c r="A342" i="5"/>
  <c r="B341" i="5"/>
  <c r="A341" i="5"/>
  <c r="B340" i="5"/>
  <c r="A340" i="5"/>
  <c r="B339" i="5"/>
  <c r="A339" i="5"/>
  <c r="B338" i="5"/>
  <c r="A338" i="5"/>
  <c r="B337" i="5"/>
  <c r="A337" i="5"/>
  <c r="B336" i="5"/>
  <c r="A336" i="5"/>
  <c r="B335" i="5"/>
  <c r="A335" i="5"/>
  <c r="B334" i="5"/>
  <c r="A334" i="5"/>
  <c r="B333" i="5"/>
  <c r="A333" i="5"/>
  <c r="B332" i="5"/>
  <c r="A332" i="5"/>
  <c r="B331" i="5"/>
  <c r="A331" i="5"/>
  <c r="B330" i="5"/>
  <c r="A330" i="5"/>
  <c r="B329" i="5"/>
  <c r="A329" i="5"/>
  <c r="B328" i="5"/>
  <c r="A328" i="5"/>
  <c r="B327" i="5"/>
  <c r="A327" i="5"/>
  <c r="B326" i="5"/>
  <c r="A326" i="5"/>
  <c r="B325" i="5"/>
  <c r="A325" i="5"/>
  <c r="B324" i="5"/>
  <c r="A324" i="5"/>
  <c r="B323" i="5"/>
  <c r="A323" i="5"/>
  <c r="B322" i="5"/>
  <c r="A322" i="5"/>
  <c r="B321" i="5"/>
  <c r="A321" i="5"/>
  <c r="B320" i="5"/>
  <c r="A320" i="5"/>
  <c r="B319" i="5"/>
  <c r="A319" i="5"/>
  <c r="B318" i="5"/>
  <c r="A318" i="5"/>
  <c r="B317" i="5"/>
  <c r="A317" i="5"/>
  <c r="B316" i="5"/>
  <c r="A316" i="5"/>
  <c r="B315" i="5"/>
  <c r="A315" i="5"/>
  <c r="B314" i="5"/>
  <c r="A314" i="5"/>
  <c r="B313" i="5"/>
  <c r="A313" i="5"/>
  <c r="B312" i="5"/>
  <c r="A312" i="5"/>
  <c r="B311" i="5"/>
  <c r="A311" i="5"/>
  <c r="B310" i="5"/>
  <c r="A310" i="5"/>
  <c r="B309" i="5"/>
  <c r="A309" i="5"/>
  <c r="B308" i="5"/>
  <c r="A308" i="5"/>
  <c r="B307" i="5"/>
  <c r="A307" i="5"/>
  <c r="B306" i="5"/>
  <c r="A306" i="5"/>
  <c r="B305" i="5"/>
  <c r="A305" i="5"/>
  <c r="B304" i="5"/>
  <c r="A304" i="5"/>
  <c r="B303" i="5"/>
  <c r="A303" i="5"/>
  <c r="B302" i="5"/>
  <c r="A302" i="5"/>
  <c r="B301" i="5"/>
  <c r="A301" i="5"/>
  <c r="B300" i="5"/>
  <c r="A300" i="5"/>
  <c r="B299" i="5"/>
  <c r="A299" i="5"/>
  <c r="B298" i="5"/>
  <c r="A298" i="5"/>
  <c r="B297" i="5"/>
  <c r="A297" i="5"/>
  <c r="B296" i="5"/>
  <c r="A296" i="5"/>
  <c r="B295" i="5"/>
  <c r="A295" i="5"/>
  <c r="B294" i="5"/>
  <c r="A294" i="5"/>
  <c r="B293" i="5"/>
  <c r="A293" i="5"/>
  <c r="B292" i="5"/>
  <c r="A292" i="5"/>
  <c r="B291" i="5"/>
  <c r="A291" i="5"/>
  <c r="B290" i="5"/>
  <c r="A290" i="5"/>
  <c r="B289" i="5"/>
  <c r="A289" i="5"/>
  <c r="B288" i="5"/>
  <c r="A288" i="5"/>
  <c r="B287" i="5"/>
  <c r="A287" i="5"/>
  <c r="B286" i="5"/>
  <c r="A286" i="5"/>
  <c r="B285" i="5"/>
  <c r="A285" i="5"/>
  <c r="B284" i="5"/>
  <c r="A284" i="5"/>
  <c r="B283" i="5"/>
  <c r="A283" i="5"/>
  <c r="B282" i="5"/>
  <c r="A282" i="5"/>
  <c r="B281" i="5"/>
  <c r="A281" i="5"/>
  <c r="B280" i="5"/>
  <c r="A280" i="5"/>
  <c r="B279" i="5"/>
  <c r="A279" i="5"/>
  <c r="B278" i="5"/>
  <c r="A278" i="5"/>
  <c r="B277" i="5"/>
  <c r="A277" i="5"/>
  <c r="B276" i="5"/>
  <c r="A276" i="5"/>
  <c r="B275" i="5"/>
  <c r="A275" i="5"/>
  <c r="B274" i="5"/>
  <c r="A274" i="5"/>
  <c r="B273" i="5"/>
  <c r="A273" i="5"/>
  <c r="B272" i="5"/>
  <c r="A272" i="5"/>
  <c r="B271" i="5"/>
  <c r="A271" i="5"/>
  <c r="B270" i="5"/>
  <c r="A270" i="5"/>
  <c r="B269" i="5"/>
  <c r="A269" i="5"/>
  <c r="B268" i="5"/>
  <c r="A268" i="5"/>
  <c r="B267" i="5"/>
  <c r="A267" i="5"/>
  <c r="B266" i="5"/>
  <c r="A266" i="5"/>
  <c r="B265" i="5"/>
  <c r="A265" i="5"/>
  <c r="B264" i="5"/>
  <c r="A264" i="5"/>
  <c r="B263" i="5"/>
  <c r="A263" i="5"/>
  <c r="B262" i="5"/>
  <c r="A262" i="5"/>
  <c r="B261" i="5"/>
  <c r="A261" i="5"/>
  <c r="B260" i="5"/>
  <c r="A260" i="5"/>
  <c r="B259" i="5"/>
  <c r="A259" i="5"/>
  <c r="B258" i="5"/>
  <c r="A258" i="5"/>
  <c r="B257" i="5"/>
  <c r="A257" i="5"/>
  <c r="B256" i="5"/>
  <c r="A256" i="5"/>
  <c r="B255" i="5"/>
  <c r="A255" i="5"/>
  <c r="B254" i="5"/>
  <c r="A254" i="5"/>
  <c r="B253" i="5"/>
  <c r="A253" i="5"/>
  <c r="B252" i="5"/>
  <c r="A252" i="5"/>
  <c r="B251" i="5"/>
  <c r="A251" i="5"/>
  <c r="B250" i="5"/>
  <c r="A250" i="5"/>
  <c r="B249" i="5"/>
  <c r="A249" i="5"/>
  <c r="B248" i="5"/>
  <c r="A248" i="5"/>
  <c r="B247" i="5"/>
  <c r="A247" i="5"/>
  <c r="B246" i="5"/>
  <c r="A246" i="5"/>
  <c r="B245" i="5"/>
  <c r="A245" i="5"/>
  <c r="B244" i="5"/>
  <c r="A244" i="5"/>
  <c r="B243" i="5"/>
  <c r="A243" i="5"/>
  <c r="B242" i="5"/>
  <c r="A242" i="5"/>
  <c r="B241" i="5"/>
  <c r="A241" i="5"/>
  <c r="B240" i="5"/>
  <c r="A240" i="5"/>
  <c r="B239" i="5"/>
  <c r="A239" i="5"/>
  <c r="B238" i="5"/>
  <c r="A238" i="5"/>
  <c r="B237" i="5"/>
  <c r="A237" i="5"/>
  <c r="B236" i="5"/>
  <c r="A236" i="5"/>
  <c r="B235" i="5"/>
  <c r="A235" i="5"/>
  <c r="B234" i="5"/>
  <c r="A234" i="5"/>
  <c r="B233" i="5"/>
  <c r="A233" i="5"/>
  <c r="B232" i="5"/>
  <c r="A232" i="5"/>
  <c r="B231" i="5"/>
  <c r="A231" i="5"/>
  <c r="B230" i="5"/>
  <c r="A230" i="5"/>
  <c r="B229" i="5"/>
  <c r="A229" i="5"/>
  <c r="B228" i="5"/>
  <c r="A228" i="5"/>
  <c r="B227" i="5"/>
  <c r="A227" i="5"/>
  <c r="B226" i="5"/>
  <c r="A226" i="5"/>
  <c r="B225" i="5"/>
  <c r="A225" i="5"/>
  <c r="B224" i="5"/>
  <c r="A224" i="5"/>
  <c r="B223" i="5"/>
  <c r="A223" i="5"/>
  <c r="B222" i="5"/>
  <c r="A222" i="5"/>
  <c r="B221" i="5"/>
  <c r="A221" i="5"/>
  <c r="B220" i="5"/>
  <c r="A220" i="5"/>
  <c r="B219" i="5"/>
  <c r="A219" i="5"/>
  <c r="B218" i="5"/>
  <c r="A218" i="5"/>
  <c r="B217" i="5"/>
  <c r="A217" i="5"/>
  <c r="B216" i="5"/>
  <c r="A216" i="5"/>
  <c r="B215" i="5"/>
  <c r="A215" i="5"/>
  <c r="B214" i="5"/>
  <c r="A214" i="5"/>
  <c r="B213" i="5"/>
  <c r="A213" i="5"/>
  <c r="B212" i="5"/>
  <c r="A212" i="5"/>
  <c r="B211" i="5"/>
  <c r="A211" i="5"/>
  <c r="B210" i="5"/>
  <c r="A210" i="5"/>
  <c r="B209" i="5"/>
  <c r="A209" i="5"/>
  <c r="B208" i="5"/>
  <c r="A208" i="5"/>
  <c r="B207" i="5"/>
  <c r="A207" i="5"/>
  <c r="B206" i="5"/>
  <c r="A206" i="5"/>
  <c r="B205" i="5"/>
  <c r="A205" i="5"/>
  <c r="B204" i="5"/>
  <c r="A204" i="5"/>
  <c r="B203" i="5"/>
  <c r="A203" i="5"/>
  <c r="B202" i="5"/>
  <c r="A202" i="5"/>
  <c r="B201" i="5"/>
  <c r="A201" i="5"/>
  <c r="B200" i="5"/>
  <c r="A200" i="5"/>
  <c r="B199" i="5"/>
  <c r="A199" i="5"/>
  <c r="B198" i="5"/>
  <c r="A198" i="5"/>
  <c r="B197" i="5"/>
  <c r="A197" i="5"/>
  <c r="B196" i="5"/>
  <c r="A196" i="5"/>
  <c r="B195" i="5"/>
  <c r="A195" i="5"/>
  <c r="B194" i="5"/>
  <c r="A194" i="5"/>
  <c r="B193" i="5"/>
  <c r="A193" i="5"/>
  <c r="B192" i="5"/>
  <c r="A192" i="5"/>
  <c r="B191" i="5"/>
  <c r="A191" i="5"/>
  <c r="B190" i="5"/>
  <c r="A190" i="5"/>
  <c r="B189" i="5"/>
  <c r="A189" i="5"/>
  <c r="B188" i="5"/>
  <c r="A188" i="5"/>
  <c r="B187" i="5"/>
  <c r="A187" i="5"/>
  <c r="B186" i="5"/>
  <c r="A186" i="5"/>
  <c r="B185" i="5"/>
  <c r="A185" i="5"/>
  <c r="B184" i="5"/>
  <c r="A184" i="5"/>
  <c r="B183" i="5"/>
  <c r="A183" i="5"/>
  <c r="B182" i="5"/>
  <c r="A182" i="5"/>
  <c r="B181" i="5"/>
  <c r="A181" i="5"/>
  <c r="B180" i="5"/>
  <c r="A180" i="5"/>
  <c r="B179" i="5"/>
  <c r="A179" i="5"/>
  <c r="B178" i="5"/>
  <c r="A178" i="5"/>
  <c r="B177" i="5"/>
  <c r="A177" i="5"/>
  <c r="B176" i="5"/>
  <c r="A176" i="5"/>
  <c r="B175" i="5"/>
  <c r="A175" i="5"/>
  <c r="B174" i="5"/>
  <c r="A174" i="5"/>
  <c r="B173" i="5"/>
  <c r="A173" i="5"/>
  <c r="B172" i="5"/>
  <c r="A172" i="5"/>
  <c r="B171" i="5"/>
  <c r="A171" i="5"/>
  <c r="B170" i="5"/>
  <c r="A170" i="5"/>
  <c r="B169" i="5"/>
  <c r="A169" i="5"/>
  <c r="B168" i="5"/>
  <c r="A168" i="5"/>
  <c r="B167" i="5"/>
  <c r="A167" i="5"/>
  <c r="B166" i="5"/>
  <c r="A166" i="5"/>
  <c r="B165" i="5"/>
  <c r="A165" i="5"/>
  <c r="B164" i="5"/>
  <c r="A164" i="5"/>
  <c r="B163" i="5"/>
  <c r="A163" i="5"/>
  <c r="B162" i="5"/>
  <c r="A162" i="5"/>
  <c r="B161" i="5"/>
  <c r="A161" i="5"/>
  <c r="B160" i="5"/>
  <c r="A160" i="5"/>
  <c r="B159" i="5"/>
  <c r="A159" i="5"/>
  <c r="B158" i="5"/>
  <c r="A158" i="5"/>
  <c r="B157" i="5"/>
  <c r="A157" i="5"/>
  <c r="B156" i="5"/>
  <c r="A156" i="5"/>
  <c r="B155" i="5"/>
  <c r="A155" i="5"/>
  <c r="B154" i="5"/>
  <c r="A154" i="5"/>
  <c r="B153" i="5"/>
  <c r="A153" i="5"/>
  <c r="B152" i="5"/>
  <c r="A152" i="5"/>
  <c r="B151" i="5"/>
  <c r="A151" i="5"/>
  <c r="B150" i="5"/>
  <c r="A150" i="5"/>
  <c r="B149" i="5"/>
  <c r="A149" i="5"/>
  <c r="B148" i="5"/>
  <c r="A148" i="5"/>
  <c r="B147" i="5"/>
  <c r="A147" i="5"/>
  <c r="B146" i="5"/>
  <c r="A146" i="5"/>
  <c r="B145" i="5"/>
  <c r="A145" i="5"/>
  <c r="B144" i="5"/>
  <c r="A144" i="5"/>
  <c r="B143" i="5"/>
  <c r="A143" i="5"/>
  <c r="B142" i="5"/>
  <c r="A142" i="5"/>
  <c r="B141" i="5"/>
  <c r="A141" i="5"/>
  <c r="B140" i="5"/>
  <c r="A140" i="5"/>
  <c r="B139" i="5"/>
  <c r="A139" i="5"/>
  <c r="B138" i="5"/>
  <c r="A138" i="5"/>
  <c r="B137" i="5"/>
  <c r="A137" i="5"/>
  <c r="B136" i="5"/>
  <c r="A136" i="5"/>
  <c r="B135" i="5"/>
  <c r="A135" i="5"/>
  <c r="B134" i="5"/>
  <c r="A134" i="5"/>
  <c r="B133" i="5"/>
  <c r="A133" i="5"/>
  <c r="B132" i="5"/>
  <c r="A132" i="5"/>
  <c r="B131" i="5"/>
  <c r="A131" i="5"/>
  <c r="B130" i="5"/>
  <c r="A130" i="5"/>
  <c r="B129" i="5"/>
  <c r="A129" i="5"/>
  <c r="B128" i="5"/>
  <c r="A128" i="5"/>
  <c r="B127" i="5"/>
  <c r="A127" i="5"/>
  <c r="B126" i="5"/>
  <c r="A126" i="5"/>
  <c r="B125" i="5"/>
  <c r="A125" i="5"/>
  <c r="B124" i="5"/>
  <c r="A124" i="5"/>
  <c r="B123" i="5"/>
  <c r="A123" i="5"/>
  <c r="B122" i="5"/>
  <c r="A122" i="5"/>
  <c r="B121" i="5"/>
  <c r="A121" i="5"/>
  <c r="B120" i="5"/>
  <c r="A120" i="5"/>
  <c r="B119" i="5"/>
  <c r="A119" i="5"/>
  <c r="B118" i="5"/>
  <c r="A118" i="5"/>
  <c r="B117" i="5"/>
  <c r="A117" i="5"/>
  <c r="B116" i="5"/>
  <c r="A116" i="5"/>
  <c r="B115" i="5"/>
  <c r="A115" i="5"/>
  <c r="B114" i="5"/>
  <c r="A114" i="5"/>
  <c r="B113" i="5"/>
  <c r="A113" i="5"/>
  <c r="B112" i="5"/>
  <c r="A112" i="5"/>
  <c r="B111" i="5"/>
  <c r="A111" i="5"/>
  <c r="B110" i="5"/>
  <c r="A110" i="5"/>
  <c r="B109" i="5"/>
  <c r="A109" i="5"/>
  <c r="B108" i="5"/>
  <c r="A108" i="5"/>
  <c r="B107" i="5"/>
  <c r="A107" i="5"/>
  <c r="B106" i="5"/>
  <c r="A106" i="5"/>
  <c r="B105" i="5"/>
  <c r="A105" i="5"/>
  <c r="B104" i="5"/>
  <c r="A104" i="5"/>
  <c r="B103" i="5"/>
  <c r="A103" i="5"/>
  <c r="B102" i="5"/>
  <c r="A102" i="5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A6" i="5"/>
  <c r="B6" i="5" s="1"/>
  <c r="A5" i="5"/>
  <c r="B5" i="5" s="1"/>
  <c r="A4" i="5"/>
  <c r="B4" i="5" s="1"/>
  <c r="A3" i="5"/>
  <c r="B3" i="5" s="1"/>
  <c r="A2" i="5"/>
  <c r="B2" i="5" s="1"/>
  <c r="Z501" i="4"/>
  <c r="H501" i="4"/>
  <c r="C501" i="4"/>
  <c r="B501" i="9" s="1"/>
  <c r="A501" i="4"/>
  <c r="Z500" i="4"/>
  <c r="H500" i="4"/>
  <c r="C500" i="4"/>
  <c r="B500" i="9" s="1"/>
  <c r="A500" i="4"/>
  <c r="Z499" i="4"/>
  <c r="H499" i="4"/>
  <c r="C499" i="4"/>
  <c r="B499" i="9" s="1"/>
  <c r="A499" i="4"/>
  <c r="Z498" i="4"/>
  <c r="H498" i="4"/>
  <c r="C498" i="4"/>
  <c r="B498" i="9" s="1"/>
  <c r="A498" i="4"/>
  <c r="Z497" i="4"/>
  <c r="H497" i="4"/>
  <c r="C497" i="4"/>
  <c r="B497" i="9" s="1"/>
  <c r="A497" i="4"/>
  <c r="Z496" i="4"/>
  <c r="H496" i="4"/>
  <c r="C496" i="4"/>
  <c r="B496" i="9" s="1"/>
  <c r="A496" i="4"/>
  <c r="Z495" i="4"/>
  <c r="H495" i="4"/>
  <c r="C495" i="4"/>
  <c r="B495" i="9" s="1"/>
  <c r="A495" i="4"/>
  <c r="Z494" i="4"/>
  <c r="H494" i="4"/>
  <c r="C494" i="4"/>
  <c r="B494" i="9" s="1"/>
  <c r="A494" i="4"/>
  <c r="Z493" i="4"/>
  <c r="H493" i="4"/>
  <c r="C493" i="4"/>
  <c r="B493" i="9" s="1"/>
  <c r="A493" i="4"/>
  <c r="Z492" i="4"/>
  <c r="H492" i="4"/>
  <c r="C492" i="4"/>
  <c r="B492" i="9" s="1"/>
  <c r="A492" i="4"/>
  <c r="Z491" i="4"/>
  <c r="H491" i="4"/>
  <c r="C491" i="4"/>
  <c r="B491" i="9" s="1"/>
  <c r="A491" i="4"/>
  <c r="Z490" i="4"/>
  <c r="H490" i="4"/>
  <c r="C490" i="4"/>
  <c r="B490" i="9" s="1"/>
  <c r="A490" i="4"/>
  <c r="Z489" i="4"/>
  <c r="H489" i="4"/>
  <c r="C489" i="4"/>
  <c r="B489" i="9" s="1"/>
  <c r="A489" i="4"/>
  <c r="Z488" i="4"/>
  <c r="H488" i="4"/>
  <c r="C488" i="4"/>
  <c r="B488" i="9" s="1"/>
  <c r="A488" i="4"/>
  <c r="Z487" i="4"/>
  <c r="H487" i="4"/>
  <c r="C487" i="4"/>
  <c r="B487" i="9" s="1"/>
  <c r="A487" i="4"/>
  <c r="Z486" i="4"/>
  <c r="H486" i="4"/>
  <c r="C486" i="4"/>
  <c r="B486" i="9" s="1"/>
  <c r="A486" i="4"/>
  <c r="Z485" i="4"/>
  <c r="H485" i="4"/>
  <c r="C485" i="4"/>
  <c r="B485" i="9" s="1"/>
  <c r="A485" i="4"/>
  <c r="Z484" i="4"/>
  <c r="H484" i="4"/>
  <c r="C484" i="4"/>
  <c r="B484" i="9" s="1"/>
  <c r="A484" i="4"/>
  <c r="Z483" i="4"/>
  <c r="H483" i="4"/>
  <c r="C483" i="4"/>
  <c r="B483" i="9" s="1"/>
  <c r="A483" i="4"/>
  <c r="Z482" i="4"/>
  <c r="H482" i="4"/>
  <c r="C482" i="4"/>
  <c r="B482" i="9" s="1"/>
  <c r="A482" i="4"/>
  <c r="Z481" i="4"/>
  <c r="H481" i="4"/>
  <c r="C481" i="4"/>
  <c r="B481" i="9" s="1"/>
  <c r="A481" i="4"/>
  <c r="Z480" i="4"/>
  <c r="H480" i="4"/>
  <c r="C480" i="4"/>
  <c r="B480" i="9" s="1"/>
  <c r="A480" i="4"/>
  <c r="Z479" i="4"/>
  <c r="H479" i="4"/>
  <c r="C479" i="4"/>
  <c r="B479" i="9" s="1"/>
  <c r="A479" i="4"/>
  <c r="Z478" i="4"/>
  <c r="H478" i="4"/>
  <c r="C478" i="4"/>
  <c r="B478" i="9" s="1"/>
  <c r="A478" i="4"/>
  <c r="Z477" i="4"/>
  <c r="H477" i="4"/>
  <c r="C477" i="4"/>
  <c r="B477" i="9" s="1"/>
  <c r="A477" i="4"/>
  <c r="Z476" i="4"/>
  <c r="H476" i="4"/>
  <c r="C476" i="4"/>
  <c r="B476" i="9" s="1"/>
  <c r="A476" i="4"/>
  <c r="Z475" i="4"/>
  <c r="H475" i="4"/>
  <c r="C475" i="4"/>
  <c r="B475" i="9" s="1"/>
  <c r="A475" i="4"/>
  <c r="Z474" i="4"/>
  <c r="H474" i="4"/>
  <c r="C474" i="4"/>
  <c r="B474" i="9" s="1"/>
  <c r="A474" i="4"/>
  <c r="Z473" i="4"/>
  <c r="H473" i="4"/>
  <c r="C473" i="4"/>
  <c r="B473" i="9" s="1"/>
  <c r="A473" i="4"/>
  <c r="Z472" i="4"/>
  <c r="H472" i="4"/>
  <c r="C472" i="4"/>
  <c r="B472" i="9" s="1"/>
  <c r="A472" i="4"/>
  <c r="Z471" i="4"/>
  <c r="H471" i="4"/>
  <c r="C471" i="4"/>
  <c r="B471" i="9" s="1"/>
  <c r="A471" i="4"/>
  <c r="Z470" i="4"/>
  <c r="H470" i="4"/>
  <c r="C470" i="4"/>
  <c r="B470" i="9" s="1"/>
  <c r="A470" i="4"/>
  <c r="Z469" i="4"/>
  <c r="H469" i="4"/>
  <c r="C469" i="4"/>
  <c r="B469" i="9" s="1"/>
  <c r="A469" i="4"/>
  <c r="Z468" i="4"/>
  <c r="H468" i="4"/>
  <c r="C468" i="4"/>
  <c r="B468" i="9" s="1"/>
  <c r="A468" i="4"/>
  <c r="Z467" i="4"/>
  <c r="H467" i="4"/>
  <c r="C467" i="4"/>
  <c r="B467" i="9" s="1"/>
  <c r="A467" i="4"/>
  <c r="Z466" i="4"/>
  <c r="H466" i="4"/>
  <c r="C466" i="4"/>
  <c r="B466" i="9" s="1"/>
  <c r="A466" i="4"/>
  <c r="Z465" i="4"/>
  <c r="H465" i="4"/>
  <c r="C465" i="4"/>
  <c r="B465" i="9" s="1"/>
  <c r="A465" i="4"/>
  <c r="Z464" i="4"/>
  <c r="H464" i="4"/>
  <c r="C464" i="4"/>
  <c r="B464" i="9" s="1"/>
  <c r="A464" i="4"/>
  <c r="Z463" i="4"/>
  <c r="H463" i="4"/>
  <c r="C463" i="4"/>
  <c r="B463" i="9" s="1"/>
  <c r="A463" i="4"/>
  <c r="Z462" i="4"/>
  <c r="H462" i="4"/>
  <c r="C462" i="4"/>
  <c r="B462" i="9" s="1"/>
  <c r="A462" i="4"/>
  <c r="Z461" i="4"/>
  <c r="H461" i="4"/>
  <c r="C461" i="4"/>
  <c r="B461" i="9" s="1"/>
  <c r="A461" i="4"/>
  <c r="Z460" i="4"/>
  <c r="H460" i="4"/>
  <c r="C460" i="4"/>
  <c r="B460" i="9" s="1"/>
  <c r="A460" i="4"/>
  <c r="Z459" i="4"/>
  <c r="H459" i="4"/>
  <c r="C459" i="4"/>
  <c r="B459" i="9" s="1"/>
  <c r="A459" i="4"/>
  <c r="Z458" i="4"/>
  <c r="H458" i="4"/>
  <c r="C458" i="4"/>
  <c r="B458" i="9" s="1"/>
  <c r="A458" i="4"/>
  <c r="Z457" i="4"/>
  <c r="H457" i="4"/>
  <c r="C457" i="4"/>
  <c r="B457" i="9" s="1"/>
  <c r="A457" i="4"/>
  <c r="Z456" i="4"/>
  <c r="H456" i="4"/>
  <c r="C456" i="4"/>
  <c r="B456" i="9" s="1"/>
  <c r="A456" i="4"/>
  <c r="Z455" i="4"/>
  <c r="H455" i="4"/>
  <c r="C455" i="4"/>
  <c r="B455" i="9" s="1"/>
  <c r="A455" i="4"/>
  <c r="Z454" i="4"/>
  <c r="H454" i="4"/>
  <c r="C454" i="4"/>
  <c r="B454" i="9" s="1"/>
  <c r="A454" i="4"/>
  <c r="Z453" i="4"/>
  <c r="H453" i="4"/>
  <c r="C453" i="4"/>
  <c r="B453" i="9" s="1"/>
  <c r="A453" i="4"/>
  <c r="Z452" i="4"/>
  <c r="H452" i="4"/>
  <c r="C452" i="4"/>
  <c r="B452" i="9" s="1"/>
  <c r="A452" i="4"/>
  <c r="Z451" i="4"/>
  <c r="H451" i="4"/>
  <c r="C451" i="4"/>
  <c r="B451" i="9" s="1"/>
  <c r="A451" i="4"/>
  <c r="Z450" i="4"/>
  <c r="H450" i="4"/>
  <c r="C450" i="4"/>
  <c r="B450" i="9" s="1"/>
  <c r="A450" i="4"/>
  <c r="Z449" i="4"/>
  <c r="H449" i="4"/>
  <c r="C449" i="4"/>
  <c r="B449" i="9" s="1"/>
  <c r="A449" i="4"/>
  <c r="Z448" i="4"/>
  <c r="H448" i="4"/>
  <c r="C448" i="4"/>
  <c r="B448" i="9" s="1"/>
  <c r="A448" i="4"/>
  <c r="Z447" i="4"/>
  <c r="H447" i="4"/>
  <c r="C447" i="4"/>
  <c r="B447" i="9" s="1"/>
  <c r="A447" i="4"/>
  <c r="Z446" i="4"/>
  <c r="H446" i="4"/>
  <c r="C446" i="4"/>
  <c r="B446" i="9" s="1"/>
  <c r="A446" i="4"/>
  <c r="Z445" i="4"/>
  <c r="H445" i="4"/>
  <c r="C445" i="4"/>
  <c r="B445" i="9" s="1"/>
  <c r="A445" i="4"/>
  <c r="Z444" i="4"/>
  <c r="H444" i="4"/>
  <c r="C444" i="4"/>
  <c r="B444" i="9" s="1"/>
  <c r="A444" i="4"/>
  <c r="Z443" i="4"/>
  <c r="H443" i="4"/>
  <c r="C443" i="4"/>
  <c r="B443" i="9" s="1"/>
  <c r="A443" i="4"/>
  <c r="Z442" i="4"/>
  <c r="H442" i="4"/>
  <c r="C442" i="4"/>
  <c r="B442" i="9" s="1"/>
  <c r="A442" i="4"/>
  <c r="Z441" i="4"/>
  <c r="H441" i="4"/>
  <c r="C441" i="4"/>
  <c r="B441" i="9" s="1"/>
  <c r="A441" i="4"/>
  <c r="Z440" i="4"/>
  <c r="H440" i="4"/>
  <c r="C440" i="4"/>
  <c r="B440" i="9" s="1"/>
  <c r="A440" i="4"/>
  <c r="Z439" i="4"/>
  <c r="H439" i="4"/>
  <c r="C439" i="4"/>
  <c r="B439" i="9" s="1"/>
  <c r="A439" i="4"/>
  <c r="Z438" i="4"/>
  <c r="H438" i="4"/>
  <c r="C438" i="4"/>
  <c r="B438" i="9" s="1"/>
  <c r="A438" i="4"/>
  <c r="Z437" i="4"/>
  <c r="H437" i="4"/>
  <c r="C437" i="4"/>
  <c r="B437" i="9" s="1"/>
  <c r="A437" i="4"/>
  <c r="Z436" i="4"/>
  <c r="H436" i="4"/>
  <c r="C436" i="4"/>
  <c r="B436" i="9" s="1"/>
  <c r="A436" i="4"/>
  <c r="Z435" i="4"/>
  <c r="H435" i="4"/>
  <c r="C435" i="4"/>
  <c r="B435" i="9" s="1"/>
  <c r="A435" i="4"/>
  <c r="Z434" i="4"/>
  <c r="H434" i="4"/>
  <c r="C434" i="4"/>
  <c r="B434" i="9" s="1"/>
  <c r="A434" i="4"/>
  <c r="Z433" i="4"/>
  <c r="H433" i="4"/>
  <c r="C433" i="4"/>
  <c r="B433" i="9" s="1"/>
  <c r="A433" i="4"/>
  <c r="Z432" i="4"/>
  <c r="H432" i="4"/>
  <c r="C432" i="4"/>
  <c r="B432" i="9" s="1"/>
  <c r="A432" i="4"/>
  <c r="Z431" i="4"/>
  <c r="H431" i="4"/>
  <c r="C431" i="4"/>
  <c r="B431" i="9" s="1"/>
  <c r="A431" i="4"/>
  <c r="Z430" i="4"/>
  <c r="H430" i="4"/>
  <c r="C430" i="4"/>
  <c r="B430" i="9" s="1"/>
  <c r="A430" i="4"/>
  <c r="Z429" i="4"/>
  <c r="H429" i="4"/>
  <c r="C429" i="4"/>
  <c r="B429" i="9" s="1"/>
  <c r="A429" i="4"/>
  <c r="Z428" i="4"/>
  <c r="H428" i="4"/>
  <c r="C428" i="4"/>
  <c r="B428" i="9" s="1"/>
  <c r="A428" i="4"/>
  <c r="Z427" i="4"/>
  <c r="H427" i="4"/>
  <c r="C427" i="4"/>
  <c r="B427" i="9" s="1"/>
  <c r="A427" i="4"/>
  <c r="Z426" i="4"/>
  <c r="H426" i="4"/>
  <c r="C426" i="4"/>
  <c r="B426" i="9" s="1"/>
  <c r="A426" i="4"/>
  <c r="Z425" i="4"/>
  <c r="H425" i="4"/>
  <c r="C425" i="4"/>
  <c r="B425" i="9" s="1"/>
  <c r="A425" i="4"/>
  <c r="Z424" i="4"/>
  <c r="H424" i="4"/>
  <c r="C424" i="4"/>
  <c r="B424" i="9" s="1"/>
  <c r="A424" i="4"/>
  <c r="Z423" i="4"/>
  <c r="H423" i="4"/>
  <c r="C423" i="4"/>
  <c r="B423" i="9" s="1"/>
  <c r="A423" i="4"/>
  <c r="Z422" i="4"/>
  <c r="H422" i="4"/>
  <c r="C422" i="4"/>
  <c r="B422" i="9" s="1"/>
  <c r="A422" i="4"/>
  <c r="Z421" i="4"/>
  <c r="H421" i="4"/>
  <c r="C421" i="4"/>
  <c r="B421" i="9" s="1"/>
  <c r="A421" i="4"/>
  <c r="Z420" i="4"/>
  <c r="H420" i="4"/>
  <c r="C420" i="4"/>
  <c r="B420" i="9" s="1"/>
  <c r="A420" i="4"/>
  <c r="Z419" i="4"/>
  <c r="H419" i="4"/>
  <c r="C419" i="4"/>
  <c r="B419" i="9" s="1"/>
  <c r="A419" i="4"/>
  <c r="Z418" i="4"/>
  <c r="H418" i="4"/>
  <c r="C418" i="4"/>
  <c r="B418" i="9" s="1"/>
  <c r="A418" i="4"/>
  <c r="Z417" i="4"/>
  <c r="H417" i="4"/>
  <c r="C417" i="4"/>
  <c r="B417" i="9" s="1"/>
  <c r="A417" i="4"/>
  <c r="Z416" i="4"/>
  <c r="H416" i="4"/>
  <c r="C416" i="4"/>
  <c r="B416" i="9" s="1"/>
  <c r="A416" i="4"/>
  <c r="Z415" i="4"/>
  <c r="H415" i="4"/>
  <c r="C415" i="4"/>
  <c r="B415" i="9" s="1"/>
  <c r="A415" i="4"/>
  <c r="Z414" i="4"/>
  <c r="H414" i="4"/>
  <c r="C414" i="4"/>
  <c r="B414" i="9" s="1"/>
  <c r="A414" i="4"/>
  <c r="Z413" i="4"/>
  <c r="H413" i="4"/>
  <c r="C413" i="4"/>
  <c r="B413" i="9" s="1"/>
  <c r="A413" i="4"/>
  <c r="Z412" i="4"/>
  <c r="H412" i="4"/>
  <c r="C412" i="4"/>
  <c r="B412" i="9" s="1"/>
  <c r="A412" i="4"/>
  <c r="Z411" i="4"/>
  <c r="H411" i="4"/>
  <c r="C411" i="4"/>
  <c r="B411" i="9" s="1"/>
  <c r="A411" i="4"/>
  <c r="Z410" i="4"/>
  <c r="H410" i="4"/>
  <c r="C410" i="4"/>
  <c r="B410" i="9" s="1"/>
  <c r="A410" i="4"/>
  <c r="Z409" i="4"/>
  <c r="H409" i="4"/>
  <c r="C409" i="4"/>
  <c r="B409" i="9" s="1"/>
  <c r="A409" i="4"/>
  <c r="Z408" i="4"/>
  <c r="H408" i="4"/>
  <c r="C408" i="4"/>
  <c r="B408" i="9" s="1"/>
  <c r="A408" i="4"/>
  <c r="Z407" i="4"/>
  <c r="H407" i="4"/>
  <c r="C407" i="4"/>
  <c r="B407" i="9" s="1"/>
  <c r="A407" i="4"/>
  <c r="Z406" i="4"/>
  <c r="H406" i="4"/>
  <c r="C406" i="4"/>
  <c r="B406" i="9" s="1"/>
  <c r="A406" i="4"/>
  <c r="Z405" i="4"/>
  <c r="H405" i="4"/>
  <c r="C405" i="4"/>
  <c r="B405" i="9" s="1"/>
  <c r="A405" i="4"/>
  <c r="Z404" i="4"/>
  <c r="H404" i="4"/>
  <c r="C404" i="4"/>
  <c r="B404" i="9" s="1"/>
  <c r="A404" i="4"/>
  <c r="Z403" i="4"/>
  <c r="H403" i="4"/>
  <c r="C403" i="4"/>
  <c r="B403" i="9" s="1"/>
  <c r="A403" i="4"/>
  <c r="Z402" i="4"/>
  <c r="H402" i="4"/>
  <c r="C402" i="4"/>
  <c r="B402" i="9" s="1"/>
  <c r="A402" i="4"/>
  <c r="Z401" i="4"/>
  <c r="H401" i="4"/>
  <c r="C401" i="4"/>
  <c r="B401" i="9" s="1"/>
  <c r="A401" i="4"/>
  <c r="Z400" i="4"/>
  <c r="H400" i="4"/>
  <c r="C400" i="4"/>
  <c r="B400" i="9" s="1"/>
  <c r="A400" i="4"/>
  <c r="Z399" i="4"/>
  <c r="H399" i="4"/>
  <c r="C399" i="4"/>
  <c r="B399" i="9" s="1"/>
  <c r="A399" i="4"/>
  <c r="Z398" i="4"/>
  <c r="H398" i="4"/>
  <c r="C398" i="4"/>
  <c r="B398" i="9" s="1"/>
  <c r="A398" i="4"/>
  <c r="Z397" i="4"/>
  <c r="H397" i="4"/>
  <c r="C397" i="4"/>
  <c r="B397" i="9" s="1"/>
  <c r="A397" i="4"/>
  <c r="Z396" i="4"/>
  <c r="H396" i="4"/>
  <c r="C396" i="4"/>
  <c r="B396" i="9" s="1"/>
  <c r="A396" i="4"/>
  <c r="Z395" i="4"/>
  <c r="H395" i="4"/>
  <c r="C395" i="4"/>
  <c r="B395" i="9" s="1"/>
  <c r="A395" i="4"/>
  <c r="Z394" i="4"/>
  <c r="H394" i="4"/>
  <c r="C394" i="4"/>
  <c r="B394" i="9" s="1"/>
  <c r="A394" i="4"/>
  <c r="Z393" i="4"/>
  <c r="H393" i="4"/>
  <c r="C393" i="4"/>
  <c r="B393" i="9" s="1"/>
  <c r="A393" i="4"/>
  <c r="Z392" i="4"/>
  <c r="H392" i="4"/>
  <c r="C392" i="4"/>
  <c r="B392" i="9" s="1"/>
  <c r="A392" i="4"/>
  <c r="Z391" i="4"/>
  <c r="H391" i="4"/>
  <c r="C391" i="4"/>
  <c r="B391" i="9" s="1"/>
  <c r="A391" i="4"/>
  <c r="Z390" i="4"/>
  <c r="H390" i="4"/>
  <c r="C390" i="4"/>
  <c r="B390" i="9" s="1"/>
  <c r="A390" i="4"/>
  <c r="Z389" i="4"/>
  <c r="H389" i="4"/>
  <c r="C389" i="4"/>
  <c r="B389" i="9" s="1"/>
  <c r="A389" i="4"/>
  <c r="Z388" i="4"/>
  <c r="H388" i="4"/>
  <c r="C388" i="4"/>
  <c r="B388" i="9" s="1"/>
  <c r="A388" i="4"/>
  <c r="Z387" i="4"/>
  <c r="H387" i="4"/>
  <c r="C387" i="4"/>
  <c r="B387" i="9" s="1"/>
  <c r="A387" i="4"/>
  <c r="Z386" i="4"/>
  <c r="H386" i="4"/>
  <c r="C386" i="4"/>
  <c r="B386" i="9" s="1"/>
  <c r="A386" i="4"/>
  <c r="Z385" i="4"/>
  <c r="H385" i="4"/>
  <c r="C385" i="4"/>
  <c r="B385" i="9" s="1"/>
  <c r="A385" i="4"/>
  <c r="Z384" i="4"/>
  <c r="H384" i="4"/>
  <c r="C384" i="4"/>
  <c r="B384" i="9" s="1"/>
  <c r="A384" i="4"/>
  <c r="Z383" i="4"/>
  <c r="H383" i="4"/>
  <c r="C383" i="4"/>
  <c r="B383" i="9" s="1"/>
  <c r="A383" i="4"/>
  <c r="Z382" i="4"/>
  <c r="H382" i="4"/>
  <c r="C382" i="4"/>
  <c r="B382" i="9" s="1"/>
  <c r="A382" i="4"/>
  <c r="Z381" i="4"/>
  <c r="H381" i="4"/>
  <c r="C381" i="4"/>
  <c r="B381" i="9" s="1"/>
  <c r="A381" i="4"/>
  <c r="Z380" i="4"/>
  <c r="H380" i="4"/>
  <c r="C380" i="4"/>
  <c r="B380" i="9" s="1"/>
  <c r="A380" i="4"/>
  <c r="Z379" i="4"/>
  <c r="H379" i="4"/>
  <c r="C379" i="4"/>
  <c r="B379" i="9" s="1"/>
  <c r="A379" i="4"/>
  <c r="Z378" i="4"/>
  <c r="H378" i="4"/>
  <c r="C378" i="4"/>
  <c r="B378" i="9" s="1"/>
  <c r="A378" i="4"/>
  <c r="Z377" i="4"/>
  <c r="H377" i="4"/>
  <c r="C377" i="4"/>
  <c r="B377" i="9" s="1"/>
  <c r="A377" i="4"/>
  <c r="Z376" i="4"/>
  <c r="H376" i="4"/>
  <c r="C376" i="4"/>
  <c r="B376" i="9" s="1"/>
  <c r="A376" i="4"/>
  <c r="Z375" i="4"/>
  <c r="H375" i="4"/>
  <c r="C375" i="4"/>
  <c r="B375" i="9" s="1"/>
  <c r="A375" i="4"/>
  <c r="Z374" i="4"/>
  <c r="H374" i="4"/>
  <c r="C374" i="4"/>
  <c r="B374" i="9" s="1"/>
  <c r="A374" i="4"/>
  <c r="Z373" i="4"/>
  <c r="H373" i="4"/>
  <c r="C373" i="4"/>
  <c r="B373" i="9" s="1"/>
  <c r="A373" i="4"/>
  <c r="Z372" i="4"/>
  <c r="H372" i="4"/>
  <c r="C372" i="4"/>
  <c r="B372" i="9" s="1"/>
  <c r="A372" i="4"/>
  <c r="Z371" i="4"/>
  <c r="H371" i="4"/>
  <c r="C371" i="4"/>
  <c r="B371" i="9" s="1"/>
  <c r="A371" i="4"/>
  <c r="Z370" i="4"/>
  <c r="H370" i="4"/>
  <c r="C370" i="4"/>
  <c r="B370" i="9" s="1"/>
  <c r="A370" i="4"/>
  <c r="Z369" i="4"/>
  <c r="H369" i="4"/>
  <c r="C369" i="4"/>
  <c r="B369" i="9" s="1"/>
  <c r="A369" i="4"/>
  <c r="Z368" i="4"/>
  <c r="H368" i="4"/>
  <c r="C368" i="4"/>
  <c r="B368" i="9" s="1"/>
  <c r="A368" i="4"/>
  <c r="Z367" i="4"/>
  <c r="H367" i="4"/>
  <c r="C367" i="4"/>
  <c r="B367" i="9" s="1"/>
  <c r="A367" i="4"/>
  <c r="Z366" i="4"/>
  <c r="H366" i="4"/>
  <c r="C366" i="4"/>
  <c r="B366" i="9" s="1"/>
  <c r="A366" i="4"/>
  <c r="Z365" i="4"/>
  <c r="H365" i="4"/>
  <c r="C365" i="4"/>
  <c r="B365" i="9" s="1"/>
  <c r="A365" i="4"/>
  <c r="Z364" i="4"/>
  <c r="H364" i="4"/>
  <c r="C364" i="4"/>
  <c r="B364" i="9" s="1"/>
  <c r="A364" i="4"/>
  <c r="Z363" i="4"/>
  <c r="H363" i="4"/>
  <c r="C363" i="4"/>
  <c r="B363" i="9" s="1"/>
  <c r="A363" i="4"/>
  <c r="Z362" i="4"/>
  <c r="H362" i="4"/>
  <c r="C362" i="4"/>
  <c r="B362" i="9" s="1"/>
  <c r="A362" i="4"/>
  <c r="Z361" i="4"/>
  <c r="H361" i="4"/>
  <c r="C361" i="4"/>
  <c r="B361" i="9" s="1"/>
  <c r="A361" i="4"/>
  <c r="Z360" i="4"/>
  <c r="H360" i="4"/>
  <c r="C360" i="4"/>
  <c r="B360" i="9" s="1"/>
  <c r="A360" i="4"/>
  <c r="Z359" i="4"/>
  <c r="H359" i="4"/>
  <c r="C359" i="4"/>
  <c r="B359" i="9" s="1"/>
  <c r="A359" i="4"/>
  <c r="Z358" i="4"/>
  <c r="H358" i="4"/>
  <c r="C358" i="4"/>
  <c r="B358" i="9" s="1"/>
  <c r="A358" i="4"/>
  <c r="Z357" i="4"/>
  <c r="H357" i="4"/>
  <c r="C357" i="4"/>
  <c r="B357" i="9" s="1"/>
  <c r="A357" i="4"/>
  <c r="Z356" i="4"/>
  <c r="H356" i="4"/>
  <c r="C356" i="4"/>
  <c r="B356" i="9" s="1"/>
  <c r="A356" i="4"/>
  <c r="Z355" i="4"/>
  <c r="H355" i="4"/>
  <c r="C355" i="4"/>
  <c r="B355" i="9" s="1"/>
  <c r="A355" i="4"/>
  <c r="Z354" i="4"/>
  <c r="H354" i="4"/>
  <c r="C354" i="4"/>
  <c r="B354" i="9" s="1"/>
  <c r="A354" i="4"/>
  <c r="Z353" i="4"/>
  <c r="H353" i="4"/>
  <c r="C353" i="4"/>
  <c r="B353" i="9" s="1"/>
  <c r="A353" i="4"/>
  <c r="Z352" i="4"/>
  <c r="H352" i="4"/>
  <c r="C352" i="4"/>
  <c r="B352" i="9" s="1"/>
  <c r="A352" i="4"/>
  <c r="Z351" i="4"/>
  <c r="H351" i="4"/>
  <c r="C351" i="4"/>
  <c r="B351" i="9" s="1"/>
  <c r="A351" i="4"/>
  <c r="Z350" i="4"/>
  <c r="H350" i="4"/>
  <c r="C350" i="4"/>
  <c r="B350" i="9" s="1"/>
  <c r="A350" i="4"/>
  <c r="Z349" i="4"/>
  <c r="H349" i="4"/>
  <c r="C349" i="4"/>
  <c r="B349" i="9" s="1"/>
  <c r="A349" i="4"/>
  <c r="Z348" i="4"/>
  <c r="H348" i="4"/>
  <c r="C348" i="4"/>
  <c r="B348" i="9" s="1"/>
  <c r="A348" i="4"/>
  <c r="Z347" i="4"/>
  <c r="H347" i="4"/>
  <c r="C347" i="4"/>
  <c r="B347" i="9" s="1"/>
  <c r="A347" i="4"/>
  <c r="Z346" i="4"/>
  <c r="H346" i="4"/>
  <c r="C346" i="4"/>
  <c r="B346" i="9" s="1"/>
  <c r="A346" i="4"/>
  <c r="Z345" i="4"/>
  <c r="H345" i="4"/>
  <c r="C345" i="4"/>
  <c r="B345" i="9" s="1"/>
  <c r="A345" i="4"/>
  <c r="Z344" i="4"/>
  <c r="H344" i="4"/>
  <c r="C344" i="4"/>
  <c r="B344" i="9" s="1"/>
  <c r="A344" i="4"/>
  <c r="Z343" i="4"/>
  <c r="H343" i="4"/>
  <c r="C343" i="4"/>
  <c r="B343" i="9" s="1"/>
  <c r="A343" i="4"/>
  <c r="Z342" i="4"/>
  <c r="H342" i="4"/>
  <c r="C342" i="4"/>
  <c r="B342" i="9" s="1"/>
  <c r="A342" i="4"/>
  <c r="Z341" i="4"/>
  <c r="H341" i="4"/>
  <c r="C341" i="4"/>
  <c r="B341" i="9" s="1"/>
  <c r="A341" i="4"/>
  <c r="Z340" i="4"/>
  <c r="H340" i="4"/>
  <c r="C340" i="4"/>
  <c r="B340" i="9" s="1"/>
  <c r="A340" i="4"/>
  <c r="Z339" i="4"/>
  <c r="H339" i="4"/>
  <c r="C339" i="4"/>
  <c r="B339" i="9" s="1"/>
  <c r="A339" i="4"/>
  <c r="Z338" i="4"/>
  <c r="H338" i="4"/>
  <c r="C338" i="4"/>
  <c r="B338" i="9" s="1"/>
  <c r="A338" i="4"/>
  <c r="Z337" i="4"/>
  <c r="H337" i="4"/>
  <c r="C337" i="4"/>
  <c r="B337" i="9" s="1"/>
  <c r="A337" i="4"/>
  <c r="Z336" i="4"/>
  <c r="H336" i="4"/>
  <c r="C336" i="4"/>
  <c r="B336" i="9" s="1"/>
  <c r="A336" i="4"/>
  <c r="Z335" i="4"/>
  <c r="H335" i="4"/>
  <c r="C335" i="4"/>
  <c r="B335" i="9" s="1"/>
  <c r="A335" i="4"/>
  <c r="Z334" i="4"/>
  <c r="H334" i="4"/>
  <c r="C334" i="4"/>
  <c r="B334" i="9" s="1"/>
  <c r="A334" i="4"/>
  <c r="Z333" i="4"/>
  <c r="H333" i="4"/>
  <c r="C333" i="4"/>
  <c r="B333" i="9" s="1"/>
  <c r="A333" i="4"/>
  <c r="Z332" i="4"/>
  <c r="H332" i="4"/>
  <c r="C332" i="4"/>
  <c r="B332" i="9" s="1"/>
  <c r="A332" i="4"/>
  <c r="Z331" i="4"/>
  <c r="H331" i="4"/>
  <c r="C331" i="4"/>
  <c r="B331" i="9" s="1"/>
  <c r="A331" i="4"/>
  <c r="Z330" i="4"/>
  <c r="H330" i="4"/>
  <c r="C330" i="4"/>
  <c r="B330" i="9" s="1"/>
  <c r="A330" i="4"/>
  <c r="Z329" i="4"/>
  <c r="H329" i="4"/>
  <c r="C329" i="4"/>
  <c r="B329" i="9" s="1"/>
  <c r="A329" i="4"/>
  <c r="Z328" i="4"/>
  <c r="H328" i="4"/>
  <c r="C328" i="4"/>
  <c r="B328" i="9" s="1"/>
  <c r="A328" i="4"/>
  <c r="Z327" i="4"/>
  <c r="H327" i="4"/>
  <c r="C327" i="4"/>
  <c r="B327" i="9" s="1"/>
  <c r="A327" i="4"/>
  <c r="Z326" i="4"/>
  <c r="H326" i="4"/>
  <c r="C326" i="4"/>
  <c r="B326" i="9" s="1"/>
  <c r="A326" i="4"/>
  <c r="Z325" i="4"/>
  <c r="H325" i="4"/>
  <c r="C325" i="4"/>
  <c r="B325" i="9" s="1"/>
  <c r="A325" i="4"/>
  <c r="Z324" i="4"/>
  <c r="H324" i="4"/>
  <c r="C324" i="4"/>
  <c r="B324" i="9" s="1"/>
  <c r="A324" i="4"/>
  <c r="Z323" i="4"/>
  <c r="H323" i="4"/>
  <c r="C323" i="4"/>
  <c r="B323" i="9" s="1"/>
  <c r="A323" i="4"/>
  <c r="Z322" i="4"/>
  <c r="H322" i="4"/>
  <c r="C322" i="4"/>
  <c r="B322" i="9" s="1"/>
  <c r="A322" i="4"/>
  <c r="Z321" i="4"/>
  <c r="H321" i="4"/>
  <c r="C321" i="4"/>
  <c r="B321" i="9" s="1"/>
  <c r="A321" i="4"/>
  <c r="Z320" i="4"/>
  <c r="H320" i="4"/>
  <c r="C320" i="4"/>
  <c r="B320" i="9" s="1"/>
  <c r="A320" i="4"/>
  <c r="Z319" i="4"/>
  <c r="H319" i="4"/>
  <c r="C319" i="4"/>
  <c r="B319" i="9" s="1"/>
  <c r="A319" i="4"/>
  <c r="Z318" i="4"/>
  <c r="H318" i="4"/>
  <c r="C318" i="4"/>
  <c r="B318" i="9" s="1"/>
  <c r="A318" i="4"/>
  <c r="Z317" i="4"/>
  <c r="H317" i="4"/>
  <c r="C317" i="4"/>
  <c r="B317" i="9" s="1"/>
  <c r="A317" i="4"/>
  <c r="Z316" i="4"/>
  <c r="H316" i="4"/>
  <c r="C316" i="4"/>
  <c r="B316" i="9" s="1"/>
  <c r="A316" i="4"/>
  <c r="Z315" i="4"/>
  <c r="H315" i="4"/>
  <c r="C315" i="4"/>
  <c r="B315" i="9" s="1"/>
  <c r="A315" i="4"/>
  <c r="Z314" i="4"/>
  <c r="H314" i="4"/>
  <c r="C314" i="4"/>
  <c r="B314" i="9" s="1"/>
  <c r="A314" i="4"/>
  <c r="Z313" i="4"/>
  <c r="H313" i="4"/>
  <c r="C313" i="4"/>
  <c r="B313" i="9" s="1"/>
  <c r="A313" i="4"/>
  <c r="Z312" i="4"/>
  <c r="H312" i="4"/>
  <c r="C312" i="4"/>
  <c r="B312" i="9" s="1"/>
  <c r="A312" i="4"/>
  <c r="Z311" i="4"/>
  <c r="H311" i="4"/>
  <c r="C311" i="4"/>
  <c r="B311" i="9" s="1"/>
  <c r="A311" i="4"/>
  <c r="Z310" i="4"/>
  <c r="H310" i="4"/>
  <c r="C310" i="4"/>
  <c r="B310" i="9" s="1"/>
  <c r="A310" i="4"/>
  <c r="Z309" i="4"/>
  <c r="H309" i="4"/>
  <c r="C309" i="4"/>
  <c r="B309" i="9" s="1"/>
  <c r="A309" i="4"/>
  <c r="Z308" i="4"/>
  <c r="H308" i="4"/>
  <c r="C308" i="4"/>
  <c r="B308" i="9" s="1"/>
  <c r="A308" i="4"/>
  <c r="Z307" i="4"/>
  <c r="H307" i="4"/>
  <c r="C307" i="4"/>
  <c r="B307" i="9" s="1"/>
  <c r="A307" i="4"/>
  <c r="Z306" i="4"/>
  <c r="H306" i="4"/>
  <c r="C306" i="4"/>
  <c r="B306" i="9" s="1"/>
  <c r="A306" i="4"/>
  <c r="Z305" i="4"/>
  <c r="H305" i="4"/>
  <c r="C305" i="4"/>
  <c r="B305" i="9" s="1"/>
  <c r="A305" i="4"/>
  <c r="Z304" i="4"/>
  <c r="H304" i="4"/>
  <c r="C304" i="4"/>
  <c r="B304" i="9" s="1"/>
  <c r="A304" i="4"/>
  <c r="Z303" i="4"/>
  <c r="H303" i="4"/>
  <c r="C303" i="4"/>
  <c r="B303" i="9" s="1"/>
  <c r="A303" i="4"/>
  <c r="Z302" i="4"/>
  <c r="H302" i="4"/>
  <c r="C302" i="4"/>
  <c r="B302" i="9" s="1"/>
  <c r="A302" i="4"/>
  <c r="Z301" i="4"/>
  <c r="H301" i="4"/>
  <c r="C301" i="4"/>
  <c r="B301" i="9" s="1"/>
  <c r="A301" i="4"/>
  <c r="Z300" i="4"/>
  <c r="H300" i="4"/>
  <c r="C300" i="4"/>
  <c r="B300" i="9" s="1"/>
  <c r="A300" i="4"/>
  <c r="Z299" i="4"/>
  <c r="H299" i="4"/>
  <c r="C299" i="4"/>
  <c r="B299" i="9" s="1"/>
  <c r="A299" i="4"/>
  <c r="Z298" i="4"/>
  <c r="H298" i="4"/>
  <c r="C298" i="4"/>
  <c r="B298" i="9" s="1"/>
  <c r="A298" i="4"/>
  <c r="Z297" i="4"/>
  <c r="H297" i="4"/>
  <c r="C297" i="4"/>
  <c r="B297" i="9" s="1"/>
  <c r="A297" i="4"/>
  <c r="Z296" i="4"/>
  <c r="H296" i="4"/>
  <c r="C296" i="4"/>
  <c r="B296" i="9" s="1"/>
  <c r="A296" i="4"/>
  <c r="Z295" i="4"/>
  <c r="H295" i="4"/>
  <c r="C295" i="4"/>
  <c r="B295" i="9" s="1"/>
  <c r="A295" i="4"/>
  <c r="Z294" i="4"/>
  <c r="H294" i="4"/>
  <c r="C294" i="4"/>
  <c r="B294" i="9" s="1"/>
  <c r="A294" i="4"/>
  <c r="Z293" i="4"/>
  <c r="H293" i="4"/>
  <c r="C293" i="4"/>
  <c r="B293" i="9" s="1"/>
  <c r="A293" i="4"/>
  <c r="Z292" i="4"/>
  <c r="H292" i="4"/>
  <c r="C292" i="4"/>
  <c r="B292" i="9" s="1"/>
  <c r="A292" i="4"/>
  <c r="Z291" i="4"/>
  <c r="H291" i="4"/>
  <c r="C291" i="4"/>
  <c r="B291" i="9" s="1"/>
  <c r="A291" i="4"/>
  <c r="Z290" i="4"/>
  <c r="H290" i="4"/>
  <c r="C290" i="4"/>
  <c r="B290" i="9" s="1"/>
  <c r="A290" i="4"/>
  <c r="Z289" i="4"/>
  <c r="H289" i="4"/>
  <c r="C289" i="4"/>
  <c r="B289" i="9" s="1"/>
  <c r="A289" i="4"/>
  <c r="Z288" i="4"/>
  <c r="H288" i="4"/>
  <c r="C288" i="4"/>
  <c r="B288" i="9" s="1"/>
  <c r="A288" i="4"/>
  <c r="Z287" i="4"/>
  <c r="H287" i="4"/>
  <c r="C287" i="4"/>
  <c r="B287" i="9" s="1"/>
  <c r="A287" i="4"/>
  <c r="Z286" i="4"/>
  <c r="H286" i="4"/>
  <c r="C286" i="4"/>
  <c r="B286" i="9" s="1"/>
  <c r="A286" i="4"/>
  <c r="Z285" i="4"/>
  <c r="H285" i="4"/>
  <c r="C285" i="4"/>
  <c r="B285" i="9" s="1"/>
  <c r="A285" i="4"/>
  <c r="Z284" i="4"/>
  <c r="H284" i="4"/>
  <c r="C284" i="4"/>
  <c r="B284" i="9" s="1"/>
  <c r="A284" i="4"/>
  <c r="Z283" i="4"/>
  <c r="H283" i="4"/>
  <c r="C283" i="4"/>
  <c r="B283" i="9" s="1"/>
  <c r="A283" i="4"/>
  <c r="Z282" i="4"/>
  <c r="H282" i="4"/>
  <c r="C282" i="4"/>
  <c r="B282" i="9" s="1"/>
  <c r="A282" i="4"/>
  <c r="Z281" i="4"/>
  <c r="H281" i="4"/>
  <c r="C281" i="4"/>
  <c r="B281" i="9" s="1"/>
  <c r="A281" i="4"/>
  <c r="Z280" i="4"/>
  <c r="H280" i="4"/>
  <c r="C280" i="4"/>
  <c r="B280" i="9" s="1"/>
  <c r="A280" i="4"/>
  <c r="Z279" i="4"/>
  <c r="H279" i="4"/>
  <c r="C279" i="4"/>
  <c r="B279" i="9" s="1"/>
  <c r="A279" i="4"/>
  <c r="Z278" i="4"/>
  <c r="H278" i="4"/>
  <c r="C278" i="4"/>
  <c r="B278" i="9" s="1"/>
  <c r="A278" i="4"/>
  <c r="Z277" i="4"/>
  <c r="H277" i="4"/>
  <c r="C277" i="4"/>
  <c r="B277" i="9" s="1"/>
  <c r="A277" i="4"/>
  <c r="Z276" i="4"/>
  <c r="H276" i="4"/>
  <c r="C276" i="4"/>
  <c r="B276" i="9" s="1"/>
  <c r="A276" i="4"/>
  <c r="Z275" i="4"/>
  <c r="H275" i="4"/>
  <c r="C275" i="4"/>
  <c r="B275" i="9" s="1"/>
  <c r="A275" i="4"/>
  <c r="Z274" i="4"/>
  <c r="H274" i="4"/>
  <c r="C274" i="4"/>
  <c r="B274" i="9" s="1"/>
  <c r="A274" i="4"/>
  <c r="Z273" i="4"/>
  <c r="H273" i="4"/>
  <c r="C273" i="4"/>
  <c r="B273" i="9" s="1"/>
  <c r="A273" i="4"/>
  <c r="Z272" i="4"/>
  <c r="H272" i="4"/>
  <c r="C272" i="4"/>
  <c r="B272" i="9" s="1"/>
  <c r="A272" i="4"/>
  <c r="Z271" i="4"/>
  <c r="H271" i="4"/>
  <c r="C271" i="4"/>
  <c r="B271" i="9" s="1"/>
  <c r="A271" i="4"/>
  <c r="Z270" i="4"/>
  <c r="H270" i="4"/>
  <c r="C270" i="4"/>
  <c r="B270" i="9" s="1"/>
  <c r="A270" i="4"/>
  <c r="Z269" i="4"/>
  <c r="H269" i="4"/>
  <c r="C269" i="4"/>
  <c r="B269" i="9" s="1"/>
  <c r="A269" i="4"/>
  <c r="Z268" i="4"/>
  <c r="H268" i="4"/>
  <c r="C268" i="4"/>
  <c r="B268" i="9" s="1"/>
  <c r="A268" i="4"/>
  <c r="Z267" i="4"/>
  <c r="H267" i="4"/>
  <c r="C267" i="4"/>
  <c r="B267" i="9" s="1"/>
  <c r="A267" i="4"/>
  <c r="Z266" i="4"/>
  <c r="H266" i="4"/>
  <c r="C266" i="4"/>
  <c r="B266" i="9" s="1"/>
  <c r="A266" i="4"/>
  <c r="Z265" i="4"/>
  <c r="H265" i="4"/>
  <c r="C265" i="4"/>
  <c r="B265" i="9" s="1"/>
  <c r="A265" i="4"/>
  <c r="Z264" i="4"/>
  <c r="H264" i="4"/>
  <c r="C264" i="4"/>
  <c r="B264" i="9" s="1"/>
  <c r="A264" i="4"/>
  <c r="Z263" i="4"/>
  <c r="H263" i="4"/>
  <c r="C263" i="4"/>
  <c r="B263" i="9" s="1"/>
  <c r="A263" i="4"/>
  <c r="Z262" i="4"/>
  <c r="H262" i="4"/>
  <c r="C262" i="4"/>
  <c r="B262" i="9" s="1"/>
  <c r="A262" i="4"/>
  <c r="Z261" i="4"/>
  <c r="H261" i="4"/>
  <c r="C261" i="4"/>
  <c r="B261" i="9" s="1"/>
  <c r="A261" i="4"/>
  <c r="Z260" i="4"/>
  <c r="H260" i="4"/>
  <c r="C260" i="4"/>
  <c r="B260" i="9" s="1"/>
  <c r="A260" i="4"/>
  <c r="Z259" i="4"/>
  <c r="H259" i="4"/>
  <c r="C259" i="4"/>
  <c r="B259" i="9" s="1"/>
  <c r="A259" i="4"/>
  <c r="Z258" i="4"/>
  <c r="H258" i="4"/>
  <c r="C258" i="4"/>
  <c r="B258" i="9" s="1"/>
  <c r="A258" i="4"/>
  <c r="Z257" i="4"/>
  <c r="H257" i="4"/>
  <c r="C257" i="4"/>
  <c r="B257" i="9" s="1"/>
  <c r="A257" i="4"/>
  <c r="Z256" i="4"/>
  <c r="H256" i="4"/>
  <c r="C256" i="4"/>
  <c r="B256" i="9" s="1"/>
  <c r="A256" i="4"/>
  <c r="Z255" i="4"/>
  <c r="H255" i="4"/>
  <c r="C255" i="4"/>
  <c r="B255" i="9" s="1"/>
  <c r="A255" i="4"/>
  <c r="Z254" i="4"/>
  <c r="H254" i="4"/>
  <c r="C254" i="4"/>
  <c r="B254" i="9" s="1"/>
  <c r="A254" i="4"/>
  <c r="Z253" i="4"/>
  <c r="H253" i="4"/>
  <c r="C253" i="4"/>
  <c r="B253" i="9" s="1"/>
  <c r="A253" i="4"/>
  <c r="Z252" i="4"/>
  <c r="H252" i="4"/>
  <c r="C252" i="4"/>
  <c r="B252" i="9" s="1"/>
  <c r="A252" i="4"/>
  <c r="Z251" i="4"/>
  <c r="H251" i="4"/>
  <c r="C251" i="4"/>
  <c r="B251" i="9" s="1"/>
  <c r="A251" i="4"/>
  <c r="Z250" i="4"/>
  <c r="H250" i="4"/>
  <c r="C250" i="4"/>
  <c r="B250" i="9" s="1"/>
  <c r="A250" i="4"/>
  <c r="Z249" i="4"/>
  <c r="H249" i="4"/>
  <c r="C249" i="4"/>
  <c r="B249" i="9" s="1"/>
  <c r="A249" i="4"/>
  <c r="Z248" i="4"/>
  <c r="H248" i="4"/>
  <c r="C248" i="4"/>
  <c r="B248" i="9" s="1"/>
  <c r="A248" i="4"/>
  <c r="Z247" i="4"/>
  <c r="H247" i="4"/>
  <c r="C247" i="4"/>
  <c r="B247" i="9" s="1"/>
  <c r="A247" i="4"/>
  <c r="Z246" i="4"/>
  <c r="H246" i="4"/>
  <c r="C246" i="4"/>
  <c r="B246" i="9" s="1"/>
  <c r="A246" i="4"/>
  <c r="Z245" i="4"/>
  <c r="H245" i="4"/>
  <c r="C245" i="4"/>
  <c r="B245" i="9" s="1"/>
  <c r="A245" i="4"/>
  <c r="Z244" i="4"/>
  <c r="H244" i="4"/>
  <c r="C244" i="4"/>
  <c r="B244" i="9" s="1"/>
  <c r="A244" i="4"/>
  <c r="Z243" i="4"/>
  <c r="H243" i="4"/>
  <c r="C243" i="4"/>
  <c r="B243" i="9" s="1"/>
  <c r="A243" i="4"/>
  <c r="Z242" i="4"/>
  <c r="H242" i="4"/>
  <c r="C242" i="4"/>
  <c r="B242" i="9" s="1"/>
  <c r="A242" i="4"/>
  <c r="Z241" i="4"/>
  <c r="H241" i="4"/>
  <c r="C241" i="4"/>
  <c r="B241" i="9" s="1"/>
  <c r="A241" i="4"/>
  <c r="Z240" i="4"/>
  <c r="H240" i="4"/>
  <c r="C240" i="4"/>
  <c r="B240" i="9" s="1"/>
  <c r="A240" i="4"/>
  <c r="Z239" i="4"/>
  <c r="H239" i="4"/>
  <c r="C239" i="4"/>
  <c r="B239" i="9" s="1"/>
  <c r="A239" i="4"/>
  <c r="Z238" i="4"/>
  <c r="H238" i="4"/>
  <c r="C238" i="4"/>
  <c r="B238" i="9" s="1"/>
  <c r="A238" i="4"/>
  <c r="Z237" i="4"/>
  <c r="H237" i="4"/>
  <c r="C237" i="4"/>
  <c r="B237" i="9" s="1"/>
  <c r="A237" i="4"/>
  <c r="Z236" i="4"/>
  <c r="H236" i="4"/>
  <c r="C236" i="4"/>
  <c r="B236" i="9" s="1"/>
  <c r="A236" i="4"/>
  <c r="Z235" i="4"/>
  <c r="H235" i="4"/>
  <c r="C235" i="4"/>
  <c r="B235" i="9" s="1"/>
  <c r="A235" i="4"/>
  <c r="Z234" i="4"/>
  <c r="H234" i="4"/>
  <c r="C234" i="4"/>
  <c r="B234" i="9" s="1"/>
  <c r="A234" i="4"/>
  <c r="Z233" i="4"/>
  <c r="H233" i="4"/>
  <c r="C233" i="4"/>
  <c r="B233" i="9" s="1"/>
  <c r="A233" i="4"/>
  <c r="Z232" i="4"/>
  <c r="H232" i="4"/>
  <c r="C232" i="4"/>
  <c r="B232" i="9" s="1"/>
  <c r="A232" i="4"/>
  <c r="Z231" i="4"/>
  <c r="H231" i="4"/>
  <c r="C231" i="4"/>
  <c r="B231" i="9" s="1"/>
  <c r="A231" i="4"/>
  <c r="Z230" i="4"/>
  <c r="H230" i="4"/>
  <c r="C230" i="4"/>
  <c r="B230" i="9" s="1"/>
  <c r="A230" i="4"/>
  <c r="Z229" i="4"/>
  <c r="H229" i="4"/>
  <c r="C229" i="4"/>
  <c r="B229" i="9" s="1"/>
  <c r="A229" i="4"/>
  <c r="Z228" i="4"/>
  <c r="H228" i="4"/>
  <c r="C228" i="4"/>
  <c r="B228" i="9" s="1"/>
  <c r="A228" i="4"/>
  <c r="Z227" i="4"/>
  <c r="H227" i="4"/>
  <c r="C227" i="4"/>
  <c r="B227" i="9" s="1"/>
  <c r="A227" i="4"/>
  <c r="Z226" i="4"/>
  <c r="H226" i="4"/>
  <c r="C226" i="4"/>
  <c r="B226" i="9" s="1"/>
  <c r="A226" i="4"/>
  <c r="Z225" i="4"/>
  <c r="H225" i="4"/>
  <c r="C225" i="4"/>
  <c r="B225" i="9" s="1"/>
  <c r="A225" i="4"/>
  <c r="Z224" i="4"/>
  <c r="H224" i="4"/>
  <c r="C224" i="4"/>
  <c r="B224" i="9" s="1"/>
  <c r="A224" i="4"/>
  <c r="Z223" i="4"/>
  <c r="H223" i="4"/>
  <c r="C223" i="4"/>
  <c r="B223" i="9" s="1"/>
  <c r="A223" i="4"/>
  <c r="Z222" i="4"/>
  <c r="H222" i="4"/>
  <c r="C222" i="4"/>
  <c r="B222" i="9" s="1"/>
  <c r="A222" i="4"/>
  <c r="Z221" i="4"/>
  <c r="H221" i="4"/>
  <c r="C221" i="4"/>
  <c r="B221" i="9" s="1"/>
  <c r="A221" i="4"/>
  <c r="Z220" i="4"/>
  <c r="H220" i="4"/>
  <c r="C220" i="4"/>
  <c r="B220" i="9" s="1"/>
  <c r="A220" i="4"/>
  <c r="Z219" i="4"/>
  <c r="H219" i="4"/>
  <c r="C219" i="4"/>
  <c r="B219" i="9" s="1"/>
  <c r="A219" i="4"/>
  <c r="Z218" i="4"/>
  <c r="H218" i="4"/>
  <c r="C218" i="4"/>
  <c r="B218" i="9" s="1"/>
  <c r="A218" i="4"/>
  <c r="Z217" i="4"/>
  <c r="H217" i="4"/>
  <c r="C217" i="4"/>
  <c r="B217" i="9" s="1"/>
  <c r="A217" i="4"/>
  <c r="Z216" i="4"/>
  <c r="H216" i="4"/>
  <c r="C216" i="4"/>
  <c r="B216" i="9" s="1"/>
  <c r="A216" i="4"/>
  <c r="Z215" i="4"/>
  <c r="H215" i="4"/>
  <c r="C215" i="4"/>
  <c r="B215" i="9" s="1"/>
  <c r="A215" i="4"/>
  <c r="Z214" i="4"/>
  <c r="H214" i="4"/>
  <c r="C214" i="4"/>
  <c r="B214" i="9" s="1"/>
  <c r="A214" i="4"/>
  <c r="Z213" i="4"/>
  <c r="H213" i="4"/>
  <c r="C213" i="4"/>
  <c r="B213" i="9" s="1"/>
  <c r="A213" i="4"/>
  <c r="Z212" i="4"/>
  <c r="H212" i="4"/>
  <c r="C212" i="4"/>
  <c r="B212" i="9" s="1"/>
  <c r="A212" i="4"/>
  <c r="Z211" i="4"/>
  <c r="H211" i="4"/>
  <c r="C211" i="4"/>
  <c r="B211" i="9" s="1"/>
  <c r="A211" i="4"/>
  <c r="Z210" i="4"/>
  <c r="H210" i="4"/>
  <c r="C210" i="4"/>
  <c r="B210" i="9" s="1"/>
  <c r="A210" i="4"/>
  <c r="Z209" i="4"/>
  <c r="H209" i="4"/>
  <c r="C209" i="4"/>
  <c r="B209" i="9" s="1"/>
  <c r="A209" i="4"/>
  <c r="Z208" i="4"/>
  <c r="H208" i="4"/>
  <c r="C208" i="4"/>
  <c r="B208" i="9" s="1"/>
  <c r="A208" i="4"/>
  <c r="Z207" i="4"/>
  <c r="H207" i="4"/>
  <c r="C207" i="4"/>
  <c r="B207" i="9" s="1"/>
  <c r="A207" i="4"/>
  <c r="Z206" i="4"/>
  <c r="H206" i="4"/>
  <c r="C206" i="4"/>
  <c r="B206" i="9" s="1"/>
  <c r="A206" i="4"/>
  <c r="Z205" i="4"/>
  <c r="H205" i="4"/>
  <c r="C205" i="4"/>
  <c r="B205" i="9" s="1"/>
  <c r="A205" i="4"/>
  <c r="Z204" i="4"/>
  <c r="H204" i="4"/>
  <c r="C204" i="4"/>
  <c r="B204" i="9" s="1"/>
  <c r="A204" i="4"/>
  <c r="Z203" i="4"/>
  <c r="H203" i="4"/>
  <c r="C203" i="4"/>
  <c r="B203" i="9" s="1"/>
  <c r="A203" i="4"/>
  <c r="Z202" i="4"/>
  <c r="H202" i="4"/>
  <c r="C202" i="4"/>
  <c r="B202" i="9" s="1"/>
  <c r="A202" i="4"/>
  <c r="Z201" i="4"/>
  <c r="H201" i="4"/>
  <c r="C201" i="4"/>
  <c r="B201" i="9" s="1"/>
  <c r="A201" i="4"/>
  <c r="Z200" i="4"/>
  <c r="H200" i="4"/>
  <c r="C200" i="4"/>
  <c r="B200" i="9" s="1"/>
  <c r="A200" i="4"/>
  <c r="Z199" i="4"/>
  <c r="H199" i="4"/>
  <c r="C199" i="4"/>
  <c r="B199" i="9" s="1"/>
  <c r="A199" i="4"/>
  <c r="Z198" i="4"/>
  <c r="H198" i="4"/>
  <c r="C198" i="4"/>
  <c r="B198" i="9" s="1"/>
  <c r="A198" i="4"/>
  <c r="Z197" i="4"/>
  <c r="H197" i="4"/>
  <c r="C197" i="4"/>
  <c r="B197" i="9" s="1"/>
  <c r="A197" i="4"/>
  <c r="Z196" i="4"/>
  <c r="H196" i="4"/>
  <c r="C196" i="4"/>
  <c r="B196" i="9" s="1"/>
  <c r="A196" i="4"/>
  <c r="Z195" i="4"/>
  <c r="H195" i="4"/>
  <c r="C195" i="4"/>
  <c r="B195" i="9" s="1"/>
  <c r="A195" i="4"/>
  <c r="Z194" i="4"/>
  <c r="H194" i="4"/>
  <c r="C194" i="4"/>
  <c r="B194" i="9" s="1"/>
  <c r="A194" i="4"/>
  <c r="Z193" i="4"/>
  <c r="H193" i="4"/>
  <c r="C193" i="4"/>
  <c r="B193" i="9" s="1"/>
  <c r="A193" i="4"/>
  <c r="Z192" i="4"/>
  <c r="H192" i="4"/>
  <c r="C192" i="4"/>
  <c r="B192" i="9" s="1"/>
  <c r="A192" i="4"/>
  <c r="Z191" i="4"/>
  <c r="H191" i="4"/>
  <c r="C191" i="4"/>
  <c r="B191" i="9" s="1"/>
  <c r="A191" i="4"/>
  <c r="Z190" i="4"/>
  <c r="H190" i="4"/>
  <c r="C190" i="4"/>
  <c r="B190" i="9" s="1"/>
  <c r="A190" i="4"/>
  <c r="Z189" i="4"/>
  <c r="H189" i="4"/>
  <c r="C189" i="4"/>
  <c r="B189" i="9" s="1"/>
  <c r="A189" i="4"/>
  <c r="Z188" i="4"/>
  <c r="H188" i="4"/>
  <c r="C188" i="4"/>
  <c r="B188" i="9" s="1"/>
  <c r="A188" i="4"/>
  <c r="Z187" i="4"/>
  <c r="H187" i="4"/>
  <c r="C187" i="4"/>
  <c r="B187" i="9" s="1"/>
  <c r="A187" i="4"/>
  <c r="Z186" i="4"/>
  <c r="H186" i="4"/>
  <c r="C186" i="4"/>
  <c r="B186" i="9" s="1"/>
  <c r="A186" i="4"/>
  <c r="Z185" i="4"/>
  <c r="H185" i="4"/>
  <c r="C185" i="4"/>
  <c r="B185" i="9" s="1"/>
  <c r="A185" i="4"/>
  <c r="Z184" i="4"/>
  <c r="H184" i="4"/>
  <c r="C184" i="4"/>
  <c r="B184" i="9" s="1"/>
  <c r="A184" i="4"/>
  <c r="Z183" i="4"/>
  <c r="H183" i="4"/>
  <c r="C183" i="4"/>
  <c r="B183" i="9" s="1"/>
  <c r="A183" i="4"/>
  <c r="Z182" i="4"/>
  <c r="H182" i="4"/>
  <c r="C182" i="4"/>
  <c r="B182" i="9" s="1"/>
  <c r="A182" i="4"/>
  <c r="Z181" i="4"/>
  <c r="H181" i="4"/>
  <c r="C181" i="4"/>
  <c r="B181" i="9" s="1"/>
  <c r="A181" i="4"/>
  <c r="Z180" i="4"/>
  <c r="H180" i="4"/>
  <c r="C180" i="4"/>
  <c r="B180" i="9" s="1"/>
  <c r="A180" i="4"/>
  <c r="Z179" i="4"/>
  <c r="H179" i="4"/>
  <c r="C179" i="4"/>
  <c r="B179" i="9" s="1"/>
  <c r="A179" i="4"/>
  <c r="Z178" i="4"/>
  <c r="H178" i="4"/>
  <c r="C178" i="4"/>
  <c r="B178" i="9" s="1"/>
  <c r="A178" i="4"/>
  <c r="Z177" i="4"/>
  <c r="H177" i="4"/>
  <c r="C177" i="4"/>
  <c r="B177" i="9" s="1"/>
  <c r="A177" i="4"/>
  <c r="Z176" i="4"/>
  <c r="H176" i="4"/>
  <c r="C176" i="4"/>
  <c r="B176" i="9" s="1"/>
  <c r="A176" i="4"/>
  <c r="Z175" i="4"/>
  <c r="H175" i="4"/>
  <c r="C175" i="4"/>
  <c r="B175" i="9" s="1"/>
  <c r="A175" i="4"/>
  <c r="Z174" i="4"/>
  <c r="H174" i="4"/>
  <c r="C174" i="4"/>
  <c r="B174" i="9" s="1"/>
  <c r="A174" i="4"/>
  <c r="Z173" i="4"/>
  <c r="H173" i="4"/>
  <c r="C173" i="4"/>
  <c r="B173" i="9" s="1"/>
  <c r="A173" i="4"/>
  <c r="Z172" i="4"/>
  <c r="H172" i="4"/>
  <c r="C172" i="4"/>
  <c r="B172" i="9" s="1"/>
  <c r="A172" i="4"/>
  <c r="Z171" i="4"/>
  <c r="H171" i="4"/>
  <c r="C171" i="4"/>
  <c r="B171" i="9" s="1"/>
  <c r="A171" i="4"/>
  <c r="Z170" i="4"/>
  <c r="H170" i="4"/>
  <c r="C170" i="4"/>
  <c r="B170" i="9" s="1"/>
  <c r="A170" i="4"/>
  <c r="Z169" i="4"/>
  <c r="H169" i="4"/>
  <c r="C169" i="4"/>
  <c r="B169" i="9" s="1"/>
  <c r="A169" i="4"/>
  <c r="Z168" i="4"/>
  <c r="H168" i="4"/>
  <c r="C168" i="4"/>
  <c r="B168" i="9" s="1"/>
  <c r="A168" i="4"/>
  <c r="Z167" i="4"/>
  <c r="H167" i="4"/>
  <c r="C167" i="4"/>
  <c r="B167" i="9" s="1"/>
  <c r="A167" i="4"/>
  <c r="Z166" i="4"/>
  <c r="H166" i="4"/>
  <c r="C166" i="4"/>
  <c r="B166" i="9" s="1"/>
  <c r="A166" i="4"/>
  <c r="Z165" i="4"/>
  <c r="H165" i="4"/>
  <c r="C165" i="4"/>
  <c r="B165" i="9" s="1"/>
  <c r="A165" i="4"/>
  <c r="Z164" i="4"/>
  <c r="H164" i="4"/>
  <c r="C164" i="4"/>
  <c r="B164" i="9" s="1"/>
  <c r="A164" i="4"/>
  <c r="Z163" i="4"/>
  <c r="H163" i="4"/>
  <c r="C163" i="4"/>
  <c r="B163" i="9" s="1"/>
  <c r="A163" i="4"/>
  <c r="Z162" i="4"/>
  <c r="H162" i="4"/>
  <c r="C162" i="4"/>
  <c r="B162" i="9" s="1"/>
  <c r="A162" i="4"/>
  <c r="Z161" i="4"/>
  <c r="H161" i="4"/>
  <c r="C161" i="4"/>
  <c r="B161" i="9" s="1"/>
  <c r="A161" i="4"/>
  <c r="Z160" i="4"/>
  <c r="H160" i="4"/>
  <c r="C160" i="4"/>
  <c r="B160" i="9" s="1"/>
  <c r="A160" i="4"/>
  <c r="Z159" i="4"/>
  <c r="H159" i="4"/>
  <c r="C159" i="4"/>
  <c r="B159" i="9" s="1"/>
  <c r="A159" i="4"/>
  <c r="Z158" i="4"/>
  <c r="H158" i="4"/>
  <c r="C158" i="4"/>
  <c r="B158" i="9" s="1"/>
  <c r="A158" i="4"/>
  <c r="Z157" i="4"/>
  <c r="H157" i="4"/>
  <c r="C157" i="4"/>
  <c r="B157" i="9" s="1"/>
  <c r="A157" i="4"/>
  <c r="Z156" i="4"/>
  <c r="H156" i="4"/>
  <c r="C156" i="4"/>
  <c r="B156" i="9" s="1"/>
  <c r="A156" i="4"/>
  <c r="Z155" i="4"/>
  <c r="H155" i="4"/>
  <c r="C155" i="4"/>
  <c r="B155" i="9" s="1"/>
  <c r="A155" i="4"/>
  <c r="Z154" i="4"/>
  <c r="H154" i="4"/>
  <c r="C154" i="4"/>
  <c r="B154" i="9" s="1"/>
  <c r="A154" i="4"/>
  <c r="Z153" i="4"/>
  <c r="H153" i="4"/>
  <c r="C153" i="4"/>
  <c r="B153" i="9" s="1"/>
  <c r="A153" i="4"/>
  <c r="Z152" i="4"/>
  <c r="H152" i="4"/>
  <c r="C152" i="4"/>
  <c r="B152" i="9" s="1"/>
  <c r="A152" i="4"/>
  <c r="Z151" i="4"/>
  <c r="H151" i="4"/>
  <c r="C151" i="4"/>
  <c r="B151" i="9" s="1"/>
  <c r="A151" i="4"/>
  <c r="Z150" i="4"/>
  <c r="H150" i="4"/>
  <c r="C150" i="4"/>
  <c r="B150" i="9" s="1"/>
  <c r="A150" i="4"/>
  <c r="Z149" i="4"/>
  <c r="H149" i="4"/>
  <c r="C149" i="4"/>
  <c r="B149" i="9" s="1"/>
  <c r="A149" i="4"/>
  <c r="Z148" i="4"/>
  <c r="H148" i="4"/>
  <c r="C148" i="4"/>
  <c r="B148" i="9" s="1"/>
  <c r="A148" i="4"/>
  <c r="Z147" i="4"/>
  <c r="H147" i="4"/>
  <c r="C147" i="4"/>
  <c r="B147" i="9" s="1"/>
  <c r="A147" i="4"/>
  <c r="Z146" i="4"/>
  <c r="H146" i="4"/>
  <c r="C146" i="4"/>
  <c r="B146" i="9" s="1"/>
  <c r="A146" i="4"/>
  <c r="Z145" i="4"/>
  <c r="H145" i="4"/>
  <c r="C145" i="4"/>
  <c r="B145" i="9" s="1"/>
  <c r="A145" i="4"/>
  <c r="Z144" i="4"/>
  <c r="H144" i="4"/>
  <c r="C144" i="4"/>
  <c r="B144" i="9" s="1"/>
  <c r="A144" i="4"/>
  <c r="Z143" i="4"/>
  <c r="H143" i="4"/>
  <c r="C143" i="4"/>
  <c r="B143" i="9" s="1"/>
  <c r="A143" i="4"/>
  <c r="Z142" i="4"/>
  <c r="H142" i="4"/>
  <c r="C142" i="4"/>
  <c r="B142" i="9" s="1"/>
  <c r="A142" i="4"/>
  <c r="Z141" i="4"/>
  <c r="H141" i="4"/>
  <c r="C141" i="4"/>
  <c r="B141" i="9" s="1"/>
  <c r="A141" i="4"/>
  <c r="Z140" i="4"/>
  <c r="H140" i="4"/>
  <c r="C140" i="4"/>
  <c r="B140" i="9" s="1"/>
  <c r="A140" i="4"/>
  <c r="Z139" i="4"/>
  <c r="H139" i="4"/>
  <c r="C139" i="4"/>
  <c r="B139" i="9" s="1"/>
  <c r="A139" i="4"/>
  <c r="Z138" i="4"/>
  <c r="H138" i="4"/>
  <c r="C138" i="4"/>
  <c r="B138" i="9" s="1"/>
  <c r="A138" i="4"/>
  <c r="Z137" i="4"/>
  <c r="H137" i="4"/>
  <c r="C137" i="4"/>
  <c r="B137" i="9" s="1"/>
  <c r="A137" i="4"/>
  <c r="Z136" i="4"/>
  <c r="H136" i="4"/>
  <c r="C136" i="4"/>
  <c r="B136" i="9" s="1"/>
  <c r="A136" i="4"/>
  <c r="Z135" i="4"/>
  <c r="H135" i="4"/>
  <c r="C135" i="4"/>
  <c r="B135" i="9" s="1"/>
  <c r="A135" i="4"/>
  <c r="Z134" i="4"/>
  <c r="H134" i="4"/>
  <c r="C134" i="4"/>
  <c r="B134" i="9" s="1"/>
  <c r="A134" i="4"/>
  <c r="Z133" i="4"/>
  <c r="H133" i="4"/>
  <c r="C133" i="4"/>
  <c r="B133" i="9" s="1"/>
  <c r="A133" i="4"/>
  <c r="Z132" i="4"/>
  <c r="H132" i="4"/>
  <c r="C132" i="4"/>
  <c r="B132" i="9" s="1"/>
  <c r="A132" i="4"/>
  <c r="Z131" i="4"/>
  <c r="H131" i="4"/>
  <c r="C131" i="4"/>
  <c r="B131" i="9" s="1"/>
  <c r="A131" i="4"/>
  <c r="Z130" i="4"/>
  <c r="H130" i="4"/>
  <c r="C130" i="4"/>
  <c r="B130" i="9" s="1"/>
  <c r="A130" i="4"/>
  <c r="Z129" i="4"/>
  <c r="H129" i="4"/>
  <c r="C129" i="4"/>
  <c r="B129" i="9" s="1"/>
  <c r="A129" i="4"/>
  <c r="Z128" i="4"/>
  <c r="H128" i="4"/>
  <c r="C128" i="4"/>
  <c r="B128" i="9" s="1"/>
  <c r="A128" i="4"/>
  <c r="Z127" i="4"/>
  <c r="H127" i="4"/>
  <c r="C127" i="4"/>
  <c r="B127" i="9" s="1"/>
  <c r="A127" i="4"/>
  <c r="Z126" i="4"/>
  <c r="H126" i="4"/>
  <c r="C126" i="4"/>
  <c r="B126" i="9" s="1"/>
  <c r="A126" i="4"/>
  <c r="Z125" i="4"/>
  <c r="H125" i="4"/>
  <c r="C125" i="4"/>
  <c r="B125" i="9" s="1"/>
  <c r="A125" i="4"/>
  <c r="Z124" i="4"/>
  <c r="H124" i="4"/>
  <c r="C124" i="4"/>
  <c r="B124" i="9" s="1"/>
  <c r="A124" i="4"/>
  <c r="Z123" i="4"/>
  <c r="H123" i="4"/>
  <c r="C123" i="4"/>
  <c r="B123" i="9" s="1"/>
  <c r="A123" i="4"/>
  <c r="Z122" i="4"/>
  <c r="H122" i="4"/>
  <c r="C122" i="4"/>
  <c r="B122" i="9" s="1"/>
  <c r="A122" i="4"/>
  <c r="Z121" i="4"/>
  <c r="H121" i="4"/>
  <c r="C121" i="4"/>
  <c r="B121" i="9" s="1"/>
  <c r="A121" i="4"/>
  <c r="Z120" i="4"/>
  <c r="H120" i="4"/>
  <c r="C120" i="4"/>
  <c r="B120" i="9" s="1"/>
  <c r="A120" i="4"/>
  <c r="Z119" i="4"/>
  <c r="H119" i="4"/>
  <c r="C119" i="4"/>
  <c r="B119" i="9" s="1"/>
  <c r="A119" i="4"/>
  <c r="Z118" i="4"/>
  <c r="H118" i="4"/>
  <c r="C118" i="4"/>
  <c r="B118" i="9" s="1"/>
  <c r="A118" i="4"/>
  <c r="Z117" i="4"/>
  <c r="H117" i="4"/>
  <c r="C117" i="4"/>
  <c r="B117" i="9" s="1"/>
  <c r="A117" i="4"/>
  <c r="Z116" i="4"/>
  <c r="H116" i="4"/>
  <c r="C116" i="4"/>
  <c r="B116" i="9" s="1"/>
  <c r="A116" i="4"/>
  <c r="Z115" i="4"/>
  <c r="H115" i="4"/>
  <c r="C115" i="4"/>
  <c r="B115" i="9" s="1"/>
  <c r="A115" i="4"/>
  <c r="Z114" i="4"/>
  <c r="H114" i="4"/>
  <c r="C114" i="4"/>
  <c r="B114" i="9" s="1"/>
  <c r="A114" i="4"/>
  <c r="Z113" i="4"/>
  <c r="H113" i="4"/>
  <c r="C113" i="4"/>
  <c r="B113" i="9" s="1"/>
  <c r="A113" i="4"/>
  <c r="Z112" i="4"/>
  <c r="H112" i="4"/>
  <c r="C112" i="4"/>
  <c r="B112" i="9" s="1"/>
  <c r="A112" i="4"/>
  <c r="Z111" i="4"/>
  <c r="H111" i="4"/>
  <c r="C111" i="4"/>
  <c r="B111" i="9" s="1"/>
  <c r="A111" i="4"/>
  <c r="Z110" i="4"/>
  <c r="H110" i="4"/>
  <c r="C110" i="4"/>
  <c r="B110" i="9" s="1"/>
  <c r="A110" i="4"/>
  <c r="Z109" i="4"/>
  <c r="H109" i="4"/>
  <c r="C109" i="4"/>
  <c r="B109" i="9" s="1"/>
  <c r="A109" i="4"/>
  <c r="Z108" i="4"/>
  <c r="H108" i="4"/>
  <c r="C108" i="4"/>
  <c r="B108" i="9" s="1"/>
  <c r="A108" i="4"/>
  <c r="Z107" i="4"/>
  <c r="H107" i="4"/>
  <c r="C107" i="4"/>
  <c r="B107" i="9" s="1"/>
  <c r="A107" i="4"/>
  <c r="Z106" i="4"/>
  <c r="H106" i="4"/>
  <c r="C106" i="4"/>
  <c r="B106" i="9" s="1"/>
  <c r="A106" i="4"/>
  <c r="Z105" i="4"/>
  <c r="H105" i="4"/>
  <c r="C105" i="4"/>
  <c r="B105" i="9" s="1"/>
  <c r="A105" i="4"/>
  <c r="Z104" i="4"/>
  <c r="H104" i="4"/>
  <c r="C104" i="4"/>
  <c r="B104" i="9" s="1"/>
  <c r="A104" i="4"/>
  <c r="Z103" i="4"/>
  <c r="H103" i="4"/>
  <c r="C103" i="4"/>
  <c r="B103" i="9" s="1"/>
  <c r="A103" i="4"/>
  <c r="Z102" i="4"/>
  <c r="H102" i="4"/>
  <c r="C102" i="4"/>
  <c r="B102" i="9" s="1"/>
  <c r="A102" i="4"/>
  <c r="Z101" i="4"/>
  <c r="H101" i="4"/>
  <c r="C101" i="4"/>
  <c r="B101" i="9" s="1"/>
  <c r="A101" i="4"/>
  <c r="Z100" i="4"/>
  <c r="H100" i="4"/>
  <c r="C100" i="4"/>
  <c r="B100" i="9" s="1"/>
  <c r="A100" i="4"/>
  <c r="Z99" i="4"/>
  <c r="H99" i="4"/>
  <c r="C99" i="4"/>
  <c r="B99" i="9" s="1"/>
  <c r="A99" i="4"/>
  <c r="Z98" i="4"/>
  <c r="H98" i="4"/>
  <c r="C98" i="4"/>
  <c r="B98" i="9" s="1"/>
  <c r="A98" i="4"/>
  <c r="Z97" i="4"/>
  <c r="H97" i="4"/>
  <c r="C97" i="4"/>
  <c r="B97" i="9" s="1"/>
  <c r="A97" i="4"/>
  <c r="Z96" i="4"/>
  <c r="H96" i="4"/>
  <c r="C96" i="4"/>
  <c r="B96" i="9" s="1"/>
  <c r="A96" i="4"/>
  <c r="Z95" i="4"/>
  <c r="H95" i="4"/>
  <c r="C95" i="4"/>
  <c r="B95" i="9" s="1"/>
  <c r="A95" i="4"/>
  <c r="Z94" i="4"/>
  <c r="H94" i="4"/>
  <c r="C94" i="4"/>
  <c r="B94" i="9" s="1"/>
  <c r="A94" i="4"/>
  <c r="Z93" i="4"/>
  <c r="H93" i="4"/>
  <c r="C93" i="4"/>
  <c r="B93" i="9" s="1"/>
  <c r="A93" i="4"/>
  <c r="Z92" i="4"/>
  <c r="H92" i="4"/>
  <c r="C92" i="4"/>
  <c r="B92" i="9" s="1"/>
  <c r="A92" i="4"/>
  <c r="Z91" i="4"/>
  <c r="H91" i="4"/>
  <c r="C91" i="4"/>
  <c r="B91" i="9" s="1"/>
  <c r="A91" i="4"/>
  <c r="Z90" i="4"/>
  <c r="H90" i="4"/>
  <c r="C90" i="4"/>
  <c r="B90" i="9" s="1"/>
  <c r="A90" i="4"/>
  <c r="Z89" i="4"/>
  <c r="H89" i="4"/>
  <c r="C89" i="4"/>
  <c r="B89" i="9" s="1"/>
  <c r="A89" i="4"/>
  <c r="Z88" i="4"/>
  <c r="H88" i="4"/>
  <c r="C88" i="4"/>
  <c r="B88" i="9" s="1"/>
  <c r="A88" i="4"/>
  <c r="Z87" i="4"/>
  <c r="H87" i="4"/>
  <c r="C87" i="4"/>
  <c r="B87" i="9" s="1"/>
  <c r="A87" i="4"/>
  <c r="Z86" i="4"/>
  <c r="H86" i="4"/>
  <c r="C86" i="4"/>
  <c r="B86" i="9" s="1"/>
  <c r="A86" i="4"/>
  <c r="Z85" i="4"/>
  <c r="H85" i="4"/>
  <c r="C85" i="4"/>
  <c r="B85" i="9" s="1"/>
  <c r="A85" i="4"/>
  <c r="Z84" i="4"/>
  <c r="H84" i="4"/>
  <c r="C84" i="4"/>
  <c r="B84" i="9" s="1"/>
  <c r="A84" i="4"/>
  <c r="Z83" i="4"/>
  <c r="H83" i="4"/>
  <c r="C83" i="4"/>
  <c r="B83" i="9" s="1"/>
  <c r="A83" i="4"/>
  <c r="Z82" i="4"/>
  <c r="H82" i="4"/>
  <c r="C82" i="4"/>
  <c r="B82" i="9" s="1"/>
  <c r="A82" i="4"/>
  <c r="Z81" i="4"/>
  <c r="H81" i="4"/>
  <c r="C81" i="4"/>
  <c r="B81" i="9" s="1"/>
  <c r="A81" i="4"/>
  <c r="Z80" i="4"/>
  <c r="H80" i="4"/>
  <c r="C80" i="4"/>
  <c r="B80" i="9" s="1"/>
  <c r="A80" i="4"/>
  <c r="Z79" i="4"/>
  <c r="H79" i="4"/>
  <c r="C79" i="4"/>
  <c r="B79" i="9" s="1"/>
  <c r="A79" i="4"/>
  <c r="Z78" i="4"/>
  <c r="H78" i="4"/>
  <c r="C78" i="4"/>
  <c r="B78" i="9" s="1"/>
  <c r="A78" i="4"/>
  <c r="Z77" i="4"/>
  <c r="H77" i="4"/>
  <c r="C77" i="4"/>
  <c r="B77" i="9" s="1"/>
  <c r="A77" i="4"/>
  <c r="Z76" i="4"/>
  <c r="H76" i="4"/>
  <c r="C76" i="4"/>
  <c r="B76" i="9" s="1"/>
  <c r="A76" i="4"/>
  <c r="Z75" i="4"/>
  <c r="H75" i="4"/>
  <c r="C75" i="4"/>
  <c r="B75" i="9" s="1"/>
  <c r="A75" i="4"/>
  <c r="Z74" i="4"/>
  <c r="H74" i="4"/>
  <c r="C74" i="4"/>
  <c r="B74" i="9" s="1"/>
  <c r="A74" i="4"/>
  <c r="Z73" i="4"/>
  <c r="H73" i="4"/>
  <c r="C73" i="4"/>
  <c r="B73" i="9" s="1"/>
  <c r="A73" i="4"/>
  <c r="Z72" i="4"/>
  <c r="H72" i="4"/>
  <c r="C72" i="4"/>
  <c r="B72" i="9" s="1"/>
  <c r="A72" i="4"/>
  <c r="Z71" i="4"/>
  <c r="H71" i="4"/>
  <c r="C71" i="4"/>
  <c r="B71" i="9" s="1"/>
  <c r="A71" i="4"/>
  <c r="Z70" i="4"/>
  <c r="H70" i="4"/>
  <c r="C70" i="4"/>
  <c r="B70" i="9" s="1"/>
  <c r="A70" i="4"/>
  <c r="Z69" i="4"/>
  <c r="H69" i="4"/>
  <c r="C69" i="4"/>
  <c r="B69" i="9" s="1"/>
  <c r="A69" i="4"/>
  <c r="Z68" i="4"/>
  <c r="H68" i="4"/>
  <c r="C68" i="4"/>
  <c r="B68" i="9" s="1"/>
  <c r="A68" i="4"/>
  <c r="Z67" i="4"/>
  <c r="H67" i="4"/>
  <c r="C67" i="4"/>
  <c r="B67" i="9" s="1"/>
  <c r="A67" i="4"/>
  <c r="Z66" i="4"/>
  <c r="H66" i="4"/>
  <c r="C66" i="4"/>
  <c r="B66" i="9" s="1"/>
  <c r="A66" i="4"/>
  <c r="Z65" i="4"/>
  <c r="H65" i="4"/>
  <c r="C65" i="4"/>
  <c r="B65" i="9" s="1"/>
  <c r="A65" i="4"/>
  <c r="Z64" i="4"/>
  <c r="H64" i="4"/>
  <c r="C64" i="4"/>
  <c r="B64" i="9" s="1"/>
  <c r="A64" i="4"/>
  <c r="Z63" i="4"/>
  <c r="H63" i="4"/>
  <c r="C63" i="4"/>
  <c r="B63" i="9" s="1"/>
  <c r="A63" i="4"/>
  <c r="Z62" i="4"/>
  <c r="H62" i="4"/>
  <c r="C62" i="4"/>
  <c r="B62" i="9" s="1"/>
  <c r="A62" i="4"/>
  <c r="Z61" i="4"/>
  <c r="H61" i="4"/>
  <c r="C61" i="4"/>
  <c r="B61" i="9" s="1"/>
  <c r="A61" i="4"/>
  <c r="Z60" i="4"/>
  <c r="H60" i="4"/>
  <c r="C60" i="4"/>
  <c r="B60" i="9" s="1"/>
  <c r="A60" i="4"/>
  <c r="Z59" i="4"/>
  <c r="H59" i="4"/>
  <c r="C59" i="4"/>
  <c r="B59" i="9" s="1"/>
  <c r="A59" i="4"/>
  <c r="Z58" i="4"/>
  <c r="H58" i="4"/>
  <c r="C58" i="4"/>
  <c r="B58" i="9" s="1"/>
  <c r="A58" i="4"/>
  <c r="Z57" i="4"/>
  <c r="H57" i="4"/>
  <c r="C57" i="4"/>
  <c r="B57" i="9" s="1"/>
  <c r="A57" i="4"/>
  <c r="Z56" i="4"/>
  <c r="H56" i="4"/>
  <c r="C56" i="4"/>
  <c r="B56" i="9" s="1"/>
  <c r="A56" i="4"/>
  <c r="Z55" i="4"/>
  <c r="H55" i="4"/>
  <c r="C55" i="4"/>
  <c r="B55" i="9" s="1"/>
  <c r="A55" i="4"/>
  <c r="Z54" i="4"/>
  <c r="H54" i="4"/>
  <c r="C54" i="4"/>
  <c r="B54" i="9" s="1"/>
  <c r="A54" i="4"/>
  <c r="Z53" i="4"/>
  <c r="H53" i="4"/>
  <c r="C53" i="4"/>
  <c r="B53" i="9" s="1"/>
  <c r="A53" i="4"/>
  <c r="Z52" i="4"/>
  <c r="H52" i="4"/>
  <c r="C52" i="4"/>
  <c r="B52" i="9" s="1"/>
  <c r="A52" i="4"/>
  <c r="Z51" i="4"/>
  <c r="H51" i="4"/>
  <c r="C51" i="4"/>
  <c r="B51" i="9" s="1"/>
  <c r="A51" i="4"/>
  <c r="Z50" i="4"/>
  <c r="H50" i="4"/>
  <c r="C50" i="4"/>
  <c r="B50" i="9" s="1"/>
  <c r="A50" i="4"/>
  <c r="Z49" i="4"/>
  <c r="H49" i="4"/>
  <c r="C49" i="4"/>
  <c r="B49" i="9" s="1"/>
  <c r="A49" i="4"/>
  <c r="Z48" i="4"/>
  <c r="H48" i="4"/>
  <c r="C48" i="4"/>
  <c r="B48" i="9" s="1"/>
  <c r="A48" i="4"/>
  <c r="Z47" i="4"/>
  <c r="H47" i="4"/>
  <c r="C47" i="4"/>
  <c r="B47" i="9" s="1"/>
  <c r="A47" i="4"/>
  <c r="Z46" i="4"/>
  <c r="H46" i="4"/>
  <c r="C46" i="4"/>
  <c r="B46" i="9" s="1"/>
  <c r="A46" i="4"/>
  <c r="Z45" i="4"/>
  <c r="H45" i="4"/>
  <c r="C45" i="4"/>
  <c r="B45" i="9" s="1"/>
  <c r="A45" i="4"/>
  <c r="Z44" i="4"/>
  <c r="H44" i="4"/>
  <c r="C44" i="4"/>
  <c r="B44" i="9" s="1"/>
  <c r="A44" i="4"/>
  <c r="Z43" i="4"/>
  <c r="H43" i="4"/>
  <c r="C43" i="4"/>
  <c r="B43" i="9" s="1"/>
  <c r="A43" i="4"/>
  <c r="Z42" i="4"/>
  <c r="H42" i="4"/>
  <c r="C42" i="4"/>
  <c r="B42" i="9" s="1"/>
  <c r="A42" i="4"/>
  <c r="Z41" i="4"/>
  <c r="H41" i="4"/>
  <c r="C41" i="4"/>
  <c r="B41" i="9" s="1"/>
  <c r="A41" i="4"/>
  <c r="Z40" i="4"/>
  <c r="H40" i="4"/>
  <c r="C40" i="4"/>
  <c r="B40" i="9" s="1"/>
  <c r="A40" i="4"/>
  <c r="Z39" i="4"/>
  <c r="H39" i="4"/>
  <c r="C39" i="4"/>
  <c r="B39" i="9" s="1"/>
  <c r="A39" i="4"/>
  <c r="Z38" i="4"/>
  <c r="H38" i="4"/>
  <c r="C38" i="4"/>
  <c r="B38" i="9" s="1"/>
  <c r="A38" i="4"/>
  <c r="Z37" i="4"/>
  <c r="H37" i="4"/>
  <c r="C37" i="4"/>
  <c r="B37" i="9" s="1"/>
  <c r="A37" i="4"/>
  <c r="Z36" i="4"/>
  <c r="H36" i="4"/>
  <c r="C36" i="4"/>
  <c r="B36" i="9" s="1"/>
  <c r="A36" i="4"/>
  <c r="Z35" i="4"/>
  <c r="H35" i="4"/>
  <c r="C35" i="4"/>
  <c r="B35" i="9" s="1"/>
  <c r="A35" i="4"/>
  <c r="Z34" i="4"/>
  <c r="H34" i="4"/>
  <c r="C34" i="4"/>
  <c r="B34" i="9" s="1"/>
  <c r="A34" i="4"/>
  <c r="Z33" i="4"/>
  <c r="H33" i="4"/>
  <c r="C33" i="4"/>
  <c r="B33" i="9" s="1"/>
  <c r="A33" i="4"/>
  <c r="Z32" i="4"/>
  <c r="H32" i="4"/>
  <c r="C32" i="4"/>
  <c r="B32" i="9" s="1"/>
  <c r="A32" i="4"/>
  <c r="Z31" i="4"/>
  <c r="H31" i="4"/>
  <c r="C31" i="4"/>
  <c r="B31" i="9" s="1"/>
  <c r="A31" i="4"/>
  <c r="Z30" i="4"/>
  <c r="H30" i="4"/>
  <c r="C30" i="4"/>
  <c r="B30" i="9" s="1"/>
  <c r="A30" i="4"/>
  <c r="Z29" i="4"/>
  <c r="H29" i="4"/>
  <c r="C29" i="4"/>
  <c r="B29" i="9" s="1"/>
  <c r="A29" i="4"/>
  <c r="Z28" i="4"/>
  <c r="H28" i="4"/>
  <c r="C28" i="4"/>
  <c r="B28" i="9" s="1"/>
  <c r="A28" i="4"/>
  <c r="Z27" i="4"/>
  <c r="H27" i="4"/>
  <c r="C27" i="4"/>
  <c r="B27" i="9" s="1"/>
  <c r="A27" i="4"/>
  <c r="Z26" i="4"/>
  <c r="H26" i="4"/>
  <c r="C26" i="4"/>
  <c r="B26" i="9" s="1"/>
  <c r="A26" i="4"/>
  <c r="Z25" i="4"/>
  <c r="H25" i="4"/>
  <c r="C25" i="4"/>
  <c r="B25" i="9" s="1"/>
  <c r="A25" i="4"/>
  <c r="Z24" i="4"/>
  <c r="H24" i="4"/>
  <c r="C24" i="4"/>
  <c r="B24" i="9" s="1"/>
  <c r="A24" i="4"/>
  <c r="Z23" i="4"/>
  <c r="H23" i="4"/>
  <c r="C23" i="4"/>
  <c r="B23" i="9" s="1"/>
  <c r="A23" i="4"/>
  <c r="Z22" i="4"/>
  <c r="H22" i="4"/>
  <c r="C22" i="4"/>
  <c r="B22" i="9" s="1"/>
  <c r="A22" i="4"/>
  <c r="H21" i="4"/>
  <c r="C21" i="4"/>
  <c r="B21" i="9" s="1"/>
  <c r="A21" i="4"/>
  <c r="H20" i="4"/>
  <c r="C20" i="4"/>
  <c r="B20" i="9" s="1"/>
  <c r="A20" i="4"/>
  <c r="H19" i="4"/>
  <c r="C19" i="4"/>
  <c r="B19" i="9" s="1"/>
  <c r="A19" i="4"/>
  <c r="H18" i="4"/>
  <c r="C18" i="4"/>
  <c r="B18" i="9" s="1"/>
  <c r="A18" i="4"/>
  <c r="H17" i="4"/>
  <c r="C17" i="4"/>
  <c r="B17" i="9" s="1"/>
  <c r="A17" i="4"/>
  <c r="H16" i="4"/>
  <c r="C16" i="4"/>
  <c r="B16" i="9" s="1"/>
  <c r="A16" i="4"/>
  <c r="H15" i="4"/>
  <c r="C15" i="4"/>
  <c r="B15" i="9" s="1"/>
  <c r="A15" i="4"/>
  <c r="H14" i="4"/>
  <c r="C14" i="4"/>
  <c r="B14" i="9" s="1"/>
  <c r="A14" i="4"/>
  <c r="H13" i="4"/>
  <c r="C13" i="4"/>
  <c r="B13" i="9" s="1"/>
  <c r="A13" i="4"/>
  <c r="H12" i="4"/>
  <c r="C12" i="4"/>
  <c r="B12" i="9" s="1"/>
  <c r="A12" i="4"/>
  <c r="H11" i="4"/>
  <c r="C11" i="4"/>
  <c r="B11" i="9" s="1"/>
  <c r="A11" i="4"/>
  <c r="H10" i="4"/>
  <c r="C10" i="4"/>
  <c r="B10" i="9" s="1"/>
  <c r="A10" i="4"/>
  <c r="H9" i="4"/>
  <c r="C9" i="4"/>
  <c r="B9" i="9" s="1"/>
  <c r="A9" i="4"/>
  <c r="H8" i="4"/>
  <c r="C8" i="4"/>
  <c r="B8" i="9" s="1"/>
  <c r="A8" i="4"/>
  <c r="H7" i="4"/>
  <c r="C7" i="4"/>
  <c r="B7" i="9" s="1"/>
  <c r="A7" i="4"/>
  <c r="H6" i="4"/>
  <c r="C6" i="4"/>
  <c r="B6" i="9" s="1"/>
  <c r="A6" i="4"/>
  <c r="H5" i="4"/>
  <c r="C5" i="4"/>
  <c r="B5" i="9" s="1"/>
  <c r="A5" i="4"/>
  <c r="H4" i="4"/>
  <c r="C4" i="4"/>
  <c r="B4" i="9" s="1"/>
  <c r="A4" i="4"/>
  <c r="H3" i="4"/>
  <c r="C3" i="4"/>
  <c r="B3" i="9" s="1"/>
  <c r="A3" i="4"/>
  <c r="H2" i="4"/>
  <c r="C2" i="4"/>
  <c r="B2" i="9" s="1"/>
  <c r="A2" i="4"/>
  <c r="F17" i="12" l="1"/>
  <c r="B17" i="11"/>
  <c r="B16" i="11"/>
  <c r="A505" i="13"/>
  <c r="A501" i="9"/>
  <c r="A504" i="13"/>
  <c r="A500" i="9"/>
  <c r="A503" i="13"/>
  <c r="A499" i="9"/>
  <c r="A502" i="13"/>
  <c r="A498" i="9"/>
  <c r="A501" i="13"/>
  <c r="A497" i="9"/>
  <c r="A500" i="13"/>
  <c r="A496" i="9"/>
  <c r="A499" i="13"/>
  <c r="A495" i="9"/>
  <c r="A494" i="9"/>
  <c r="A498" i="13"/>
  <c r="A497" i="13"/>
  <c r="A493" i="9"/>
  <c r="A496" i="13"/>
  <c r="A492" i="9"/>
  <c r="A495" i="13"/>
  <c r="A491" i="9"/>
  <c r="A494" i="13"/>
  <c r="A490" i="9"/>
  <c r="A489" i="9"/>
  <c r="A493" i="13"/>
  <c r="A488" i="9"/>
  <c r="A492" i="13"/>
  <c r="A491" i="13"/>
  <c r="A487" i="9"/>
  <c r="A490" i="13"/>
  <c r="A486" i="9"/>
  <c r="A489" i="13"/>
  <c r="A485" i="9"/>
  <c r="A488" i="13"/>
  <c r="A484" i="9"/>
  <c r="A487" i="13"/>
  <c r="A483" i="9"/>
  <c r="A482" i="9"/>
  <c r="A486" i="13"/>
  <c r="A481" i="9"/>
  <c r="A485" i="13"/>
  <c r="A484" i="13"/>
  <c r="A480" i="9"/>
  <c r="A483" i="13"/>
  <c r="A479" i="9"/>
  <c r="A482" i="13"/>
  <c r="A478" i="9"/>
  <c r="A481" i="13"/>
  <c r="A477" i="9"/>
  <c r="A480" i="13"/>
  <c r="A476" i="9"/>
  <c r="A475" i="9"/>
  <c r="A479" i="13"/>
  <c r="A474" i="9"/>
  <c r="A478" i="13"/>
  <c r="A477" i="13"/>
  <c r="A473" i="9"/>
  <c r="A476" i="13"/>
  <c r="A472" i="9"/>
  <c r="A471" i="9"/>
  <c r="A475" i="13"/>
  <c r="A470" i="9"/>
  <c r="A474" i="13"/>
  <c r="A473" i="13"/>
  <c r="A469" i="9"/>
  <c r="A472" i="13"/>
  <c r="A468" i="9"/>
  <c r="A471" i="13"/>
  <c r="A467" i="9"/>
  <c r="A470" i="13"/>
  <c r="A466" i="9"/>
  <c r="A469" i="13"/>
  <c r="A465" i="9"/>
  <c r="A468" i="13"/>
  <c r="A464" i="9"/>
  <c r="A467" i="13"/>
  <c r="A463" i="9"/>
  <c r="A466" i="13"/>
  <c r="A462" i="9"/>
  <c r="A465" i="13"/>
  <c r="A461" i="9"/>
  <c r="A464" i="13"/>
  <c r="A460" i="9"/>
  <c r="A463" i="13"/>
  <c r="A459" i="9"/>
  <c r="A458" i="9"/>
  <c r="A462" i="13"/>
  <c r="A457" i="9"/>
  <c r="A461" i="13"/>
  <c r="A460" i="13"/>
  <c r="A456" i="9"/>
  <c r="A459" i="13"/>
  <c r="A455" i="9"/>
  <c r="A458" i="13"/>
  <c r="A454" i="9"/>
  <c r="A457" i="13"/>
  <c r="A453" i="9"/>
  <c r="A452" i="9"/>
  <c r="A456" i="13"/>
  <c r="A451" i="9"/>
  <c r="A455" i="13"/>
  <c r="A454" i="13"/>
  <c r="A450" i="9"/>
  <c r="A449" i="9"/>
  <c r="A453" i="13"/>
  <c r="A448" i="9"/>
  <c r="A452" i="13"/>
  <c r="A447" i="9"/>
  <c r="A451" i="13"/>
  <c r="A446" i="9"/>
  <c r="A450" i="13"/>
  <c r="A445" i="9"/>
  <c r="A449" i="13"/>
  <c r="A444" i="9"/>
  <c r="A448" i="13"/>
  <c r="A443" i="9"/>
  <c r="A447" i="13"/>
  <c r="A442" i="9"/>
  <c r="A446" i="13"/>
  <c r="A441" i="9"/>
  <c r="A445" i="13"/>
  <c r="A440" i="9"/>
  <c r="A444" i="13"/>
  <c r="A443" i="13"/>
  <c r="A439" i="9"/>
  <c r="A442" i="13"/>
  <c r="A438" i="9"/>
  <c r="A437" i="9"/>
  <c r="A441" i="13"/>
  <c r="A440" i="13"/>
  <c r="A436" i="9"/>
  <c r="A439" i="13"/>
  <c r="A435" i="9"/>
  <c r="A438" i="13"/>
  <c r="A434" i="9"/>
  <c r="A437" i="13"/>
  <c r="A433" i="9"/>
  <c r="A436" i="13"/>
  <c r="A432" i="9"/>
  <c r="A435" i="13"/>
  <c r="A431" i="9"/>
  <c r="A430" i="9"/>
  <c r="A434" i="13"/>
  <c r="A433" i="13"/>
  <c r="A429" i="9"/>
  <c r="A432" i="13"/>
  <c r="A428" i="9"/>
  <c r="A431" i="13"/>
  <c r="A427" i="9"/>
  <c r="A430" i="13"/>
  <c r="A426" i="9"/>
  <c r="A429" i="13"/>
  <c r="A425" i="9"/>
  <c r="A428" i="13"/>
  <c r="A424" i="9"/>
  <c r="A427" i="13"/>
  <c r="A423" i="9"/>
  <c r="A426" i="13"/>
  <c r="A422" i="9"/>
  <c r="A425" i="13"/>
  <c r="A421" i="9"/>
  <c r="A424" i="13"/>
  <c r="A420" i="9"/>
  <c r="A423" i="13"/>
  <c r="A419" i="9"/>
  <c r="A422" i="13"/>
  <c r="A418" i="9"/>
  <c r="A421" i="13"/>
  <c r="A417" i="9"/>
  <c r="A420" i="13"/>
  <c r="A416" i="9"/>
  <c r="A419" i="13"/>
  <c r="A415" i="9"/>
  <c r="A418" i="13"/>
  <c r="A414" i="9"/>
  <c r="A417" i="13"/>
  <c r="A413" i="9"/>
  <c r="A416" i="13"/>
  <c r="A412" i="9"/>
  <c r="A415" i="13"/>
  <c r="A411" i="9"/>
  <c r="A410" i="9"/>
  <c r="A414" i="13"/>
  <c r="A409" i="9"/>
  <c r="A413" i="13"/>
  <c r="A408" i="9"/>
  <c r="A412" i="13"/>
  <c r="A407" i="9"/>
  <c r="A411" i="13"/>
  <c r="A410" i="13"/>
  <c r="A406" i="9"/>
  <c r="A409" i="13"/>
  <c r="A405" i="9"/>
  <c r="A408" i="13"/>
  <c r="A404" i="9"/>
  <c r="A407" i="13"/>
  <c r="A403" i="9"/>
  <c r="A406" i="13"/>
  <c r="A402" i="9"/>
  <c r="A405" i="13"/>
  <c r="A401" i="9"/>
  <c r="A404" i="13"/>
  <c r="A400" i="9"/>
  <c r="A403" i="13"/>
  <c r="A399" i="9"/>
  <c r="A402" i="13"/>
  <c r="A398" i="9"/>
  <c r="A397" i="9"/>
  <c r="A401" i="13"/>
  <c r="A396" i="9"/>
  <c r="A400" i="13"/>
  <c r="A395" i="9"/>
  <c r="A399" i="13"/>
  <c r="A398" i="13"/>
  <c r="A394" i="9"/>
  <c r="A393" i="9"/>
  <c r="A397" i="13"/>
  <c r="A396" i="13"/>
  <c r="A392" i="9"/>
  <c r="A395" i="13"/>
  <c r="A391" i="9"/>
  <c r="A394" i="13"/>
  <c r="A390" i="9"/>
  <c r="A393" i="13"/>
  <c r="A389" i="9"/>
  <c r="A392" i="13"/>
  <c r="A388" i="9"/>
  <c r="A391" i="13"/>
  <c r="A387" i="9"/>
  <c r="A390" i="13"/>
  <c r="A386" i="9"/>
  <c r="A385" i="9"/>
  <c r="A389" i="13"/>
  <c r="A384" i="9"/>
  <c r="A388" i="13"/>
  <c r="A383" i="9"/>
  <c r="A387" i="13"/>
  <c r="A386" i="13"/>
  <c r="A382" i="9"/>
  <c r="A381" i="9"/>
  <c r="A385" i="13"/>
  <c r="A384" i="13"/>
  <c r="A380" i="9"/>
  <c r="A379" i="9"/>
  <c r="A383" i="13"/>
  <c r="A378" i="9"/>
  <c r="A382" i="13"/>
  <c r="A377" i="9"/>
  <c r="A381" i="13"/>
  <c r="A376" i="9"/>
  <c r="A380" i="13"/>
  <c r="A379" i="13"/>
  <c r="A375" i="9"/>
  <c r="A378" i="13"/>
  <c r="A374" i="9"/>
  <c r="A373" i="9"/>
  <c r="A377" i="13"/>
  <c r="A376" i="13"/>
  <c r="A372" i="9"/>
  <c r="A375" i="13"/>
  <c r="A371" i="9"/>
  <c r="A374" i="13"/>
  <c r="A370" i="9"/>
  <c r="A373" i="13"/>
  <c r="A369" i="9"/>
  <c r="A372" i="13"/>
  <c r="A368" i="9"/>
  <c r="A371" i="13"/>
  <c r="A367" i="9"/>
  <c r="A370" i="13"/>
  <c r="A366" i="9"/>
  <c r="A369" i="13"/>
  <c r="A365" i="9"/>
  <c r="A364" i="9"/>
  <c r="A368" i="13"/>
  <c r="A363" i="9"/>
  <c r="A367" i="13"/>
  <c r="A366" i="13"/>
  <c r="A362" i="9"/>
  <c r="A361" i="9"/>
  <c r="A365" i="13"/>
  <c r="A364" i="13"/>
  <c r="A360" i="9"/>
  <c r="A359" i="9"/>
  <c r="A363" i="13"/>
  <c r="A358" i="9"/>
  <c r="A362" i="13"/>
  <c r="A361" i="13"/>
  <c r="A357" i="9"/>
  <c r="A360" i="13"/>
  <c r="A356" i="9"/>
  <c r="A355" i="9"/>
  <c r="A359" i="13"/>
  <c r="A354" i="9"/>
  <c r="A358" i="13"/>
  <c r="A357" i="13"/>
  <c r="A353" i="9"/>
  <c r="A356" i="13"/>
  <c r="A352" i="9"/>
  <c r="A355" i="13"/>
  <c r="A351" i="9"/>
  <c r="A354" i="13"/>
  <c r="A350" i="9"/>
  <c r="A353" i="13"/>
  <c r="A349" i="9"/>
  <c r="A352" i="13"/>
  <c r="A348" i="9"/>
  <c r="A351" i="13"/>
  <c r="A347" i="9"/>
  <c r="A346" i="9"/>
  <c r="A350" i="13"/>
  <c r="A349" i="13"/>
  <c r="A345" i="9"/>
  <c r="A344" i="9"/>
  <c r="A348" i="13"/>
  <c r="A347" i="13"/>
  <c r="A343" i="9"/>
  <c r="A346" i="13"/>
  <c r="A342" i="9"/>
  <c r="A341" i="9"/>
  <c r="A345" i="13"/>
  <c r="A340" i="9"/>
  <c r="A344" i="13"/>
  <c r="A339" i="9"/>
  <c r="A343" i="13"/>
  <c r="A338" i="9"/>
  <c r="A342" i="13"/>
  <c r="A341" i="13"/>
  <c r="A337" i="9"/>
  <c r="A336" i="9"/>
  <c r="A340" i="13"/>
  <c r="A335" i="9"/>
  <c r="A339" i="13"/>
  <c r="A334" i="9"/>
  <c r="A338" i="13"/>
  <c r="A333" i="9"/>
  <c r="A337" i="13"/>
  <c r="A332" i="9"/>
  <c r="A336" i="13"/>
  <c r="A331" i="9"/>
  <c r="A335" i="13"/>
  <c r="A334" i="13"/>
  <c r="A330" i="9"/>
  <c r="A329" i="9"/>
  <c r="A333" i="13"/>
  <c r="A328" i="9"/>
  <c r="A332" i="13"/>
  <c r="A327" i="9"/>
  <c r="A331" i="13"/>
  <c r="A326" i="9"/>
  <c r="A330" i="13"/>
  <c r="A325" i="9"/>
  <c r="A329" i="13"/>
  <c r="A328" i="13"/>
  <c r="A324" i="9"/>
  <c r="A323" i="9"/>
  <c r="A327" i="13"/>
  <c r="A322" i="9"/>
  <c r="A326" i="13"/>
  <c r="A325" i="13"/>
  <c r="A321" i="9"/>
  <c r="A320" i="9"/>
  <c r="A324" i="13"/>
  <c r="A323" i="13"/>
  <c r="A319" i="9"/>
  <c r="A318" i="9"/>
  <c r="A322" i="13"/>
  <c r="A321" i="13"/>
  <c r="A317" i="9"/>
  <c r="A320" i="13"/>
  <c r="A316" i="9"/>
  <c r="A319" i="13"/>
  <c r="A315" i="9"/>
  <c r="A318" i="13"/>
  <c r="A314" i="9"/>
  <c r="A317" i="13"/>
  <c r="A313" i="9"/>
  <c r="A316" i="13"/>
  <c r="A312" i="9"/>
  <c r="A315" i="13"/>
  <c r="A311" i="9"/>
  <c r="A314" i="13"/>
  <c r="A310" i="9"/>
  <c r="A313" i="13"/>
  <c r="A309" i="9"/>
  <c r="A308" i="9"/>
  <c r="A312" i="13"/>
  <c r="A311" i="13"/>
  <c r="A307" i="9"/>
  <c r="A310" i="13"/>
  <c r="A306" i="9"/>
  <c r="A309" i="13"/>
  <c r="A305" i="9"/>
  <c r="A308" i="13"/>
  <c r="A304" i="9"/>
  <c r="A307" i="13"/>
  <c r="A303" i="9"/>
  <c r="A306" i="13"/>
  <c r="A302" i="9"/>
  <c r="A305" i="13"/>
  <c r="A301" i="9"/>
  <c r="A304" i="13"/>
  <c r="A300" i="9"/>
  <c r="A299" i="9"/>
  <c r="A303" i="13"/>
  <c r="A302" i="13"/>
  <c r="A298" i="9"/>
  <c r="A301" i="13"/>
  <c r="A297" i="9"/>
  <c r="A300" i="13"/>
  <c r="A296" i="9"/>
  <c r="A299" i="13"/>
  <c r="A295" i="9"/>
  <c r="A298" i="13"/>
  <c r="A294" i="9"/>
  <c r="A297" i="13"/>
  <c r="A293" i="9"/>
  <c r="A296" i="13"/>
  <c r="A292" i="9"/>
  <c r="A295" i="13"/>
  <c r="A291" i="9"/>
  <c r="A290" i="9"/>
  <c r="A294" i="13"/>
  <c r="A293" i="13"/>
  <c r="A289" i="9"/>
  <c r="A288" i="9"/>
  <c r="A292" i="13"/>
  <c r="A287" i="9"/>
  <c r="A291" i="13"/>
  <c r="A290" i="13"/>
  <c r="A286" i="9"/>
  <c r="A289" i="13"/>
  <c r="A285" i="9"/>
  <c r="A288" i="13"/>
  <c r="A284" i="9"/>
  <c r="A287" i="13"/>
  <c r="A283" i="9"/>
  <c r="A286" i="13"/>
  <c r="A282" i="9"/>
  <c r="A285" i="13"/>
  <c r="A281" i="9"/>
  <c r="A284" i="13"/>
  <c r="A280" i="9"/>
  <c r="A283" i="13"/>
  <c r="A279" i="9"/>
  <c r="A282" i="13"/>
  <c r="A278" i="9"/>
  <c r="A277" i="9"/>
  <c r="A281" i="13"/>
  <c r="A280" i="13"/>
  <c r="A276" i="9"/>
  <c r="A279" i="13"/>
  <c r="A275" i="9"/>
  <c r="A278" i="13"/>
  <c r="A274" i="9"/>
  <c r="A277" i="13"/>
  <c r="A273" i="9"/>
  <c r="A276" i="13"/>
  <c r="A272" i="9"/>
  <c r="A275" i="13"/>
  <c r="A271" i="9"/>
  <c r="A270" i="9"/>
  <c r="A274" i="13"/>
  <c r="A269" i="9"/>
  <c r="A273" i="13"/>
  <c r="A268" i="9"/>
  <c r="A272" i="13"/>
  <c r="A271" i="13"/>
  <c r="A267" i="9"/>
  <c r="A270" i="13"/>
  <c r="A266" i="9"/>
  <c r="A269" i="13"/>
  <c r="A265" i="9"/>
  <c r="A264" i="9"/>
  <c r="A268" i="13"/>
  <c r="A267" i="13"/>
  <c r="A263" i="9"/>
  <c r="A262" i="9"/>
  <c r="A266" i="13"/>
  <c r="A261" i="9"/>
  <c r="A265" i="13"/>
  <c r="A260" i="9"/>
  <c r="A264" i="13"/>
  <c r="A259" i="9"/>
  <c r="A263" i="13"/>
  <c r="A258" i="9"/>
  <c r="A262" i="13"/>
  <c r="A257" i="9"/>
  <c r="A261" i="13"/>
  <c r="A260" i="13"/>
  <c r="A256" i="9"/>
  <c r="A255" i="9"/>
  <c r="A259" i="13"/>
  <c r="A254" i="9"/>
  <c r="A258" i="13"/>
  <c r="A253" i="9"/>
  <c r="A257" i="13"/>
  <c r="A252" i="9"/>
  <c r="A256" i="13"/>
  <c r="A255" i="13"/>
  <c r="A251" i="9"/>
  <c r="A254" i="13"/>
  <c r="A250" i="9"/>
  <c r="A253" i="13"/>
  <c r="A249" i="9"/>
  <c r="A252" i="13"/>
  <c r="A248" i="9"/>
  <c r="A251" i="13"/>
  <c r="A247" i="9"/>
  <c r="A246" i="9"/>
  <c r="A250" i="13"/>
  <c r="A249" i="13"/>
  <c r="A245" i="9"/>
  <c r="A248" i="13"/>
  <c r="A244" i="9"/>
  <c r="A247" i="13"/>
  <c r="A243" i="9"/>
  <c r="A246" i="13"/>
  <c r="A242" i="9"/>
  <c r="A245" i="13"/>
  <c r="A241" i="9"/>
  <c r="A244" i="13"/>
  <c r="A240" i="9"/>
  <c r="A243" i="13"/>
  <c r="A239" i="9"/>
  <c r="A242" i="13"/>
  <c r="A238" i="9"/>
  <c r="A241" i="13"/>
  <c r="A237" i="9"/>
  <c r="A240" i="13"/>
  <c r="A236" i="9"/>
  <c r="A239" i="13"/>
  <c r="A235" i="9"/>
  <c r="A238" i="13"/>
  <c r="A234" i="9"/>
  <c r="A237" i="13"/>
  <c r="A233" i="9"/>
  <c r="A236" i="13"/>
  <c r="A232" i="9"/>
  <c r="A235" i="13"/>
  <c r="A231" i="9"/>
  <c r="A234" i="13"/>
  <c r="A230" i="9"/>
  <c r="A229" i="9"/>
  <c r="A233" i="13"/>
  <c r="A228" i="9"/>
  <c r="A232" i="13"/>
  <c r="A227" i="9"/>
  <c r="A231" i="13"/>
  <c r="A226" i="9"/>
  <c r="A230" i="13"/>
  <c r="A225" i="9"/>
  <c r="A229" i="13"/>
  <c r="A224" i="9"/>
  <c r="A228" i="13"/>
  <c r="A223" i="9"/>
  <c r="A227" i="13"/>
  <c r="A222" i="9"/>
  <c r="A226" i="13"/>
  <c r="A225" i="13"/>
  <c r="A221" i="9"/>
  <c r="A224" i="13"/>
  <c r="A220" i="9"/>
  <c r="A219" i="9"/>
  <c r="A223" i="13"/>
  <c r="A222" i="13"/>
  <c r="A218" i="9"/>
  <c r="A221" i="13"/>
  <c r="A217" i="9"/>
  <c r="A220" i="13"/>
  <c r="A216" i="9"/>
  <c r="A219" i="13"/>
  <c r="A215" i="9"/>
  <c r="A218" i="13"/>
  <c r="A214" i="9"/>
  <c r="A217" i="13"/>
  <c r="A213" i="9"/>
  <c r="A212" i="9"/>
  <c r="A216" i="13"/>
  <c r="A215" i="13"/>
  <c r="A211" i="9"/>
  <c r="A214" i="13"/>
  <c r="A210" i="9"/>
  <c r="A213" i="13"/>
  <c r="A209" i="9"/>
  <c r="A212" i="13"/>
  <c r="A208" i="9"/>
  <c r="A207" i="9"/>
  <c r="A211" i="13"/>
  <c r="A210" i="13"/>
  <c r="A206" i="9"/>
  <c r="A209" i="13"/>
  <c r="A205" i="9"/>
  <c r="A208" i="13"/>
  <c r="A204" i="9"/>
  <c r="A207" i="13"/>
  <c r="A203" i="9"/>
  <c r="A202" i="9"/>
  <c r="A206" i="13"/>
  <c r="A205" i="13"/>
  <c r="A201" i="9"/>
  <c r="A200" i="9"/>
  <c r="A204" i="13"/>
  <c r="A199" i="9"/>
  <c r="A203" i="13"/>
  <c r="A198" i="9"/>
  <c r="A202" i="13"/>
  <c r="A201" i="13"/>
  <c r="A197" i="9"/>
  <c r="A200" i="13"/>
  <c r="A196" i="9"/>
  <c r="A199" i="13"/>
  <c r="A195" i="9"/>
  <c r="A194" i="9"/>
  <c r="A198" i="13"/>
  <c r="A197" i="13"/>
  <c r="A193" i="9"/>
  <c r="A192" i="9"/>
  <c r="A196" i="13"/>
  <c r="A195" i="13"/>
  <c r="A191" i="9"/>
  <c r="A190" i="9"/>
  <c r="A194" i="13"/>
  <c r="A193" i="13"/>
  <c r="A189" i="9"/>
  <c r="A188" i="9"/>
  <c r="A192" i="13"/>
  <c r="A187" i="9"/>
  <c r="A191" i="13"/>
  <c r="A190" i="13"/>
  <c r="A186" i="9"/>
  <c r="A189" i="13"/>
  <c r="A185" i="9"/>
  <c r="A188" i="13"/>
  <c r="A184" i="9"/>
  <c r="A187" i="13"/>
  <c r="A183" i="9"/>
  <c r="A186" i="13"/>
  <c r="A182" i="9"/>
  <c r="A181" i="9"/>
  <c r="A185" i="13"/>
  <c r="A184" i="13"/>
  <c r="A180" i="9"/>
  <c r="A179" i="9"/>
  <c r="A183" i="13"/>
  <c r="A178" i="9"/>
  <c r="A182" i="13"/>
  <c r="A177" i="9"/>
  <c r="A181" i="13"/>
  <c r="A176" i="9"/>
  <c r="A180" i="13"/>
  <c r="A175" i="9"/>
  <c r="A179" i="13"/>
  <c r="A174" i="9"/>
  <c r="A178" i="13"/>
  <c r="A177" i="13"/>
  <c r="A173" i="9"/>
  <c r="A176" i="13"/>
  <c r="A172" i="9"/>
  <c r="A175" i="13"/>
  <c r="A171" i="9"/>
  <c r="A174" i="13"/>
  <c r="A170" i="9"/>
  <c r="A173" i="13"/>
  <c r="A169" i="9"/>
  <c r="A172" i="13"/>
  <c r="A168" i="9"/>
  <c r="A171" i="13"/>
  <c r="A167" i="9"/>
  <c r="A170" i="13"/>
  <c r="A166" i="9"/>
  <c r="A169" i="13"/>
  <c r="A165" i="9"/>
  <c r="A168" i="13"/>
  <c r="A164" i="9"/>
  <c r="A167" i="13"/>
  <c r="A163" i="9"/>
  <c r="A166" i="13"/>
  <c r="A162" i="9"/>
  <c r="A165" i="13"/>
  <c r="A161" i="9"/>
  <c r="A160" i="9"/>
  <c r="A164" i="13"/>
  <c r="A163" i="13"/>
  <c r="A159" i="9"/>
  <c r="A162" i="13"/>
  <c r="A158" i="9"/>
  <c r="A161" i="13"/>
  <c r="A157" i="9"/>
  <c r="A160" i="13"/>
  <c r="A156" i="9"/>
  <c r="A159" i="13"/>
  <c r="A155" i="9"/>
  <c r="A158" i="13"/>
  <c r="A154" i="9"/>
  <c r="A157" i="13"/>
  <c r="A153" i="9"/>
  <c r="A152" i="9"/>
  <c r="A156" i="13"/>
  <c r="A151" i="9"/>
  <c r="A155" i="13"/>
  <c r="A154" i="13"/>
  <c r="A150" i="9"/>
  <c r="A153" i="13"/>
  <c r="A149" i="9"/>
  <c r="A152" i="13"/>
  <c r="A148" i="9"/>
  <c r="A151" i="13"/>
  <c r="A147" i="9"/>
  <c r="A150" i="13"/>
  <c r="A146" i="9"/>
  <c r="A149" i="13"/>
  <c r="A145" i="9"/>
  <c r="A148" i="13"/>
  <c r="A144" i="9"/>
  <c r="A147" i="13"/>
  <c r="A143" i="9"/>
  <c r="A142" i="9"/>
  <c r="A146" i="13"/>
  <c r="A141" i="9"/>
  <c r="A145" i="13"/>
  <c r="A144" i="13"/>
  <c r="A140" i="9"/>
  <c r="A143" i="13"/>
  <c r="A139" i="9"/>
  <c r="A142" i="13"/>
  <c r="A138" i="9"/>
  <c r="A141" i="13"/>
  <c r="A137" i="9"/>
  <c r="A140" i="13"/>
  <c r="A136" i="9"/>
  <c r="A139" i="13"/>
  <c r="A135" i="9"/>
  <c r="A138" i="13"/>
  <c r="A134" i="9"/>
  <c r="A133" i="9"/>
  <c r="A137" i="13"/>
  <c r="A132" i="9"/>
  <c r="A136" i="13"/>
  <c r="A135" i="13"/>
  <c r="A131" i="9"/>
  <c r="A130" i="9"/>
  <c r="A134" i="13"/>
  <c r="A133" i="13"/>
  <c r="A129" i="9"/>
  <c r="A132" i="13"/>
  <c r="A128" i="9"/>
  <c r="A131" i="13"/>
  <c r="A127" i="9"/>
  <c r="A130" i="13"/>
  <c r="A126" i="9"/>
  <c r="A125" i="9"/>
  <c r="A129" i="13"/>
  <c r="A128" i="13"/>
  <c r="A124" i="9"/>
  <c r="A127" i="13"/>
  <c r="A123" i="9"/>
  <c r="A126" i="13"/>
  <c r="A122" i="9"/>
  <c r="A121" i="9"/>
  <c r="A125" i="13"/>
  <c r="A124" i="13"/>
  <c r="A120" i="9"/>
  <c r="A123" i="13"/>
  <c r="A119" i="9"/>
  <c r="A122" i="13"/>
  <c r="A118" i="9"/>
  <c r="A121" i="13"/>
  <c r="A117" i="9"/>
  <c r="A120" i="13"/>
  <c r="A116" i="9"/>
  <c r="A119" i="13"/>
  <c r="A115" i="9"/>
  <c r="A118" i="13"/>
  <c r="A114" i="9"/>
  <c r="A117" i="13"/>
  <c r="A113" i="9"/>
  <c r="A112" i="9"/>
  <c r="A116" i="13"/>
  <c r="A111" i="9"/>
  <c r="A115" i="13"/>
  <c r="A110" i="9"/>
  <c r="A114" i="13"/>
  <c r="A109" i="9"/>
  <c r="A113" i="13"/>
  <c r="A108" i="9"/>
  <c r="A112" i="13"/>
  <c r="A107" i="9"/>
  <c r="A111" i="13"/>
  <c r="A110" i="13"/>
  <c r="A106" i="9"/>
  <c r="A109" i="13"/>
  <c r="A105" i="9"/>
  <c r="A108" i="13"/>
  <c r="A104" i="9"/>
  <c r="A107" i="13"/>
  <c r="A103" i="9"/>
  <c r="A106" i="13"/>
  <c r="A102" i="9"/>
  <c r="A105" i="13"/>
  <c r="A101" i="9"/>
  <c r="A104" i="13"/>
  <c r="A100" i="9"/>
  <c r="A99" i="9"/>
  <c r="A103" i="13"/>
  <c r="A102" i="13"/>
  <c r="A98" i="9"/>
  <c r="A101" i="13"/>
  <c r="A97" i="9"/>
  <c r="A96" i="9"/>
  <c r="A100" i="13"/>
  <c r="A95" i="9"/>
  <c r="A99" i="13"/>
  <c r="A98" i="13"/>
  <c r="A94" i="9"/>
  <c r="A97" i="13"/>
  <c r="A93" i="9"/>
  <c r="A96" i="13"/>
  <c r="A92" i="9"/>
  <c r="A95" i="13"/>
  <c r="A91" i="9"/>
  <c r="A90" i="9"/>
  <c r="A94" i="13"/>
  <c r="A89" i="9"/>
  <c r="A93" i="13"/>
  <c r="A88" i="9"/>
  <c r="A92" i="13"/>
  <c r="A87" i="9"/>
  <c r="A91" i="13"/>
  <c r="A86" i="9"/>
  <c r="A90" i="13"/>
  <c r="A85" i="9"/>
  <c r="A89" i="13"/>
  <c r="A88" i="13"/>
  <c r="A84" i="9"/>
  <c r="A87" i="13"/>
  <c r="A83" i="9"/>
  <c r="A86" i="13"/>
  <c r="A82" i="9"/>
  <c r="A85" i="13"/>
  <c r="A81" i="9"/>
  <c r="A84" i="13"/>
  <c r="A80" i="9"/>
  <c r="A83" i="13"/>
  <c r="A79" i="9"/>
  <c r="A82" i="13"/>
  <c r="A78" i="9"/>
  <c r="A81" i="13"/>
  <c r="A77" i="9"/>
  <c r="A80" i="13"/>
  <c r="A76" i="9"/>
  <c r="A79" i="13"/>
  <c r="A75" i="9"/>
  <c r="A78" i="13"/>
  <c r="A74" i="9"/>
  <c r="A77" i="13"/>
  <c r="A73" i="9"/>
  <c r="A76" i="13"/>
  <c r="A72" i="9"/>
  <c r="A75" i="13"/>
  <c r="A71" i="9"/>
  <c r="A70" i="9"/>
  <c r="A74" i="13"/>
  <c r="A73" i="13"/>
  <c r="A69" i="9"/>
  <c r="A68" i="9"/>
  <c r="A72" i="13"/>
  <c r="A67" i="9"/>
  <c r="A71" i="13"/>
  <c r="A70" i="13"/>
  <c r="A66" i="9"/>
  <c r="A65" i="9"/>
  <c r="A69" i="13"/>
  <c r="A68" i="13"/>
  <c r="A64" i="9"/>
  <c r="A67" i="13"/>
  <c r="A63" i="9"/>
  <c r="A62" i="9"/>
  <c r="A66" i="13"/>
  <c r="A61" i="9"/>
  <c r="A65" i="13"/>
  <c r="A60" i="9"/>
  <c r="A64" i="13"/>
  <c r="A59" i="9"/>
  <c r="A63" i="13"/>
  <c r="A58" i="9"/>
  <c r="A62" i="13"/>
  <c r="A57" i="9"/>
  <c r="A61" i="13"/>
  <c r="A56" i="9"/>
  <c r="A60" i="13"/>
  <c r="A59" i="13"/>
  <c r="A55" i="9"/>
  <c r="A58" i="13"/>
  <c r="A54" i="9"/>
  <c r="A57" i="13"/>
  <c r="A53" i="9"/>
  <c r="A56" i="13"/>
  <c r="A52" i="9"/>
  <c r="A55" i="13"/>
  <c r="A51" i="9"/>
  <c r="A54" i="13"/>
  <c r="A50" i="9"/>
  <c r="A53" i="13"/>
  <c r="A49" i="9"/>
  <c r="A48" i="9"/>
  <c r="A52" i="13"/>
  <c r="A47" i="9"/>
  <c r="A51" i="13"/>
  <c r="A46" i="9"/>
  <c r="A50" i="13"/>
  <c r="A45" i="9"/>
  <c r="A49" i="13"/>
  <c r="A44" i="9"/>
  <c r="A48" i="13"/>
  <c r="A43" i="9"/>
  <c r="A47" i="13"/>
  <c r="A42" i="9"/>
  <c r="A46" i="13"/>
  <c r="A41" i="9"/>
  <c r="A45" i="13"/>
  <c r="A40" i="9"/>
  <c r="A44" i="13"/>
  <c r="A39" i="9"/>
  <c r="A43" i="13"/>
  <c r="A38" i="9"/>
  <c r="A42" i="13"/>
  <c r="A41" i="13"/>
  <c r="A37" i="9"/>
  <c r="A36" i="9"/>
  <c r="A40" i="13"/>
  <c r="A39" i="13"/>
  <c r="A35" i="9"/>
  <c r="A34" i="9"/>
  <c r="A38" i="13"/>
  <c r="A33" i="9"/>
  <c r="A37" i="13"/>
  <c r="A32" i="9"/>
  <c r="A36" i="13"/>
  <c r="A31" i="9"/>
  <c r="A35" i="13"/>
  <c r="A30" i="9"/>
  <c r="A34" i="13"/>
  <c r="A29" i="9"/>
  <c r="A33" i="13"/>
  <c r="A28" i="9"/>
  <c r="A32" i="13"/>
  <c r="A31" i="13"/>
  <c r="A27" i="9"/>
  <c r="A26" i="9"/>
  <c r="A30" i="13"/>
  <c r="A25" i="9"/>
  <c r="A29" i="13"/>
  <c r="A24" i="9"/>
  <c r="A28" i="13"/>
  <c r="A23" i="9"/>
  <c r="A27" i="13"/>
  <c r="A22" i="9"/>
  <c r="A26" i="13"/>
  <c r="D25" i="13"/>
  <c r="Z21" i="4"/>
  <c r="A21" i="9"/>
  <c r="A25" i="13"/>
  <c r="D24" i="13"/>
  <c r="A24" i="13"/>
  <c r="A20" i="9"/>
  <c r="Z20" i="4"/>
  <c r="A19" i="9"/>
  <c r="Z19" i="4"/>
  <c r="A23" i="13"/>
  <c r="D23" i="13"/>
  <c r="A18" i="9"/>
  <c r="A22" i="13"/>
  <c r="Z18" i="4"/>
  <c r="D22" i="13"/>
  <c r="A17" i="9"/>
  <c r="D21" i="13"/>
  <c r="A21" i="13"/>
  <c r="Z17" i="4"/>
  <c r="A16" i="9"/>
  <c r="D20" i="13"/>
  <c r="Z16" i="4"/>
  <c r="A20" i="13"/>
  <c r="Z15" i="4"/>
  <c r="A19" i="13"/>
  <c r="D19" i="13"/>
  <c r="A15" i="9"/>
  <c r="A14" i="9"/>
  <c r="Z14" i="4"/>
  <c r="D18" i="13"/>
  <c r="A18" i="13"/>
  <c r="D17" i="13"/>
  <c r="A13" i="9"/>
  <c r="Z13" i="4"/>
  <c r="A17" i="13"/>
  <c r="D16" i="13"/>
  <c r="Z12" i="4"/>
  <c r="A16" i="13"/>
  <c r="A12" i="9"/>
  <c r="A15" i="13"/>
  <c r="A11" i="9"/>
  <c r="D15" i="13"/>
  <c r="Z11" i="4"/>
  <c r="Z10" i="4"/>
  <c r="A14" i="13"/>
  <c r="A10" i="9"/>
  <c r="D14" i="13"/>
  <c r="A13" i="13"/>
  <c r="A9" i="9"/>
  <c r="D13" i="13"/>
  <c r="Z9" i="4"/>
  <c r="A8" i="9"/>
  <c r="Z8" i="4"/>
  <c r="D12" i="13"/>
  <c r="A12" i="13"/>
  <c r="A7" i="9"/>
  <c r="A11" i="13"/>
  <c r="D11" i="13"/>
  <c r="Z7" i="4"/>
  <c r="A10" i="13"/>
  <c r="D10" i="13"/>
  <c r="Z6" i="4"/>
  <c r="A6" i="9"/>
  <c r="A9" i="13"/>
  <c r="D9" i="13"/>
  <c r="A5" i="9"/>
  <c r="Z5" i="4"/>
  <c r="Z4" i="4"/>
  <c r="A8" i="13"/>
  <c r="D8" i="13"/>
  <c r="A4" i="9"/>
  <c r="A3" i="9"/>
  <c r="D7" i="13"/>
  <c r="A7" i="13"/>
  <c r="Z3" i="4"/>
  <c r="Z2" i="4"/>
  <c r="C11" i="12"/>
  <c r="D6" i="13"/>
  <c r="A6" i="13"/>
  <c r="A2" i="9"/>
  <c r="F15" i="12" l="1"/>
  <c r="F16" i="12"/>
</calcChain>
</file>

<file path=xl/sharedStrings.xml><?xml version="1.0" encoding="utf-8"?>
<sst xmlns="http://schemas.openxmlformats.org/spreadsheetml/2006/main" count="835" uniqueCount="480">
  <si>
    <t>Personal Library Manager &amp; Digital Archive</t>
  </si>
  <si>
    <t>Version 2.0 — Excel Application</t>
  </si>
  <si>
    <t>Quick Start</t>
  </si>
  <si>
    <t>1. Open the Settings sheet and set your library name, loan period, and defaults.</t>
  </si>
  <si>
    <t>2. Open the Catalog sheet. Fill in Accession Number, Title, Creator, Type, Genre, Language, Location Type, and Location Identifier. Item ID, Author Code, Call Number, and Circulation Status are generated automatically.</t>
  </si>
  <si>
    <t>3. Use the Digital_Catalog sheet for PDFs, images, audio, video, datasets, and other digital resources.</t>
  </si>
  <si>
    <t>4. Use the Archive sheet for physical and digital archival objects.</t>
  </si>
  <si>
    <t>5. Record loans in the Circulation sheet. The Catalog's Circulation Status updates automatically.</t>
  </si>
  <si>
    <t>6. Monitor completeness and issues on the Dashboard and Data_Quality sheets.</t>
  </si>
  <si>
    <t>Worksheet Guide</t>
  </si>
  <si>
    <t>README — this documentation page.</t>
  </si>
  <si>
    <t>Dashboard — metrics for collection, metadata, reading, circulation, digitisation, archive.</t>
  </si>
  <si>
    <t>Catalog — physical books, magazines, journals, printed materials.</t>
  </si>
  <si>
    <t>Digital_Catalog — digital resources of all formats.</t>
  </si>
  <si>
    <t>Archive — physical and digital archival objects.</t>
  </si>
  <si>
    <t>Circulation — loans, borrowers, due dates, returns.</t>
  </si>
  <si>
    <t>Members — borrower registry.</t>
  </si>
  <si>
    <t>Spine_Labels — derived label data for printing.</t>
  </si>
  <si>
    <t>Dublin_Core — metadata mapping and export-oriented view.</t>
  </si>
  <si>
    <t>Lookup_Codes — controlled vocabularies for data validation.</t>
  </si>
  <si>
    <t>Data_Quality — duplicate, missing, and integrity checks.</t>
  </si>
  <si>
    <t>Settings — configurable parameters used by formulas.</t>
  </si>
  <si>
    <t>JSON_Export — flattened view for future JSON conversion.</t>
  </si>
  <si>
    <t>Author Code Logic</t>
  </si>
  <si>
    <t>Author Code is generated from the last word of the Creator field (surname for most names). Example: 'Rabindranath Tagore' → TAG. Bengali and other Unicode scripts are preserved.</t>
  </si>
  <si>
    <t>To override the automatic code, enter a value in the 'Author Code Override' column. The override takes precedence.</t>
  </si>
  <si>
    <t>Call Number System</t>
  </si>
  <si>
    <t>Format: TYPE-GENRE-AUTHORCODE-ITEM-VOLUME. Example: FIC-LIT-TAG-001-Vol1.</t>
  </si>
  <si>
    <t>This is the project's own structured call-number system. It is not Dewey, Library of Congress, or Cutter classification.</t>
  </si>
  <si>
    <t>Location System</t>
  </si>
  <si>
    <t>Location Type is a controlled dropdown (Shelf, Magazine Rack, Journal Rack, Archive, Cabinet, Box, Other).</t>
  </si>
  <si>
    <t>Location Identifier is free text (A1, A2, MR1, ARCH-01, BOX-17, etc.). This semi-controlled model lets you control the category while keeping the physical identifier flexible.</t>
  </si>
  <si>
    <t>Dublin Core</t>
  </si>
  <si>
    <t>Dublin Core is the primary metadata framework. See the Dublin_Core sheet for the explicit mapping between catalog fields and DC elements.</t>
  </si>
  <si>
    <t>Project-specific fields (Item ID, Call Number, Author Code, Location, Circulation Status) are documented as application-specific extensions — they are not Dublin Core elements.</t>
  </si>
  <si>
    <t>Interoperability</t>
  </si>
  <si>
    <t>CSV: every data sheet exports cleanly with UTF-8 encoding. Bengali, Hindi, and other Unicode scripts are preserved.</t>
  </si>
  <si>
    <t>JSON: the JSON_Export sheet provides a flattened, structured view for future Python/Node conversion.</t>
  </si>
  <si>
    <t>TEI: the catalog preserves structured fields (title, author, editor, translator, publisher, date, language, series, volume, ISBN, genre) suitable for later TEI transformation.</t>
  </si>
  <si>
    <t>Bibliographic APIs: the workbook can receive ISBN/ISSN/DOI/OCLC metadata. Live lookups are deferred to the future HTML or Python layer.</t>
  </si>
  <si>
    <t>Protection</t>
  </si>
  <si>
    <t>Generated columns (Item ID, Author Code, Call Number, Circulation Status, Dashboard metrics) are locked. Editable columns are unlocked.</t>
  </si>
  <si>
    <t>Sheet protection password: 'library'. Change it in Settings if desired.</t>
  </si>
  <si>
    <t>Important Notes</t>
  </si>
  <si>
    <t>• Do not sort the Catalog sheet by columns other than Item ID — Call Number formulas reference row position. Use AutoFilter instead.</t>
  </si>
  <si>
    <t>• Accession Number is the permanent identifier. Item ID is internal.</t>
  </si>
  <si>
    <t>• Bengali display uses Nirmala UI where available. On macOS, change the font to 'Noto Sans Bengali' if characters do not render.</t>
  </si>
  <si>
    <t>• No VBA macros are used. The workbook is compatible with Microsoft Excel, Google Sheets, and LibreOffice Calc (minor date-format differences may occur).</t>
  </si>
  <si>
    <t>SETTINGS — Personal Library Manager</t>
  </si>
  <si>
    <t>Setting</t>
  </si>
  <si>
    <t>Value</t>
  </si>
  <si>
    <t>Purpose</t>
  </si>
  <si>
    <t>Library Name</t>
  </si>
  <si>
    <t>Personal Library</t>
  </si>
  <si>
    <t>Display name of the library</t>
  </si>
  <si>
    <t>Collection Name</t>
  </si>
  <si>
    <t>Main Collection</t>
  </si>
  <si>
    <t>Name of the primary collection</t>
  </si>
  <si>
    <t>Default Language</t>
  </si>
  <si>
    <t>English</t>
  </si>
  <si>
    <t>Default language for new records</t>
  </si>
  <si>
    <t>Default Loan Period (days)</t>
  </si>
  <si>
    <t>Circulation loan period in days</t>
  </si>
  <si>
    <t>Accession Prefix</t>
  </si>
  <si>
    <t>ACC</t>
  </si>
  <si>
    <t>Prefix for accession numbers</t>
  </si>
  <si>
    <t>Author Code Length</t>
  </si>
  <si>
    <t>Number of letters for auto author code</t>
  </si>
  <si>
    <t>Date Format</t>
  </si>
  <si>
    <t>YYYY-MM-DD</t>
  </si>
  <si>
    <t>Display format for dates</t>
  </si>
  <si>
    <t>Default Resource Type</t>
  </si>
  <si>
    <t>Book</t>
  </si>
  <si>
    <t>Default resource type</t>
  </si>
  <si>
    <t>Metadata Profile Version</t>
  </si>
  <si>
    <t>2.0</t>
  </si>
  <si>
    <t>Dublin Core profile version</t>
  </si>
  <si>
    <t>Workbook Protection Password</t>
  </si>
  <si>
    <t>library</t>
  </si>
  <si>
    <t>Password to unprotect sheets</t>
  </si>
  <si>
    <t>Resource Type</t>
  </si>
  <si>
    <t>Genre</t>
  </si>
  <si>
    <t>Language</t>
  </si>
  <si>
    <t>Format</t>
  </si>
  <si>
    <t>OCR Status</t>
  </si>
  <si>
    <t>Condition</t>
  </si>
  <si>
    <t>Circulation Status</t>
  </si>
  <si>
    <t>Location Type</t>
  </si>
  <si>
    <t>Access Level</t>
  </si>
  <si>
    <t>Rights</t>
  </si>
  <si>
    <t>Acquisition Type</t>
  </si>
  <si>
    <t>Frequency</t>
  </si>
  <si>
    <t>Digitisation Status</t>
  </si>
  <si>
    <t>Physical/Digital</t>
  </si>
  <si>
    <t>Membership Type</t>
  </si>
  <si>
    <t>Member Status</t>
  </si>
  <si>
    <t>Reading/Usage Status</t>
  </si>
  <si>
    <t>Preservation Status</t>
  </si>
  <si>
    <t>Literature (LIT)</t>
  </si>
  <si>
    <t>PDF</t>
  </si>
  <si>
    <t>Not Applicable</t>
  </si>
  <si>
    <t>New</t>
  </si>
  <si>
    <t>Available</t>
  </si>
  <si>
    <t>Shelf</t>
  </si>
  <si>
    <t>Public</t>
  </si>
  <si>
    <t>Copyright</t>
  </si>
  <si>
    <t>Purchase</t>
  </si>
  <si>
    <t>Daily</t>
  </si>
  <si>
    <t>Not Digitised</t>
  </si>
  <si>
    <t>Physical</t>
  </si>
  <si>
    <t>Student</t>
  </si>
  <si>
    <t>Active</t>
  </si>
  <si>
    <t>Read</t>
  </si>
  <si>
    <t>Master</t>
  </si>
  <si>
    <t>Magazine</t>
  </si>
  <si>
    <t>History (HIS)</t>
  </si>
  <si>
    <t>Bengali</t>
  </si>
  <si>
    <t>EPUB</t>
  </si>
  <si>
    <t>Excellent</t>
  </si>
  <si>
    <t>On Loan</t>
  </si>
  <si>
    <t>Magazine Rack</t>
  </si>
  <si>
    <t>Private</t>
  </si>
  <si>
    <t>Public Domain</t>
  </si>
  <si>
    <t>Gift</t>
  </si>
  <si>
    <t>Weekly</t>
  </si>
  <si>
    <t>Digitisation Planned</t>
  </si>
  <si>
    <t>Digital</t>
  </si>
  <si>
    <t>Faculty</t>
  </si>
  <si>
    <t>Inactive</t>
  </si>
  <si>
    <t>Reading</t>
  </si>
  <si>
    <t>Derivative</t>
  </si>
  <si>
    <t>Journal</t>
  </si>
  <si>
    <t>Philosophy (PHI)</t>
  </si>
  <si>
    <t>Hindi</t>
  </si>
  <si>
    <t>MOBI</t>
  </si>
  <si>
    <t>Scanned (No OCR)</t>
  </si>
  <si>
    <t>Good</t>
  </si>
  <si>
    <t>Reference Only</t>
  </si>
  <si>
    <t>Journal Rack</t>
  </si>
  <si>
    <t>Restricted</t>
  </si>
  <si>
    <t>Licensed</t>
  </si>
  <si>
    <t>Donation</t>
  </si>
  <si>
    <t>Fortnightly</t>
  </si>
  <si>
    <t>Scanned</t>
  </si>
  <si>
    <t>Both</t>
  </si>
  <si>
    <t>Suspended</t>
  </si>
  <si>
    <t>Unread</t>
  </si>
  <si>
    <t>Archived</t>
  </si>
  <si>
    <t>Periodical</t>
  </si>
  <si>
    <t>Science &amp; Tech (SCI)</t>
  </si>
  <si>
    <t>Other</t>
  </si>
  <si>
    <t>DJVU</t>
  </si>
  <si>
    <t>OCR Pending</t>
  </si>
  <si>
    <t>Fair</t>
  </si>
  <si>
    <t>Lost</t>
  </si>
  <si>
    <t>Archive</t>
  </si>
  <si>
    <t>Research Only</t>
  </si>
  <si>
    <t>Unknown</t>
  </si>
  <si>
    <t>Exchange</t>
  </si>
  <si>
    <t>Monthly</t>
  </si>
  <si>
    <t>Institutional</t>
  </si>
  <si>
    <t>N/A</t>
  </si>
  <si>
    <t>At Risk</t>
  </si>
  <si>
    <t>Newsletter</t>
  </si>
  <si>
    <t>Politics (POL)</t>
  </si>
  <si>
    <t>TXT</t>
  </si>
  <si>
    <t>OCR Complete</t>
  </si>
  <si>
    <t>Poor</t>
  </si>
  <si>
    <t>Withdrawn</t>
  </si>
  <si>
    <t>Cabinet</t>
  </si>
  <si>
    <t>Permission Required</t>
  </si>
  <si>
    <t>User-Owned</t>
  </si>
  <si>
    <t>Legacy</t>
  </si>
  <si>
    <t>Bi-Monthly</t>
  </si>
  <si>
    <t>Annual</t>
  </si>
  <si>
    <t>Essays (ESS)</t>
  </si>
  <si>
    <t>DOCX</t>
  </si>
  <si>
    <t>Searchable (OCR)</t>
  </si>
  <si>
    <t>Damaged</t>
  </si>
  <si>
    <t>Box</t>
  </si>
  <si>
    <t>Quarterly</t>
  </si>
  <si>
    <t>OCR Verified</t>
  </si>
  <si>
    <t>Special Issue</t>
  </si>
  <si>
    <t>Biography / Memoir (BIO)</t>
  </si>
  <si>
    <t>HTML</t>
  </si>
  <si>
    <t>Image Only</t>
  </si>
  <si>
    <t>Under Repair</t>
  </si>
  <si>
    <t>Article</t>
  </si>
  <si>
    <t>Mystery / Thriller (THR)</t>
  </si>
  <si>
    <t>XML</t>
  </si>
  <si>
    <t>Irregular</t>
  </si>
  <si>
    <t>Image</t>
  </si>
  <si>
    <t>Religion &amp; Mythology (REL)</t>
  </si>
  <si>
    <t>TEI XML</t>
  </si>
  <si>
    <t>Audio Recording</t>
  </si>
  <si>
    <t>Art &amp; Cinema (ART)</t>
  </si>
  <si>
    <t>Markdown</t>
  </si>
  <si>
    <t>Video Recording</t>
  </si>
  <si>
    <t>RTF</t>
  </si>
  <si>
    <t>Dataset</t>
  </si>
  <si>
    <t>JPG</t>
  </si>
  <si>
    <t>Website</t>
  </si>
  <si>
    <t>JPEG</t>
  </si>
  <si>
    <t>Manuscript</t>
  </si>
  <si>
    <t>PNG</t>
  </si>
  <si>
    <t>Newspaper</t>
  </si>
  <si>
    <t>TIFF</t>
  </si>
  <si>
    <t>Newspaper Clipping</t>
  </si>
  <si>
    <t>WebP</t>
  </si>
  <si>
    <t>Photograph</t>
  </si>
  <si>
    <t>MP3</t>
  </si>
  <si>
    <t>Poster</t>
  </si>
  <si>
    <t>WAV</t>
  </si>
  <si>
    <t>Map</t>
  </si>
  <si>
    <t>FLAC</t>
  </si>
  <si>
    <t>Pamphlet</t>
  </si>
  <si>
    <t>M4A</t>
  </si>
  <si>
    <t>Brochure</t>
  </si>
  <si>
    <t>MP4</t>
  </si>
  <si>
    <t>Personal Papers</t>
  </si>
  <si>
    <t>MKV</t>
  </si>
  <si>
    <t>Ephemera</t>
  </si>
  <si>
    <t>MOV</t>
  </si>
  <si>
    <t>WebM</t>
  </si>
  <si>
    <t>ZIP</t>
  </si>
  <si>
    <t>Item ID</t>
  </si>
  <si>
    <t>Accession Number</t>
  </si>
  <si>
    <t>Call Number</t>
  </si>
  <si>
    <t>Title</t>
  </si>
  <si>
    <t>Subtitle</t>
  </si>
  <si>
    <t>Creator</t>
  </si>
  <si>
    <t>Author Code Override</t>
  </si>
  <si>
    <t>Author Code</t>
  </si>
  <si>
    <t>Editor</t>
  </si>
  <si>
    <t>Translator</t>
  </si>
  <si>
    <t>Type</t>
  </si>
  <si>
    <t>Volume</t>
  </si>
  <si>
    <t>Edition</t>
  </si>
  <si>
    <t>Publisher</t>
  </si>
  <si>
    <t>Publication Place</t>
  </si>
  <si>
    <t>Publication Year</t>
  </si>
  <si>
    <t>ISBN</t>
  </si>
  <si>
    <t>ISSN</t>
  </si>
  <si>
    <t>Pages</t>
  </si>
  <si>
    <t>Series</t>
  </si>
  <si>
    <t>Location Identifier</t>
  </si>
  <si>
    <t>Acquisition Date</t>
  </si>
  <si>
    <t>Price</t>
  </si>
  <si>
    <t>Donor/Vendor</t>
  </si>
  <si>
    <t>Notes</t>
  </si>
  <si>
    <t>Description</t>
  </si>
  <si>
    <t>ACC-0001</t>
  </si>
  <si>
    <t>Rabindra Rachanabali</t>
  </si>
  <si>
    <t>Vol 1</t>
  </si>
  <si>
    <t>Rabindranath Tagore</t>
  </si>
  <si>
    <t>Fiction (FIC)</t>
  </si>
  <si>
    <t>A2</t>
  </si>
  <si>
    <t>ACC-0002</t>
  </si>
  <si>
    <t>Vol 2</t>
  </si>
  <si>
    <t>ACC-0003</t>
  </si>
  <si>
    <t>Vol 3</t>
  </si>
  <si>
    <t>ACC-0004</t>
  </si>
  <si>
    <t>Vol 4</t>
  </si>
  <si>
    <t>ACC-0005</t>
  </si>
  <si>
    <t>Vol 5</t>
  </si>
  <si>
    <t>ACC-0006</t>
  </si>
  <si>
    <t>Vol 6</t>
  </si>
  <si>
    <t>ACC-0007</t>
  </si>
  <si>
    <t>Vol 7</t>
  </si>
  <si>
    <t>ACC-0008</t>
  </si>
  <si>
    <t>Vol 8</t>
  </si>
  <si>
    <t>ACC-0009</t>
  </si>
  <si>
    <t>Vol 9</t>
  </si>
  <si>
    <t>A1</t>
  </si>
  <si>
    <t>ACC-0010</t>
  </si>
  <si>
    <t>Vol 10</t>
  </si>
  <si>
    <t>ACC-0011</t>
  </si>
  <si>
    <t>Vol 11</t>
  </si>
  <si>
    <t>ACC-0012</t>
  </si>
  <si>
    <t>Vol 12</t>
  </si>
  <si>
    <t>ACC-0013</t>
  </si>
  <si>
    <t>Vol 13</t>
  </si>
  <si>
    <t>ACC-0014</t>
  </si>
  <si>
    <t>Vol 14</t>
  </si>
  <si>
    <t>ACC-0015</t>
  </si>
  <si>
    <t>Vol 15</t>
  </si>
  <si>
    <t>ACC-0016</t>
  </si>
  <si>
    <t>Vol 16</t>
  </si>
  <si>
    <t>ACC-0017</t>
  </si>
  <si>
    <t>Vol 17</t>
  </si>
  <si>
    <t>ACC-0018</t>
  </si>
  <si>
    <t>Vol 18</t>
  </si>
  <si>
    <t>ACC-0019</t>
  </si>
  <si>
    <t>নীলকণ্ঠ পাখির খোঁজে</t>
  </si>
  <si>
    <t>অতীন বন্দ্যোপাধ্যায়</t>
  </si>
  <si>
    <t>B1</t>
  </si>
  <si>
    <t>ACC-0020</t>
  </si>
  <si>
    <t>Desh</t>
  </si>
  <si>
    <t>MR1</t>
  </si>
  <si>
    <t>Monthly issues</t>
  </si>
  <si>
    <t>Resource ID</t>
  </si>
  <si>
    <t>Digital Call Number</t>
  </si>
  <si>
    <t>Contributor</t>
  </si>
  <si>
    <t>MIME Type</t>
  </si>
  <si>
    <t>File Extension</t>
  </si>
  <si>
    <t>File Size (bytes)</t>
  </si>
  <si>
    <t>Storage Path</t>
  </si>
  <si>
    <t>URI</t>
  </si>
  <si>
    <t>Searchable</t>
  </si>
  <si>
    <t>Date Created</t>
  </si>
  <si>
    <t>Date Added</t>
  </si>
  <si>
    <t>Related Physical ID</t>
  </si>
  <si>
    <t>Related Work ID</t>
  </si>
  <si>
    <t>Archive ID</t>
  </si>
  <si>
    <t>Checksum</t>
  </si>
  <si>
    <t>The Pocket Oracle</t>
  </si>
  <si>
    <t>Baltasar Gracian</t>
  </si>
  <si>
    <t>application/pdf</t>
  </si>
  <si>
    <t>.pdf</t>
  </si>
  <si>
    <t>Drive/Books/Philosophy</t>
  </si>
  <si>
    <t>Yes</t>
  </si>
  <si>
    <t>2024-01-15</t>
  </si>
  <si>
    <t>A pocket edition of Gracian's aphorisms.</t>
  </si>
  <si>
    <t>Drive/Books/Bengali_Classics</t>
  </si>
  <si>
    <t>No</t>
  </si>
  <si>
    <t>2023-06-01</t>
  </si>
  <si>
    <t>Scanned copy of Bengali novel.</t>
  </si>
  <si>
    <t>The Great Derangement</t>
  </si>
  <si>
    <t>Amitav Ghosh</t>
  </si>
  <si>
    <t>application/epub+zip</t>
  </si>
  <si>
    <t>.epub</t>
  </si>
  <si>
    <t>Drive/Books/Essays</t>
  </si>
  <si>
    <t>2023-02-10</t>
  </si>
  <si>
    <t>Climate change essays.</t>
  </si>
  <si>
    <t>Bengali literary reading</t>
  </si>
  <si>
    <t>audio/flac</t>
  </si>
  <si>
    <t>.flac</t>
  </si>
  <si>
    <t>Drive/Archive/Audio</t>
  </si>
  <si>
    <t>2023-08-12</t>
  </si>
  <si>
    <t>Live reading of Tagore poems.</t>
  </si>
  <si>
    <t>Interview with an author</t>
  </si>
  <si>
    <t>video/mp4</t>
  </si>
  <si>
    <t>.mp4</t>
  </si>
  <si>
    <t>Drive/Archive/Video</t>
  </si>
  <si>
    <t>2024-03-01</t>
  </si>
  <si>
    <t>Recorded interview.</t>
  </si>
  <si>
    <t>Scanned Bengali manuscript</t>
  </si>
  <si>
    <t>image/tiff</t>
  </si>
  <si>
    <t>.tiff</t>
  </si>
  <si>
    <t>Archive/Manuscripts</t>
  </si>
  <si>
    <t>2022-01-01</t>
  </si>
  <si>
    <t>High-res scan of 19th-c manuscript.</t>
  </si>
  <si>
    <t>ARC-0001</t>
  </si>
  <si>
    <t>Date</t>
  </si>
  <si>
    <t>Provenance</t>
  </si>
  <si>
    <t>Acquisition</t>
  </si>
  <si>
    <t>Digital Surrogate</t>
  </si>
  <si>
    <t>Related Resource ID</t>
  </si>
  <si>
    <t>Historical newspaper clipping</t>
  </si>
  <si>
    <t>1947-08-15</t>
  </si>
  <si>
    <t>Bengali newspaper clipping from independence era.</t>
  </si>
  <si>
    <t>Family collection</t>
  </si>
  <si>
    <t>Inherited</t>
  </si>
  <si>
    <t>ARCH-01</t>
  </si>
  <si>
    <t>Fragile; store in acid-free sleeve.</t>
  </si>
  <si>
    <t>1890</t>
  </si>
  <si>
    <t>Digitised manuscript.</t>
  </si>
  <si>
    <t>Purchased at auction</t>
  </si>
  <si>
    <t>ARCH-02</t>
  </si>
  <si>
    <t>High-res TIFF master.</t>
  </si>
  <si>
    <t>Loan ID</t>
  </si>
  <si>
    <t>Member ID</t>
  </si>
  <si>
    <t>Borrower Name</t>
  </si>
  <si>
    <t>Checkout Date</t>
  </si>
  <si>
    <t>Due Date</t>
  </si>
  <si>
    <t>Return Date</t>
  </si>
  <si>
    <t>Status</t>
  </si>
  <si>
    <t>Name</t>
  </si>
  <si>
    <t>Contact</t>
  </si>
  <si>
    <t>Join Date</t>
  </si>
  <si>
    <t>M001</t>
  </si>
  <si>
    <t>Sample Borrower</t>
  </si>
  <si>
    <t>2024-01-01</t>
  </si>
  <si>
    <t>Volume/Issue</t>
  </si>
  <si>
    <t>Location</t>
  </si>
  <si>
    <t>Label Type</t>
  </si>
  <si>
    <t>DUBLIN CORE METADATA MAPPING</t>
  </si>
  <si>
    <t>Dublin Core Element</t>
  </si>
  <si>
    <t>Catalog Field</t>
  </si>
  <si>
    <t>title</t>
  </si>
  <si>
    <t>Standard DC element</t>
  </si>
  <si>
    <t>creator</t>
  </si>
  <si>
    <t>contributor</t>
  </si>
  <si>
    <t>Editor, Translator</t>
  </si>
  <si>
    <t>Standard DC element; application-specific split</t>
  </si>
  <si>
    <t>publisher</t>
  </si>
  <si>
    <t>date</t>
  </si>
  <si>
    <t>language</t>
  </si>
  <si>
    <t>type</t>
  </si>
  <si>
    <t>Standard DC element; project vocabulary</t>
  </si>
  <si>
    <t>format</t>
  </si>
  <si>
    <t>Format, Pages</t>
  </si>
  <si>
    <t>identifier</t>
  </si>
  <si>
    <t>ISBN, ISSN, Accession Number, Call Number</t>
  </si>
  <si>
    <t>subject</t>
  </si>
  <si>
    <t>description</t>
  </si>
  <si>
    <t>Notes, Description</t>
  </si>
  <si>
    <t>source</t>
  </si>
  <si>
    <t>Donor/Vendor, Acquisition Type</t>
  </si>
  <si>
    <t>relation</t>
  </si>
  <si>
    <t>Volume, Series, Related ID</t>
  </si>
  <si>
    <t>Standard DC element; isPartOf qualifier</t>
  </si>
  <si>
    <t>coverage</t>
  </si>
  <si>
    <t>Standard DC element; spatial qualifier</t>
  </si>
  <si>
    <t>rights</t>
  </si>
  <si>
    <t>—</t>
  </si>
  <si>
    <t>Item ID, Call Number, Author Code, Location</t>
  </si>
  <si>
    <t>Application-specific extension (not DC)</t>
  </si>
  <si>
    <t>Circulation Status, Condition</t>
  </si>
  <si>
    <t>Digital storage path, OCR status, Checksum</t>
  </si>
  <si>
    <t>EXPORT VIEW — Dublin Core element columns</t>
  </si>
  <si>
    <t>dc.title</t>
  </si>
  <si>
    <t>dc.creator</t>
  </si>
  <si>
    <t>dc.contributor</t>
  </si>
  <si>
    <t>dc.publisher</t>
  </si>
  <si>
    <t>dc.date</t>
  </si>
  <si>
    <t>dc.language</t>
  </si>
  <si>
    <t>dc.type</t>
  </si>
  <si>
    <t>dc.format</t>
  </si>
  <si>
    <t>dc.identifier</t>
  </si>
  <si>
    <t>dc.subject</t>
  </si>
  <si>
    <t>dc.description</t>
  </si>
  <si>
    <t>dc.source</t>
  </si>
  <si>
    <t>dc.relation</t>
  </si>
  <si>
    <t>dc.coverage</t>
  </si>
  <si>
    <t>dc.rights</t>
  </si>
  <si>
    <t>DATA QUALITY REPORT</t>
  </si>
  <si>
    <t>Metric</t>
  </si>
  <si>
    <t>Total Catalog records</t>
  </si>
  <si>
    <t>Records missing Title</t>
  </si>
  <si>
    <t>Records missing Creator</t>
  </si>
  <si>
    <t>Records missing Type</t>
  </si>
  <si>
    <t>Records missing Genre</t>
  </si>
  <si>
    <t>Records missing Location Type</t>
  </si>
  <si>
    <t>Records missing Location Identifier</t>
  </si>
  <si>
    <t>Duplicate ISBNs</t>
  </si>
  <si>
    <t>Duplicate ISSNs</t>
  </si>
  <si>
    <t>Duplicate Accession Numbers</t>
  </si>
  <si>
    <t>Digital resources</t>
  </si>
  <si>
    <t>Archive objects</t>
  </si>
  <si>
    <t>Active loans</t>
  </si>
  <si>
    <t>Overdue loans</t>
  </si>
  <si>
    <t>RECORD-LEVEL CHECKS</t>
  </si>
  <si>
    <t>Issues</t>
  </si>
  <si>
    <t>PERSONAL LIBRARY MANAGER &amp; DIGITAL ARCHIVE — DASHBOARD</t>
  </si>
  <si>
    <t>COLLECTION</t>
  </si>
  <si>
    <t>METADATA</t>
  </si>
  <si>
    <t>Physical items</t>
  </si>
  <si>
    <t>Missing titles</t>
  </si>
  <si>
    <t>Missing creators</t>
  </si>
  <si>
    <t>Missing locations</t>
  </si>
  <si>
    <t>Books</t>
  </si>
  <si>
    <t>Magazines</t>
  </si>
  <si>
    <t>Duplicate Accessions</t>
  </si>
  <si>
    <t>Journals</t>
  </si>
  <si>
    <t>Other materials</t>
  </si>
  <si>
    <t>READING STATUS</t>
  </si>
  <si>
    <t>CIRCULATION</t>
  </si>
  <si>
    <t>Overdue</t>
  </si>
  <si>
    <t>DIGITISATION</t>
  </si>
  <si>
    <t>ARCHIVE</t>
  </si>
  <si>
    <t>STRUCTURED EXPORT FOR JSON / CSV PIPELINE</t>
  </si>
  <si>
    <t>This sheet provides a flattened, structured view of the catalog suitable for conversion to JSON by a future Python/Node script. Field names use snake_case.</t>
  </si>
  <si>
    <t>item_id</t>
  </si>
  <si>
    <t>json_snippet</t>
  </si>
  <si>
    <t>Excel is the primary structured-data and metadata layer. The HTML application is a separate presentation/discovery/printing layer.</t>
  </si>
  <si>
    <t>Try the HTML application</t>
  </si>
  <si>
    <t xml:space="preserve">Created by </t>
  </si>
  <si>
    <t>MASUD RANA MONDAL</t>
  </si>
  <si>
    <t>e-mail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</si>
</sst>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color rgb="FFFFFFFF"/>
      <name val="Calibri"/>
    </font>
    <font>
      <b/>
      <sz val="11"/>
      <name val="Calibri"/>
    </font>
    <font>
      <i/>
      <sz val="9"/>
      <name val="Calibri"/>
    </font>
    <font>
      <sz val="10"/>
      <name val="Calibri"/>
    </font>
    <font>
      <b/>
      <sz val="12"/>
      <color rgb="FF1F3864"/>
      <name val="Calibri"/>
    </font>
    <font>
      <b/>
      <sz val="10"/>
      <name val="Calibri"/>
    </font>
    <font>
      <sz val="9"/>
      <name val="Calibri"/>
    </font>
    <font>
      <sz val="9"/>
      <color rgb="FFC0392B"/>
      <name val="Calibri"/>
    </font>
    <font>
      <b/>
      <sz val="16"/>
      <color rgb="FF1F3864"/>
      <name val="Calibri"/>
    </font>
    <font>
      <b/>
      <sz val="12"/>
      <color rgb="FFFFFFFF"/>
      <name val="Calibri"/>
    </font>
    <font>
      <i/>
      <sz val="10"/>
      <name val="Calibri"/>
    </font>
    <font>
      <sz val="9"/>
      <name val="Consolas"/>
    </font>
    <font>
      <b/>
      <sz val="18"/>
      <color rgb="FF1F3864"/>
      <name val="Calibri"/>
    </font>
    <font>
      <b/>
      <sz val="13"/>
      <color rgb="FF2E5C8A"/>
      <name val="Calibri"/>
    </font>
    <font>
      <b/>
      <sz val="11"/>
      <color rgb="FF1F3864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9E6"/>
      </patternFill>
    </fill>
    <fill>
      <patternFill patternType="solid">
        <fgColor rgb="FFF2F2F2"/>
      </patternFill>
    </fill>
    <fill>
      <patternFill patternType="solid">
        <fgColor rgb="FF2E5C8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8">
    <xf numFmtId="0" fontId="0" fillId="0" borderId="0" xfId="0"/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3" borderId="0" xfId="0" applyFill="1" applyProtection="1">
      <protection locked="0"/>
    </xf>
    <xf numFmtId="0" fontId="4" fillId="0" borderId="0" xfId="0" applyFont="1"/>
    <xf numFmtId="0" fontId="5" fillId="0" borderId="0" xfId="0" applyFont="1"/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 applyProtection="1">
      <alignment vertical="center" wrapText="1"/>
      <protection locked="0"/>
    </xf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5" fillId="0" borderId="1" xfId="0" applyFont="1" applyBorder="1" applyAlignment="1">
      <alignment horizontal="right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3" fillId="0" borderId="0" xfId="0" applyFont="1"/>
    <xf numFmtId="0" fontId="1" fillId="0" borderId="0" xfId="0" applyFont="1"/>
    <xf numFmtId="0" fontId="0" fillId="0" borderId="0" xfId="0"/>
    <xf numFmtId="0" fontId="11" fillId="5" borderId="0" xfId="0" applyFont="1" applyFill="1" applyAlignment="1">
      <alignment horizontal="left" vertical="center" indent="1"/>
    </xf>
    <xf numFmtId="0" fontId="10" fillId="0" borderId="0" xfId="0" applyFont="1"/>
    <xf numFmtId="0" fontId="12" fillId="0" borderId="0" xfId="0" applyFont="1"/>
    <xf numFmtId="0" fontId="17" fillId="0" borderId="0" xfId="1" applyAlignment="1">
      <alignment vertical="top" wrapText="1"/>
    </xf>
    <xf numFmtId="0" fontId="17" fillId="0" borderId="0" xfId="1"/>
    <xf numFmtId="0" fontId="17" fillId="0" borderId="0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FF3CD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sudranamondal1@gmail.com?subject=Personal%20Library%20Manager%20&amp;%20Digital%20Archive" TargetMode="External"/><Relationship Id="rId2" Type="http://schemas.openxmlformats.org/officeDocument/2006/relationships/hyperlink" Target="https://github.com/masudranamondal1-lgtm" TargetMode="External"/><Relationship Id="rId1" Type="http://schemas.openxmlformats.org/officeDocument/2006/relationships/hyperlink" Target="https://masudranamondal1-lgtm.github.io/library-spine-st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54"/>
  <sheetViews>
    <sheetView tabSelected="1" topLeftCell="A48" zoomScale="134" workbookViewId="0">
      <selection activeCell="B54" sqref="B54"/>
    </sheetView>
  </sheetViews>
  <sheetFormatPr defaultRowHeight="15" x14ac:dyDescent="0.25"/>
  <cols>
    <col min="1" max="1" width="4" customWidth="1"/>
    <col min="2" max="2" width="100" customWidth="1"/>
  </cols>
  <sheetData>
    <row r="1" spans="2:2" ht="23.25" x14ac:dyDescent="0.25">
      <c r="B1" s="1" t="s">
        <v>0</v>
      </c>
    </row>
    <row r="2" spans="2:2" ht="17.25" x14ac:dyDescent="0.25">
      <c r="B2" s="2" t="s">
        <v>1</v>
      </c>
    </row>
    <row r="3" spans="2:2" ht="30" customHeight="1" x14ac:dyDescent="0.25">
      <c r="B3" s="3" t="s">
        <v>475</v>
      </c>
    </row>
    <row r="4" spans="2:2" ht="18.75" customHeight="1" x14ac:dyDescent="0.25">
      <c r="B4" s="25" t="s">
        <v>476</v>
      </c>
    </row>
    <row r="5" spans="2:2" x14ac:dyDescent="0.25">
      <c r="B5" s="4" t="s">
        <v>2</v>
      </c>
    </row>
    <row r="6" spans="2:2" ht="30" customHeight="1" x14ac:dyDescent="0.25">
      <c r="B6" s="3" t="s">
        <v>3</v>
      </c>
    </row>
    <row r="7" spans="2:2" ht="30" customHeight="1" x14ac:dyDescent="0.25">
      <c r="B7" s="3" t="s">
        <v>4</v>
      </c>
    </row>
    <row r="8" spans="2:2" ht="30" customHeight="1" x14ac:dyDescent="0.25">
      <c r="B8" s="3" t="s">
        <v>5</v>
      </c>
    </row>
    <row r="9" spans="2:2" ht="30" customHeight="1" x14ac:dyDescent="0.25">
      <c r="B9" s="3" t="s">
        <v>6</v>
      </c>
    </row>
    <row r="10" spans="2:2" ht="30" customHeight="1" x14ac:dyDescent="0.25">
      <c r="B10" s="3" t="s">
        <v>7</v>
      </c>
    </row>
    <row r="11" spans="2:2" ht="30" customHeight="1" x14ac:dyDescent="0.25">
      <c r="B11" s="3" t="s">
        <v>8</v>
      </c>
    </row>
    <row r="12" spans="2:2" x14ac:dyDescent="0.25">
      <c r="B12" s="4" t="s">
        <v>9</v>
      </c>
    </row>
    <row r="13" spans="2:2" ht="30" customHeight="1" x14ac:dyDescent="0.25">
      <c r="B13" s="3" t="s">
        <v>10</v>
      </c>
    </row>
    <row r="14" spans="2:2" ht="30" customHeight="1" x14ac:dyDescent="0.25">
      <c r="B14" s="3" t="s">
        <v>11</v>
      </c>
    </row>
    <row r="15" spans="2:2" ht="30" customHeight="1" x14ac:dyDescent="0.25">
      <c r="B15" s="3" t="s">
        <v>12</v>
      </c>
    </row>
    <row r="16" spans="2:2" ht="30" customHeight="1" x14ac:dyDescent="0.25">
      <c r="B16" s="3" t="s">
        <v>13</v>
      </c>
    </row>
    <row r="17" spans="2:2" ht="30" customHeight="1" x14ac:dyDescent="0.25">
      <c r="B17" s="3" t="s">
        <v>14</v>
      </c>
    </row>
    <row r="18" spans="2:2" ht="30" customHeight="1" x14ac:dyDescent="0.25">
      <c r="B18" s="3" t="s">
        <v>15</v>
      </c>
    </row>
    <row r="19" spans="2:2" ht="30" customHeight="1" x14ac:dyDescent="0.25">
      <c r="B19" s="3" t="s">
        <v>16</v>
      </c>
    </row>
    <row r="20" spans="2:2" ht="30" customHeight="1" x14ac:dyDescent="0.25">
      <c r="B20" s="3" t="s">
        <v>17</v>
      </c>
    </row>
    <row r="21" spans="2:2" ht="30" customHeight="1" x14ac:dyDescent="0.25">
      <c r="B21" s="3" t="s">
        <v>18</v>
      </c>
    </row>
    <row r="22" spans="2:2" ht="30" customHeight="1" x14ac:dyDescent="0.25">
      <c r="B22" s="3" t="s">
        <v>19</v>
      </c>
    </row>
    <row r="23" spans="2:2" ht="30" customHeight="1" x14ac:dyDescent="0.25">
      <c r="B23" s="3" t="s">
        <v>20</v>
      </c>
    </row>
    <row r="24" spans="2:2" ht="30" customHeight="1" x14ac:dyDescent="0.25">
      <c r="B24" s="3" t="s">
        <v>21</v>
      </c>
    </row>
    <row r="25" spans="2:2" ht="30" customHeight="1" x14ac:dyDescent="0.25">
      <c r="B25" s="3" t="s">
        <v>22</v>
      </c>
    </row>
    <row r="26" spans="2:2" x14ac:dyDescent="0.25">
      <c r="B26" s="4" t="s">
        <v>23</v>
      </c>
    </row>
    <row r="27" spans="2:2" ht="30" customHeight="1" x14ac:dyDescent="0.25">
      <c r="B27" s="3" t="s">
        <v>24</v>
      </c>
    </row>
    <row r="28" spans="2:2" ht="30" customHeight="1" x14ac:dyDescent="0.25">
      <c r="B28" s="3" t="s">
        <v>25</v>
      </c>
    </row>
    <row r="29" spans="2:2" x14ac:dyDescent="0.25">
      <c r="B29" s="4" t="s">
        <v>26</v>
      </c>
    </row>
    <row r="30" spans="2:2" ht="30" customHeight="1" x14ac:dyDescent="0.25">
      <c r="B30" s="3" t="s">
        <v>27</v>
      </c>
    </row>
    <row r="31" spans="2:2" ht="30" customHeight="1" x14ac:dyDescent="0.25">
      <c r="B31" s="3" t="s">
        <v>28</v>
      </c>
    </row>
    <row r="32" spans="2:2" x14ac:dyDescent="0.25">
      <c r="B32" s="4" t="s">
        <v>29</v>
      </c>
    </row>
    <row r="33" spans="2:2" ht="30" customHeight="1" x14ac:dyDescent="0.25">
      <c r="B33" s="3" t="s">
        <v>30</v>
      </c>
    </row>
    <row r="34" spans="2:2" ht="30" customHeight="1" x14ac:dyDescent="0.25">
      <c r="B34" s="3" t="s">
        <v>31</v>
      </c>
    </row>
    <row r="35" spans="2:2" x14ac:dyDescent="0.25">
      <c r="B35" s="4" t="s">
        <v>32</v>
      </c>
    </row>
    <row r="36" spans="2:2" ht="30" customHeight="1" x14ac:dyDescent="0.25">
      <c r="B36" s="3" t="s">
        <v>33</v>
      </c>
    </row>
    <row r="37" spans="2:2" ht="30" customHeight="1" x14ac:dyDescent="0.25">
      <c r="B37" s="3" t="s">
        <v>34</v>
      </c>
    </row>
    <row r="38" spans="2:2" x14ac:dyDescent="0.25">
      <c r="B38" s="4" t="s">
        <v>35</v>
      </c>
    </row>
    <row r="39" spans="2:2" ht="30" customHeight="1" x14ac:dyDescent="0.25">
      <c r="B39" s="3" t="s">
        <v>36</v>
      </c>
    </row>
    <row r="40" spans="2:2" ht="30" customHeight="1" x14ac:dyDescent="0.25">
      <c r="B40" s="3" t="s">
        <v>37</v>
      </c>
    </row>
    <row r="41" spans="2:2" ht="30" customHeight="1" x14ac:dyDescent="0.25">
      <c r="B41" s="3" t="s">
        <v>38</v>
      </c>
    </row>
    <row r="42" spans="2:2" ht="30" customHeight="1" x14ac:dyDescent="0.25">
      <c r="B42" s="3" t="s">
        <v>39</v>
      </c>
    </row>
    <row r="43" spans="2:2" x14ac:dyDescent="0.25">
      <c r="B43" s="4" t="s">
        <v>40</v>
      </c>
    </row>
    <row r="44" spans="2:2" ht="30" customHeight="1" x14ac:dyDescent="0.25">
      <c r="B44" s="3" t="s">
        <v>41</v>
      </c>
    </row>
    <row r="45" spans="2:2" ht="30" customHeight="1" x14ac:dyDescent="0.25">
      <c r="B45" s="3" t="s">
        <v>42</v>
      </c>
    </row>
    <row r="46" spans="2:2" x14ac:dyDescent="0.25">
      <c r="B46" s="4" t="s">
        <v>43</v>
      </c>
    </row>
    <row r="47" spans="2:2" ht="30" customHeight="1" x14ac:dyDescent="0.25">
      <c r="B47" s="3" t="s">
        <v>44</v>
      </c>
    </row>
    <row r="48" spans="2:2" ht="30" customHeight="1" x14ac:dyDescent="0.25">
      <c r="B48" s="3" t="s">
        <v>45</v>
      </c>
    </row>
    <row r="49" spans="2:2" ht="30" customHeight="1" x14ac:dyDescent="0.25">
      <c r="B49" s="3" t="s">
        <v>46</v>
      </c>
    </row>
    <row r="50" spans="2:2" ht="30" customHeight="1" x14ac:dyDescent="0.25">
      <c r="B50" s="3" t="s">
        <v>47</v>
      </c>
    </row>
    <row r="52" spans="2:2" x14ac:dyDescent="0.25">
      <c r="B52" s="3" t="s">
        <v>477</v>
      </c>
    </row>
    <row r="53" spans="2:2" x14ac:dyDescent="0.25">
      <c r="B53" s="26" t="s">
        <v>478</v>
      </c>
    </row>
    <row r="54" spans="2:2" x14ac:dyDescent="0.25">
      <c r="B54" s="27" t="s">
        <v>479</v>
      </c>
    </row>
  </sheetData>
  <hyperlinks>
    <hyperlink ref="B4" r:id="rId1" xr:uid="{AB65D246-ED9A-4CE3-8BD8-2CB3AAAAD710}"/>
    <hyperlink ref="B53" r:id="rId2" xr:uid="{423D6711-D883-4E6E-90FA-5679F2C88EAF}"/>
    <hyperlink ref="B54" r:id="rId3" xr:uid="{7B91441A-6D06-44B1-8905-056EC5217F1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6" customWidth="1"/>
    <col min="3" max="3" width="26" customWidth="1"/>
    <col min="4" max="4" width="32" customWidth="1"/>
    <col min="5" max="5" width="22" customWidth="1"/>
    <col min="6" max="6" width="26" customWidth="1"/>
    <col min="7" max="8" width="12" customWidth="1"/>
    <col min="9" max="10" width="20" customWidth="1"/>
    <col min="11" max="11" width="16" customWidth="1"/>
    <col min="12" max="12" width="18" customWidth="1"/>
    <col min="13" max="13" width="12" customWidth="1"/>
    <col min="14" max="14" width="10" customWidth="1"/>
    <col min="15" max="15" width="12" customWidth="1"/>
    <col min="16" max="16" width="22" customWidth="1"/>
    <col min="17" max="17" width="16" customWidth="1"/>
    <col min="18" max="18" width="8" customWidth="1"/>
    <col min="19" max="19" width="16" customWidth="1"/>
    <col min="20" max="20" width="14" customWidth="1"/>
    <col min="21" max="21" width="8" customWidth="1"/>
    <col min="22" max="22" width="20" customWidth="1"/>
    <col min="23" max="24" width="16" customWidth="1"/>
    <col min="25" max="25" width="12" customWidth="1"/>
    <col min="26" max="28" width="14" customWidth="1"/>
    <col min="29" max="29" width="10" customWidth="1"/>
    <col min="30" max="30" width="20" customWidth="1"/>
    <col min="31" max="31" width="30" customWidth="1"/>
    <col min="32" max="32" width="16" customWidth="1"/>
    <col min="33" max="33" width="30" customWidth="1"/>
  </cols>
  <sheetData>
    <row r="1" spans="1:33" ht="45" x14ac:dyDescent="0.25">
      <c r="A1" s="5" t="s">
        <v>225</v>
      </c>
      <c r="B1" s="5" t="s">
        <v>226</v>
      </c>
      <c r="C1" s="5" t="s">
        <v>227</v>
      </c>
      <c r="D1" s="5" t="s">
        <v>228</v>
      </c>
      <c r="E1" s="5" t="s">
        <v>229</v>
      </c>
      <c r="F1" s="5" t="s">
        <v>230</v>
      </c>
      <c r="G1" s="5" t="s">
        <v>231</v>
      </c>
      <c r="H1" s="5" t="s">
        <v>232</v>
      </c>
      <c r="I1" s="5" t="s">
        <v>233</v>
      </c>
      <c r="J1" s="5" t="s">
        <v>234</v>
      </c>
      <c r="K1" s="5" t="s">
        <v>235</v>
      </c>
      <c r="L1" s="5" t="s">
        <v>81</v>
      </c>
      <c r="M1" s="5" t="s">
        <v>82</v>
      </c>
      <c r="N1" s="5" t="s">
        <v>236</v>
      </c>
      <c r="O1" s="5" t="s">
        <v>237</v>
      </c>
      <c r="P1" s="5" t="s">
        <v>238</v>
      </c>
      <c r="Q1" s="5" t="s">
        <v>239</v>
      </c>
      <c r="R1" s="5" t="s">
        <v>240</v>
      </c>
      <c r="S1" s="5" t="s">
        <v>241</v>
      </c>
      <c r="T1" s="5" t="s">
        <v>242</v>
      </c>
      <c r="U1" s="5" t="s">
        <v>243</v>
      </c>
      <c r="V1" s="5" t="s">
        <v>244</v>
      </c>
      <c r="W1" s="5" t="s">
        <v>87</v>
      </c>
      <c r="X1" s="5" t="s">
        <v>245</v>
      </c>
      <c r="Y1" s="5" t="s">
        <v>85</v>
      </c>
      <c r="Z1" s="5" t="s">
        <v>86</v>
      </c>
      <c r="AA1" s="5" t="s">
        <v>246</v>
      </c>
      <c r="AB1" s="5" t="s">
        <v>90</v>
      </c>
      <c r="AC1" s="5" t="s">
        <v>247</v>
      </c>
      <c r="AD1" s="5" t="s">
        <v>248</v>
      </c>
      <c r="AE1" s="5" t="s">
        <v>249</v>
      </c>
      <c r="AF1" s="5" t="s">
        <v>89</v>
      </c>
      <c r="AG1" s="5" t="s">
        <v>250</v>
      </c>
    </row>
    <row r="2" spans="1:33" x14ac:dyDescent="0.25">
      <c r="A2" s="10">
        <f t="shared" ref="A2:A65" si="0">IF(ISBLANK(D2),"",ROW()-1)</f>
        <v>1</v>
      </c>
      <c r="B2" s="11" t="s">
        <v>251</v>
      </c>
      <c r="C2" s="10" t="str">
        <f t="shared" ref="C2:C65" si="1">IF(ISBLANK(D2),"",MID(K2,SEARCH("(",K2)+1,SEARCH(")",K2)-SEARCH("(",K2)-1)&amp;"-"&amp;MID(L2,SEARCH("(",L2)+1,SEARCH(")",L2)-SEARCH("(",L2)-1)&amp;"-"&amp;H2&amp;"-"&amp;TEXT(A2,"000")&amp;IF(ISBLANK(N2),"","-"&amp;SUBSTITUTE(N2," ","")))</f>
        <v>FIC-LIT-TAG-001-Vol1</v>
      </c>
      <c r="D2" s="11" t="s">
        <v>252</v>
      </c>
      <c r="E2" s="11" t="s">
        <v>253</v>
      </c>
      <c r="F2" s="11" t="s">
        <v>254</v>
      </c>
      <c r="G2" s="11"/>
      <c r="H2" s="10" t="str">
        <f>IF(ISBLANK(F2),"",IF(G2&lt;&gt;"",UPPER(TRIM(G2)),IF(ISNUMBER(SEARCH(" ",TRIM(F2))),UPPER(LEFT(TRIM(RIGHT(SUBSTITUTE(TRIM(F2)," ",REPT(" ",100)),100)),Settings!$B$9)),UPPER(LEFT(TRIM(F2),Settings!$B$9)))))</f>
        <v>TAG</v>
      </c>
      <c r="I2" s="11"/>
      <c r="J2" s="11"/>
      <c r="K2" s="11" t="s">
        <v>255</v>
      </c>
      <c r="L2" s="11" t="s">
        <v>98</v>
      </c>
      <c r="M2" s="11" t="s">
        <v>116</v>
      </c>
      <c r="N2" s="11" t="s">
        <v>253</v>
      </c>
      <c r="O2" s="11"/>
      <c r="P2" s="11"/>
      <c r="Q2" s="11"/>
      <c r="R2" s="11"/>
      <c r="S2" s="11"/>
      <c r="T2" s="11"/>
      <c r="U2" s="11"/>
      <c r="V2" s="11"/>
      <c r="W2" s="11" t="s">
        <v>103</v>
      </c>
      <c r="X2" s="11" t="s">
        <v>256</v>
      </c>
      <c r="Y2" s="11" t="s">
        <v>136</v>
      </c>
      <c r="Z2" s="10" t="str">
        <f>IF(ISBLANK(D2),"",IF(COUNTIFS(Circulation!$B$2:$B$500,A2,Circulation!$H$2:$H$500,"Active")&gt;0,"On Loan","Available"))</f>
        <v>Available</v>
      </c>
      <c r="AA2" s="11"/>
      <c r="AB2" s="11"/>
      <c r="AC2" s="11"/>
      <c r="AD2" s="11"/>
      <c r="AE2" s="11"/>
      <c r="AF2" s="11"/>
      <c r="AG2" s="11"/>
    </row>
    <row r="3" spans="1:33" x14ac:dyDescent="0.25">
      <c r="A3" s="10">
        <f t="shared" si="0"/>
        <v>2</v>
      </c>
      <c r="B3" s="11" t="s">
        <v>257</v>
      </c>
      <c r="C3" s="10" t="str">
        <f t="shared" si="1"/>
        <v>FIC-LIT-TAG-002-Vol2</v>
      </c>
      <c r="D3" s="11" t="s">
        <v>252</v>
      </c>
      <c r="E3" s="11" t="s">
        <v>258</v>
      </c>
      <c r="F3" s="11" t="s">
        <v>254</v>
      </c>
      <c r="G3" s="11"/>
      <c r="H3" s="10" t="str">
        <f>IF(ISBLANK(F3),"",IF(G3&lt;&gt;"",UPPER(TRIM(G3)),IF(ISNUMBER(SEARCH(" ",TRIM(F3))),UPPER(LEFT(TRIM(RIGHT(SUBSTITUTE(TRIM(F3)," ",REPT(" ",100)),100)),Settings!$B$9)),UPPER(LEFT(TRIM(F3),Settings!$B$9)))))</f>
        <v>TAG</v>
      </c>
      <c r="I3" s="11"/>
      <c r="J3" s="11"/>
      <c r="K3" s="11" t="s">
        <v>255</v>
      </c>
      <c r="L3" s="11" t="s">
        <v>98</v>
      </c>
      <c r="M3" s="11" t="s">
        <v>116</v>
      </c>
      <c r="N3" s="11" t="s">
        <v>258</v>
      </c>
      <c r="O3" s="11"/>
      <c r="P3" s="11"/>
      <c r="Q3" s="11"/>
      <c r="R3" s="11"/>
      <c r="S3" s="11"/>
      <c r="T3" s="11"/>
      <c r="U3" s="11"/>
      <c r="V3" s="11"/>
      <c r="W3" s="11" t="s">
        <v>103</v>
      </c>
      <c r="X3" s="11" t="s">
        <v>256</v>
      </c>
      <c r="Y3" s="11" t="s">
        <v>136</v>
      </c>
      <c r="Z3" s="10" t="str">
        <f>IF(ISBLANK(D3),"",IF(COUNTIFS(Circulation!$B$2:$B$500,A3,Circulation!$H$2:$H$500,"Active")&gt;0,"On Loan","Available"))</f>
        <v>Available</v>
      </c>
      <c r="AA3" s="11"/>
      <c r="AB3" s="11"/>
      <c r="AC3" s="11"/>
      <c r="AD3" s="11"/>
      <c r="AE3" s="11"/>
      <c r="AF3" s="11"/>
      <c r="AG3" s="11"/>
    </row>
    <row r="4" spans="1:33" x14ac:dyDescent="0.25">
      <c r="A4" s="10">
        <f t="shared" si="0"/>
        <v>3</v>
      </c>
      <c r="B4" s="11" t="s">
        <v>259</v>
      </c>
      <c r="C4" s="10" t="str">
        <f t="shared" si="1"/>
        <v>FIC-LIT-TAG-003-Vol3</v>
      </c>
      <c r="D4" s="11" t="s">
        <v>252</v>
      </c>
      <c r="E4" s="11" t="s">
        <v>260</v>
      </c>
      <c r="F4" s="11" t="s">
        <v>254</v>
      </c>
      <c r="G4" s="11"/>
      <c r="H4" s="10" t="str">
        <f>IF(ISBLANK(F4),"",IF(G4&lt;&gt;"",UPPER(TRIM(G4)),IF(ISNUMBER(SEARCH(" ",TRIM(F4))),UPPER(LEFT(TRIM(RIGHT(SUBSTITUTE(TRIM(F4)," ",REPT(" ",100)),100)),Settings!$B$9)),UPPER(LEFT(TRIM(F4),Settings!$B$9)))))</f>
        <v>TAG</v>
      </c>
      <c r="I4" s="11"/>
      <c r="J4" s="11"/>
      <c r="K4" s="11" t="s">
        <v>255</v>
      </c>
      <c r="L4" s="11" t="s">
        <v>98</v>
      </c>
      <c r="M4" s="11" t="s">
        <v>116</v>
      </c>
      <c r="N4" s="11" t="s">
        <v>260</v>
      </c>
      <c r="O4" s="11"/>
      <c r="P4" s="11"/>
      <c r="Q4" s="11"/>
      <c r="R4" s="11"/>
      <c r="S4" s="11"/>
      <c r="T4" s="11"/>
      <c r="U4" s="11"/>
      <c r="V4" s="11"/>
      <c r="W4" s="11" t="s">
        <v>103</v>
      </c>
      <c r="X4" s="11" t="s">
        <v>256</v>
      </c>
      <c r="Y4" s="11" t="s">
        <v>136</v>
      </c>
      <c r="Z4" s="10" t="str">
        <f>IF(ISBLANK(D4),"",IF(COUNTIFS(Circulation!$B$2:$B$500,A4,Circulation!$H$2:$H$500,"Active")&gt;0,"On Loan","Available"))</f>
        <v>Available</v>
      </c>
      <c r="AA4" s="11"/>
      <c r="AB4" s="11"/>
      <c r="AC4" s="11"/>
      <c r="AD4" s="11"/>
      <c r="AE4" s="11"/>
      <c r="AF4" s="11"/>
      <c r="AG4" s="11"/>
    </row>
    <row r="5" spans="1:33" x14ac:dyDescent="0.25">
      <c r="A5" s="10">
        <f t="shared" si="0"/>
        <v>4</v>
      </c>
      <c r="B5" s="11" t="s">
        <v>261</v>
      </c>
      <c r="C5" s="10" t="str">
        <f t="shared" si="1"/>
        <v>FIC-LIT-TAG-004-Vol4</v>
      </c>
      <c r="D5" s="11" t="s">
        <v>252</v>
      </c>
      <c r="E5" s="11" t="s">
        <v>262</v>
      </c>
      <c r="F5" s="11" t="s">
        <v>254</v>
      </c>
      <c r="G5" s="11"/>
      <c r="H5" s="10" t="str">
        <f>IF(ISBLANK(F5),"",IF(G5&lt;&gt;"",UPPER(TRIM(G5)),IF(ISNUMBER(SEARCH(" ",TRIM(F5))),UPPER(LEFT(TRIM(RIGHT(SUBSTITUTE(TRIM(F5)," ",REPT(" ",100)),100)),Settings!$B$9)),UPPER(LEFT(TRIM(F5),Settings!$B$9)))))</f>
        <v>TAG</v>
      </c>
      <c r="I5" s="11"/>
      <c r="J5" s="11"/>
      <c r="K5" s="11" t="s">
        <v>255</v>
      </c>
      <c r="L5" s="11" t="s">
        <v>98</v>
      </c>
      <c r="M5" s="11" t="s">
        <v>116</v>
      </c>
      <c r="N5" s="11" t="s">
        <v>262</v>
      </c>
      <c r="O5" s="11"/>
      <c r="P5" s="11"/>
      <c r="Q5" s="11"/>
      <c r="R5" s="11"/>
      <c r="S5" s="11"/>
      <c r="T5" s="11"/>
      <c r="U5" s="11"/>
      <c r="V5" s="11"/>
      <c r="W5" s="11" t="s">
        <v>103</v>
      </c>
      <c r="X5" s="11" t="s">
        <v>256</v>
      </c>
      <c r="Y5" s="11" t="s">
        <v>136</v>
      </c>
      <c r="Z5" s="10" t="str">
        <f>IF(ISBLANK(D5),"",IF(COUNTIFS(Circulation!$B$2:$B$500,A5,Circulation!$H$2:$H$500,"Active")&gt;0,"On Loan","Available"))</f>
        <v>Available</v>
      </c>
      <c r="AA5" s="11"/>
      <c r="AB5" s="11"/>
      <c r="AC5" s="11"/>
      <c r="AD5" s="11"/>
      <c r="AE5" s="11"/>
      <c r="AF5" s="11"/>
      <c r="AG5" s="11"/>
    </row>
    <row r="6" spans="1:33" x14ac:dyDescent="0.25">
      <c r="A6" s="10">
        <f t="shared" si="0"/>
        <v>5</v>
      </c>
      <c r="B6" s="11" t="s">
        <v>263</v>
      </c>
      <c r="C6" s="10" t="str">
        <f t="shared" si="1"/>
        <v>FIC-LIT-TAG-005-Vol5</v>
      </c>
      <c r="D6" s="11" t="s">
        <v>252</v>
      </c>
      <c r="E6" s="11" t="s">
        <v>264</v>
      </c>
      <c r="F6" s="11" t="s">
        <v>254</v>
      </c>
      <c r="G6" s="11"/>
      <c r="H6" s="10" t="str">
        <f>IF(ISBLANK(F6),"",IF(G6&lt;&gt;"",UPPER(TRIM(G6)),IF(ISNUMBER(SEARCH(" ",TRIM(F6))),UPPER(LEFT(TRIM(RIGHT(SUBSTITUTE(TRIM(F6)," ",REPT(" ",100)),100)),Settings!$B$9)),UPPER(LEFT(TRIM(F6),Settings!$B$9)))))</f>
        <v>TAG</v>
      </c>
      <c r="I6" s="11"/>
      <c r="J6" s="11"/>
      <c r="K6" s="11" t="s">
        <v>255</v>
      </c>
      <c r="L6" s="11" t="s">
        <v>98</v>
      </c>
      <c r="M6" s="11" t="s">
        <v>116</v>
      </c>
      <c r="N6" s="11" t="s">
        <v>264</v>
      </c>
      <c r="O6" s="11"/>
      <c r="P6" s="11"/>
      <c r="Q6" s="11"/>
      <c r="R6" s="11"/>
      <c r="S6" s="11"/>
      <c r="T6" s="11"/>
      <c r="U6" s="11"/>
      <c r="V6" s="11"/>
      <c r="W6" s="11" t="s">
        <v>103</v>
      </c>
      <c r="X6" s="11" t="s">
        <v>256</v>
      </c>
      <c r="Y6" s="11" t="s">
        <v>136</v>
      </c>
      <c r="Z6" s="10" t="str">
        <f>IF(ISBLANK(D6),"",IF(COUNTIFS(Circulation!$B$2:$B$500,A6,Circulation!$H$2:$H$500,"Active")&gt;0,"On Loan","Available"))</f>
        <v>Available</v>
      </c>
      <c r="AA6" s="11"/>
      <c r="AB6" s="11"/>
      <c r="AC6" s="11"/>
      <c r="AD6" s="11"/>
      <c r="AE6" s="11"/>
      <c r="AF6" s="11"/>
      <c r="AG6" s="11"/>
    </row>
    <row r="7" spans="1:33" x14ac:dyDescent="0.25">
      <c r="A7" s="10">
        <f t="shared" si="0"/>
        <v>6</v>
      </c>
      <c r="B7" s="11" t="s">
        <v>265</v>
      </c>
      <c r="C7" s="10" t="str">
        <f t="shared" si="1"/>
        <v>FIC-LIT-TAG-006-Vol6</v>
      </c>
      <c r="D7" s="11" t="s">
        <v>252</v>
      </c>
      <c r="E7" s="11" t="s">
        <v>266</v>
      </c>
      <c r="F7" s="11" t="s">
        <v>254</v>
      </c>
      <c r="G7" s="11"/>
      <c r="H7" s="10" t="str">
        <f>IF(ISBLANK(F7),"",IF(G7&lt;&gt;"",UPPER(TRIM(G7)),IF(ISNUMBER(SEARCH(" ",TRIM(F7))),UPPER(LEFT(TRIM(RIGHT(SUBSTITUTE(TRIM(F7)," ",REPT(" ",100)),100)),Settings!$B$9)),UPPER(LEFT(TRIM(F7),Settings!$B$9)))))</f>
        <v>TAG</v>
      </c>
      <c r="I7" s="11"/>
      <c r="J7" s="11"/>
      <c r="K7" s="11" t="s">
        <v>255</v>
      </c>
      <c r="L7" s="11" t="s">
        <v>98</v>
      </c>
      <c r="M7" s="11" t="s">
        <v>116</v>
      </c>
      <c r="N7" s="11" t="s">
        <v>266</v>
      </c>
      <c r="O7" s="11"/>
      <c r="P7" s="11"/>
      <c r="Q7" s="11"/>
      <c r="R7" s="11"/>
      <c r="S7" s="11"/>
      <c r="T7" s="11"/>
      <c r="U7" s="11"/>
      <c r="V7" s="11"/>
      <c r="W7" s="11" t="s">
        <v>103</v>
      </c>
      <c r="X7" s="11" t="s">
        <v>256</v>
      </c>
      <c r="Y7" s="11" t="s">
        <v>136</v>
      </c>
      <c r="Z7" s="10" t="str">
        <f>IF(ISBLANK(D7),"",IF(COUNTIFS(Circulation!$B$2:$B$500,A7,Circulation!$H$2:$H$500,"Active")&gt;0,"On Loan","Available"))</f>
        <v>Available</v>
      </c>
      <c r="AA7" s="11"/>
      <c r="AB7" s="11"/>
      <c r="AC7" s="11"/>
      <c r="AD7" s="11"/>
      <c r="AE7" s="11"/>
      <c r="AF7" s="11"/>
      <c r="AG7" s="11"/>
    </row>
    <row r="8" spans="1:33" x14ac:dyDescent="0.25">
      <c r="A8" s="10">
        <f t="shared" si="0"/>
        <v>7</v>
      </c>
      <c r="B8" s="11" t="s">
        <v>267</v>
      </c>
      <c r="C8" s="10" t="str">
        <f t="shared" si="1"/>
        <v>FIC-LIT-TAG-007-Vol7</v>
      </c>
      <c r="D8" s="11" t="s">
        <v>252</v>
      </c>
      <c r="E8" s="11" t="s">
        <v>268</v>
      </c>
      <c r="F8" s="11" t="s">
        <v>254</v>
      </c>
      <c r="G8" s="11"/>
      <c r="H8" s="10" t="str">
        <f>IF(ISBLANK(F8),"",IF(G8&lt;&gt;"",UPPER(TRIM(G8)),IF(ISNUMBER(SEARCH(" ",TRIM(F8))),UPPER(LEFT(TRIM(RIGHT(SUBSTITUTE(TRIM(F8)," ",REPT(" ",100)),100)),Settings!$B$9)),UPPER(LEFT(TRIM(F8),Settings!$B$9)))))</f>
        <v>TAG</v>
      </c>
      <c r="I8" s="11"/>
      <c r="J8" s="11"/>
      <c r="K8" s="11" t="s">
        <v>255</v>
      </c>
      <c r="L8" s="11" t="s">
        <v>98</v>
      </c>
      <c r="M8" s="11" t="s">
        <v>116</v>
      </c>
      <c r="N8" s="11" t="s">
        <v>268</v>
      </c>
      <c r="O8" s="11"/>
      <c r="P8" s="11"/>
      <c r="Q8" s="11"/>
      <c r="R8" s="11"/>
      <c r="S8" s="11"/>
      <c r="T8" s="11"/>
      <c r="U8" s="11"/>
      <c r="V8" s="11"/>
      <c r="W8" s="11" t="s">
        <v>103</v>
      </c>
      <c r="X8" s="11" t="s">
        <v>256</v>
      </c>
      <c r="Y8" s="11" t="s">
        <v>136</v>
      </c>
      <c r="Z8" s="10" t="str">
        <f>IF(ISBLANK(D8),"",IF(COUNTIFS(Circulation!$B$2:$B$500,A8,Circulation!$H$2:$H$500,"Active")&gt;0,"On Loan","Available"))</f>
        <v>Available</v>
      </c>
      <c r="AA8" s="11"/>
      <c r="AB8" s="11"/>
      <c r="AC8" s="11"/>
      <c r="AD8" s="11"/>
      <c r="AE8" s="11"/>
      <c r="AF8" s="11"/>
      <c r="AG8" s="11"/>
    </row>
    <row r="9" spans="1:33" x14ac:dyDescent="0.25">
      <c r="A9" s="10">
        <f t="shared" si="0"/>
        <v>8</v>
      </c>
      <c r="B9" s="11" t="s">
        <v>269</v>
      </c>
      <c r="C9" s="10" t="str">
        <f t="shared" si="1"/>
        <v>FIC-LIT-TAG-008-Vol8</v>
      </c>
      <c r="D9" s="11" t="s">
        <v>252</v>
      </c>
      <c r="E9" s="11" t="s">
        <v>270</v>
      </c>
      <c r="F9" s="11" t="s">
        <v>254</v>
      </c>
      <c r="G9" s="11"/>
      <c r="H9" s="10" t="str">
        <f>IF(ISBLANK(F9),"",IF(G9&lt;&gt;"",UPPER(TRIM(G9)),IF(ISNUMBER(SEARCH(" ",TRIM(F9))),UPPER(LEFT(TRIM(RIGHT(SUBSTITUTE(TRIM(F9)," ",REPT(" ",100)),100)),Settings!$B$9)),UPPER(LEFT(TRIM(F9),Settings!$B$9)))))</f>
        <v>TAG</v>
      </c>
      <c r="I9" s="11"/>
      <c r="J9" s="11"/>
      <c r="K9" s="11" t="s">
        <v>255</v>
      </c>
      <c r="L9" s="11" t="s">
        <v>98</v>
      </c>
      <c r="M9" s="11" t="s">
        <v>116</v>
      </c>
      <c r="N9" s="11" t="s">
        <v>270</v>
      </c>
      <c r="O9" s="11"/>
      <c r="P9" s="11"/>
      <c r="Q9" s="11"/>
      <c r="R9" s="11"/>
      <c r="S9" s="11"/>
      <c r="T9" s="11"/>
      <c r="U9" s="11"/>
      <c r="V9" s="11"/>
      <c r="W9" s="11" t="s">
        <v>103</v>
      </c>
      <c r="X9" s="11" t="s">
        <v>256</v>
      </c>
      <c r="Y9" s="11" t="s">
        <v>136</v>
      </c>
      <c r="Z9" s="10" t="str">
        <f>IF(ISBLANK(D9),"",IF(COUNTIFS(Circulation!$B$2:$B$500,A9,Circulation!$H$2:$H$500,"Active")&gt;0,"On Loan","Available"))</f>
        <v>Available</v>
      </c>
      <c r="AA9" s="11"/>
      <c r="AB9" s="11"/>
      <c r="AC9" s="11"/>
      <c r="AD9" s="11"/>
      <c r="AE9" s="11"/>
      <c r="AF9" s="11"/>
      <c r="AG9" s="11"/>
    </row>
    <row r="10" spans="1:33" x14ac:dyDescent="0.25">
      <c r="A10" s="10">
        <f t="shared" si="0"/>
        <v>9</v>
      </c>
      <c r="B10" s="11" t="s">
        <v>271</v>
      </c>
      <c r="C10" s="10" t="str">
        <f t="shared" si="1"/>
        <v>FIC-LIT-TAG-009-Vol9</v>
      </c>
      <c r="D10" s="11" t="s">
        <v>252</v>
      </c>
      <c r="E10" s="11" t="s">
        <v>272</v>
      </c>
      <c r="F10" s="11" t="s">
        <v>254</v>
      </c>
      <c r="G10" s="11"/>
      <c r="H10" s="10" t="str">
        <f>IF(ISBLANK(F10),"",IF(G10&lt;&gt;"",UPPER(TRIM(G10)),IF(ISNUMBER(SEARCH(" ",TRIM(F10))),UPPER(LEFT(TRIM(RIGHT(SUBSTITUTE(TRIM(F10)," ",REPT(" ",100)),100)),Settings!$B$9)),UPPER(LEFT(TRIM(F10),Settings!$B$9)))))</f>
        <v>TAG</v>
      </c>
      <c r="I10" s="11"/>
      <c r="J10" s="11"/>
      <c r="K10" s="11" t="s">
        <v>255</v>
      </c>
      <c r="L10" s="11" t="s">
        <v>98</v>
      </c>
      <c r="M10" s="11" t="s">
        <v>116</v>
      </c>
      <c r="N10" s="11" t="s">
        <v>272</v>
      </c>
      <c r="O10" s="11"/>
      <c r="P10" s="11"/>
      <c r="Q10" s="11"/>
      <c r="R10" s="11"/>
      <c r="S10" s="11"/>
      <c r="T10" s="11"/>
      <c r="U10" s="11"/>
      <c r="V10" s="11"/>
      <c r="W10" s="11" t="s">
        <v>103</v>
      </c>
      <c r="X10" s="11" t="s">
        <v>273</v>
      </c>
      <c r="Y10" s="11" t="s">
        <v>136</v>
      </c>
      <c r="Z10" s="10" t="str">
        <f>IF(ISBLANK(D10),"",IF(COUNTIFS(Circulation!$B$2:$B$500,A10,Circulation!$H$2:$H$500,"Active")&gt;0,"On Loan","Available"))</f>
        <v>Available</v>
      </c>
      <c r="AA10" s="11"/>
      <c r="AB10" s="11"/>
      <c r="AC10" s="11"/>
      <c r="AD10" s="11"/>
      <c r="AE10" s="11"/>
      <c r="AF10" s="11"/>
      <c r="AG10" s="11"/>
    </row>
    <row r="11" spans="1:33" x14ac:dyDescent="0.25">
      <c r="A11" s="10">
        <f t="shared" si="0"/>
        <v>10</v>
      </c>
      <c r="B11" s="11" t="s">
        <v>274</v>
      </c>
      <c r="C11" s="10" t="str">
        <f t="shared" si="1"/>
        <v>FIC-LIT-TAG-010-Vol10</v>
      </c>
      <c r="D11" s="11" t="s">
        <v>252</v>
      </c>
      <c r="E11" s="11" t="s">
        <v>275</v>
      </c>
      <c r="F11" s="11" t="s">
        <v>254</v>
      </c>
      <c r="G11" s="11"/>
      <c r="H11" s="10" t="str">
        <f>IF(ISBLANK(F11),"",IF(G11&lt;&gt;"",UPPER(TRIM(G11)),IF(ISNUMBER(SEARCH(" ",TRIM(F11))),UPPER(LEFT(TRIM(RIGHT(SUBSTITUTE(TRIM(F11)," ",REPT(" ",100)),100)),Settings!$B$9)),UPPER(LEFT(TRIM(F11),Settings!$B$9)))))</f>
        <v>TAG</v>
      </c>
      <c r="I11" s="11"/>
      <c r="J11" s="11"/>
      <c r="K11" s="11" t="s">
        <v>255</v>
      </c>
      <c r="L11" s="11" t="s">
        <v>98</v>
      </c>
      <c r="M11" s="11" t="s">
        <v>116</v>
      </c>
      <c r="N11" s="11" t="s">
        <v>275</v>
      </c>
      <c r="O11" s="11"/>
      <c r="P11" s="11"/>
      <c r="Q11" s="11"/>
      <c r="R11" s="11"/>
      <c r="S11" s="11"/>
      <c r="T11" s="11"/>
      <c r="U11" s="11"/>
      <c r="V11" s="11"/>
      <c r="W11" s="11" t="s">
        <v>103</v>
      </c>
      <c r="X11" s="11" t="s">
        <v>273</v>
      </c>
      <c r="Y11" s="11" t="s">
        <v>136</v>
      </c>
      <c r="Z11" s="10" t="str">
        <f>IF(ISBLANK(D11),"",IF(COUNTIFS(Circulation!$B$2:$B$500,A11,Circulation!$H$2:$H$500,"Active")&gt;0,"On Loan","Available"))</f>
        <v>Available</v>
      </c>
      <c r="AA11" s="11"/>
      <c r="AB11" s="11"/>
      <c r="AC11" s="11"/>
      <c r="AD11" s="11"/>
      <c r="AE11" s="11"/>
      <c r="AF11" s="11"/>
      <c r="AG11" s="11"/>
    </row>
    <row r="12" spans="1:33" x14ac:dyDescent="0.25">
      <c r="A12" s="10">
        <f t="shared" si="0"/>
        <v>11</v>
      </c>
      <c r="B12" s="11" t="s">
        <v>276</v>
      </c>
      <c r="C12" s="10" t="str">
        <f t="shared" si="1"/>
        <v>FIC-LIT-TAG-011-Vol11</v>
      </c>
      <c r="D12" s="11" t="s">
        <v>252</v>
      </c>
      <c r="E12" s="11" t="s">
        <v>277</v>
      </c>
      <c r="F12" s="11" t="s">
        <v>254</v>
      </c>
      <c r="G12" s="11"/>
      <c r="H12" s="10" t="str">
        <f>IF(ISBLANK(F12),"",IF(G12&lt;&gt;"",UPPER(TRIM(G12)),IF(ISNUMBER(SEARCH(" ",TRIM(F12))),UPPER(LEFT(TRIM(RIGHT(SUBSTITUTE(TRIM(F12)," ",REPT(" ",100)),100)),Settings!$B$9)),UPPER(LEFT(TRIM(F12),Settings!$B$9)))))</f>
        <v>TAG</v>
      </c>
      <c r="I12" s="11"/>
      <c r="J12" s="11"/>
      <c r="K12" s="11" t="s">
        <v>255</v>
      </c>
      <c r="L12" s="11" t="s">
        <v>98</v>
      </c>
      <c r="M12" s="11" t="s">
        <v>116</v>
      </c>
      <c r="N12" s="11" t="s">
        <v>277</v>
      </c>
      <c r="O12" s="11"/>
      <c r="P12" s="11"/>
      <c r="Q12" s="11"/>
      <c r="R12" s="11"/>
      <c r="S12" s="11"/>
      <c r="T12" s="11"/>
      <c r="U12" s="11"/>
      <c r="V12" s="11"/>
      <c r="W12" s="11" t="s">
        <v>103</v>
      </c>
      <c r="X12" s="11" t="s">
        <v>273</v>
      </c>
      <c r="Y12" s="11" t="s">
        <v>136</v>
      </c>
      <c r="Z12" s="10" t="str">
        <f>IF(ISBLANK(D12),"",IF(COUNTIFS(Circulation!$B$2:$B$500,A12,Circulation!$H$2:$H$500,"Active")&gt;0,"On Loan","Available"))</f>
        <v>Available</v>
      </c>
      <c r="AA12" s="11"/>
      <c r="AB12" s="11"/>
      <c r="AC12" s="11"/>
      <c r="AD12" s="11"/>
      <c r="AE12" s="11"/>
      <c r="AF12" s="11"/>
      <c r="AG12" s="11"/>
    </row>
    <row r="13" spans="1:33" x14ac:dyDescent="0.25">
      <c r="A13" s="10">
        <f t="shared" si="0"/>
        <v>12</v>
      </c>
      <c r="B13" s="11" t="s">
        <v>278</v>
      </c>
      <c r="C13" s="10" t="str">
        <f t="shared" si="1"/>
        <v>FIC-LIT-TAG-012-Vol12</v>
      </c>
      <c r="D13" s="11" t="s">
        <v>252</v>
      </c>
      <c r="E13" s="11" t="s">
        <v>279</v>
      </c>
      <c r="F13" s="11" t="s">
        <v>254</v>
      </c>
      <c r="G13" s="11"/>
      <c r="H13" s="10" t="str">
        <f>IF(ISBLANK(F13),"",IF(G13&lt;&gt;"",UPPER(TRIM(G13)),IF(ISNUMBER(SEARCH(" ",TRIM(F13))),UPPER(LEFT(TRIM(RIGHT(SUBSTITUTE(TRIM(F13)," ",REPT(" ",100)),100)),Settings!$B$9)),UPPER(LEFT(TRIM(F13),Settings!$B$9)))))</f>
        <v>TAG</v>
      </c>
      <c r="I13" s="11"/>
      <c r="J13" s="11"/>
      <c r="K13" s="11" t="s">
        <v>255</v>
      </c>
      <c r="L13" s="11" t="s">
        <v>98</v>
      </c>
      <c r="M13" s="11" t="s">
        <v>116</v>
      </c>
      <c r="N13" s="11" t="s">
        <v>279</v>
      </c>
      <c r="O13" s="11"/>
      <c r="P13" s="11"/>
      <c r="Q13" s="11"/>
      <c r="R13" s="11"/>
      <c r="S13" s="11"/>
      <c r="T13" s="11"/>
      <c r="U13" s="11"/>
      <c r="V13" s="11"/>
      <c r="W13" s="11" t="s">
        <v>103</v>
      </c>
      <c r="X13" s="11" t="s">
        <v>273</v>
      </c>
      <c r="Y13" s="11" t="s">
        <v>136</v>
      </c>
      <c r="Z13" s="10" t="str">
        <f>IF(ISBLANK(D13),"",IF(COUNTIFS(Circulation!$B$2:$B$500,A13,Circulation!$H$2:$H$500,"Active")&gt;0,"On Loan","Available"))</f>
        <v>Available</v>
      </c>
      <c r="AA13" s="11"/>
      <c r="AB13" s="11"/>
      <c r="AC13" s="11"/>
      <c r="AD13" s="11"/>
      <c r="AE13" s="11"/>
      <c r="AF13" s="11"/>
      <c r="AG13" s="11"/>
    </row>
    <row r="14" spans="1:33" x14ac:dyDescent="0.25">
      <c r="A14" s="10">
        <f t="shared" si="0"/>
        <v>13</v>
      </c>
      <c r="B14" s="11" t="s">
        <v>280</v>
      </c>
      <c r="C14" s="10" t="str">
        <f t="shared" si="1"/>
        <v>FIC-LIT-TAG-013-Vol13</v>
      </c>
      <c r="D14" s="11" t="s">
        <v>252</v>
      </c>
      <c r="E14" s="11" t="s">
        <v>281</v>
      </c>
      <c r="F14" s="11" t="s">
        <v>254</v>
      </c>
      <c r="G14" s="11"/>
      <c r="H14" s="10" t="str">
        <f>IF(ISBLANK(F14),"",IF(G14&lt;&gt;"",UPPER(TRIM(G14)),IF(ISNUMBER(SEARCH(" ",TRIM(F14))),UPPER(LEFT(TRIM(RIGHT(SUBSTITUTE(TRIM(F14)," ",REPT(" ",100)),100)),Settings!$B$9)),UPPER(LEFT(TRIM(F14),Settings!$B$9)))))</f>
        <v>TAG</v>
      </c>
      <c r="I14" s="11"/>
      <c r="J14" s="11"/>
      <c r="K14" s="11" t="s">
        <v>255</v>
      </c>
      <c r="L14" s="11" t="s">
        <v>98</v>
      </c>
      <c r="M14" s="11" t="s">
        <v>116</v>
      </c>
      <c r="N14" s="11" t="s">
        <v>281</v>
      </c>
      <c r="O14" s="11"/>
      <c r="P14" s="11"/>
      <c r="Q14" s="11"/>
      <c r="R14" s="11"/>
      <c r="S14" s="11"/>
      <c r="T14" s="11"/>
      <c r="U14" s="11"/>
      <c r="V14" s="11"/>
      <c r="W14" s="11" t="s">
        <v>103</v>
      </c>
      <c r="X14" s="11" t="s">
        <v>273</v>
      </c>
      <c r="Y14" s="11" t="s">
        <v>136</v>
      </c>
      <c r="Z14" s="10" t="str">
        <f>IF(ISBLANK(D14),"",IF(COUNTIFS(Circulation!$B$2:$B$500,A14,Circulation!$H$2:$H$500,"Active")&gt;0,"On Loan","Available"))</f>
        <v>Available</v>
      </c>
      <c r="AA14" s="11"/>
      <c r="AB14" s="11"/>
      <c r="AC14" s="11"/>
      <c r="AD14" s="11"/>
      <c r="AE14" s="11"/>
      <c r="AF14" s="11"/>
      <c r="AG14" s="11"/>
    </row>
    <row r="15" spans="1:33" x14ac:dyDescent="0.25">
      <c r="A15" s="10">
        <f t="shared" si="0"/>
        <v>14</v>
      </c>
      <c r="B15" s="11" t="s">
        <v>282</v>
      </c>
      <c r="C15" s="10" t="str">
        <f t="shared" si="1"/>
        <v>FIC-LIT-TAG-014-Vol14</v>
      </c>
      <c r="D15" s="11" t="s">
        <v>252</v>
      </c>
      <c r="E15" s="11" t="s">
        <v>283</v>
      </c>
      <c r="F15" s="11" t="s">
        <v>254</v>
      </c>
      <c r="G15" s="11"/>
      <c r="H15" s="10" t="str">
        <f>IF(ISBLANK(F15),"",IF(G15&lt;&gt;"",UPPER(TRIM(G15)),IF(ISNUMBER(SEARCH(" ",TRIM(F15))),UPPER(LEFT(TRIM(RIGHT(SUBSTITUTE(TRIM(F15)," ",REPT(" ",100)),100)),Settings!$B$9)),UPPER(LEFT(TRIM(F15),Settings!$B$9)))))</f>
        <v>TAG</v>
      </c>
      <c r="I15" s="11"/>
      <c r="J15" s="11"/>
      <c r="K15" s="11" t="s">
        <v>255</v>
      </c>
      <c r="L15" s="11" t="s">
        <v>98</v>
      </c>
      <c r="M15" s="11" t="s">
        <v>116</v>
      </c>
      <c r="N15" s="11" t="s">
        <v>283</v>
      </c>
      <c r="O15" s="11"/>
      <c r="P15" s="11"/>
      <c r="Q15" s="11"/>
      <c r="R15" s="11"/>
      <c r="S15" s="11"/>
      <c r="T15" s="11"/>
      <c r="U15" s="11"/>
      <c r="V15" s="11"/>
      <c r="W15" s="11" t="s">
        <v>103</v>
      </c>
      <c r="X15" s="11" t="s">
        <v>273</v>
      </c>
      <c r="Y15" s="11" t="s">
        <v>136</v>
      </c>
      <c r="Z15" s="10" t="str">
        <f>IF(ISBLANK(D15),"",IF(COUNTIFS(Circulation!$B$2:$B$500,A15,Circulation!$H$2:$H$500,"Active")&gt;0,"On Loan","Available"))</f>
        <v>Available</v>
      </c>
      <c r="AA15" s="11"/>
      <c r="AB15" s="11"/>
      <c r="AC15" s="11"/>
      <c r="AD15" s="11"/>
      <c r="AE15" s="11"/>
      <c r="AF15" s="11"/>
      <c r="AG15" s="11"/>
    </row>
    <row r="16" spans="1:33" x14ac:dyDescent="0.25">
      <c r="A16" s="10">
        <f t="shared" si="0"/>
        <v>15</v>
      </c>
      <c r="B16" s="11" t="s">
        <v>284</v>
      </c>
      <c r="C16" s="10" t="str">
        <f t="shared" si="1"/>
        <v>FIC-LIT-TAG-015-Vol15</v>
      </c>
      <c r="D16" s="11" t="s">
        <v>252</v>
      </c>
      <c r="E16" s="11" t="s">
        <v>285</v>
      </c>
      <c r="F16" s="11" t="s">
        <v>254</v>
      </c>
      <c r="G16" s="11"/>
      <c r="H16" s="10" t="str">
        <f>IF(ISBLANK(F16),"",IF(G16&lt;&gt;"",UPPER(TRIM(G16)),IF(ISNUMBER(SEARCH(" ",TRIM(F16))),UPPER(LEFT(TRIM(RIGHT(SUBSTITUTE(TRIM(F16)," ",REPT(" ",100)),100)),Settings!$B$9)),UPPER(LEFT(TRIM(F16),Settings!$B$9)))))</f>
        <v>TAG</v>
      </c>
      <c r="I16" s="11"/>
      <c r="J16" s="11"/>
      <c r="K16" s="11" t="s">
        <v>255</v>
      </c>
      <c r="L16" s="11" t="s">
        <v>98</v>
      </c>
      <c r="M16" s="11" t="s">
        <v>116</v>
      </c>
      <c r="N16" s="11" t="s">
        <v>285</v>
      </c>
      <c r="O16" s="11"/>
      <c r="P16" s="11"/>
      <c r="Q16" s="11"/>
      <c r="R16" s="11"/>
      <c r="S16" s="11"/>
      <c r="T16" s="11"/>
      <c r="U16" s="11"/>
      <c r="V16" s="11"/>
      <c r="W16" s="11" t="s">
        <v>103</v>
      </c>
      <c r="X16" s="11" t="s">
        <v>273</v>
      </c>
      <c r="Y16" s="11" t="s">
        <v>136</v>
      </c>
      <c r="Z16" s="10" t="str">
        <f>IF(ISBLANK(D16),"",IF(COUNTIFS(Circulation!$B$2:$B$500,A16,Circulation!$H$2:$H$500,"Active")&gt;0,"On Loan","Available"))</f>
        <v>Available</v>
      </c>
      <c r="AA16" s="11"/>
      <c r="AB16" s="11"/>
      <c r="AC16" s="11"/>
      <c r="AD16" s="11"/>
      <c r="AE16" s="11"/>
      <c r="AF16" s="11"/>
      <c r="AG16" s="11"/>
    </row>
    <row r="17" spans="1:33" x14ac:dyDescent="0.25">
      <c r="A17" s="10">
        <f t="shared" si="0"/>
        <v>16</v>
      </c>
      <c r="B17" s="11" t="s">
        <v>286</v>
      </c>
      <c r="C17" s="10" t="str">
        <f t="shared" si="1"/>
        <v>FIC-LIT-TAG-016-Vol16</v>
      </c>
      <c r="D17" s="11" t="s">
        <v>252</v>
      </c>
      <c r="E17" s="11" t="s">
        <v>287</v>
      </c>
      <c r="F17" s="11" t="s">
        <v>254</v>
      </c>
      <c r="G17" s="11"/>
      <c r="H17" s="10" t="str">
        <f>IF(ISBLANK(F17),"",IF(G17&lt;&gt;"",UPPER(TRIM(G17)),IF(ISNUMBER(SEARCH(" ",TRIM(F17))),UPPER(LEFT(TRIM(RIGHT(SUBSTITUTE(TRIM(F17)," ",REPT(" ",100)),100)),Settings!$B$9)),UPPER(LEFT(TRIM(F17),Settings!$B$9)))))</f>
        <v>TAG</v>
      </c>
      <c r="I17" s="11"/>
      <c r="J17" s="11"/>
      <c r="K17" s="11" t="s">
        <v>255</v>
      </c>
      <c r="L17" s="11" t="s">
        <v>98</v>
      </c>
      <c r="M17" s="11" t="s">
        <v>116</v>
      </c>
      <c r="N17" s="11" t="s">
        <v>287</v>
      </c>
      <c r="O17" s="11"/>
      <c r="P17" s="11"/>
      <c r="Q17" s="11"/>
      <c r="R17" s="11"/>
      <c r="S17" s="11"/>
      <c r="T17" s="11"/>
      <c r="U17" s="11"/>
      <c r="V17" s="11"/>
      <c r="W17" s="11" t="s">
        <v>103</v>
      </c>
      <c r="X17" s="11" t="s">
        <v>273</v>
      </c>
      <c r="Y17" s="11" t="s">
        <v>136</v>
      </c>
      <c r="Z17" s="10" t="str">
        <f>IF(ISBLANK(D17),"",IF(COUNTIFS(Circulation!$B$2:$B$500,A17,Circulation!$H$2:$H$500,"Active")&gt;0,"On Loan","Available"))</f>
        <v>Available</v>
      </c>
      <c r="AA17" s="11"/>
      <c r="AB17" s="11"/>
      <c r="AC17" s="11"/>
      <c r="AD17" s="11"/>
      <c r="AE17" s="11"/>
      <c r="AF17" s="11"/>
      <c r="AG17" s="11"/>
    </row>
    <row r="18" spans="1:33" x14ac:dyDescent="0.25">
      <c r="A18" s="10">
        <f t="shared" si="0"/>
        <v>17</v>
      </c>
      <c r="B18" s="11" t="s">
        <v>288</v>
      </c>
      <c r="C18" s="10" t="str">
        <f t="shared" si="1"/>
        <v>FIC-LIT-TAG-017-Vol17</v>
      </c>
      <c r="D18" s="11" t="s">
        <v>252</v>
      </c>
      <c r="E18" s="11" t="s">
        <v>289</v>
      </c>
      <c r="F18" s="11" t="s">
        <v>254</v>
      </c>
      <c r="G18" s="11"/>
      <c r="H18" s="10" t="str">
        <f>IF(ISBLANK(F18),"",IF(G18&lt;&gt;"",UPPER(TRIM(G18)),IF(ISNUMBER(SEARCH(" ",TRIM(F18))),UPPER(LEFT(TRIM(RIGHT(SUBSTITUTE(TRIM(F18)," ",REPT(" ",100)),100)),Settings!$B$9)),UPPER(LEFT(TRIM(F18),Settings!$B$9)))))</f>
        <v>TAG</v>
      </c>
      <c r="I18" s="11"/>
      <c r="J18" s="11"/>
      <c r="K18" s="11" t="s">
        <v>255</v>
      </c>
      <c r="L18" s="11" t="s">
        <v>98</v>
      </c>
      <c r="M18" s="11" t="s">
        <v>116</v>
      </c>
      <c r="N18" s="11" t="s">
        <v>289</v>
      </c>
      <c r="O18" s="11"/>
      <c r="P18" s="11"/>
      <c r="Q18" s="11"/>
      <c r="R18" s="11"/>
      <c r="S18" s="11"/>
      <c r="T18" s="11"/>
      <c r="U18" s="11"/>
      <c r="V18" s="11"/>
      <c r="W18" s="11" t="s">
        <v>103</v>
      </c>
      <c r="X18" s="11" t="s">
        <v>273</v>
      </c>
      <c r="Y18" s="11" t="s">
        <v>136</v>
      </c>
      <c r="Z18" s="10" t="str">
        <f>IF(ISBLANK(D18),"",IF(COUNTIFS(Circulation!$B$2:$B$500,A18,Circulation!$H$2:$H$500,"Active")&gt;0,"On Loan","Available"))</f>
        <v>Available</v>
      </c>
      <c r="AA18" s="11"/>
      <c r="AB18" s="11"/>
      <c r="AC18" s="11"/>
      <c r="AD18" s="11"/>
      <c r="AE18" s="11"/>
      <c r="AF18" s="11"/>
      <c r="AG18" s="11"/>
    </row>
    <row r="19" spans="1:33" x14ac:dyDescent="0.25">
      <c r="A19" s="10">
        <f t="shared" si="0"/>
        <v>18</v>
      </c>
      <c r="B19" s="11" t="s">
        <v>290</v>
      </c>
      <c r="C19" s="10" t="str">
        <f t="shared" si="1"/>
        <v>FIC-LIT-TAG-018-Vol18</v>
      </c>
      <c r="D19" s="11" t="s">
        <v>252</v>
      </c>
      <c r="E19" s="11" t="s">
        <v>291</v>
      </c>
      <c r="F19" s="11" t="s">
        <v>254</v>
      </c>
      <c r="G19" s="11"/>
      <c r="H19" s="10" t="str">
        <f>IF(ISBLANK(F19),"",IF(G19&lt;&gt;"",UPPER(TRIM(G19)),IF(ISNUMBER(SEARCH(" ",TRIM(F19))),UPPER(LEFT(TRIM(RIGHT(SUBSTITUTE(TRIM(F19)," ",REPT(" ",100)),100)),Settings!$B$9)),UPPER(LEFT(TRIM(F19),Settings!$B$9)))))</f>
        <v>TAG</v>
      </c>
      <c r="I19" s="11"/>
      <c r="J19" s="11"/>
      <c r="K19" s="11" t="s">
        <v>255</v>
      </c>
      <c r="L19" s="11" t="s">
        <v>98</v>
      </c>
      <c r="M19" s="11" t="s">
        <v>116</v>
      </c>
      <c r="N19" s="11" t="s">
        <v>291</v>
      </c>
      <c r="O19" s="11"/>
      <c r="P19" s="11"/>
      <c r="Q19" s="11"/>
      <c r="R19" s="11"/>
      <c r="S19" s="11"/>
      <c r="T19" s="11"/>
      <c r="U19" s="11"/>
      <c r="V19" s="11"/>
      <c r="W19" s="11" t="s">
        <v>103</v>
      </c>
      <c r="X19" s="11" t="s">
        <v>273</v>
      </c>
      <c r="Y19" s="11" t="s">
        <v>136</v>
      </c>
      <c r="Z19" s="10" t="str">
        <f>IF(ISBLANK(D19),"",IF(COUNTIFS(Circulation!$B$2:$B$500,A19,Circulation!$H$2:$H$500,"Active")&gt;0,"On Loan","Available"))</f>
        <v>Available</v>
      </c>
      <c r="AA19" s="11"/>
      <c r="AB19" s="11"/>
      <c r="AC19" s="11"/>
      <c r="AD19" s="11"/>
      <c r="AE19" s="11"/>
      <c r="AF19" s="11"/>
      <c r="AG19" s="11"/>
    </row>
    <row r="20" spans="1:33" x14ac:dyDescent="0.25">
      <c r="A20" s="10">
        <f t="shared" si="0"/>
        <v>19</v>
      </c>
      <c r="B20" s="11" t="s">
        <v>292</v>
      </c>
      <c r="C20" s="10" t="str">
        <f t="shared" si="1"/>
        <v>FIC-LIT-বন্-019-Vol1</v>
      </c>
      <c r="D20" s="11" t="s">
        <v>293</v>
      </c>
      <c r="E20" s="11" t="s">
        <v>253</v>
      </c>
      <c r="F20" s="11" t="s">
        <v>294</v>
      </c>
      <c r="G20" s="11"/>
      <c r="H20" s="10" t="str">
        <f>IF(ISBLANK(F20),"",IF(G20&lt;&gt;"",UPPER(TRIM(G20)),IF(ISNUMBER(SEARCH(" ",TRIM(F20))),UPPER(LEFT(TRIM(RIGHT(SUBSTITUTE(TRIM(F20)," ",REPT(" ",100)),100)),Settings!$B$9)),UPPER(LEFT(TRIM(F20),Settings!$B$9)))))</f>
        <v>বন্</v>
      </c>
      <c r="I20" s="11"/>
      <c r="J20" s="11"/>
      <c r="K20" s="11" t="s">
        <v>255</v>
      </c>
      <c r="L20" s="11" t="s">
        <v>98</v>
      </c>
      <c r="M20" s="11" t="s">
        <v>116</v>
      </c>
      <c r="N20" s="11" t="s">
        <v>253</v>
      </c>
      <c r="O20" s="11"/>
      <c r="P20" s="11"/>
      <c r="Q20" s="11"/>
      <c r="R20" s="11"/>
      <c r="S20" s="11"/>
      <c r="T20" s="11"/>
      <c r="U20" s="11"/>
      <c r="V20" s="11"/>
      <c r="W20" s="11" t="s">
        <v>103</v>
      </c>
      <c r="X20" s="11" t="s">
        <v>295</v>
      </c>
      <c r="Y20" s="11" t="s">
        <v>136</v>
      </c>
      <c r="Z20" s="10" t="str">
        <f>IF(ISBLANK(D20),"",IF(COUNTIFS(Circulation!$B$2:$B$500,A20,Circulation!$H$2:$H$500,"Active")&gt;0,"On Loan","Available"))</f>
        <v>Available</v>
      </c>
      <c r="AA20" s="11"/>
      <c r="AB20" s="11"/>
      <c r="AC20" s="11"/>
      <c r="AD20" s="11"/>
      <c r="AE20" s="11"/>
      <c r="AF20" s="11"/>
      <c r="AG20" s="11"/>
    </row>
    <row r="21" spans="1:33" x14ac:dyDescent="0.25">
      <c r="A21" s="10">
        <f t="shared" si="0"/>
        <v>20</v>
      </c>
      <c r="B21" s="11" t="s">
        <v>296</v>
      </c>
      <c r="C21" s="10" t="e">
        <f t="shared" si="1"/>
        <v>#VALUE!</v>
      </c>
      <c r="D21" s="11" t="s">
        <v>297</v>
      </c>
      <c r="E21" s="11"/>
      <c r="F21" s="11"/>
      <c r="G21" s="11"/>
      <c r="H21" s="10" t="str">
        <f>IF(ISBLANK(F21),"",IF(G21&lt;&gt;"",UPPER(TRIM(G21)),IF(ISNUMBER(SEARCH(" ",TRIM(F21))),UPPER(LEFT(TRIM(RIGHT(SUBSTITUTE(TRIM(F21)," ",REPT(" ",100)),100)),Settings!$B$9)),UPPER(LEFT(TRIM(F21),Settings!$B$9)))))</f>
        <v/>
      </c>
      <c r="I21" s="11"/>
      <c r="J21" s="11"/>
      <c r="K21" s="11" t="s">
        <v>114</v>
      </c>
      <c r="L21" s="11" t="s">
        <v>98</v>
      </c>
      <c r="M21" s="11" t="s">
        <v>116</v>
      </c>
      <c r="N21" s="11"/>
      <c r="O21" s="11"/>
      <c r="P21" s="11"/>
      <c r="Q21" s="11"/>
      <c r="R21" s="11"/>
      <c r="S21" s="11"/>
      <c r="T21" s="11"/>
      <c r="U21" s="11"/>
      <c r="V21" s="11"/>
      <c r="W21" s="11" t="s">
        <v>120</v>
      </c>
      <c r="X21" s="11" t="s">
        <v>298</v>
      </c>
      <c r="Y21" s="11" t="s">
        <v>136</v>
      </c>
      <c r="Z21" s="10" t="str">
        <f>IF(ISBLANK(D21),"",IF(COUNTIFS(Circulation!$B$2:$B$500,A21,Circulation!$H$2:$H$500,"Active")&gt;0,"On Loan","Available"))</f>
        <v>Available</v>
      </c>
      <c r="AA21" s="11"/>
      <c r="AB21" s="11"/>
      <c r="AC21" s="11"/>
      <c r="AD21" s="11"/>
      <c r="AE21" s="11"/>
      <c r="AF21" s="11"/>
      <c r="AG21" s="11" t="s">
        <v>299</v>
      </c>
    </row>
    <row r="22" spans="1:33" x14ac:dyDescent="0.25">
      <c r="A22" s="10" t="str">
        <f t="shared" si="0"/>
        <v/>
      </c>
      <c r="B22" s="11"/>
      <c r="C22" s="10" t="str">
        <f t="shared" si="1"/>
        <v/>
      </c>
      <c r="D22" s="11"/>
      <c r="E22" s="11"/>
      <c r="F22" s="11"/>
      <c r="G22" s="11"/>
      <c r="H22" s="10" t="str">
        <f>IF(ISBLANK(F22),"",IF(G22&lt;&gt;"",UPPER(TRIM(G22)),IF(ISNUMBER(SEARCH(" ",TRIM(F22))),UPPER(LEFT(TRIM(RIGHT(SUBSTITUTE(TRIM(F22)," ",REPT(" ",100)),100)),Settings!$B$9)),UPPER(LEFT(TRIM(F22),Settings!$B$9)))))</f>
        <v/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0" t="str">
        <f>IF(ISBLANK(D22),"",IF(COUNTIFS(Circulation!$B$2:$B$500,A22,Circulation!$H$2:$H$500,"Active")&gt;0,"On Loan","Available"))</f>
        <v/>
      </c>
      <c r="AA22" s="11"/>
      <c r="AB22" s="11"/>
      <c r="AC22" s="11"/>
      <c r="AD22" s="11"/>
      <c r="AE22" s="11"/>
      <c r="AF22" s="11"/>
      <c r="AG22" s="11"/>
    </row>
    <row r="23" spans="1:33" x14ac:dyDescent="0.25">
      <c r="A23" s="10" t="str">
        <f t="shared" si="0"/>
        <v/>
      </c>
      <c r="B23" s="11"/>
      <c r="C23" s="10" t="str">
        <f t="shared" si="1"/>
        <v/>
      </c>
      <c r="D23" s="11"/>
      <c r="E23" s="11"/>
      <c r="F23" s="11"/>
      <c r="G23" s="11"/>
      <c r="H23" s="10" t="str">
        <f>IF(ISBLANK(F23),"",IF(G23&lt;&gt;"",UPPER(TRIM(G23)),IF(ISNUMBER(SEARCH(" ",TRIM(F23))),UPPER(LEFT(TRIM(RIGHT(SUBSTITUTE(TRIM(F23)," ",REPT(" ",100)),100)),Settings!$B$9)),UPPER(LEFT(TRIM(F23),Settings!$B$9)))))</f>
        <v/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0" t="str">
        <f>IF(ISBLANK(D23),"",IF(COUNTIFS(Circulation!$B$2:$B$500,A23,Circulation!$H$2:$H$500,"Active")&gt;0,"On Loan","Available"))</f>
        <v/>
      </c>
      <c r="AA23" s="11"/>
      <c r="AB23" s="11"/>
      <c r="AC23" s="11"/>
      <c r="AD23" s="11"/>
      <c r="AE23" s="11"/>
      <c r="AF23" s="11"/>
      <c r="AG23" s="11"/>
    </row>
    <row r="24" spans="1:33" x14ac:dyDescent="0.25">
      <c r="A24" s="10" t="str">
        <f t="shared" si="0"/>
        <v/>
      </c>
      <c r="B24" s="11"/>
      <c r="C24" s="10" t="str">
        <f t="shared" si="1"/>
        <v/>
      </c>
      <c r="D24" s="11"/>
      <c r="E24" s="11"/>
      <c r="F24" s="11"/>
      <c r="G24" s="11"/>
      <c r="H24" s="10" t="str">
        <f>IF(ISBLANK(F24),"",IF(G24&lt;&gt;"",UPPER(TRIM(G24)),IF(ISNUMBER(SEARCH(" ",TRIM(F24))),UPPER(LEFT(TRIM(RIGHT(SUBSTITUTE(TRIM(F24)," ",REPT(" ",100)),100)),Settings!$B$9)),UPPER(LEFT(TRIM(F24),Settings!$B$9)))))</f>
        <v/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0" t="str">
        <f>IF(ISBLANK(D24),"",IF(COUNTIFS(Circulation!$B$2:$B$500,A24,Circulation!$H$2:$H$500,"Active")&gt;0,"On Loan","Available"))</f>
        <v/>
      </c>
      <c r="AA24" s="11"/>
      <c r="AB24" s="11"/>
      <c r="AC24" s="11"/>
      <c r="AD24" s="11"/>
      <c r="AE24" s="11"/>
      <c r="AF24" s="11"/>
      <c r="AG24" s="11"/>
    </row>
    <row r="25" spans="1:33" x14ac:dyDescent="0.25">
      <c r="A25" s="10" t="str">
        <f t="shared" si="0"/>
        <v/>
      </c>
      <c r="B25" s="11"/>
      <c r="C25" s="10" t="str">
        <f t="shared" si="1"/>
        <v/>
      </c>
      <c r="D25" s="11"/>
      <c r="E25" s="11"/>
      <c r="F25" s="11"/>
      <c r="G25" s="11"/>
      <c r="H25" s="10" t="str">
        <f>IF(ISBLANK(F25),"",IF(G25&lt;&gt;"",UPPER(TRIM(G25)),IF(ISNUMBER(SEARCH(" ",TRIM(F25))),UPPER(LEFT(TRIM(RIGHT(SUBSTITUTE(TRIM(F25)," ",REPT(" ",100)),100)),Settings!$B$9)),UPPER(LEFT(TRIM(F25),Settings!$B$9)))))</f>
        <v/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0" t="str">
        <f>IF(ISBLANK(D25),"",IF(COUNTIFS(Circulation!$B$2:$B$500,A25,Circulation!$H$2:$H$500,"Active")&gt;0,"On Loan","Available"))</f>
        <v/>
      </c>
      <c r="AA25" s="11"/>
      <c r="AB25" s="11"/>
      <c r="AC25" s="11"/>
      <c r="AD25" s="11"/>
      <c r="AE25" s="11"/>
      <c r="AF25" s="11"/>
      <c r="AG25" s="11"/>
    </row>
    <row r="26" spans="1:33" x14ac:dyDescent="0.25">
      <c r="A26" s="10" t="str">
        <f t="shared" si="0"/>
        <v/>
      </c>
      <c r="B26" s="11"/>
      <c r="C26" s="10" t="str">
        <f t="shared" si="1"/>
        <v/>
      </c>
      <c r="D26" s="11"/>
      <c r="E26" s="11"/>
      <c r="F26" s="11"/>
      <c r="G26" s="11"/>
      <c r="H26" s="10" t="str">
        <f>IF(ISBLANK(F26),"",IF(G26&lt;&gt;"",UPPER(TRIM(G26)),IF(ISNUMBER(SEARCH(" ",TRIM(F26))),UPPER(LEFT(TRIM(RIGHT(SUBSTITUTE(TRIM(F26)," ",REPT(" ",100)),100)),Settings!$B$9)),UPPER(LEFT(TRIM(F26),Settings!$B$9)))))</f>
        <v/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0" t="str">
        <f>IF(ISBLANK(D26),"",IF(COUNTIFS(Circulation!$B$2:$B$500,A26,Circulation!$H$2:$H$500,"Active")&gt;0,"On Loan","Available"))</f>
        <v/>
      </c>
      <c r="AA26" s="11"/>
      <c r="AB26" s="11"/>
      <c r="AC26" s="11"/>
      <c r="AD26" s="11"/>
      <c r="AE26" s="11"/>
      <c r="AF26" s="11"/>
      <c r="AG26" s="11"/>
    </row>
    <row r="27" spans="1:33" x14ac:dyDescent="0.25">
      <c r="A27" s="10" t="str">
        <f t="shared" si="0"/>
        <v/>
      </c>
      <c r="B27" s="11"/>
      <c r="C27" s="10" t="str">
        <f t="shared" si="1"/>
        <v/>
      </c>
      <c r="D27" s="11"/>
      <c r="E27" s="11"/>
      <c r="F27" s="11"/>
      <c r="G27" s="11"/>
      <c r="H27" s="10" t="str">
        <f>IF(ISBLANK(F27),"",IF(G27&lt;&gt;"",UPPER(TRIM(G27)),IF(ISNUMBER(SEARCH(" ",TRIM(F27))),UPPER(LEFT(TRIM(RIGHT(SUBSTITUTE(TRIM(F27)," ",REPT(" ",100)),100)),Settings!$B$9)),UPPER(LEFT(TRIM(F27),Settings!$B$9)))))</f>
        <v/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0" t="str">
        <f>IF(ISBLANK(D27),"",IF(COUNTIFS(Circulation!$B$2:$B$500,A27,Circulation!$H$2:$H$500,"Active")&gt;0,"On Loan","Available"))</f>
        <v/>
      </c>
      <c r="AA27" s="11"/>
      <c r="AB27" s="11"/>
      <c r="AC27" s="11"/>
      <c r="AD27" s="11"/>
      <c r="AE27" s="11"/>
      <c r="AF27" s="11"/>
      <c r="AG27" s="11"/>
    </row>
    <row r="28" spans="1:33" x14ac:dyDescent="0.25">
      <c r="A28" s="10" t="str">
        <f t="shared" si="0"/>
        <v/>
      </c>
      <c r="B28" s="11"/>
      <c r="C28" s="10" t="str">
        <f t="shared" si="1"/>
        <v/>
      </c>
      <c r="D28" s="11"/>
      <c r="E28" s="11"/>
      <c r="F28" s="11"/>
      <c r="G28" s="11"/>
      <c r="H28" s="10" t="str">
        <f>IF(ISBLANK(F28),"",IF(G28&lt;&gt;"",UPPER(TRIM(G28)),IF(ISNUMBER(SEARCH(" ",TRIM(F28))),UPPER(LEFT(TRIM(RIGHT(SUBSTITUTE(TRIM(F28)," ",REPT(" ",100)),100)),Settings!$B$9)),UPPER(LEFT(TRIM(F28),Settings!$B$9)))))</f>
        <v/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0" t="str">
        <f>IF(ISBLANK(D28),"",IF(COUNTIFS(Circulation!$B$2:$B$500,A28,Circulation!$H$2:$H$500,"Active")&gt;0,"On Loan","Available"))</f>
        <v/>
      </c>
      <c r="AA28" s="11"/>
      <c r="AB28" s="11"/>
      <c r="AC28" s="11"/>
      <c r="AD28" s="11"/>
      <c r="AE28" s="11"/>
      <c r="AF28" s="11"/>
      <c r="AG28" s="11"/>
    </row>
    <row r="29" spans="1:33" x14ac:dyDescent="0.25">
      <c r="A29" s="10" t="str">
        <f t="shared" si="0"/>
        <v/>
      </c>
      <c r="B29" s="11"/>
      <c r="C29" s="10" t="str">
        <f t="shared" si="1"/>
        <v/>
      </c>
      <c r="D29" s="11"/>
      <c r="E29" s="11"/>
      <c r="F29" s="11"/>
      <c r="G29" s="11"/>
      <c r="H29" s="10" t="str">
        <f>IF(ISBLANK(F29),"",IF(G29&lt;&gt;"",UPPER(TRIM(G29)),IF(ISNUMBER(SEARCH(" ",TRIM(F29))),UPPER(LEFT(TRIM(RIGHT(SUBSTITUTE(TRIM(F29)," ",REPT(" ",100)),100)),Settings!$B$9)),UPPER(LEFT(TRIM(F29),Settings!$B$9)))))</f>
        <v/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0" t="str">
        <f>IF(ISBLANK(D29),"",IF(COUNTIFS(Circulation!$B$2:$B$500,A29,Circulation!$H$2:$H$500,"Active")&gt;0,"On Loan","Available"))</f>
        <v/>
      </c>
      <c r="AA29" s="11"/>
      <c r="AB29" s="11"/>
      <c r="AC29" s="11"/>
      <c r="AD29" s="11"/>
      <c r="AE29" s="11"/>
      <c r="AF29" s="11"/>
      <c r="AG29" s="11"/>
    </row>
    <row r="30" spans="1:33" x14ac:dyDescent="0.25">
      <c r="A30" s="10" t="str">
        <f t="shared" si="0"/>
        <v/>
      </c>
      <c r="B30" s="11"/>
      <c r="C30" s="10" t="str">
        <f t="shared" si="1"/>
        <v/>
      </c>
      <c r="D30" s="11"/>
      <c r="E30" s="11"/>
      <c r="F30" s="11"/>
      <c r="G30" s="11"/>
      <c r="H30" s="10" t="str">
        <f>IF(ISBLANK(F30),"",IF(G30&lt;&gt;"",UPPER(TRIM(G30)),IF(ISNUMBER(SEARCH(" ",TRIM(F30))),UPPER(LEFT(TRIM(RIGHT(SUBSTITUTE(TRIM(F30)," ",REPT(" ",100)),100)),Settings!$B$9)),UPPER(LEFT(TRIM(F30),Settings!$B$9)))))</f>
        <v/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0" t="str">
        <f>IF(ISBLANK(D30),"",IF(COUNTIFS(Circulation!$B$2:$B$500,A30,Circulation!$H$2:$H$500,"Active")&gt;0,"On Loan","Available"))</f>
        <v/>
      </c>
      <c r="AA30" s="11"/>
      <c r="AB30" s="11"/>
      <c r="AC30" s="11"/>
      <c r="AD30" s="11"/>
      <c r="AE30" s="11"/>
      <c r="AF30" s="11"/>
      <c r="AG30" s="11"/>
    </row>
    <row r="31" spans="1:33" x14ac:dyDescent="0.25">
      <c r="A31" s="10" t="str">
        <f t="shared" si="0"/>
        <v/>
      </c>
      <c r="B31" s="11"/>
      <c r="C31" s="10" t="str">
        <f t="shared" si="1"/>
        <v/>
      </c>
      <c r="D31" s="11"/>
      <c r="E31" s="11"/>
      <c r="F31" s="11"/>
      <c r="G31" s="11"/>
      <c r="H31" s="10" t="str">
        <f>IF(ISBLANK(F31),"",IF(G31&lt;&gt;"",UPPER(TRIM(G31)),IF(ISNUMBER(SEARCH(" ",TRIM(F31))),UPPER(LEFT(TRIM(RIGHT(SUBSTITUTE(TRIM(F31)," ",REPT(" ",100)),100)),Settings!$B$9)),UPPER(LEFT(TRIM(F31),Settings!$B$9)))))</f>
        <v/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0" t="str">
        <f>IF(ISBLANK(D31),"",IF(COUNTIFS(Circulation!$B$2:$B$500,A31,Circulation!$H$2:$H$500,"Active")&gt;0,"On Loan","Available"))</f>
        <v/>
      </c>
      <c r="AA31" s="11"/>
      <c r="AB31" s="11"/>
      <c r="AC31" s="11"/>
      <c r="AD31" s="11"/>
      <c r="AE31" s="11"/>
      <c r="AF31" s="11"/>
      <c r="AG31" s="11"/>
    </row>
    <row r="32" spans="1:33" x14ac:dyDescent="0.25">
      <c r="A32" s="10" t="str">
        <f t="shared" si="0"/>
        <v/>
      </c>
      <c r="B32" s="11"/>
      <c r="C32" s="10" t="str">
        <f t="shared" si="1"/>
        <v/>
      </c>
      <c r="D32" s="11"/>
      <c r="E32" s="11"/>
      <c r="F32" s="11"/>
      <c r="G32" s="11"/>
      <c r="H32" s="10" t="str">
        <f>IF(ISBLANK(F32),"",IF(G32&lt;&gt;"",UPPER(TRIM(G32)),IF(ISNUMBER(SEARCH(" ",TRIM(F32))),UPPER(LEFT(TRIM(RIGHT(SUBSTITUTE(TRIM(F32)," ",REPT(" ",100)),100)),Settings!$B$9)),UPPER(LEFT(TRIM(F32),Settings!$B$9)))))</f>
        <v/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0" t="str">
        <f>IF(ISBLANK(D32),"",IF(COUNTIFS(Circulation!$B$2:$B$500,A32,Circulation!$H$2:$H$500,"Active")&gt;0,"On Loan","Available"))</f>
        <v/>
      </c>
      <c r="AA32" s="11"/>
      <c r="AB32" s="11"/>
      <c r="AC32" s="11"/>
      <c r="AD32" s="11"/>
      <c r="AE32" s="11"/>
      <c r="AF32" s="11"/>
      <c r="AG32" s="11"/>
    </row>
    <row r="33" spans="1:33" x14ac:dyDescent="0.25">
      <c r="A33" s="10" t="str">
        <f t="shared" si="0"/>
        <v/>
      </c>
      <c r="B33" s="11"/>
      <c r="C33" s="10" t="str">
        <f t="shared" si="1"/>
        <v/>
      </c>
      <c r="D33" s="11"/>
      <c r="E33" s="11"/>
      <c r="F33" s="11"/>
      <c r="G33" s="11"/>
      <c r="H33" s="10" t="str">
        <f>IF(ISBLANK(F33),"",IF(G33&lt;&gt;"",UPPER(TRIM(G33)),IF(ISNUMBER(SEARCH(" ",TRIM(F33))),UPPER(LEFT(TRIM(RIGHT(SUBSTITUTE(TRIM(F33)," ",REPT(" ",100)),100)),Settings!$B$9)),UPPER(LEFT(TRIM(F33),Settings!$B$9)))))</f>
        <v/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0" t="str">
        <f>IF(ISBLANK(D33),"",IF(COUNTIFS(Circulation!$B$2:$B$500,A33,Circulation!$H$2:$H$500,"Active")&gt;0,"On Loan","Available"))</f>
        <v/>
      </c>
      <c r="AA33" s="11"/>
      <c r="AB33" s="11"/>
      <c r="AC33" s="11"/>
      <c r="AD33" s="11"/>
      <c r="AE33" s="11"/>
      <c r="AF33" s="11"/>
      <c r="AG33" s="11"/>
    </row>
    <row r="34" spans="1:33" x14ac:dyDescent="0.25">
      <c r="A34" s="10" t="str">
        <f t="shared" si="0"/>
        <v/>
      </c>
      <c r="B34" s="11"/>
      <c r="C34" s="10" t="str">
        <f t="shared" si="1"/>
        <v/>
      </c>
      <c r="D34" s="11"/>
      <c r="E34" s="11"/>
      <c r="F34" s="11"/>
      <c r="G34" s="11"/>
      <c r="H34" s="10" t="str">
        <f>IF(ISBLANK(F34),"",IF(G34&lt;&gt;"",UPPER(TRIM(G34)),IF(ISNUMBER(SEARCH(" ",TRIM(F34))),UPPER(LEFT(TRIM(RIGHT(SUBSTITUTE(TRIM(F34)," ",REPT(" ",100)),100)),Settings!$B$9)),UPPER(LEFT(TRIM(F34),Settings!$B$9)))))</f>
        <v/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0" t="str">
        <f>IF(ISBLANK(D34),"",IF(COUNTIFS(Circulation!$B$2:$B$500,A34,Circulation!$H$2:$H$500,"Active")&gt;0,"On Loan","Available"))</f>
        <v/>
      </c>
      <c r="AA34" s="11"/>
      <c r="AB34" s="11"/>
      <c r="AC34" s="11"/>
      <c r="AD34" s="11"/>
      <c r="AE34" s="11"/>
      <c r="AF34" s="11"/>
      <c r="AG34" s="11"/>
    </row>
    <row r="35" spans="1:33" x14ac:dyDescent="0.25">
      <c r="A35" s="10" t="str">
        <f t="shared" si="0"/>
        <v/>
      </c>
      <c r="B35" s="11"/>
      <c r="C35" s="10" t="str">
        <f t="shared" si="1"/>
        <v/>
      </c>
      <c r="D35" s="11"/>
      <c r="E35" s="11"/>
      <c r="F35" s="11"/>
      <c r="G35" s="11"/>
      <c r="H35" s="10" t="str">
        <f>IF(ISBLANK(F35),"",IF(G35&lt;&gt;"",UPPER(TRIM(G35)),IF(ISNUMBER(SEARCH(" ",TRIM(F35))),UPPER(LEFT(TRIM(RIGHT(SUBSTITUTE(TRIM(F35)," ",REPT(" ",100)),100)),Settings!$B$9)),UPPER(LEFT(TRIM(F35),Settings!$B$9)))))</f>
        <v/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0" t="str">
        <f>IF(ISBLANK(D35),"",IF(COUNTIFS(Circulation!$B$2:$B$500,A35,Circulation!$H$2:$H$500,"Active")&gt;0,"On Loan","Available"))</f>
        <v/>
      </c>
      <c r="AA35" s="11"/>
      <c r="AB35" s="11"/>
      <c r="AC35" s="11"/>
      <c r="AD35" s="11"/>
      <c r="AE35" s="11"/>
      <c r="AF35" s="11"/>
      <c r="AG35" s="11"/>
    </row>
    <row r="36" spans="1:33" x14ac:dyDescent="0.25">
      <c r="A36" s="10" t="str">
        <f t="shared" si="0"/>
        <v/>
      </c>
      <c r="B36" s="11"/>
      <c r="C36" s="10" t="str">
        <f t="shared" si="1"/>
        <v/>
      </c>
      <c r="D36" s="11"/>
      <c r="E36" s="11"/>
      <c r="F36" s="11"/>
      <c r="G36" s="11"/>
      <c r="H36" s="10" t="str">
        <f>IF(ISBLANK(F36),"",IF(G36&lt;&gt;"",UPPER(TRIM(G36)),IF(ISNUMBER(SEARCH(" ",TRIM(F36))),UPPER(LEFT(TRIM(RIGHT(SUBSTITUTE(TRIM(F36)," ",REPT(" ",100)),100)),Settings!$B$9)),UPPER(LEFT(TRIM(F36),Settings!$B$9)))))</f>
        <v/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0" t="str">
        <f>IF(ISBLANK(D36),"",IF(COUNTIFS(Circulation!$B$2:$B$500,A36,Circulation!$H$2:$H$500,"Active")&gt;0,"On Loan","Available"))</f>
        <v/>
      </c>
      <c r="AA36" s="11"/>
      <c r="AB36" s="11"/>
      <c r="AC36" s="11"/>
      <c r="AD36" s="11"/>
      <c r="AE36" s="11"/>
      <c r="AF36" s="11"/>
      <c r="AG36" s="11"/>
    </row>
    <row r="37" spans="1:33" x14ac:dyDescent="0.25">
      <c r="A37" s="10" t="str">
        <f t="shared" si="0"/>
        <v/>
      </c>
      <c r="B37" s="11"/>
      <c r="C37" s="10" t="str">
        <f t="shared" si="1"/>
        <v/>
      </c>
      <c r="D37" s="11"/>
      <c r="E37" s="11"/>
      <c r="F37" s="11"/>
      <c r="G37" s="11"/>
      <c r="H37" s="10" t="str">
        <f>IF(ISBLANK(F37),"",IF(G37&lt;&gt;"",UPPER(TRIM(G37)),IF(ISNUMBER(SEARCH(" ",TRIM(F37))),UPPER(LEFT(TRIM(RIGHT(SUBSTITUTE(TRIM(F37)," ",REPT(" ",100)),100)),Settings!$B$9)),UPPER(LEFT(TRIM(F37),Settings!$B$9)))))</f>
        <v/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0" t="str">
        <f>IF(ISBLANK(D37),"",IF(COUNTIFS(Circulation!$B$2:$B$500,A37,Circulation!$H$2:$H$500,"Active")&gt;0,"On Loan","Available"))</f>
        <v/>
      </c>
      <c r="AA37" s="11"/>
      <c r="AB37" s="11"/>
      <c r="AC37" s="11"/>
      <c r="AD37" s="11"/>
      <c r="AE37" s="11"/>
      <c r="AF37" s="11"/>
      <c r="AG37" s="11"/>
    </row>
    <row r="38" spans="1:33" x14ac:dyDescent="0.25">
      <c r="A38" s="10" t="str">
        <f t="shared" si="0"/>
        <v/>
      </c>
      <c r="B38" s="11"/>
      <c r="C38" s="10" t="str">
        <f t="shared" si="1"/>
        <v/>
      </c>
      <c r="D38" s="11"/>
      <c r="E38" s="11"/>
      <c r="F38" s="11"/>
      <c r="G38" s="11"/>
      <c r="H38" s="10" t="str">
        <f>IF(ISBLANK(F38),"",IF(G38&lt;&gt;"",UPPER(TRIM(G38)),IF(ISNUMBER(SEARCH(" ",TRIM(F38))),UPPER(LEFT(TRIM(RIGHT(SUBSTITUTE(TRIM(F38)," ",REPT(" ",100)),100)),Settings!$B$9)),UPPER(LEFT(TRIM(F38),Settings!$B$9)))))</f>
        <v/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0" t="str">
        <f>IF(ISBLANK(D38),"",IF(COUNTIFS(Circulation!$B$2:$B$500,A38,Circulation!$H$2:$H$500,"Active")&gt;0,"On Loan","Available"))</f>
        <v/>
      </c>
      <c r="AA38" s="11"/>
      <c r="AB38" s="11"/>
      <c r="AC38" s="11"/>
      <c r="AD38" s="11"/>
      <c r="AE38" s="11"/>
      <c r="AF38" s="11"/>
      <c r="AG38" s="11"/>
    </row>
    <row r="39" spans="1:33" x14ac:dyDescent="0.25">
      <c r="A39" s="10" t="str">
        <f t="shared" si="0"/>
        <v/>
      </c>
      <c r="B39" s="11"/>
      <c r="C39" s="10" t="str">
        <f t="shared" si="1"/>
        <v/>
      </c>
      <c r="D39" s="11"/>
      <c r="E39" s="11"/>
      <c r="F39" s="11"/>
      <c r="G39" s="11"/>
      <c r="H39" s="10" t="str">
        <f>IF(ISBLANK(F39),"",IF(G39&lt;&gt;"",UPPER(TRIM(G39)),IF(ISNUMBER(SEARCH(" ",TRIM(F39))),UPPER(LEFT(TRIM(RIGHT(SUBSTITUTE(TRIM(F39)," ",REPT(" ",100)),100)),Settings!$B$9)),UPPER(LEFT(TRIM(F39),Settings!$B$9)))))</f>
        <v/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0" t="str">
        <f>IF(ISBLANK(D39),"",IF(COUNTIFS(Circulation!$B$2:$B$500,A39,Circulation!$H$2:$H$500,"Active")&gt;0,"On Loan","Available"))</f>
        <v/>
      </c>
      <c r="AA39" s="11"/>
      <c r="AB39" s="11"/>
      <c r="AC39" s="11"/>
      <c r="AD39" s="11"/>
      <c r="AE39" s="11"/>
      <c r="AF39" s="11"/>
      <c r="AG39" s="11"/>
    </row>
    <row r="40" spans="1:33" x14ac:dyDescent="0.25">
      <c r="A40" s="10" t="str">
        <f t="shared" si="0"/>
        <v/>
      </c>
      <c r="B40" s="11"/>
      <c r="C40" s="10" t="str">
        <f t="shared" si="1"/>
        <v/>
      </c>
      <c r="D40" s="11"/>
      <c r="E40" s="11"/>
      <c r="F40" s="11"/>
      <c r="G40" s="11"/>
      <c r="H40" s="10" t="str">
        <f>IF(ISBLANK(F40),"",IF(G40&lt;&gt;"",UPPER(TRIM(G40)),IF(ISNUMBER(SEARCH(" ",TRIM(F40))),UPPER(LEFT(TRIM(RIGHT(SUBSTITUTE(TRIM(F40)," ",REPT(" ",100)),100)),Settings!$B$9)),UPPER(LEFT(TRIM(F40),Settings!$B$9)))))</f>
        <v/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0" t="str">
        <f>IF(ISBLANK(D40),"",IF(COUNTIFS(Circulation!$B$2:$B$500,A40,Circulation!$H$2:$H$500,"Active")&gt;0,"On Loan","Available"))</f>
        <v/>
      </c>
      <c r="AA40" s="11"/>
      <c r="AB40" s="11"/>
      <c r="AC40" s="11"/>
      <c r="AD40" s="11"/>
      <c r="AE40" s="11"/>
      <c r="AF40" s="11"/>
      <c r="AG40" s="11"/>
    </row>
    <row r="41" spans="1:33" x14ac:dyDescent="0.25">
      <c r="A41" s="10" t="str">
        <f t="shared" si="0"/>
        <v/>
      </c>
      <c r="B41" s="11"/>
      <c r="C41" s="10" t="str">
        <f t="shared" si="1"/>
        <v/>
      </c>
      <c r="D41" s="11"/>
      <c r="E41" s="11"/>
      <c r="F41" s="11"/>
      <c r="G41" s="11"/>
      <c r="H41" s="10" t="str">
        <f>IF(ISBLANK(F41),"",IF(G41&lt;&gt;"",UPPER(TRIM(G41)),IF(ISNUMBER(SEARCH(" ",TRIM(F41))),UPPER(LEFT(TRIM(RIGHT(SUBSTITUTE(TRIM(F41)," ",REPT(" ",100)),100)),Settings!$B$9)),UPPER(LEFT(TRIM(F41),Settings!$B$9)))))</f>
        <v/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0" t="str">
        <f>IF(ISBLANK(D41),"",IF(COUNTIFS(Circulation!$B$2:$B$500,A41,Circulation!$H$2:$H$500,"Active")&gt;0,"On Loan","Available"))</f>
        <v/>
      </c>
      <c r="AA41" s="11"/>
      <c r="AB41" s="11"/>
      <c r="AC41" s="11"/>
      <c r="AD41" s="11"/>
      <c r="AE41" s="11"/>
      <c r="AF41" s="11"/>
      <c r="AG41" s="11"/>
    </row>
    <row r="42" spans="1:33" x14ac:dyDescent="0.25">
      <c r="A42" s="10" t="str">
        <f t="shared" si="0"/>
        <v/>
      </c>
      <c r="B42" s="11"/>
      <c r="C42" s="10" t="str">
        <f t="shared" si="1"/>
        <v/>
      </c>
      <c r="D42" s="11"/>
      <c r="E42" s="11"/>
      <c r="F42" s="11"/>
      <c r="G42" s="11"/>
      <c r="H42" s="10" t="str">
        <f>IF(ISBLANK(F42),"",IF(G42&lt;&gt;"",UPPER(TRIM(G42)),IF(ISNUMBER(SEARCH(" ",TRIM(F42))),UPPER(LEFT(TRIM(RIGHT(SUBSTITUTE(TRIM(F42)," ",REPT(" ",100)),100)),Settings!$B$9)),UPPER(LEFT(TRIM(F42),Settings!$B$9)))))</f>
        <v/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0" t="str">
        <f>IF(ISBLANK(D42),"",IF(COUNTIFS(Circulation!$B$2:$B$500,A42,Circulation!$H$2:$H$500,"Active")&gt;0,"On Loan","Available"))</f>
        <v/>
      </c>
      <c r="AA42" s="11"/>
      <c r="AB42" s="11"/>
      <c r="AC42" s="11"/>
      <c r="AD42" s="11"/>
      <c r="AE42" s="11"/>
      <c r="AF42" s="11"/>
      <c r="AG42" s="11"/>
    </row>
    <row r="43" spans="1:33" x14ac:dyDescent="0.25">
      <c r="A43" s="10" t="str">
        <f t="shared" si="0"/>
        <v/>
      </c>
      <c r="B43" s="11"/>
      <c r="C43" s="10" t="str">
        <f t="shared" si="1"/>
        <v/>
      </c>
      <c r="D43" s="11"/>
      <c r="E43" s="11"/>
      <c r="F43" s="11"/>
      <c r="G43" s="11"/>
      <c r="H43" s="10" t="str">
        <f>IF(ISBLANK(F43),"",IF(G43&lt;&gt;"",UPPER(TRIM(G43)),IF(ISNUMBER(SEARCH(" ",TRIM(F43))),UPPER(LEFT(TRIM(RIGHT(SUBSTITUTE(TRIM(F43)," ",REPT(" ",100)),100)),Settings!$B$9)),UPPER(LEFT(TRIM(F43),Settings!$B$9)))))</f>
        <v/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0" t="str">
        <f>IF(ISBLANK(D43),"",IF(COUNTIFS(Circulation!$B$2:$B$500,A43,Circulation!$H$2:$H$500,"Active")&gt;0,"On Loan","Available"))</f>
        <v/>
      </c>
      <c r="AA43" s="11"/>
      <c r="AB43" s="11"/>
      <c r="AC43" s="11"/>
      <c r="AD43" s="11"/>
      <c r="AE43" s="11"/>
      <c r="AF43" s="11"/>
      <c r="AG43" s="11"/>
    </row>
    <row r="44" spans="1:33" x14ac:dyDescent="0.25">
      <c r="A44" s="10" t="str">
        <f t="shared" si="0"/>
        <v/>
      </c>
      <c r="B44" s="11"/>
      <c r="C44" s="10" t="str">
        <f t="shared" si="1"/>
        <v/>
      </c>
      <c r="D44" s="11"/>
      <c r="E44" s="11"/>
      <c r="F44" s="11"/>
      <c r="G44" s="11"/>
      <c r="H44" s="10" t="str">
        <f>IF(ISBLANK(F44),"",IF(G44&lt;&gt;"",UPPER(TRIM(G44)),IF(ISNUMBER(SEARCH(" ",TRIM(F44))),UPPER(LEFT(TRIM(RIGHT(SUBSTITUTE(TRIM(F44)," ",REPT(" ",100)),100)),Settings!$B$9)),UPPER(LEFT(TRIM(F44),Settings!$B$9)))))</f>
        <v/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0" t="str">
        <f>IF(ISBLANK(D44),"",IF(COUNTIFS(Circulation!$B$2:$B$500,A44,Circulation!$H$2:$H$500,"Active")&gt;0,"On Loan","Available"))</f>
        <v/>
      </c>
      <c r="AA44" s="11"/>
      <c r="AB44" s="11"/>
      <c r="AC44" s="11"/>
      <c r="AD44" s="11"/>
      <c r="AE44" s="11"/>
      <c r="AF44" s="11"/>
      <c r="AG44" s="11"/>
    </row>
    <row r="45" spans="1:33" x14ac:dyDescent="0.25">
      <c r="A45" s="10" t="str">
        <f t="shared" si="0"/>
        <v/>
      </c>
      <c r="B45" s="11"/>
      <c r="C45" s="10" t="str">
        <f t="shared" si="1"/>
        <v/>
      </c>
      <c r="D45" s="11"/>
      <c r="E45" s="11"/>
      <c r="F45" s="11"/>
      <c r="G45" s="11"/>
      <c r="H45" s="10" t="str">
        <f>IF(ISBLANK(F45),"",IF(G45&lt;&gt;"",UPPER(TRIM(G45)),IF(ISNUMBER(SEARCH(" ",TRIM(F45))),UPPER(LEFT(TRIM(RIGHT(SUBSTITUTE(TRIM(F45)," ",REPT(" ",100)),100)),Settings!$B$9)),UPPER(LEFT(TRIM(F45),Settings!$B$9)))))</f>
        <v/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0" t="str">
        <f>IF(ISBLANK(D45),"",IF(COUNTIFS(Circulation!$B$2:$B$500,A45,Circulation!$H$2:$H$500,"Active")&gt;0,"On Loan","Available"))</f>
        <v/>
      </c>
      <c r="AA45" s="11"/>
      <c r="AB45" s="11"/>
      <c r="AC45" s="11"/>
      <c r="AD45" s="11"/>
      <c r="AE45" s="11"/>
      <c r="AF45" s="11"/>
      <c r="AG45" s="11"/>
    </row>
    <row r="46" spans="1:33" x14ac:dyDescent="0.25">
      <c r="A46" s="10" t="str">
        <f t="shared" si="0"/>
        <v/>
      </c>
      <c r="B46" s="11"/>
      <c r="C46" s="10" t="str">
        <f t="shared" si="1"/>
        <v/>
      </c>
      <c r="D46" s="11"/>
      <c r="E46" s="11"/>
      <c r="F46" s="11"/>
      <c r="G46" s="11"/>
      <c r="H46" s="10" t="str">
        <f>IF(ISBLANK(F46),"",IF(G46&lt;&gt;"",UPPER(TRIM(G46)),IF(ISNUMBER(SEARCH(" ",TRIM(F46))),UPPER(LEFT(TRIM(RIGHT(SUBSTITUTE(TRIM(F46)," ",REPT(" ",100)),100)),Settings!$B$9)),UPPER(LEFT(TRIM(F46),Settings!$B$9)))))</f>
        <v/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0" t="str">
        <f>IF(ISBLANK(D46),"",IF(COUNTIFS(Circulation!$B$2:$B$500,A46,Circulation!$H$2:$H$500,"Active")&gt;0,"On Loan","Available"))</f>
        <v/>
      </c>
      <c r="AA46" s="11"/>
      <c r="AB46" s="11"/>
      <c r="AC46" s="11"/>
      <c r="AD46" s="11"/>
      <c r="AE46" s="11"/>
      <c r="AF46" s="11"/>
      <c r="AG46" s="11"/>
    </row>
    <row r="47" spans="1:33" x14ac:dyDescent="0.25">
      <c r="A47" s="10" t="str">
        <f t="shared" si="0"/>
        <v/>
      </c>
      <c r="B47" s="11"/>
      <c r="C47" s="10" t="str">
        <f t="shared" si="1"/>
        <v/>
      </c>
      <c r="D47" s="11"/>
      <c r="E47" s="11"/>
      <c r="F47" s="11"/>
      <c r="G47" s="11"/>
      <c r="H47" s="10" t="str">
        <f>IF(ISBLANK(F47),"",IF(G47&lt;&gt;"",UPPER(TRIM(G47)),IF(ISNUMBER(SEARCH(" ",TRIM(F47))),UPPER(LEFT(TRIM(RIGHT(SUBSTITUTE(TRIM(F47)," ",REPT(" ",100)),100)),Settings!$B$9)),UPPER(LEFT(TRIM(F47),Settings!$B$9)))))</f>
        <v/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0" t="str">
        <f>IF(ISBLANK(D47),"",IF(COUNTIFS(Circulation!$B$2:$B$500,A47,Circulation!$H$2:$H$500,"Active")&gt;0,"On Loan","Available"))</f>
        <v/>
      </c>
      <c r="AA47" s="11"/>
      <c r="AB47" s="11"/>
      <c r="AC47" s="11"/>
      <c r="AD47" s="11"/>
      <c r="AE47" s="11"/>
      <c r="AF47" s="11"/>
      <c r="AG47" s="11"/>
    </row>
    <row r="48" spans="1:33" x14ac:dyDescent="0.25">
      <c r="A48" s="10" t="str">
        <f t="shared" si="0"/>
        <v/>
      </c>
      <c r="B48" s="11"/>
      <c r="C48" s="10" t="str">
        <f t="shared" si="1"/>
        <v/>
      </c>
      <c r="D48" s="11"/>
      <c r="E48" s="11"/>
      <c r="F48" s="11"/>
      <c r="G48" s="11"/>
      <c r="H48" s="10" t="str">
        <f>IF(ISBLANK(F48),"",IF(G48&lt;&gt;"",UPPER(TRIM(G48)),IF(ISNUMBER(SEARCH(" ",TRIM(F48))),UPPER(LEFT(TRIM(RIGHT(SUBSTITUTE(TRIM(F48)," ",REPT(" ",100)),100)),Settings!$B$9)),UPPER(LEFT(TRIM(F48),Settings!$B$9)))))</f>
        <v/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0" t="str">
        <f>IF(ISBLANK(D48),"",IF(COUNTIFS(Circulation!$B$2:$B$500,A48,Circulation!$H$2:$H$500,"Active")&gt;0,"On Loan","Available"))</f>
        <v/>
      </c>
      <c r="AA48" s="11"/>
      <c r="AB48" s="11"/>
      <c r="AC48" s="11"/>
      <c r="AD48" s="11"/>
      <c r="AE48" s="11"/>
      <c r="AF48" s="11"/>
      <c r="AG48" s="11"/>
    </row>
    <row r="49" spans="1:33" x14ac:dyDescent="0.25">
      <c r="A49" s="10" t="str">
        <f t="shared" si="0"/>
        <v/>
      </c>
      <c r="B49" s="11"/>
      <c r="C49" s="10" t="str">
        <f t="shared" si="1"/>
        <v/>
      </c>
      <c r="D49" s="11"/>
      <c r="E49" s="11"/>
      <c r="F49" s="11"/>
      <c r="G49" s="11"/>
      <c r="H49" s="10" t="str">
        <f>IF(ISBLANK(F49),"",IF(G49&lt;&gt;"",UPPER(TRIM(G49)),IF(ISNUMBER(SEARCH(" ",TRIM(F49))),UPPER(LEFT(TRIM(RIGHT(SUBSTITUTE(TRIM(F49)," ",REPT(" ",100)),100)),Settings!$B$9)),UPPER(LEFT(TRIM(F49),Settings!$B$9)))))</f>
        <v/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0" t="str">
        <f>IF(ISBLANK(D49),"",IF(COUNTIFS(Circulation!$B$2:$B$500,A49,Circulation!$H$2:$H$500,"Active")&gt;0,"On Loan","Available"))</f>
        <v/>
      </c>
      <c r="AA49" s="11"/>
      <c r="AB49" s="11"/>
      <c r="AC49" s="11"/>
      <c r="AD49" s="11"/>
      <c r="AE49" s="11"/>
      <c r="AF49" s="11"/>
      <c r="AG49" s="11"/>
    </row>
    <row r="50" spans="1:33" x14ac:dyDescent="0.25">
      <c r="A50" s="10" t="str">
        <f t="shared" si="0"/>
        <v/>
      </c>
      <c r="B50" s="11"/>
      <c r="C50" s="10" t="str">
        <f t="shared" si="1"/>
        <v/>
      </c>
      <c r="D50" s="11"/>
      <c r="E50" s="11"/>
      <c r="F50" s="11"/>
      <c r="G50" s="11"/>
      <c r="H50" s="10" t="str">
        <f>IF(ISBLANK(F50),"",IF(G50&lt;&gt;"",UPPER(TRIM(G50)),IF(ISNUMBER(SEARCH(" ",TRIM(F50))),UPPER(LEFT(TRIM(RIGHT(SUBSTITUTE(TRIM(F50)," ",REPT(" ",100)),100)),Settings!$B$9)),UPPER(LEFT(TRIM(F50),Settings!$B$9)))))</f>
        <v/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0" t="str">
        <f>IF(ISBLANK(D50),"",IF(COUNTIFS(Circulation!$B$2:$B$500,A50,Circulation!$H$2:$H$500,"Active")&gt;0,"On Loan","Available"))</f>
        <v/>
      </c>
      <c r="AA50" s="11"/>
      <c r="AB50" s="11"/>
      <c r="AC50" s="11"/>
      <c r="AD50" s="11"/>
      <c r="AE50" s="11"/>
      <c r="AF50" s="11"/>
      <c r="AG50" s="11"/>
    </row>
    <row r="51" spans="1:33" x14ac:dyDescent="0.25">
      <c r="A51" s="10" t="str">
        <f t="shared" si="0"/>
        <v/>
      </c>
      <c r="B51" s="11"/>
      <c r="C51" s="10" t="str">
        <f t="shared" si="1"/>
        <v/>
      </c>
      <c r="D51" s="11"/>
      <c r="E51" s="11"/>
      <c r="F51" s="11"/>
      <c r="G51" s="11"/>
      <c r="H51" s="10" t="str">
        <f>IF(ISBLANK(F51),"",IF(G51&lt;&gt;"",UPPER(TRIM(G51)),IF(ISNUMBER(SEARCH(" ",TRIM(F51))),UPPER(LEFT(TRIM(RIGHT(SUBSTITUTE(TRIM(F51)," ",REPT(" ",100)),100)),Settings!$B$9)),UPPER(LEFT(TRIM(F51),Settings!$B$9)))))</f>
        <v/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0" t="str">
        <f>IF(ISBLANK(D51),"",IF(COUNTIFS(Circulation!$B$2:$B$500,A51,Circulation!$H$2:$H$500,"Active")&gt;0,"On Loan","Available"))</f>
        <v/>
      </c>
      <c r="AA51" s="11"/>
      <c r="AB51" s="11"/>
      <c r="AC51" s="11"/>
      <c r="AD51" s="11"/>
      <c r="AE51" s="11"/>
      <c r="AF51" s="11"/>
      <c r="AG51" s="11"/>
    </row>
    <row r="52" spans="1:33" x14ac:dyDescent="0.25">
      <c r="A52" s="10" t="str">
        <f t="shared" si="0"/>
        <v/>
      </c>
      <c r="B52" s="11"/>
      <c r="C52" s="10" t="str">
        <f t="shared" si="1"/>
        <v/>
      </c>
      <c r="D52" s="11"/>
      <c r="E52" s="11"/>
      <c r="F52" s="11"/>
      <c r="G52" s="11"/>
      <c r="H52" s="10" t="str">
        <f>IF(ISBLANK(F52),"",IF(G52&lt;&gt;"",UPPER(TRIM(G52)),IF(ISNUMBER(SEARCH(" ",TRIM(F52))),UPPER(LEFT(TRIM(RIGHT(SUBSTITUTE(TRIM(F52)," ",REPT(" ",100)),100)),Settings!$B$9)),UPPER(LEFT(TRIM(F52),Settings!$B$9)))))</f>
        <v/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0" t="str">
        <f>IF(ISBLANK(D52),"",IF(COUNTIFS(Circulation!$B$2:$B$500,A52,Circulation!$H$2:$H$500,"Active")&gt;0,"On Loan","Available"))</f>
        <v/>
      </c>
      <c r="AA52" s="11"/>
      <c r="AB52" s="11"/>
      <c r="AC52" s="11"/>
      <c r="AD52" s="11"/>
      <c r="AE52" s="11"/>
      <c r="AF52" s="11"/>
      <c r="AG52" s="11"/>
    </row>
    <row r="53" spans="1:33" x14ac:dyDescent="0.25">
      <c r="A53" s="10" t="str">
        <f t="shared" si="0"/>
        <v/>
      </c>
      <c r="B53" s="11"/>
      <c r="C53" s="10" t="str">
        <f t="shared" si="1"/>
        <v/>
      </c>
      <c r="D53" s="11"/>
      <c r="E53" s="11"/>
      <c r="F53" s="11"/>
      <c r="G53" s="11"/>
      <c r="H53" s="10" t="str">
        <f>IF(ISBLANK(F53),"",IF(G53&lt;&gt;"",UPPER(TRIM(G53)),IF(ISNUMBER(SEARCH(" ",TRIM(F53))),UPPER(LEFT(TRIM(RIGHT(SUBSTITUTE(TRIM(F53)," ",REPT(" ",100)),100)),Settings!$B$9)),UPPER(LEFT(TRIM(F53),Settings!$B$9)))))</f>
        <v/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0" t="str">
        <f>IF(ISBLANK(D53),"",IF(COUNTIFS(Circulation!$B$2:$B$500,A53,Circulation!$H$2:$H$500,"Active")&gt;0,"On Loan","Available"))</f>
        <v/>
      </c>
      <c r="AA53" s="11"/>
      <c r="AB53" s="11"/>
      <c r="AC53" s="11"/>
      <c r="AD53" s="11"/>
      <c r="AE53" s="11"/>
      <c r="AF53" s="11"/>
      <c r="AG53" s="11"/>
    </row>
    <row r="54" spans="1:33" x14ac:dyDescent="0.25">
      <c r="A54" s="10" t="str">
        <f t="shared" si="0"/>
        <v/>
      </c>
      <c r="B54" s="11"/>
      <c r="C54" s="10" t="str">
        <f t="shared" si="1"/>
        <v/>
      </c>
      <c r="D54" s="11"/>
      <c r="E54" s="11"/>
      <c r="F54" s="11"/>
      <c r="G54" s="11"/>
      <c r="H54" s="10" t="str">
        <f>IF(ISBLANK(F54),"",IF(G54&lt;&gt;"",UPPER(TRIM(G54)),IF(ISNUMBER(SEARCH(" ",TRIM(F54))),UPPER(LEFT(TRIM(RIGHT(SUBSTITUTE(TRIM(F54)," ",REPT(" ",100)),100)),Settings!$B$9)),UPPER(LEFT(TRIM(F54),Settings!$B$9)))))</f>
        <v/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0" t="str">
        <f>IF(ISBLANK(D54),"",IF(COUNTIFS(Circulation!$B$2:$B$500,A54,Circulation!$H$2:$H$500,"Active")&gt;0,"On Loan","Available"))</f>
        <v/>
      </c>
      <c r="AA54" s="11"/>
      <c r="AB54" s="11"/>
      <c r="AC54" s="11"/>
      <c r="AD54" s="11"/>
      <c r="AE54" s="11"/>
      <c r="AF54" s="11"/>
      <c r="AG54" s="11"/>
    </row>
    <row r="55" spans="1:33" x14ac:dyDescent="0.25">
      <c r="A55" s="10" t="str">
        <f t="shared" si="0"/>
        <v/>
      </c>
      <c r="B55" s="11"/>
      <c r="C55" s="10" t="str">
        <f t="shared" si="1"/>
        <v/>
      </c>
      <c r="D55" s="11"/>
      <c r="E55" s="11"/>
      <c r="F55" s="11"/>
      <c r="G55" s="11"/>
      <c r="H55" s="10" t="str">
        <f>IF(ISBLANK(F55),"",IF(G55&lt;&gt;"",UPPER(TRIM(G55)),IF(ISNUMBER(SEARCH(" ",TRIM(F55))),UPPER(LEFT(TRIM(RIGHT(SUBSTITUTE(TRIM(F55)," ",REPT(" ",100)),100)),Settings!$B$9)),UPPER(LEFT(TRIM(F55),Settings!$B$9)))))</f>
        <v/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0" t="str">
        <f>IF(ISBLANK(D55),"",IF(COUNTIFS(Circulation!$B$2:$B$500,A55,Circulation!$H$2:$H$500,"Active")&gt;0,"On Loan","Available"))</f>
        <v/>
      </c>
      <c r="AA55" s="11"/>
      <c r="AB55" s="11"/>
      <c r="AC55" s="11"/>
      <c r="AD55" s="11"/>
      <c r="AE55" s="11"/>
      <c r="AF55" s="11"/>
      <c r="AG55" s="11"/>
    </row>
    <row r="56" spans="1:33" x14ac:dyDescent="0.25">
      <c r="A56" s="10" t="str">
        <f t="shared" si="0"/>
        <v/>
      </c>
      <c r="B56" s="11"/>
      <c r="C56" s="10" t="str">
        <f t="shared" si="1"/>
        <v/>
      </c>
      <c r="D56" s="11"/>
      <c r="E56" s="11"/>
      <c r="F56" s="11"/>
      <c r="G56" s="11"/>
      <c r="H56" s="10" t="str">
        <f>IF(ISBLANK(F56),"",IF(G56&lt;&gt;"",UPPER(TRIM(G56)),IF(ISNUMBER(SEARCH(" ",TRIM(F56))),UPPER(LEFT(TRIM(RIGHT(SUBSTITUTE(TRIM(F56)," ",REPT(" ",100)),100)),Settings!$B$9)),UPPER(LEFT(TRIM(F56),Settings!$B$9)))))</f>
        <v/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0" t="str">
        <f>IF(ISBLANK(D56),"",IF(COUNTIFS(Circulation!$B$2:$B$500,A56,Circulation!$H$2:$H$500,"Active")&gt;0,"On Loan","Available"))</f>
        <v/>
      </c>
      <c r="AA56" s="11"/>
      <c r="AB56" s="11"/>
      <c r="AC56" s="11"/>
      <c r="AD56" s="11"/>
      <c r="AE56" s="11"/>
      <c r="AF56" s="11"/>
      <c r="AG56" s="11"/>
    </row>
    <row r="57" spans="1:33" x14ac:dyDescent="0.25">
      <c r="A57" s="10" t="str">
        <f t="shared" si="0"/>
        <v/>
      </c>
      <c r="B57" s="11"/>
      <c r="C57" s="10" t="str">
        <f t="shared" si="1"/>
        <v/>
      </c>
      <c r="D57" s="11"/>
      <c r="E57" s="11"/>
      <c r="F57" s="11"/>
      <c r="G57" s="11"/>
      <c r="H57" s="10" t="str">
        <f>IF(ISBLANK(F57),"",IF(G57&lt;&gt;"",UPPER(TRIM(G57)),IF(ISNUMBER(SEARCH(" ",TRIM(F57))),UPPER(LEFT(TRIM(RIGHT(SUBSTITUTE(TRIM(F57)," ",REPT(" ",100)),100)),Settings!$B$9)),UPPER(LEFT(TRIM(F57),Settings!$B$9)))))</f>
        <v/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0" t="str">
        <f>IF(ISBLANK(D57),"",IF(COUNTIFS(Circulation!$B$2:$B$500,A57,Circulation!$H$2:$H$500,"Active")&gt;0,"On Loan","Available"))</f>
        <v/>
      </c>
      <c r="AA57" s="11"/>
      <c r="AB57" s="11"/>
      <c r="AC57" s="11"/>
      <c r="AD57" s="11"/>
      <c r="AE57" s="11"/>
      <c r="AF57" s="11"/>
      <c r="AG57" s="11"/>
    </row>
    <row r="58" spans="1:33" x14ac:dyDescent="0.25">
      <c r="A58" s="10" t="str">
        <f t="shared" si="0"/>
        <v/>
      </c>
      <c r="B58" s="11"/>
      <c r="C58" s="10" t="str">
        <f t="shared" si="1"/>
        <v/>
      </c>
      <c r="D58" s="11"/>
      <c r="E58" s="11"/>
      <c r="F58" s="11"/>
      <c r="G58" s="11"/>
      <c r="H58" s="10" t="str">
        <f>IF(ISBLANK(F58),"",IF(G58&lt;&gt;"",UPPER(TRIM(G58)),IF(ISNUMBER(SEARCH(" ",TRIM(F58))),UPPER(LEFT(TRIM(RIGHT(SUBSTITUTE(TRIM(F58)," ",REPT(" ",100)),100)),Settings!$B$9)),UPPER(LEFT(TRIM(F58),Settings!$B$9)))))</f>
        <v/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0" t="str">
        <f>IF(ISBLANK(D58),"",IF(COUNTIFS(Circulation!$B$2:$B$500,A58,Circulation!$H$2:$H$500,"Active")&gt;0,"On Loan","Available"))</f>
        <v/>
      </c>
      <c r="AA58" s="11"/>
      <c r="AB58" s="11"/>
      <c r="AC58" s="11"/>
      <c r="AD58" s="11"/>
      <c r="AE58" s="11"/>
      <c r="AF58" s="11"/>
      <c r="AG58" s="11"/>
    </row>
    <row r="59" spans="1:33" x14ac:dyDescent="0.25">
      <c r="A59" s="10" t="str">
        <f t="shared" si="0"/>
        <v/>
      </c>
      <c r="B59" s="11"/>
      <c r="C59" s="10" t="str">
        <f t="shared" si="1"/>
        <v/>
      </c>
      <c r="D59" s="11"/>
      <c r="E59" s="11"/>
      <c r="F59" s="11"/>
      <c r="G59" s="11"/>
      <c r="H59" s="10" t="str">
        <f>IF(ISBLANK(F59),"",IF(G59&lt;&gt;"",UPPER(TRIM(G59)),IF(ISNUMBER(SEARCH(" ",TRIM(F59))),UPPER(LEFT(TRIM(RIGHT(SUBSTITUTE(TRIM(F59)," ",REPT(" ",100)),100)),Settings!$B$9)),UPPER(LEFT(TRIM(F59),Settings!$B$9)))))</f>
        <v/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0" t="str">
        <f>IF(ISBLANK(D59),"",IF(COUNTIFS(Circulation!$B$2:$B$500,A59,Circulation!$H$2:$H$500,"Active")&gt;0,"On Loan","Available"))</f>
        <v/>
      </c>
      <c r="AA59" s="11"/>
      <c r="AB59" s="11"/>
      <c r="AC59" s="11"/>
      <c r="AD59" s="11"/>
      <c r="AE59" s="11"/>
      <c r="AF59" s="11"/>
      <c r="AG59" s="11"/>
    </row>
    <row r="60" spans="1:33" x14ac:dyDescent="0.25">
      <c r="A60" s="10" t="str">
        <f t="shared" si="0"/>
        <v/>
      </c>
      <c r="B60" s="11"/>
      <c r="C60" s="10" t="str">
        <f t="shared" si="1"/>
        <v/>
      </c>
      <c r="D60" s="11"/>
      <c r="E60" s="11"/>
      <c r="F60" s="11"/>
      <c r="G60" s="11"/>
      <c r="H60" s="10" t="str">
        <f>IF(ISBLANK(F60),"",IF(G60&lt;&gt;"",UPPER(TRIM(G60)),IF(ISNUMBER(SEARCH(" ",TRIM(F60))),UPPER(LEFT(TRIM(RIGHT(SUBSTITUTE(TRIM(F60)," ",REPT(" ",100)),100)),Settings!$B$9)),UPPER(LEFT(TRIM(F60),Settings!$B$9)))))</f>
        <v/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0" t="str">
        <f>IF(ISBLANK(D60),"",IF(COUNTIFS(Circulation!$B$2:$B$500,A60,Circulation!$H$2:$H$500,"Active")&gt;0,"On Loan","Available"))</f>
        <v/>
      </c>
      <c r="AA60" s="11"/>
      <c r="AB60" s="11"/>
      <c r="AC60" s="11"/>
      <c r="AD60" s="11"/>
      <c r="AE60" s="11"/>
      <c r="AF60" s="11"/>
      <c r="AG60" s="11"/>
    </row>
    <row r="61" spans="1:33" x14ac:dyDescent="0.25">
      <c r="A61" s="10" t="str">
        <f t="shared" si="0"/>
        <v/>
      </c>
      <c r="B61" s="11"/>
      <c r="C61" s="10" t="str">
        <f t="shared" si="1"/>
        <v/>
      </c>
      <c r="D61" s="11"/>
      <c r="E61" s="11"/>
      <c r="F61" s="11"/>
      <c r="G61" s="11"/>
      <c r="H61" s="10" t="str">
        <f>IF(ISBLANK(F61),"",IF(G61&lt;&gt;"",UPPER(TRIM(G61)),IF(ISNUMBER(SEARCH(" ",TRIM(F61))),UPPER(LEFT(TRIM(RIGHT(SUBSTITUTE(TRIM(F61)," ",REPT(" ",100)),100)),Settings!$B$9)),UPPER(LEFT(TRIM(F61),Settings!$B$9)))))</f>
        <v/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0" t="str">
        <f>IF(ISBLANK(D61),"",IF(COUNTIFS(Circulation!$B$2:$B$500,A61,Circulation!$H$2:$H$500,"Active")&gt;0,"On Loan","Available"))</f>
        <v/>
      </c>
      <c r="AA61" s="11"/>
      <c r="AB61" s="11"/>
      <c r="AC61" s="11"/>
      <c r="AD61" s="11"/>
      <c r="AE61" s="11"/>
      <c r="AF61" s="11"/>
      <c r="AG61" s="11"/>
    </row>
    <row r="62" spans="1:33" x14ac:dyDescent="0.25">
      <c r="A62" s="10" t="str">
        <f t="shared" si="0"/>
        <v/>
      </c>
      <c r="B62" s="11"/>
      <c r="C62" s="10" t="str">
        <f t="shared" si="1"/>
        <v/>
      </c>
      <c r="D62" s="11"/>
      <c r="E62" s="11"/>
      <c r="F62" s="11"/>
      <c r="G62" s="11"/>
      <c r="H62" s="10" t="str">
        <f>IF(ISBLANK(F62),"",IF(G62&lt;&gt;"",UPPER(TRIM(G62)),IF(ISNUMBER(SEARCH(" ",TRIM(F62))),UPPER(LEFT(TRIM(RIGHT(SUBSTITUTE(TRIM(F62)," ",REPT(" ",100)),100)),Settings!$B$9)),UPPER(LEFT(TRIM(F62),Settings!$B$9)))))</f>
        <v/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0" t="str">
        <f>IF(ISBLANK(D62),"",IF(COUNTIFS(Circulation!$B$2:$B$500,A62,Circulation!$H$2:$H$500,"Active")&gt;0,"On Loan","Available"))</f>
        <v/>
      </c>
      <c r="AA62" s="11"/>
      <c r="AB62" s="11"/>
      <c r="AC62" s="11"/>
      <c r="AD62" s="11"/>
      <c r="AE62" s="11"/>
      <c r="AF62" s="11"/>
      <c r="AG62" s="11"/>
    </row>
    <row r="63" spans="1:33" x14ac:dyDescent="0.25">
      <c r="A63" s="10" t="str">
        <f t="shared" si="0"/>
        <v/>
      </c>
      <c r="B63" s="11"/>
      <c r="C63" s="10" t="str">
        <f t="shared" si="1"/>
        <v/>
      </c>
      <c r="D63" s="11"/>
      <c r="E63" s="11"/>
      <c r="F63" s="11"/>
      <c r="G63" s="11"/>
      <c r="H63" s="10" t="str">
        <f>IF(ISBLANK(F63),"",IF(G63&lt;&gt;"",UPPER(TRIM(G63)),IF(ISNUMBER(SEARCH(" ",TRIM(F63))),UPPER(LEFT(TRIM(RIGHT(SUBSTITUTE(TRIM(F63)," ",REPT(" ",100)),100)),Settings!$B$9)),UPPER(LEFT(TRIM(F63),Settings!$B$9)))))</f>
        <v/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0" t="str">
        <f>IF(ISBLANK(D63),"",IF(COUNTIFS(Circulation!$B$2:$B$500,A63,Circulation!$H$2:$H$500,"Active")&gt;0,"On Loan","Available"))</f>
        <v/>
      </c>
      <c r="AA63" s="11"/>
      <c r="AB63" s="11"/>
      <c r="AC63" s="11"/>
      <c r="AD63" s="11"/>
      <c r="AE63" s="11"/>
      <c r="AF63" s="11"/>
      <c r="AG63" s="11"/>
    </row>
    <row r="64" spans="1:33" x14ac:dyDescent="0.25">
      <c r="A64" s="10" t="str">
        <f t="shared" si="0"/>
        <v/>
      </c>
      <c r="B64" s="11"/>
      <c r="C64" s="10" t="str">
        <f t="shared" si="1"/>
        <v/>
      </c>
      <c r="D64" s="11"/>
      <c r="E64" s="11"/>
      <c r="F64" s="11"/>
      <c r="G64" s="11"/>
      <c r="H64" s="10" t="str">
        <f>IF(ISBLANK(F64),"",IF(G64&lt;&gt;"",UPPER(TRIM(G64)),IF(ISNUMBER(SEARCH(" ",TRIM(F64))),UPPER(LEFT(TRIM(RIGHT(SUBSTITUTE(TRIM(F64)," ",REPT(" ",100)),100)),Settings!$B$9)),UPPER(LEFT(TRIM(F64),Settings!$B$9)))))</f>
        <v/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0" t="str">
        <f>IF(ISBLANK(D64),"",IF(COUNTIFS(Circulation!$B$2:$B$500,A64,Circulation!$H$2:$H$500,"Active")&gt;0,"On Loan","Available"))</f>
        <v/>
      </c>
      <c r="AA64" s="11"/>
      <c r="AB64" s="11"/>
      <c r="AC64" s="11"/>
      <c r="AD64" s="11"/>
      <c r="AE64" s="11"/>
      <c r="AF64" s="11"/>
      <c r="AG64" s="11"/>
    </row>
    <row r="65" spans="1:33" x14ac:dyDescent="0.25">
      <c r="A65" s="10" t="str">
        <f t="shared" si="0"/>
        <v/>
      </c>
      <c r="B65" s="11"/>
      <c r="C65" s="10" t="str">
        <f t="shared" si="1"/>
        <v/>
      </c>
      <c r="D65" s="11"/>
      <c r="E65" s="11"/>
      <c r="F65" s="11"/>
      <c r="G65" s="11"/>
      <c r="H65" s="10" t="str">
        <f>IF(ISBLANK(F65),"",IF(G65&lt;&gt;"",UPPER(TRIM(G65)),IF(ISNUMBER(SEARCH(" ",TRIM(F65))),UPPER(LEFT(TRIM(RIGHT(SUBSTITUTE(TRIM(F65)," ",REPT(" ",100)),100)),Settings!$B$9)),UPPER(LEFT(TRIM(F65),Settings!$B$9)))))</f>
        <v/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0" t="str">
        <f>IF(ISBLANK(D65),"",IF(COUNTIFS(Circulation!$B$2:$B$500,A65,Circulation!$H$2:$H$500,"Active")&gt;0,"On Loan","Available"))</f>
        <v/>
      </c>
      <c r="AA65" s="11"/>
      <c r="AB65" s="11"/>
      <c r="AC65" s="11"/>
      <c r="AD65" s="11"/>
      <c r="AE65" s="11"/>
      <c r="AF65" s="11"/>
      <c r="AG65" s="11"/>
    </row>
    <row r="66" spans="1:33" x14ac:dyDescent="0.25">
      <c r="A66" s="10" t="str">
        <f t="shared" ref="A66:A129" si="2">IF(ISBLANK(D66),"",ROW()-1)</f>
        <v/>
      </c>
      <c r="B66" s="11"/>
      <c r="C66" s="10" t="str">
        <f t="shared" ref="C66:C129" si="3">IF(ISBLANK(D66),"",MID(K66,SEARCH("(",K66)+1,SEARCH(")",K66)-SEARCH("(",K66)-1)&amp;"-"&amp;MID(L66,SEARCH("(",L66)+1,SEARCH(")",L66)-SEARCH("(",L66)-1)&amp;"-"&amp;H66&amp;"-"&amp;TEXT(A66,"000")&amp;IF(ISBLANK(N66),"","-"&amp;SUBSTITUTE(N66," ","")))</f>
        <v/>
      </c>
      <c r="D66" s="11"/>
      <c r="E66" s="11"/>
      <c r="F66" s="11"/>
      <c r="G66" s="11"/>
      <c r="H66" s="10" t="str">
        <f>IF(ISBLANK(F66),"",IF(G66&lt;&gt;"",UPPER(TRIM(G66)),IF(ISNUMBER(SEARCH(" ",TRIM(F66))),UPPER(LEFT(TRIM(RIGHT(SUBSTITUTE(TRIM(F66)," ",REPT(" ",100)),100)),Settings!$B$9)),UPPER(LEFT(TRIM(F66),Settings!$B$9)))))</f>
        <v/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0" t="str">
        <f>IF(ISBLANK(D66),"",IF(COUNTIFS(Circulation!$B$2:$B$500,A66,Circulation!$H$2:$H$500,"Active")&gt;0,"On Loan","Available"))</f>
        <v/>
      </c>
      <c r="AA66" s="11"/>
      <c r="AB66" s="11"/>
      <c r="AC66" s="11"/>
      <c r="AD66" s="11"/>
      <c r="AE66" s="11"/>
      <c r="AF66" s="11"/>
      <c r="AG66" s="11"/>
    </row>
    <row r="67" spans="1:33" x14ac:dyDescent="0.25">
      <c r="A67" s="10" t="str">
        <f t="shared" si="2"/>
        <v/>
      </c>
      <c r="B67" s="11"/>
      <c r="C67" s="10" t="str">
        <f t="shared" si="3"/>
        <v/>
      </c>
      <c r="D67" s="11"/>
      <c r="E67" s="11"/>
      <c r="F67" s="11"/>
      <c r="G67" s="11"/>
      <c r="H67" s="10" t="str">
        <f>IF(ISBLANK(F67),"",IF(G67&lt;&gt;"",UPPER(TRIM(G67)),IF(ISNUMBER(SEARCH(" ",TRIM(F67))),UPPER(LEFT(TRIM(RIGHT(SUBSTITUTE(TRIM(F67)," ",REPT(" ",100)),100)),Settings!$B$9)),UPPER(LEFT(TRIM(F67),Settings!$B$9)))))</f>
        <v/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0" t="str">
        <f>IF(ISBLANK(D67),"",IF(COUNTIFS(Circulation!$B$2:$B$500,A67,Circulation!$H$2:$H$500,"Active")&gt;0,"On Loan","Available"))</f>
        <v/>
      </c>
      <c r="AA67" s="11"/>
      <c r="AB67" s="11"/>
      <c r="AC67" s="11"/>
      <c r="AD67" s="11"/>
      <c r="AE67" s="11"/>
      <c r="AF67" s="11"/>
      <c r="AG67" s="11"/>
    </row>
    <row r="68" spans="1:33" x14ac:dyDescent="0.25">
      <c r="A68" s="10" t="str">
        <f t="shared" si="2"/>
        <v/>
      </c>
      <c r="B68" s="11"/>
      <c r="C68" s="10" t="str">
        <f t="shared" si="3"/>
        <v/>
      </c>
      <c r="D68" s="11"/>
      <c r="E68" s="11"/>
      <c r="F68" s="11"/>
      <c r="G68" s="11"/>
      <c r="H68" s="10" t="str">
        <f>IF(ISBLANK(F68),"",IF(G68&lt;&gt;"",UPPER(TRIM(G68)),IF(ISNUMBER(SEARCH(" ",TRIM(F68))),UPPER(LEFT(TRIM(RIGHT(SUBSTITUTE(TRIM(F68)," ",REPT(" ",100)),100)),Settings!$B$9)),UPPER(LEFT(TRIM(F68),Settings!$B$9)))))</f>
        <v/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0" t="str">
        <f>IF(ISBLANK(D68),"",IF(COUNTIFS(Circulation!$B$2:$B$500,A68,Circulation!$H$2:$H$500,"Active")&gt;0,"On Loan","Available"))</f>
        <v/>
      </c>
      <c r="AA68" s="11"/>
      <c r="AB68" s="11"/>
      <c r="AC68" s="11"/>
      <c r="AD68" s="11"/>
      <c r="AE68" s="11"/>
      <c r="AF68" s="11"/>
      <c r="AG68" s="11"/>
    </row>
    <row r="69" spans="1:33" x14ac:dyDescent="0.25">
      <c r="A69" s="10" t="str">
        <f t="shared" si="2"/>
        <v/>
      </c>
      <c r="B69" s="11"/>
      <c r="C69" s="10" t="str">
        <f t="shared" si="3"/>
        <v/>
      </c>
      <c r="D69" s="11"/>
      <c r="E69" s="11"/>
      <c r="F69" s="11"/>
      <c r="G69" s="11"/>
      <c r="H69" s="10" t="str">
        <f>IF(ISBLANK(F69),"",IF(G69&lt;&gt;"",UPPER(TRIM(G69)),IF(ISNUMBER(SEARCH(" ",TRIM(F69))),UPPER(LEFT(TRIM(RIGHT(SUBSTITUTE(TRIM(F69)," ",REPT(" ",100)),100)),Settings!$B$9)),UPPER(LEFT(TRIM(F69),Settings!$B$9)))))</f>
        <v/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0" t="str">
        <f>IF(ISBLANK(D69),"",IF(COUNTIFS(Circulation!$B$2:$B$500,A69,Circulation!$H$2:$H$500,"Active")&gt;0,"On Loan","Available"))</f>
        <v/>
      </c>
      <c r="AA69" s="11"/>
      <c r="AB69" s="11"/>
      <c r="AC69" s="11"/>
      <c r="AD69" s="11"/>
      <c r="AE69" s="11"/>
      <c r="AF69" s="11"/>
      <c r="AG69" s="11"/>
    </row>
    <row r="70" spans="1:33" x14ac:dyDescent="0.25">
      <c r="A70" s="10" t="str">
        <f t="shared" si="2"/>
        <v/>
      </c>
      <c r="B70" s="11"/>
      <c r="C70" s="10" t="str">
        <f t="shared" si="3"/>
        <v/>
      </c>
      <c r="D70" s="11"/>
      <c r="E70" s="11"/>
      <c r="F70" s="11"/>
      <c r="G70" s="11"/>
      <c r="H70" s="10" t="str">
        <f>IF(ISBLANK(F70),"",IF(G70&lt;&gt;"",UPPER(TRIM(G70)),IF(ISNUMBER(SEARCH(" ",TRIM(F70))),UPPER(LEFT(TRIM(RIGHT(SUBSTITUTE(TRIM(F70)," ",REPT(" ",100)),100)),Settings!$B$9)),UPPER(LEFT(TRIM(F70),Settings!$B$9)))))</f>
        <v/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0" t="str">
        <f>IF(ISBLANK(D70),"",IF(COUNTIFS(Circulation!$B$2:$B$500,A70,Circulation!$H$2:$H$500,"Active")&gt;0,"On Loan","Available"))</f>
        <v/>
      </c>
      <c r="AA70" s="11"/>
      <c r="AB70" s="11"/>
      <c r="AC70" s="11"/>
      <c r="AD70" s="11"/>
      <c r="AE70" s="11"/>
      <c r="AF70" s="11"/>
      <c r="AG70" s="11"/>
    </row>
    <row r="71" spans="1:33" x14ac:dyDescent="0.25">
      <c r="A71" s="10" t="str">
        <f t="shared" si="2"/>
        <v/>
      </c>
      <c r="B71" s="11"/>
      <c r="C71" s="10" t="str">
        <f t="shared" si="3"/>
        <v/>
      </c>
      <c r="D71" s="11"/>
      <c r="E71" s="11"/>
      <c r="F71" s="11"/>
      <c r="G71" s="11"/>
      <c r="H71" s="10" t="str">
        <f>IF(ISBLANK(F71),"",IF(G71&lt;&gt;"",UPPER(TRIM(G71)),IF(ISNUMBER(SEARCH(" ",TRIM(F71))),UPPER(LEFT(TRIM(RIGHT(SUBSTITUTE(TRIM(F71)," ",REPT(" ",100)),100)),Settings!$B$9)),UPPER(LEFT(TRIM(F71),Settings!$B$9)))))</f>
        <v/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0" t="str">
        <f>IF(ISBLANK(D71),"",IF(COUNTIFS(Circulation!$B$2:$B$500,A71,Circulation!$H$2:$H$500,"Active")&gt;0,"On Loan","Available"))</f>
        <v/>
      </c>
      <c r="AA71" s="11"/>
      <c r="AB71" s="11"/>
      <c r="AC71" s="11"/>
      <c r="AD71" s="11"/>
      <c r="AE71" s="11"/>
      <c r="AF71" s="11"/>
      <c r="AG71" s="11"/>
    </row>
    <row r="72" spans="1:33" x14ac:dyDescent="0.25">
      <c r="A72" s="10" t="str">
        <f t="shared" si="2"/>
        <v/>
      </c>
      <c r="B72" s="11"/>
      <c r="C72" s="10" t="str">
        <f t="shared" si="3"/>
        <v/>
      </c>
      <c r="D72" s="11"/>
      <c r="E72" s="11"/>
      <c r="F72" s="11"/>
      <c r="G72" s="11"/>
      <c r="H72" s="10" t="str">
        <f>IF(ISBLANK(F72),"",IF(G72&lt;&gt;"",UPPER(TRIM(G72)),IF(ISNUMBER(SEARCH(" ",TRIM(F72))),UPPER(LEFT(TRIM(RIGHT(SUBSTITUTE(TRIM(F72)," ",REPT(" ",100)),100)),Settings!$B$9)),UPPER(LEFT(TRIM(F72),Settings!$B$9)))))</f>
        <v/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0" t="str">
        <f>IF(ISBLANK(D72),"",IF(COUNTIFS(Circulation!$B$2:$B$500,A72,Circulation!$H$2:$H$500,"Active")&gt;0,"On Loan","Available"))</f>
        <v/>
      </c>
      <c r="AA72" s="11"/>
      <c r="AB72" s="11"/>
      <c r="AC72" s="11"/>
      <c r="AD72" s="11"/>
      <c r="AE72" s="11"/>
      <c r="AF72" s="11"/>
      <c r="AG72" s="11"/>
    </row>
    <row r="73" spans="1:33" x14ac:dyDescent="0.25">
      <c r="A73" s="10" t="str">
        <f t="shared" si="2"/>
        <v/>
      </c>
      <c r="B73" s="11"/>
      <c r="C73" s="10" t="str">
        <f t="shared" si="3"/>
        <v/>
      </c>
      <c r="D73" s="11"/>
      <c r="E73" s="11"/>
      <c r="F73" s="11"/>
      <c r="G73" s="11"/>
      <c r="H73" s="10" t="str">
        <f>IF(ISBLANK(F73),"",IF(G73&lt;&gt;"",UPPER(TRIM(G73)),IF(ISNUMBER(SEARCH(" ",TRIM(F73))),UPPER(LEFT(TRIM(RIGHT(SUBSTITUTE(TRIM(F73)," ",REPT(" ",100)),100)),Settings!$B$9)),UPPER(LEFT(TRIM(F73),Settings!$B$9)))))</f>
        <v/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0" t="str">
        <f>IF(ISBLANK(D73),"",IF(COUNTIFS(Circulation!$B$2:$B$500,A73,Circulation!$H$2:$H$500,"Active")&gt;0,"On Loan","Available"))</f>
        <v/>
      </c>
      <c r="AA73" s="11"/>
      <c r="AB73" s="11"/>
      <c r="AC73" s="11"/>
      <c r="AD73" s="11"/>
      <c r="AE73" s="11"/>
      <c r="AF73" s="11"/>
      <c r="AG73" s="11"/>
    </row>
    <row r="74" spans="1:33" x14ac:dyDescent="0.25">
      <c r="A74" s="10" t="str">
        <f t="shared" si="2"/>
        <v/>
      </c>
      <c r="B74" s="11"/>
      <c r="C74" s="10" t="str">
        <f t="shared" si="3"/>
        <v/>
      </c>
      <c r="D74" s="11"/>
      <c r="E74" s="11"/>
      <c r="F74" s="11"/>
      <c r="G74" s="11"/>
      <c r="H74" s="10" t="str">
        <f>IF(ISBLANK(F74),"",IF(G74&lt;&gt;"",UPPER(TRIM(G74)),IF(ISNUMBER(SEARCH(" ",TRIM(F74))),UPPER(LEFT(TRIM(RIGHT(SUBSTITUTE(TRIM(F74)," ",REPT(" ",100)),100)),Settings!$B$9)),UPPER(LEFT(TRIM(F74),Settings!$B$9)))))</f>
        <v/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0" t="str">
        <f>IF(ISBLANK(D74),"",IF(COUNTIFS(Circulation!$B$2:$B$500,A74,Circulation!$H$2:$H$500,"Active")&gt;0,"On Loan","Available"))</f>
        <v/>
      </c>
      <c r="AA74" s="11"/>
      <c r="AB74" s="11"/>
      <c r="AC74" s="11"/>
      <c r="AD74" s="11"/>
      <c r="AE74" s="11"/>
      <c r="AF74" s="11"/>
      <c r="AG74" s="11"/>
    </row>
    <row r="75" spans="1:33" x14ac:dyDescent="0.25">
      <c r="A75" s="10" t="str">
        <f t="shared" si="2"/>
        <v/>
      </c>
      <c r="B75" s="11"/>
      <c r="C75" s="10" t="str">
        <f t="shared" si="3"/>
        <v/>
      </c>
      <c r="D75" s="11"/>
      <c r="E75" s="11"/>
      <c r="F75" s="11"/>
      <c r="G75" s="11"/>
      <c r="H75" s="10" t="str">
        <f>IF(ISBLANK(F75),"",IF(G75&lt;&gt;"",UPPER(TRIM(G75)),IF(ISNUMBER(SEARCH(" ",TRIM(F75))),UPPER(LEFT(TRIM(RIGHT(SUBSTITUTE(TRIM(F75)," ",REPT(" ",100)),100)),Settings!$B$9)),UPPER(LEFT(TRIM(F75),Settings!$B$9)))))</f>
        <v/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0" t="str">
        <f>IF(ISBLANK(D75),"",IF(COUNTIFS(Circulation!$B$2:$B$500,A75,Circulation!$H$2:$H$500,"Active")&gt;0,"On Loan","Available"))</f>
        <v/>
      </c>
      <c r="AA75" s="11"/>
      <c r="AB75" s="11"/>
      <c r="AC75" s="11"/>
      <c r="AD75" s="11"/>
      <c r="AE75" s="11"/>
      <c r="AF75" s="11"/>
      <c r="AG75" s="11"/>
    </row>
    <row r="76" spans="1:33" x14ac:dyDescent="0.25">
      <c r="A76" s="10" t="str">
        <f t="shared" si="2"/>
        <v/>
      </c>
      <c r="B76" s="11"/>
      <c r="C76" s="10" t="str">
        <f t="shared" si="3"/>
        <v/>
      </c>
      <c r="D76" s="11"/>
      <c r="E76" s="11"/>
      <c r="F76" s="11"/>
      <c r="G76" s="11"/>
      <c r="H76" s="10" t="str">
        <f>IF(ISBLANK(F76),"",IF(G76&lt;&gt;"",UPPER(TRIM(G76)),IF(ISNUMBER(SEARCH(" ",TRIM(F76))),UPPER(LEFT(TRIM(RIGHT(SUBSTITUTE(TRIM(F76)," ",REPT(" ",100)),100)),Settings!$B$9)),UPPER(LEFT(TRIM(F76),Settings!$B$9)))))</f>
        <v/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0" t="str">
        <f>IF(ISBLANK(D76),"",IF(COUNTIFS(Circulation!$B$2:$B$500,A76,Circulation!$H$2:$H$500,"Active")&gt;0,"On Loan","Available"))</f>
        <v/>
      </c>
      <c r="AA76" s="11"/>
      <c r="AB76" s="11"/>
      <c r="AC76" s="11"/>
      <c r="AD76" s="11"/>
      <c r="AE76" s="11"/>
      <c r="AF76" s="11"/>
      <c r="AG76" s="11"/>
    </row>
    <row r="77" spans="1:33" x14ac:dyDescent="0.25">
      <c r="A77" s="10" t="str">
        <f t="shared" si="2"/>
        <v/>
      </c>
      <c r="B77" s="11"/>
      <c r="C77" s="10" t="str">
        <f t="shared" si="3"/>
        <v/>
      </c>
      <c r="D77" s="11"/>
      <c r="E77" s="11"/>
      <c r="F77" s="11"/>
      <c r="G77" s="11"/>
      <c r="H77" s="10" t="str">
        <f>IF(ISBLANK(F77),"",IF(G77&lt;&gt;"",UPPER(TRIM(G77)),IF(ISNUMBER(SEARCH(" ",TRIM(F77))),UPPER(LEFT(TRIM(RIGHT(SUBSTITUTE(TRIM(F77)," ",REPT(" ",100)),100)),Settings!$B$9)),UPPER(LEFT(TRIM(F77),Settings!$B$9)))))</f>
        <v/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0" t="str">
        <f>IF(ISBLANK(D77),"",IF(COUNTIFS(Circulation!$B$2:$B$500,A77,Circulation!$H$2:$H$500,"Active")&gt;0,"On Loan","Available"))</f>
        <v/>
      </c>
      <c r="AA77" s="11"/>
      <c r="AB77" s="11"/>
      <c r="AC77" s="11"/>
      <c r="AD77" s="11"/>
      <c r="AE77" s="11"/>
      <c r="AF77" s="11"/>
      <c r="AG77" s="11"/>
    </row>
    <row r="78" spans="1:33" x14ac:dyDescent="0.25">
      <c r="A78" s="10" t="str">
        <f t="shared" si="2"/>
        <v/>
      </c>
      <c r="B78" s="11"/>
      <c r="C78" s="10" t="str">
        <f t="shared" si="3"/>
        <v/>
      </c>
      <c r="D78" s="11"/>
      <c r="E78" s="11"/>
      <c r="F78" s="11"/>
      <c r="G78" s="11"/>
      <c r="H78" s="10" t="str">
        <f>IF(ISBLANK(F78),"",IF(G78&lt;&gt;"",UPPER(TRIM(G78)),IF(ISNUMBER(SEARCH(" ",TRIM(F78))),UPPER(LEFT(TRIM(RIGHT(SUBSTITUTE(TRIM(F78)," ",REPT(" ",100)),100)),Settings!$B$9)),UPPER(LEFT(TRIM(F78),Settings!$B$9)))))</f>
        <v/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0" t="str">
        <f>IF(ISBLANK(D78),"",IF(COUNTIFS(Circulation!$B$2:$B$500,A78,Circulation!$H$2:$H$500,"Active")&gt;0,"On Loan","Available"))</f>
        <v/>
      </c>
      <c r="AA78" s="11"/>
      <c r="AB78" s="11"/>
      <c r="AC78" s="11"/>
      <c r="AD78" s="11"/>
      <c r="AE78" s="11"/>
      <c r="AF78" s="11"/>
      <c r="AG78" s="11"/>
    </row>
    <row r="79" spans="1:33" x14ac:dyDescent="0.25">
      <c r="A79" s="10" t="str">
        <f t="shared" si="2"/>
        <v/>
      </c>
      <c r="B79" s="11"/>
      <c r="C79" s="10" t="str">
        <f t="shared" si="3"/>
        <v/>
      </c>
      <c r="D79" s="11"/>
      <c r="E79" s="11"/>
      <c r="F79" s="11"/>
      <c r="G79" s="11"/>
      <c r="H79" s="10" t="str">
        <f>IF(ISBLANK(F79),"",IF(G79&lt;&gt;"",UPPER(TRIM(G79)),IF(ISNUMBER(SEARCH(" ",TRIM(F79))),UPPER(LEFT(TRIM(RIGHT(SUBSTITUTE(TRIM(F79)," ",REPT(" ",100)),100)),Settings!$B$9)),UPPER(LEFT(TRIM(F79),Settings!$B$9)))))</f>
        <v/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0" t="str">
        <f>IF(ISBLANK(D79),"",IF(COUNTIFS(Circulation!$B$2:$B$500,A79,Circulation!$H$2:$H$500,"Active")&gt;0,"On Loan","Available"))</f>
        <v/>
      </c>
      <c r="AA79" s="11"/>
      <c r="AB79" s="11"/>
      <c r="AC79" s="11"/>
      <c r="AD79" s="11"/>
      <c r="AE79" s="11"/>
      <c r="AF79" s="11"/>
      <c r="AG79" s="11"/>
    </row>
    <row r="80" spans="1:33" x14ac:dyDescent="0.25">
      <c r="A80" s="10" t="str">
        <f t="shared" si="2"/>
        <v/>
      </c>
      <c r="B80" s="11"/>
      <c r="C80" s="10" t="str">
        <f t="shared" si="3"/>
        <v/>
      </c>
      <c r="D80" s="11"/>
      <c r="E80" s="11"/>
      <c r="F80" s="11"/>
      <c r="G80" s="11"/>
      <c r="H80" s="10" t="str">
        <f>IF(ISBLANK(F80),"",IF(G80&lt;&gt;"",UPPER(TRIM(G80)),IF(ISNUMBER(SEARCH(" ",TRIM(F80))),UPPER(LEFT(TRIM(RIGHT(SUBSTITUTE(TRIM(F80)," ",REPT(" ",100)),100)),Settings!$B$9)),UPPER(LEFT(TRIM(F80),Settings!$B$9)))))</f>
        <v/>
      </c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0" t="str">
        <f>IF(ISBLANK(D80),"",IF(COUNTIFS(Circulation!$B$2:$B$500,A80,Circulation!$H$2:$H$500,"Active")&gt;0,"On Loan","Available"))</f>
        <v/>
      </c>
      <c r="AA80" s="11"/>
      <c r="AB80" s="11"/>
      <c r="AC80" s="11"/>
      <c r="AD80" s="11"/>
      <c r="AE80" s="11"/>
      <c r="AF80" s="11"/>
      <c r="AG80" s="11"/>
    </row>
    <row r="81" spans="1:33" x14ac:dyDescent="0.25">
      <c r="A81" s="10" t="str">
        <f t="shared" si="2"/>
        <v/>
      </c>
      <c r="B81" s="11"/>
      <c r="C81" s="10" t="str">
        <f t="shared" si="3"/>
        <v/>
      </c>
      <c r="D81" s="11"/>
      <c r="E81" s="11"/>
      <c r="F81" s="11"/>
      <c r="G81" s="11"/>
      <c r="H81" s="10" t="str">
        <f>IF(ISBLANK(F81),"",IF(G81&lt;&gt;"",UPPER(TRIM(G81)),IF(ISNUMBER(SEARCH(" ",TRIM(F81))),UPPER(LEFT(TRIM(RIGHT(SUBSTITUTE(TRIM(F81)," ",REPT(" ",100)),100)),Settings!$B$9)),UPPER(LEFT(TRIM(F81),Settings!$B$9)))))</f>
        <v/>
      </c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0" t="str">
        <f>IF(ISBLANK(D81),"",IF(COUNTIFS(Circulation!$B$2:$B$500,A81,Circulation!$H$2:$H$500,"Active")&gt;0,"On Loan","Available"))</f>
        <v/>
      </c>
      <c r="AA81" s="11"/>
      <c r="AB81" s="11"/>
      <c r="AC81" s="11"/>
      <c r="AD81" s="11"/>
      <c r="AE81" s="11"/>
      <c r="AF81" s="11"/>
      <c r="AG81" s="11"/>
    </row>
    <row r="82" spans="1:33" x14ac:dyDescent="0.25">
      <c r="A82" s="10" t="str">
        <f t="shared" si="2"/>
        <v/>
      </c>
      <c r="B82" s="11"/>
      <c r="C82" s="10" t="str">
        <f t="shared" si="3"/>
        <v/>
      </c>
      <c r="D82" s="11"/>
      <c r="E82" s="11"/>
      <c r="F82" s="11"/>
      <c r="G82" s="11"/>
      <c r="H82" s="10" t="str">
        <f>IF(ISBLANK(F82),"",IF(G82&lt;&gt;"",UPPER(TRIM(G82)),IF(ISNUMBER(SEARCH(" ",TRIM(F82))),UPPER(LEFT(TRIM(RIGHT(SUBSTITUTE(TRIM(F82)," ",REPT(" ",100)),100)),Settings!$B$9)),UPPER(LEFT(TRIM(F82),Settings!$B$9)))))</f>
        <v/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0" t="str">
        <f>IF(ISBLANK(D82),"",IF(COUNTIFS(Circulation!$B$2:$B$500,A82,Circulation!$H$2:$H$500,"Active")&gt;0,"On Loan","Available"))</f>
        <v/>
      </c>
      <c r="AA82" s="11"/>
      <c r="AB82" s="11"/>
      <c r="AC82" s="11"/>
      <c r="AD82" s="11"/>
      <c r="AE82" s="11"/>
      <c r="AF82" s="11"/>
      <c r="AG82" s="11"/>
    </row>
    <row r="83" spans="1:33" x14ac:dyDescent="0.25">
      <c r="A83" s="10" t="str">
        <f t="shared" si="2"/>
        <v/>
      </c>
      <c r="B83" s="11"/>
      <c r="C83" s="10" t="str">
        <f t="shared" si="3"/>
        <v/>
      </c>
      <c r="D83" s="11"/>
      <c r="E83" s="11"/>
      <c r="F83" s="11"/>
      <c r="G83" s="11"/>
      <c r="H83" s="10" t="str">
        <f>IF(ISBLANK(F83),"",IF(G83&lt;&gt;"",UPPER(TRIM(G83)),IF(ISNUMBER(SEARCH(" ",TRIM(F83))),UPPER(LEFT(TRIM(RIGHT(SUBSTITUTE(TRIM(F83)," ",REPT(" ",100)),100)),Settings!$B$9)),UPPER(LEFT(TRIM(F83),Settings!$B$9)))))</f>
        <v/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0" t="str">
        <f>IF(ISBLANK(D83),"",IF(COUNTIFS(Circulation!$B$2:$B$500,A83,Circulation!$H$2:$H$500,"Active")&gt;0,"On Loan","Available"))</f>
        <v/>
      </c>
      <c r="AA83" s="11"/>
      <c r="AB83" s="11"/>
      <c r="AC83" s="11"/>
      <c r="AD83" s="11"/>
      <c r="AE83" s="11"/>
      <c r="AF83" s="11"/>
      <c r="AG83" s="11"/>
    </row>
    <row r="84" spans="1:33" x14ac:dyDescent="0.25">
      <c r="A84" s="10" t="str">
        <f t="shared" si="2"/>
        <v/>
      </c>
      <c r="B84" s="11"/>
      <c r="C84" s="10" t="str">
        <f t="shared" si="3"/>
        <v/>
      </c>
      <c r="D84" s="11"/>
      <c r="E84" s="11"/>
      <c r="F84" s="11"/>
      <c r="G84" s="11"/>
      <c r="H84" s="10" t="str">
        <f>IF(ISBLANK(F84),"",IF(G84&lt;&gt;"",UPPER(TRIM(G84)),IF(ISNUMBER(SEARCH(" ",TRIM(F84))),UPPER(LEFT(TRIM(RIGHT(SUBSTITUTE(TRIM(F84)," ",REPT(" ",100)),100)),Settings!$B$9)),UPPER(LEFT(TRIM(F84),Settings!$B$9)))))</f>
        <v/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0" t="str">
        <f>IF(ISBLANK(D84),"",IF(COUNTIFS(Circulation!$B$2:$B$500,A84,Circulation!$H$2:$H$500,"Active")&gt;0,"On Loan","Available"))</f>
        <v/>
      </c>
      <c r="AA84" s="11"/>
      <c r="AB84" s="11"/>
      <c r="AC84" s="11"/>
      <c r="AD84" s="11"/>
      <c r="AE84" s="11"/>
      <c r="AF84" s="11"/>
      <c r="AG84" s="11"/>
    </row>
    <row r="85" spans="1:33" x14ac:dyDescent="0.25">
      <c r="A85" s="10" t="str">
        <f t="shared" si="2"/>
        <v/>
      </c>
      <c r="B85" s="11"/>
      <c r="C85" s="10" t="str">
        <f t="shared" si="3"/>
        <v/>
      </c>
      <c r="D85" s="11"/>
      <c r="E85" s="11"/>
      <c r="F85" s="11"/>
      <c r="G85" s="11"/>
      <c r="H85" s="10" t="str">
        <f>IF(ISBLANK(F85),"",IF(G85&lt;&gt;"",UPPER(TRIM(G85)),IF(ISNUMBER(SEARCH(" ",TRIM(F85))),UPPER(LEFT(TRIM(RIGHT(SUBSTITUTE(TRIM(F85)," ",REPT(" ",100)),100)),Settings!$B$9)),UPPER(LEFT(TRIM(F85),Settings!$B$9)))))</f>
        <v/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0" t="str">
        <f>IF(ISBLANK(D85),"",IF(COUNTIFS(Circulation!$B$2:$B$500,A85,Circulation!$H$2:$H$500,"Active")&gt;0,"On Loan","Available"))</f>
        <v/>
      </c>
      <c r="AA85" s="11"/>
      <c r="AB85" s="11"/>
      <c r="AC85" s="11"/>
      <c r="AD85" s="11"/>
      <c r="AE85" s="11"/>
      <c r="AF85" s="11"/>
      <c r="AG85" s="11"/>
    </row>
    <row r="86" spans="1:33" x14ac:dyDescent="0.25">
      <c r="A86" s="10" t="str">
        <f t="shared" si="2"/>
        <v/>
      </c>
      <c r="B86" s="11"/>
      <c r="C86" s="10" t="str">
        <f t="shared" si="3"/>
        <v/>
      </c>
      <c r="D86" s="11"/>
      <c r="E86" s="11"/>
      <c r="F86" s="11"/>
      <c r="G86" s="11"/>
      <c r="H86" s="10" t="str">
        <f>IF(ISBLANK(F86),"",IF(G86&lt;&gt;"",UPPER(TRIM(G86)),IF(ISNUMBER(SEARCH(" ",TRIM(F86))),UPPER(LEFT(TRIM(RIGHT(SUBSTITUTE(TRIM(F86)," ",REPT(" ",100)),100)),Settings!$B$9)),UPPER(LEFT(TRIM(F86),Settings!$B$9)))))</f>
        <v/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0" t="str">
        <f>IF(ISBLANK(D86),"",IF(COUNTIFS(Circulation!$B$2:$B$500,A86,Circulation!$H$2:$H$500,"Active")&gt;0,"On Loan","Available"))</f>
        <v/>
      </c>
      <c r="AA86" s="11"/>
      <c r="AB86" s="11"/>
      <c r="AC86" s="11"/>
      <c r="AD86" s="11"/>
      <c r="AE86" s="11"/>
      <c r="AF86" s="11"/>
      <c r="AG86" s="11"/>
    </row>
    <row r="87" spans="1:33" x14ac:dyDescent="0.25">
      <c r="A87" s="10" t="str">
        <f t="shared" si="2"/>
        <v/>
      </c>
      <c r="B87" s="11"/>
      <c r="C87" s="10" t="str">
        <f t="shared" si="3"/>
        <v/>
      </c>
      <c r="D87" s="11"/>
      <c r="E87" s="11"/>
      <c r="F87" s="11"/>
      <c r="G87" s="11"/>
      <c r="H87" s="10" t="str">
        <f>IF(ISBLANK(F87),"",IF(G87&lt;&gt;"",UPPER(TRIM(G87)),IF(ISNUMBER(SEARCH(" ",TRIM(F87))),UPPER(LEFT(TRIM(RIGHT(SUBSTITUTE(TRIM(F87)," ",REPT(" ",100)),100)),Settings!$B$9)),UPPER(LEFT(TRIM(F87),Settings!$B$9)))))</f>
        <v/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0" t="str">
        <f>IF(ISBLANK(D87),"",IF(COUNTIFS(Circulation!$B$2:$B$500,A87,Circulation!$H$2:$H$500,"Active")&gt;0,"On Loan","Available"))</f>
        <v/>
      </c>
      <c r="AA87" s="11"/>
      <c r="AB87" s="11"/>
      <c r="AC87" s="11"/>
      <c r="AD87" s="11"/>
      <c r="AE87" s="11"/>
      <c r="AF87" s="11"/>
      <c r="AG87" s="11"/>
    </row>
    <row r="88" spans="1:33" x14ac:dyDescent="0.25">
      <c r="A88" s="10" t="str">
        <f t="shared" si="2"/>
        <v/>
      </c>
      <c r="B88" s="11"/>
      <c r="C88" s="10" t="str">
        <f t="shared" si="3"/>
        <v/>
      </c>
      <c r="D88" s="11"/>
      <c r="E88" s="11"/>
      <c r="F88" s="11"/>
      <c r="G88" s="11"/>
      <c r="H88" s="10" t="str">
        <f>IF(ISBLANK(F88),"",IF(G88&lt;&gt;"",UPPER(TRIM(G88)),IF(ISNUMBER(SEARCH(" ",TRIM(F88))),UPPER(LEFT(TRIM(RIGHT(SUBSTITUTE(TRIM(F88)," ",REPT(" ",100)),100)),Settings!$B$9)),UPPER(LEFT(TRIM(F88),Settings!$B$9)))))</f>
        <v/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0" t="str">
        <f>IF(ISBLANK(D88),"",IF(COUNTIFS(Circulation!$B$2:$B$500,A88,Circulation!$H$2:$H$500,"Active")&gt;0,"On Loan","Available"))</f>
        <v/>
      </c>
      <c r="AA88" s="11"/>
      <c r="AB88" s="11"/>
      <c r="AC88" s="11"/>
      <c r="AD88" s="11"/>
      <c r="AE88" s="11"/>
      <c r="AF88" s="11"/>
      <c r="AG88" s="11"/>
    </row>
    <row r="89" spans="1:33" x14ac:dyDescent="0.25">
      <c r="A89" s="10" t="str">
        <f t="shared" si="2"/>
        <v/>
      </c>
      <c r="B89" s="11"/>
      <c r="C89" s="10" t="str">
        <f t="shared" si="3"/>
        <v/>
      </c>
      <c r="D89" s="11"/>
      <c r="E89" s="11"/>
      <c r="F89" s="11"/>
      <c r="G89" s="11"/>
      <c r="H89" s="10" t="str">
        <f>IF(ISBLANK(F89),"",IF(G89&lt;&gt;"",UPPER(TRIM(G89)),IF(ISNUMBER(SEARCH(" ",TRIM(F89))),UPPER(LEFT(TRIM(RIGHT(SUBSTITUTE(TRIM(F89)," ",REPT(" ",100)),100)),Settings!$B$9)),UPPER(LEFT(TRIM(F89),Settings!$B$9)))))</f>
        <v/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0" t="str">
        <f>IF(ISBLANK(D89),"",IF(COUNTIFS(Circulation!$B$2:$B$500,A89,Circulation!$H$2:$H$500,"Active")&gt;0,"On Loan","Available"))</f>
        <v/>
      </c>
      <c r="AA89" s="11"/>
      <c r="AB89" s="11"/>
      <c r="AC89" s="11"/>
      <c r="AD89" s="11"/>
      <c r="AE89" s="11"/>
      <c r="AF89" s="11"/>
      <c r="AG89" s="11"/>
    </row>
    <row r="90" spans="1:33" x14ac:dyDescent="0.25">
      <c r="A90" s="10" t="str">
        <f t="shared" si="2"/>
        <v/>
      </c>
      <c r="B90" s="11"/>
      <c r="C90" s="10" t="str">
        <f t="shared" si="3"/>
        <v/>
      </c>
      <c r="D90" s="11"/>
      <c r="E90" s="11"/>
      <c r="F90" s="11"/>
      <c r="G90" s="11"/>
      <c r="H90" s="10" t="str">
        <f>IF(ISBLANK(F90),"",IF(G90&lt;&gt;"",UPPER(TRIM(G90)),IF(ISNUMBER(SEARCH(" ",TRIM(F90))),UPPER(LEFT(TRIM(RIGHT(SUBSTITUTE(TRIM(F90)," ",REPT(" ",100)),100)),Settings!$B$9)),UPPER(LEFT(TRIM(F90),Settings!$B$9)))))</f>
        <v/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0" t="str">
        <f>IF(ISBLANK(D90),"",IF(COUNTIFS(Circulation!$B$2:$B$500,A90,Circulation!$H$2:$H$500,"Active")&gt;0,"On Loan","Available"))</f>
        <v/>
      </c>
      <c r="AA90" s="11"/>
      <c r="AB90" s="11"/>
      <c r="AC90" s="11"/>
      <c r="AD90" s="11"/>
      <c r="AE90" s="11"/>
      <c r="AF90" s="11"/>
      <c r="AG90" s="11"/>
    </row>
    <row r="91" spans="1:33" x14ac:dyDescent="0.25">
      <c r="A91" s="10" t="str">
        <f t="shared" si="2"/>
        <v/>
      </c>
      <c r="B91" s="11"/>
      <c r="C91" s="10" t="str">
        <f t="shared" si="3"/>
        <v/>
      </c>
      <c r="D91" s="11"/>
      <c r="E91" s="11"/>
      <c r="F91" s="11"/>
      <c r="G91" s="11"/>
      <c r="H91" s="10" t="str">
        <f>IF(ISBLANK(F91),"",IF(G91&lt;&gt;"",UPPER(TRIM(G91)),IF(ISNUMBER(SEARCH(" ",TRIM(F91))),UPPER(LEFT(TRIM(RIGHT(SUBSTITUTE(TRIM(F91)," ",REPT(" ",100)),100)),Settings!$B$9)),UPPER(LEFT(TRIM(F91),Settings!$B$9)))))</f>
        <v/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0" t="str">
        <f>IF(ISBLANK(D91),"",IF(COUNTIFS(Circulation!$B$2:$B$500,A91,Circulation!$H$2:$H$500,"Active")&gt;0,"On Loan","Available"))</f>
        <v/>
      </c>
      <c r="AA91" s="11"/>
      <c r="AB91" s="11"/>
      <c r="AC91" s="11"/>
      <c r="AD91" s="11"/>
      <c r="AE91" s="11"/>
      <c r="AF91" s="11"/>
      <c r="AG91" s="11"/>
    </row>
    <row r="92" spans="1:33" x14ac:dyDescent="0.25">
      <c r="A92" s="10" t="str">
        <f t="shared" si="2"/>
        <v/>
      </c>
      <c r="B92" s="11"/>
      <c r="C92" s="10" t="str">
        <f t="shared" si="3"/>
        <v/>
      </c>
      <c r="D92" s="11"/>
      <c r="E92" s="11"/>
      <c r="F92" s="11"/>
      <c r="G92" s="11"/>
      <c r="H92" s="10" t="str">
        <f>IF(ISBLANK(F92),"",IF(G92&lt;&gt;"",UPPER(TRIM(G92)),IF(ISNUMBER(SEARCH(" ",TRIM(F92))),UPPER(LEFT(TRIM(RIGHT(SUBSTITUTE(TRIM(F92)," ",REPT(" ",100)),100)),Settings!$B$9)),UPPER(LEFT(TRIM(F92),Settings!$B$9)))))</f>
        <v/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0" t="str">
        <f>IF(ISBLANK(D92),"",IF(COUNTIFS(Circulation!$B$2:$B$500,A92,Circulation!$H$2:$H$500,"Active")&gt;0,"On Loan","Available"))</f>
        <v/>
      </c>
      <c r="AA92" s="11"/>
      <c r="AB92" s="11"/>
      <c r="AC92" s="11"/>
      <c r="AD92" s="11"/>
      <c r="AE92" s="11"/>
      <c r="AF92" s="11"/>
      <c r="AG92" s="11"/>
    </row>
    <row r="93" spans="1:33" x14ac:dyDescent="0.25">
      <c r="A93" s="10" t="str">
        <f t="shared" si="2"/>
        <v/>
      </c>
      <c r="B93" s="11"/>
      <c r="C93" s="10" t="str">
        <f t="shared" si="3"/>
        <v/>
      </c>
      <c r="D93" s="11"/>
      <c r="E93" s="11"/>
      <c r="F93" s="11"/>
      <c r="G93" s="11"/>
      <c r="H93" s="10" t="str">
        <f>IF(ISBLANK(F93),"",IF(G93&lt;&gt;"",UPPER(TRIM(G93)),IF(ISNUMBER(SEARCH(" ",TRIM(F93))),UPPER(LEFT(TRIM(RIGHT(SUBSTITUTE(TRIM(F93)," ",REPT(" ",100)),100)),Settings!$B$9)),UPPER(LEFT(TRIM(F93),Settings!$B$9)))))</f>
        <v/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0" t="str">
        <f>IF(ISBLANK(D93),"",IF(COUNTIFS(Circulation!$B$2:$B$500,A93,Circulation!$H$2:$H$500,"Active")&gt;0,"On Loan","Available"))</f>
        <v/>
      </c>
      <c r="AA93" s="11"/>
      <c r="AB93" s="11"/>
      <c r="AC93" s="11"/>
      <c r="AD93" s="11"/>
      <c r="AE93" s="11"/>
      <c r="AF93" s="11"/>
      <c r="AG93" s="11"/>
    </row>
    <row r="94" spans="1:33" x14ac:dyDescent="0.25">
      <c r="A94" s="10" t="str">
        <f t="shared" si="2"/>
        <v/>
      </c>
      <c r="B94" s="11"/>
      <c r="C94" s="10" t="str">
        <f t="shared" si="3"/>
        <v/>
      </c>
      <c r="D94" s="11"/>
      <c r="E94" s="11"/>
      <c r="F94" s="11"/>
      <c r="G94" s="11"/>
      <c r="H94" s="10" t="str">
        <f>IF(ISBLANK(F94),"",IF(G94&lt;&gt;"",UPPER(TRIM(G94)),IF(ISNUMBER(SEARCH(" ",TRIM(F94))),UPPER(LEFT(TRIM(RIGHT(SUBSTITUTE(TRIM(F94)," ",REPT(" ",100)),100)),Settings!$B$9)),UPPER(LEFT(TRIM(F94),Settings!$B$9)))))</f>
        <v/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0" t="str">
        <f>IF(ISBLANK(D94),"",IF(COUNTIFS(Circulation!$B$2:$B$500,A94,Circulation!$H$2:$H$500,"Active")&gt;0,"On Loan","Available"))</f>
        <v/>
      </c>
      <c r="AA94" s="11"/>
      <c r="AB94" s="11"/>
      <c r="AC94" s="11"/>
      <c r="AD94" s="11"/>
      <c r="AE94" s="11"/>
      <c r="AF94" s="11"/>
      <c r="AG94" s="11"/>
    </row>
    <row r="95" spans="1:33" x14ac:dyDescent="0.25">
      <c r="A95" s="10" t="str">
        <f t="shared" si="2"/>
        <v/>
      </c>
      <c r="B95" s="11"/>
      <c r="C95" s="10" t="str">
        <f t="shared" si="3"/>
        <v/>
      </c>
      <c r="D95" s="11"/>
      <c r="E95" s="11"/>
      <c r="F95" s="11"/>
      <c r="G95" s="11"/>
      <c r="H95" s="10" t="str">
        <f>IF(ISBLANK(F95),"",IF(G95&lt;&gt;"",UPPER(TRIM(G95)),IF(ISNUMBER(SEARCH(" ",TRIM(F95))),UPPER(LEFT(TRIM(RIGHT(SUBSTITUTE(TRIM(F95)," ",REPT(" ",100)),100)),Settings!$B$9)),UPPER(LEFT(TRIM(F95),Settings!$B$9)))))</f>
        <v/>
      </c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0" t="str">
        <f>IF(ISBLANK(D95),"",IF(COUNTIFS(Circulation!$B$2:$B$500,A95,Circulation!$H$2:$H$500,"Active")&gt;0,"On Loan","Available"))</f>
        <v/>
      </c>
      <c r="AA95" s="11"/>
      <c r="AB95" s="11"/>
      <c r="AC95" s="11"/>
      <c r="AD95" s="11"/>
      <c r="AE95" s="11"/>
      <c r="AF95" s="11"/>
      <c r="AG95" s="11"/>
    </row>
    <row r="96" spans="1:33" x14ac:dyDescent="0.25">
      <c r="A96" s="10" t="str">
        <f t="shared" si="2"/>
        <v/>
      </c>
      <c r="B96" s="11"/>
      <c r="C96" s="10" t="str">
        <f t="shared" si="3"/>
        <v/>
      </c>
      <c r="D96" s="11"/>
      <c r="E96" s="11"/>
      <c r="F96" s="11"/>
      <c r="G96" s="11"/>
      <c r="H96" s="10" t="str">
        <f>IF(ISBLANK(F96),"",IF(G96&lt;&gt;"",UPPER(TRIM(G96)),IF(ISNUMBER(SEARCH(" ",TRIM(F96))),UPPER(LEFT(TRIM(RIGHT(SUBSTITUTE(TRIM(F96)," ",REPT(" ",100)),100)),Settings!$B$9)),UPPER(LEFT(TRIM(F96),Settings!$B$9)))))</f>
        <v/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0" t="str">
        <f>IF(ISBLANK(D96),"",IF(COUNTIFS(Circulation!$B$2:$B$500,A96,Circulation!$H$2:$H$500,"Active")&gt;0,"On Loan","Available"))</f>
        <v/>
      </c>
      <c r="AA96" s="11"/>
      <c r="AB96" s="11"/>
      <c r="AC96" s="11"/>
      <c r="AD96" s="11"/>
      <c r="AE96" s="11"/>
      <c r="AF96" s="11"/>
      <c r="AG96" s="11"/>
    </row>
    <row r="97" spans="1:33" x14ac:dyDescent="0.25">
      <c r="A97" s="10" t="str">
        <f t="shared" si="2"/>
        <v/>
      </c>
      <c r="B97" s="11"/>
      <c r="C97" s="10" t="str">
        <f t="shared" si="3"/>
        <v/>
      </c>
      <c r="D97" s="11"/>
      <c r="E97" s="11"/>
      <c r="F97" s="11"/>
      <c r="G97" s="11"/>
      <c r="H97" s="10" t="str">
        <f>IF(ISBLANK(F97),"",IF(G97&lt;&gt;"",UPPER(TRIM(G97)),IF(ISNUMBER(SEARCH(" ",TRIM(F97))),UPPER(LEFT(TRIM(RIGHT(SUBSTITUTE(TRIM(F97)," ",REPT(" ",100)),100)),Settings!$B$9)),UPPER(LEFT(TRIM(F97),Settings!$B$9)))))</f>
        <v/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0" t="str">
        <f>IF(ISBLANK(D97),"",IF(COUNTIFS(Circulation!$B$2:$B$500,A97,Circulation!$H$2:$H$500,"Active")&gt;0,"On Loan","Available"))</f>
        <v/>
      </c>
      <c r="AA97" s="11"/>
      <c r="AB97" s="11"/>
      <c r="AC97" s="11"/>
      <c r="AD97" s="11"/>
      <c r="AE97" s="11"/>
      <c r="AF97" s="11"/>
      <c r="AG97" s="11"/>
    </row>
    <row r="98" spans="1:33" x14ac:dyDescent="0.25">
      <c r="A98" s="10" t="str">
        <f t="shared" si="2"/>
        <v/>
      </c>
      <c r="B98" s="11"/>
      <c r="C98" s="10" t="str">
        <f t="shared" si="3"/>
        <v/>
      </c>
      <c r="D98" s="11"/>
      <c r="E98" s="11"/>
      <c r="F98" s="11"/>
      <c r="G98" s="11"/>
      <c r="H98" s="10" t="str">
        <f>IF(ISBLANK(F98),"",IF(G98&lt;&gt;"",UPPER(TRIM(G98)),IF(ISNUMBER(SEARCH(" ",TRIM(F98))),UPPER(LEFT(TRIM(RIGHT(SUBSTITUTE(TRIM(F98)," ",REPT(" ",100)),100)),Settings!$B$9)),UPPER(LEFT(TRIM(F98),Settings!$B$9)))))</f>
        <v/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0" t="str">
        <f>IF(ISBLANK(D98),"",IF(COUNTIFS(Circulation!$B$2:$B$500,A98,Circulation!$H$2:$H$500,"Active")&gt;0,"On Loan","Available"))</f>
        <v/>
      </c>
      <c r="AA98" s="11"/>
      <c r="AB98" s="11"/>
      <c r="AC98" s="11"/>
      <c r="AD98" s="11"/>
      <c r="AE98" s="11"/>
      <c r="AF98" s="11"/>
      <c r="AG98" s="11"/>
    </row>
    <row r="99" spans="1:33" x14ac:dyDescent="0.25">
      <c r="A99" s="10" t="str">
        <f t="shared" si="2"/>
        <v/>
      </c>
      <c r="B99" s="11"/>
      <c r="C99" s="10" t="str">
        <f t="shared" si="3"/>
        <v/>
      </c>
      <c r="D99" s="11"/>
      <c r="E99" s="11"/>
      <c r="F99" s="11"/>
      <c r="G99" s="11"/>
      <c r="H99" s="10" t="str">
        <f>IF(ISBLANK(F99),"",IF(G99&lt;&gt;"",UPPER(TRIM(G99)),IF(ISNUMBER(SEARCH(" ",TRIM(F99))),UPPER(LEFT(TRIM(RIGHT(SUBSTITUTE(TRIM(F99)," ",REPT(" ",100)),100)),Settings!$B$9)),UPPER(LEFT(TRIM(F99),Settings!$B$9)))))</f>
        <v/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0" t="str">
        <f>IF(ISBLANK(D99),"",IF(COUNTIFS(Circulation!$B$2:$B$500,A99,Circulation!$H$2:$H$500,"Active")&gt;0,"On Loan","Available"))</f>
        <v/>
      </c>
      <c r="AA99" s="11"/>
      <c r="AB99" s="11"/>
      <c r="AC99" s="11"/>
      <c r="AD99" s="11"/>
      <c r="AE99" s="11"/>
      <c r="AF99" s="11"/>
      <c r="AG99" s="11"/>
    </row>
    <row r="100" spans="1:33" x14ac:dyDescent="0.25">
      <c r="A100" s="10" t="str">
        <f t="shared" si="2"/>
        <v/>
      </c>
      <c r="B100" s="11"/>
      <c r="C100" s="10" t="str">
        <f t="shared" si="3"/>
        <v/>
      </c>
      <c r="D100" s="11"/>
      <c r="E100" s="11"/>
      <c r="F100" s="11"/>
      <c r="G100" s="11"/>
      <c r="H100" s="10" t="str">
        <f>IF(ISBLANK(F100),"",IF(G100&lt;&gt;"",UPPER(TRIM(G100)),IF(ISNUMBER(SEARCH(" ",TRIM(F100))),UPPER(LEFT(TRIM(RIGHT(SUBSTITUTE(TRIM(F100)," ",REPT(" ",100)),100)),Settings!$B$9)),UPPER(LEFT(TRIM(F100),Settings!$B$9)))))</f>
        <v/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0" t="str">
        <f>IF(ISBLANK(D100),"",IF(COUNTIFS(Circulation!$B$2:$B$500,A100,Circulation!$H$2:$H$500,"Active")&gt;0,"On Loan","Available"))</f>
        <v/>
      </c>
      <c r="AA100" s="11"/>
      <c r="AB100" s="11"/>
      <c r="AC100" s="11"/>
      <c r="AD100" s="11"/>
      <c r="AE100" s="11"/>
      <c r="AF100" s="11"/>
      <c r="AG100" s="11"/>
    </row>
    <row r="101" spans="1:33" x14ac:dyDescent="0.25">
      <c r="A101" s="10" t="str">
        <f t="shared" si="2"/>
        <v/>
      </c>
      <c r="B101" s="11"/>
      <c r="C101" s="10" t="str">
        <f t="shared" si="3"/>
        <v/>
      </c>
      <c r="D101" s="11"/>
      <c r="E101" s="11"/>
      <c r="F101" s="11"/>
      <c r="G101" s="11"/>
      <c r="H101" s="10" t="str">
        <f>IF(ISBLANK(F101),"",IF(G101&lt;&gt;"",UPPER(TRIM(G101)),IF(ISNUMBER(SEARCH(" ",TRIM(F101))),UPPER(LEFT(TRIM(RIGHT(SUBSTITUTE(TRIM(F101)," ",REPT(" ",100)),100)),Settings!$B$9)),UPPER(LEFT(TRIM(F101),Settings!$B$9)))))</f>
        <v/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0" t="str">
        <f>IF(ISBLANK(D101),"",IF(COUNTIFS(Circulation!$B$2:$B$500,A101,Circulation!$H$2:$H$500,"Active")&gt;0,"On Loan","Available"))</f>
        <v/>
      </c>
      <c r="AA101" s="11"/>
      <c r="AB101" s="11"/>
      <c r="AC101" s="11"/>
      <c r="AD101" s="11"/>
      <c r="AE101" s="11"/>
      <c r="AF101" s="11"/>
      <c r="AG101" s="11"/>
    </row>
    <row r="102" spans="1:33" x14ac:dyDescent="0.25">
      <c r="A102" s="10" t="str">
        <f t="shared" si="2"/>
        <v/>
      </c>
      <c r="B102" s="11"/>
      <c r="C102" s="10" t="str">
        <f t="shared" si="3"/>
        <v/>
      </c>
      <c r="D102" s="11"/>
      <c r="E102" s="11"/>
      <c r="F102" s="11"/>
      <c r="G102" s="11"/>
      <c r="H102" s="10" t="str">
        <f>IF(ISBLANK(F102),"",IF(G102&lt;&gt;"",UPPER(TRIM(G102)),IF(ISNUMBER(SEARCH(" ",TRIM(F102))),UPPER(LEFT(TRIM(RIGHT(SUBSTITUTE(TRIM(F102)," ",REPT(" ",100)),100)),Settings!$B$9)),UPPER(LEFT(TRIM(F102),Settings!$B$9)))))</f>
        <v/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0" t="str">
        <f>IF(ISBLANK(D102),"",IF(COUNTIFS(Circulation!$B$2:$B$500,A102,Circulation!$H$2:$H$500,"Active")&gt;0,"On Loan","Available"))</f>
        <v/>
      </c>
      <c r="AA102" s="11"/>
      <c r="AB102" s="11"/>
      <c r="AC102" s="11"/>
      <c r="AD102" s="11"/>
      <c r="AE102" s="11"/>
      <c r="AF102" s="11"/>
      <c r="AG102" s="11"/>
    </row>
    <row r="103" spans="1:33" x14ac:dyDescent="0.25">
      <c r="A103" s="10" t="str">
        <f t="shared" si="2"/>
        <v/>
      </c>
      <c r="B103" s="11"/>
      <c r="C103" s="10" t="str">
        <f t="shared" si="3"/>
        <v/>
      </c>
      <c r="D103" s="11"/>
      <c r="E103" s="11"/>
      <c r="F103" s="11"/>
      <c r="G103" s="11"/>
      <c r="H103" s="10" t="str">
        <f>IF(ISBLANK(F103),"",IF(G103&lt;&gt;"",UPPER(TRIM(G103)),IF(ISNUMBER(SEARCH(" ",TRIM(F103))),UPPER(LEFT(TRIM(RIGHT(SUBSTITUTE(TRIM(F103)," ",REPT(" ",100)),100)),Settings!$B$9)),UPPER(LEFT(TRIM(F103),Settings!$B$9)))))</f>
        <v/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0" t="str">
        <f>IF(ISBLANK(D103),"",IF(COUNTIFS(Circulation!$B$2:$B$500,A103,Circulation!$H$2:$H$500,"Active")&gt;0,"On Loan","Available"))</f>
        <v/>
      </c>
      <c r="AA103" s="11"/>
      <c r="AB103" s="11"/>
      <c r="AC103" s="11"/>
      <c r="AD103" s="11"/>
      <c r="AE103" s="11"/>
      <c r="AF103" s="11"/>
      <c r="AG103" s="11"/>
    </row>
    <row r="104" spans="1:33" x14ac:dyDescent="0.25">
      <c r="A104" s="10" t="str">
        <f t="shared" si="2"/>
        <v/>
      </c>
      <c r="B104" s="11"/>
      <c r="C104" s="10" t="str">
        <f t="shared" si="3"/>
        <v/>
      </c>
      <c r="D104" s="11"/>
      <c r="E104" s="11"/>
      <c r="F104" s="11"/>
      <c r="G104" s="11"/>
      <c r="H104" s="10" t="str">
        <f>IF(ISBLANK(F104),"",IF(G104&lt;&gt;"",UPPER(TRIM(G104)),IF(ISNUMBER(SEARCH(" ",TRIM(F104))),UPPER(LEFT(TRIM(RIGHT(SUBSTITUTE(TRIM(F104)," ",REPT(" ",100)),100)),Settings!$B$9)),UPPER(LEFT(TRIM(F104),Settings!$B$9)))))</f>
        <v/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0" t="str">
        <f>IF(ISBLANK(D104),"",IF(COUNTIFS(Circulation!$B$2:$B$500,A104,Circulation!$H$2:$H$500,"Active")&gt;0,"On Loan","Available"))</f>
        <v/>
      </c>
      <c r="AA104" s="11"/>
      <c r="AB104" s="11"/>
      <c r="AC104" s="11"/>
      <c r="AD104" s="11"/>
      <c r="AE104" s="11"/>
      <c r="AF104" s="11"/>
      <c r="AG104" s="11"/>
    </row>
    <row r="105" spans="1:33" x14ac:dyDescent="0.25">
      <c r="A105" s="10" t="str">
        <f t="shared" si="2"/>
        <v/>
      </c>
      <c r="B105" s="11"/>
      <c r="C105" s="10" t="str">
        <f t="shared" si="3"/>
        <v/>
      </c>
      <c r="D105" s="11"/>
      <c r="E105" s="11"/>
      <c r="F105" s="11"/>
      <c r="G105" s="11"/>
      <c r="H105" s="10" t="str">
        <f>IF(ISBLANK(F105),"",IF(G105&lt;&gt;"",UPPER(TRIM(G105)),IF(ISNUMBER(SEARCH(" ",TRIM(F105))),UPPER(LEFT(TRIM(RIGHT(SUBSTITUTE(TRIM(F105)," ",REPT(" ",100)),100)),Settings!$B$9)),UPPER(LEFT(TRIM(F105),Settings!$B$9)))))</f>
        <v/>
      </c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0" t="str">
        <f>IF(ISBLANK(D105),"",IF(COUNTIFS(Circulation!$B$2:$B$500,A105,Circulation!$H$2:$H$500,"Active")&gt;0,"On Loan","Available"))</f>
        <v/>
      </c>
      <c r="AA105" s="11"/>
      <c r="AB105" s="11"/>
      <c r="AC105" s="11"/>
      <c r="AD105" s="11"/>
      <c r="AE105" s="11"/>
      <c r="AF105" s="11"/>
      <c r="AG105" s="11"/>
    </row>
    <row r="106" spans="1:33" x14ac:dyDescent="0.25">
      <c r="A106" s="10" t="str">
        <f t="shared" si="2"/>
        <v/>
      </c>
      <c r="B106" s="11"/>
      <c r="C106" s="10" t="str">
        <f t="shared" si="3"/>
        <v/>
      </c>
      <c r="D106" s="11"/>
      <c r="E106" s="11"/>
      <c r="F106" s="11"/>
      <c r="G106" s="11"/>
      <c r="H106" s="10" t="str">
        <f>IF(ISBLANK(F106),"",IF(G106&lt;&gt;"",UPPER(TRIM(G106)),IF(ISNUMBER(SEARCH(" ",TRIM(F106))),UPPER(LEFT(TRIM(RIGHT(SUBSTITUTE(TRIM(F106)," ",REPT(" ",100)),100)),Settings!$B$9)),UPPER(LEFT(TRIM(F106),Settings!$B$9)))))</f>
        <v/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0" t="str">
        <f>IF(ISBLANK(D106),"",IF(COUNTIFS(Circulation!$B$2:$B$500,A106,Circulation!$H$2:$H$500,"Active")&gt;0,"On Loan","Available"))</f>
        <v/>
      </c>
      <c r="AA106" s="11"/>
      <c r="AB106" s="11"/>
      <c r="AC106" s="11"/>
      <c r="AD106" s="11"/>
      <c r="AE106" s="11"/>
      <c r="AF106" s="11"/>
      <c r="AG106" s="11"/>
    </row>
    <row r="107" spans="1:33" x14ac:dyDescent="0.25">
      <c r="A107" s="10" t="str">
        <f t="shared" si="2"/>
        <v/>
      </c>
      <c r="B107" s="11"/>
      <c r="C107" s="10" t="str">
        <f t="shared" si="3"/>
        <v/>
      </c>
      <c r="D107" s="11"/>
      <c r="E107" s="11"/>
      <c r="F107" s="11"/>
      <c r="G107" s="11"/>
      <c r="H107" s="10" t="str">
        <f>IF(ISBLANK(F107),"",IF(G107&lt;&gt;"",UPPER(TRIM(G107)),IF(ISNUMBER(SEARCH(" ",TRIM(F107))),UPPER(LEFT(TRIM(RIGHT(SUBSTITUTE(TRIM(F107)," ",REPT(" ",100)),100)),Settings!$B$9)),UPPER(LEFT(TRIM(F107),Settings!$B$9)))))</f>
        <v/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0" t="str">
        <f>IF(ISBLANK(D107),"",IF(COUNTIFS(Circulation!$B$2:$B$500,A107,Circulation!$H$2:$H$500,"Active")&gt;0,"On Loan","Available"))</f>
        <v/>
      </c>
      <c r="AA107" s="11"/>
      <c r="AB107" s="11"/>
      <c r="AC107" s="11"/>
      <c r="AD107" s="11"/>
      <c r="AE107" s="11"/>
      <c r="AF107" s="11"/>
      <c r="AG107" s="11"/>
    </row>
    <row r="108" spans="1:33" x14ac:dyDescent="0.25">
      <c r="A108" s="10" t="str">
        <f t="shared" si="2"/>
        <v/>
      </c>
      <c r="B108" s="11"/>
      <c r="C108" s="10" t="str">
        <f t="shared" si="3"/>
        <v/>
      </c>
      <c r="D108" s="11"/>
      <c r="E108" s="11"/>
      <c r="F108" s="11"/>
      <c r="G108" s="11"/>
      <c r="H108" s="10" t="str">
        <f>IF(ISBLANK(F108),"",IF(G108&lt;&gt;"",UPPER(TRIM(G108)),IF(ISNUMBER(SEARCH(" ",TRIM(F108))),UPPER(LEFT(TRIM(RIGHT(SUBSTITUTE(TRIM(F108)," ",REPT(" ",100)),100)),Settings!$B$9)),UPPER(LEFT(TRIM(F108),Settings!$B$9)))))</f>
        <v/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0" t="str">
        <f>IF(ISBLANK(D108),"",IF(COUNTIFS(Circulation!$B$2:$B$500,A108,Circulation!$H$2:$H$500,"Active")&gt;0,"On Loan","Available"))</f>
        <v/>
      </c>
      <c r="AA108" s="11"/>
      <c r="AB108" s="11"/>
      <c r="AC108" s="11"/>
      <c r="AD108" s="11"/>
      <c r="AE108" s="11"/>
      <c r="AF108" s="11"/>
      <c r="AG108" s="11"/>
    </row>
    <row r="109" spans="1:33" x14ac:dyDescent="0.25">
      <c r="A109" s="10" t="str">
        <f t="shared" si="2"/>
        <v/>
      </c>
      <c r="B109" s="11"/>
      <c r="C109" s="10" t="str">
        <f t="shared" si="3"/>
        <v/>
      </c>
      <c r="D109" s="11"/>
      <c r="E109" s="11"/>
      <c r="F109" s="11"/>
      <c r="G109" s="11"/>
      <c r="H109" s="10" t="str">
        <f>IF(ISBLANK(F109),"",IF(G109&lt;&gt;"",UPPER(TRIM(G109)),IF(ISNUMBER(SEARCH(" ",TRIM(F109))),UPPER(LEFT(TRIM(RIGHT(SUBSTITUTE(TRIM(F109)," ",REPT(" ",100)),100)),Settings!$B$9)),UPPER(LEFT(TRIM(F109),Settings!$B$9)))))</f>
        <v/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0" t="str">
        <f>IF(ISBLANK(D109),"",IF(COUNTIFS(Circulation!$B$2:$B$500,A109,Circulation!$H$2:$H$500,"Active")&gt;0,"On Loan","Available"))</f>
        <v/>
      </c>
      <c r="AA109" s="11"/>
      <c r="AB109" s="11"/>
      <c r="AC109" s="11"/>
      <c r="AD109" s="11"/>
      <c r="AE109" s="11"/>
      <c r="AF109" s="11"/>
      <c r="AG109" s="11"/>
    </row>
    <row r="110" spans="1:33" x14ac:dyDescent="0.25">
      <c r="A110" s="10" t="str">
        <f t="shared" si="2"/>
        <v/>
      </c>
      <c r="B110" s="11"/>
      <c r="C110" s="10" t="str">
        <f t="shared" si="3"/>
        <v/>
      </c>
      <c r="D110" s="11"/>
      <c r="E110" s="11"/>
      <c r="F110" s="11"/>
      <c r="G110" s="11"/>
      <c r="H110" s="10" t="str">
        <f>IF(ISBLANK(F110),"",IF(G110&lt;&gt;"",UPPER(TRIM(G110)),IF(ISNUMBER(SEARCH(" ",TRIM(F110))),UPPER(LEFT(TRIM(RIGHT(SUBSTITUTE(TRIM(F110)," ",REPT(" ",100)),100)),Settings!$B$9)),UPPER(LEFT(TRIM(F110),Settings!$B$9)))))</f>
        <v/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0" t="str">
        <f>IF(ISBLANK(D110),"",IF(COUNTIFS(Circulation!$B$2:$B$500,A110,Circulation!$H$2:$H$500,"Active")&gt;0,"On Loan","Available"))</f>
        <v/>
      </c>
      <c r="AA110" s="11"/>
      <c r="AB110" s="11"/>
      <c r="AC110" s="11"/>
      <c r="AD110" s="11"/>
      <c r="AE110" s="11"/>
      <c r="AF110" s="11"/>
      <c r="AG110" s="11"/>
    </row>
    <row r="111" spans="1:33" x14ac:dyDescent="0.25">
      <c r="A111" s="10" t="str">
        <f t="shared" si="2"/>
        <v/>
      </c>
      <c r="B111" s="11"/>
      <c r="C111" s="10" t="str">
        <f t="shared" si="3"/>
        <v/>
      </c>
      <c r="D111" s="11"/>
      <c r="E111" s="11"/>
      <c r="F111" s="11"/>
      <c r="G111" s="11"/>
      <c r="H111" s="10" t="str">
        <f>IF(ISBLANK(F111),"",IF(G111&lt;&gt;"",UPPER(TRIM(G111)),IF(ISNUMBER(SEARCH(" ",TRIM(F111))),UPPER(LEFT(TRIM(RIGHT(SUBSTITUTE(TRIM(F111)," ",REPT(" ",100)),100)),Settings!$B$9)),UPPER(LEFT(TRIM(F111),Settings!$B$9)))))</f>
        <v/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0" t="str">
        <f>IF(ISBLANK(D111),"",IF(COUNTIFS(Circulation!$B$2:$B$500,A111,Circulation!$H$2:$H$500,"Active")&gt;0,"On Loan","Available"))</f>
        <v/>
      </c>
      <c r="AA111" s="11"/>
      <c r="AB111" s="11"/>
      <c r="AC111" s="11"/>
      <c r="AD111" s="11"/>
      <c r="AE111" s="11"/>
      <c r="AF111" s="11"/>
      <c r="AG111" s="11"/>
    </row>
    <row r="112" spans="1:33" x14ac:dyDescent="0.25">
      <c r="A112" s="10" t="str">
        <f t="shared" si="2"/>
        <v/>
      </c>
      <c r="B112" s="11"/>
      <c r="C112" s="10" t="str">
        <f t="shared" si="3"/>
        <v/>
      </c>
      <c r="D112" s="11"/>
      <c r="E112" s="11"/>
      <c r="F112" s="11"/>
      <c r="G112" s="11"/>
      <c r="H112" s="10" t="str">
        <f>IF(ISBLANK(F112),"",IF(G112&lt;&gt;"",UPPER(TRIM(G112)),IF(ISNUMBER(SEARCH(" ",TRIM(F112))),UPPER(LEFT(TRIM(RIGHT(SUBSTITUTE(TRIM(F112)," ",REPT(" ",100)),100)),Settings!$B$9)),UPPER(LEFT(TRIM(F112),Settings!$B$9)))))</f>
        <v/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0" t="str">
        <f>IF(ISBLANK(D112),"",IF(COUNTIFS(Circulation!$B$2:$B$500,A112,Circulation!$H$2:$H$500,"Active")&gt;0,"On Loan","Available"))</f>
        <v/>
      </c>
      <c r="AA112" s="11"/>
      <c r="AB112" s="11"/>
      <c r="AC112" s="11"/>
      <c r="AD112" s="11"/>
      <c r="AE112" s="11"/>
      <c r="AF112" s="11"/>
      <c r="AG112" s="11"/>
    </row>
    <row r="113" spans="1:33" x14ac:dyDescent="0.25">
      <c r="A113" s="10" t="str">
        <f t="shared" si="2"/>
        <v/>
      </c>
      <c r="B113" s="11"/>
      <c r="C113" s="10" t="str">
        <f t="shared" si="3"/>
        <v/>
      </c>
      <c r="D113" s="11"/>
      <c r="E113" s="11"/>
      <c r="F113" s="11"/>
      <c r="G113" s="11"/>
      <c r="H113" s="10" t="str">
        <f>IF(ISBLANK(F113),"",IF(G113&lt;&gt;"",UPPER(TRIM(G113)),IF(ISNUMBER(SEARCH(" ",TRIM(F113))),UPPER(LEFT(TRIM(RIGHT(SUBSTITUTE(TRIM(F113)," ",REPT(" ",100)),100)),Settings!$B$9)),UPPER(LEFT(TRIM(F113),Settings!$B$9)))))</f>
        <v/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0" t="str">
        <f>IF(ISBLANK(D113),"",IF(COUNTIFS(Circulation!$B$2:$B$500,A113,Circulation!$H$2:$H$500,"Active")&gt;0,"On Loan","Available"))</f>
        <v/>
      </c>
      <c r="AA113" s="11"/>
      <c r="AB113" s="11"/>
      <c r="AC113" s="11"/>
      <c r="AD113" s="11"/>
      <c r="AE113" s="11"/>
      <c r="AF113" s="11"/>
      <c r="AG113" s="11"/>
    </row>
    <row r="114" spans="1:33" x14ac:dyDescent="0.25">
      <c r="A114" s="10" t="str">
        <f t="shared" si="2"/>
        <v/>
      </c>
      <c r="B114" s="11"/>
      <c r="C114" s="10" t="str">
        <f t="shared" si="3"/>
        <v/>
      </c>
      <c r="D114" s="11"/>
      <c r="E114" s="11"/>
      <c r="F114" s="11"/>
      <c r="G114" s="11"/>
      <c r="H114" s="10" t="str">
        <f>IF(ISBLANK(F114),"",IF(G114&lt;&gt;"",UPPER(TRIM(G114)),IF(ISNUMBER(SEARCH(" ",TRIM(F114))),UPPER(LEFT(TRIM(RIGHT(SUBSTITUTE(TRIM(F114)," ",REPT(" ",100)),100)),Settings!$B$9)),UPPER(LEFT(TRIM(F114),Settings!$B$9)))))</f>
        <v/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0" t="str">
        <f>IF(ISBLANK(D114),"",IF(COUNTIFS(Circulation!$B$2:$B$500,A114,Circulation!$H$2:$H$500,"Active")&gt;0,"On Loan","Available"))</f>
        <v/>
      </c>
      <c r="AA114" s="11"/>
      <c r="AB114" s="11"/>
      <c r="AC114" s="11"/>
      <c r="AD114" s="11"/>
      <c r="AE114" s="11"/>
      <c r="AF114" s="11"/>
      <c r="AG114" s="11"/>
    </row>
    <row r="115" spans="1:33" x14ac:dyDescent="0.25">
      <c r="A115" s="10" t="str">
        <f t="shared" si="2"/>
        <v/>
      </c>
      <c r="B115" s="11"/>
      <c r="C115" s="10" t="str">
        <f t="shared" si="3"/>
        <v/>
      </c>
      <c r="D115" s="11"/>
      <c r="E115" s="11"/>
      <c r="F115" s="11"/>
      <c r="G115" s="11"/>
      <c r="H115" s="10" t="str">
        <f>IF(ISBLANK(F115),"",IF(G115&lt;&gt;"",UPPER(TRIM(G115)),IF(ISNUMBER(SEARCH(" ",TRIM(F115))),UPPER(LEFT(TRIM(RIGHT(SUBSTITUTE(TRIM(F115)," ",REPT(" ",100)),100)),Settings!$B$9)),UPPER(LEFT(TRIM(F115),Settings!$B$9)))))</f>
        <v/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0" t="str">
        <f>IF(ISBLANK(D115),"",IF(COUNTIFS(Circulation!$B$2:$B$500,A115,Circulation!$H$2:$H$500,"Active")&gt;0,"On Loan","Available"))</f>
        <v/>
      </c>
      <c r="AA115" s="11"/>
      <c r="AB115" s="11"/>
      <c r="AC115" s="11"/>
      <c r="AD115" s="11"/>
      <c r="AE115" s="11"/>
      <c r="AF115" s="11"/>
      <c r="AG115" s="11"/>
    </row>
    <row r="116" spans="1:33" x14ac:dyDescent="0.25">
      <c r="A116" s="10" t="str">
        <f t="shared" si="2"/>
        <v/>
      </c>
      <c r="B116" s="11"/>
      <c r="C116" s="10" t="str">
        <f t="shared" si="3"/>
        <v/>
      </c>
      <c r="D116" s="11"/>
      <c r="E116" s="11"/>
      <c r="F116" s="11"/>
      <c r="G116" s="11"/>
      <c r="H116" s="10" t="str">
        <f>IF(ISBLANK(F116),"",IF(G116&lt;&gt;"",UPPER(TRIM(G116)),IF(ISNUMBER(SEARCH(" ",TRIM(F116))),UPPER(LEFT(TRIM(RIGHT(SUBSTITUTE(TRIM(F116)," ",REPT(" ",100)),100)),Settings!$B$9)),UPPER(LEFT(TRIM(F116),Settings!$B$9)))))</f>
        <v/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0" t="str">
        <f>IF(ISBLANK(D116),"",IF(COUNTIFS(Circulation!$B$2:$B$500,A116,Circulation!$H$2:$H$500,"Active")&gt;0,"On Loan","Available"))</f>
        <v/>
      </c>
      <c r="AA116" s="11"/>
      <c r="AB116" s="11"/>
      <c r="AC116" s="11"/>
      <c r="AD116" s="11"/>
      <c r="AE116" s="11"/>
      <c r="AF116" s="11"/>
      <c r="AG116" s="11"/>
    </row>
    <row r="117" spans="1:33" x14ac:dyDescent="0.25">
      <c r="A117" s="10" t="str">
        <f t="shared" si="2"/>
        <v/>
      </c>
      <c r="B117" s="11"/>
      <c r="C117" s="10" t="str">
        <f t="shared" si="3"/>
        <v/>
      </c>
      <c r="D117" s="11"/>
      <c r="E117" s="11"/>
      <c r="F117" s="11"/>
      <c r="G117" s="11"/>
      <c r="H117" s="10" t="str">
        <f>IF(ISBLANK(F117),"",IF(G117&lt;&gt;"",UPPER(TRIM(G117)),IF(ISNUMBER(SEARCH(" ",TRIM(F117))),UPPER(LEFT(TRIM(RIGHT(SUBSTITUTE(TRIM(F117)," ",REPT(" ",100)),100)),Settings!$B$9)),UPPER(LEFT(TRIM(F117),Settings!$B$9)))))</f>
        <v/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0" t="str">
        <f>IF(ISBLANK(D117),"",IF(COUNTIFS(Circulation!$B$2:$B$500,A117,Circulation!$H$2:$H$500,"Active")&gt;0,"On Loan","Available"))</f>
        <v/>
      </c>
      <c r="AA117" s="11"/>
      <c r="AB117" s="11"/>
      <c r="AC117" s="11"/>
      <c r="AD117" s="11"/>
      <c r="AE117" s="11"/>
      <c r="AF117" s="11"/>
      <c r="AG117" s="11"/>
    </row>
    <row r="118" spans="1:33" x14ac:dyDescent="0.25">
      <c r="A118" s="10" t="str">
        <f t="shared" si="2"/>
        <v/>
      </c>
      <c r="B118" s="11"/>
      <c r="C118" s="10" t="str">
        <f t="shared" si="3"/>
        <v/>
      </c>
      <c r="D118" s="11"/>
      <c r="E118" s="11"/>
      <c r="F118" s="11"/>
      <c r="G118" s="11"/>
      <c r="H118" s="10" t="str">
        <f>IF(ISBLANK(F118),"",IF(G118&lt;&gt;"",UPPER(TRIM(G118)),IF(ISNUMBER(SEARCH(" ",TRIM(F118))),UPPER(LEFT(TRIM(RIGHT(SUBSTITUTE(TRIM(F118)," ",REPT(" ",100)),100)),Settings!$B$9)),UPPER(LEFT(TRIM(F118),Settings!$B$9)))))</f>
        <v/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0" t="str">
        <f>IF(ISBLANK(D118),"",IF(COUNTIFS(Circulation!$B$2:$B$500,A118,Circulation!$H$2:$H$500,"Active")&gt;0,"On Loan","Available"))</f>
        <v/>
      </c>
      <c r="AA118" s="11"/>
      <c r="AB118" s="11"/>
      <c r="AC118" s="11"/>
      <c r="AD118" s="11"/>
      <c r="AE118" s="11"/>
      <c r="AF118" s="11"/>
      <c r="AG118" s="11"/>
    </row>
    <row r="119" spans="1:33" x14ac:dyDescent="0.25">
      <c r="A119" s="10" t="str">
        <f t="shared" si="2"/>
        <v/>
      </c>
      <c r="B119" s="11"/>
      <c r="C119" s="10" t="str">
        <f t="shared" si="3"/>
        <v/>
      </c>
      <c r="D119" s="11"/>
      <c r="E119" s="11"/>
      <c r="F119" s="11"/>
      <c r="G119" s="11"/>
      <c r="H119" s="10" t="str">
        <f>IF(ISBLANK(F119),"",IF(G119&lt;&gt;"",UPPER(TRIM(G119)),IF(ISNUMBER(SEARCH(" ",TRIM(F119))),UPPER(LEFT(TRIM(RIGHT(SUBSTITUTE(TRIM(F119)," ",REPT(" ",100)),100)),Settings!$B$9)),UPPER(LEFT(TRIM(F119),Settings!$B$9)))))</f>
        <v/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0" t="str">
        <f>IF(ISBLANK(D119),"",IF(COUNTIFS(Circulation!$B$2:$B$500,A119,Circulation!$H$2:$H$500,"Active")&gt;0,"On Loan","Available"))</f>
        <v/>
      </c>
      <c r="AA119" s="11"/>
      <c r="AB119" s="11"/>
      <c r="AC119" s="11"/>
      <c r="AD119" s="11"/>
      <c r="AE119" s="11"/>
      <c r="AF119" s="11"/>
      <c r="AG119" s="11"/>
    </row>
    <row r="120" spans="1:33" x14ac:dyDescent="0.25">
      <c r="A120" s="10" t="str">
        <f t="shared" si="2"/>
        <v/>
      </c>
      <c r="B120" s="11"/>
      <c r="C120" s="10" t="str">
        <f t="shared" si="3"/>
        <v/>
      </c>
      <c r="D120" s="11"/>
      <c r="E120" s="11"/>
      <c r="F120" s="11"/>
      <c r="G120" s="11"/>
      <c r="H120" s="10" t="str">
        <f>IF(ISBLANK(F120),"",IF(G120&lt;&gt;"",UPPER(TRIM(G120)),IF(ISNUMBER(SEARCH(" ",TRIM(F120))),UPPER(LEFT(TRIM(RIGHT(SUBSTITUTE(TRIM(F120)," ",REPT(" ",100)),100)),Settings!$B$9)),UPPER(LEFT(TRIM(F120),Settings!$B$9)))))</f>
        <v/>
      </c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0" t="str">
        <f>IF(ISBLANK(D120),"",IF(COUNTIFS(Circulation!$B$2:$B$500,A120,Circulation!$H$2:$H$500,"Active")&gt;0,"On Loan","Available"))</f>
        <v/>
      </c>
      <c r="AA120" s="11"/>
      <c r="AB120" s="11"/>
      <c r="AC120" s="11"/>
      <c r="AD120" s="11"/>
      <c r="AE120" s="11"/>
      <c r="AF120" s="11"/>
      <c r="AG120" s="11"/>
    </row>
    <row r="121" spans="1:33" x14ac:dyDescent="0.25">
      <c r="A121" s="10" t="str">
        <f t="shared" si="2"/>
        <v/>
      </c>
      <c r="B121" s="11"/>
      <c r="C121" s="10" t="str">
        <f t="shared" si="3"/>
        <v/>
      </c>
      <c r="D121" s="11"/>
      <c r="E121" s="11"/>
      <c r="F121" s="11"/>
      <c r="G121" s="11"/>
      <c r="H121" s="10" t="str">
        <f>IF(ISBLANK(F121),"",IF(G121&lt;&gt;"",UPPER(TRIM(G121)),IF(ISNUMBER(SEARCH(" ",TRIM(F121))),UPPER(LEFT(TRIM(RIGHT(SUBSTITUTE(TRIM(F121)," ",REPT(" ",100)),100)),Settings!$B$9)),UPPER(LEFT(TRIM(F121),Settings!$B$9)))))</f>
        <v/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0" t="str">
        <f>IF(ISBLANK(D121),"",IF(COUNTIFS(Circulation!$B$2:$B$500,A121,Circulation!$H$2:$H$500,"Active")&gt;0,"On Loan","Available"))</f>
        <v/>
      </c>
      <c r="AA121" s="11"/>
      <c r="AB121" s="11"/>
      <c r="AC121" s="11"/>
      <c r="AD121" s="11"/>
      <c r="AE121" s="11"/>
      <c r="AF121" s="11"/>
      <c r="AG121" s="11"/>
    </row>
    <row r="122" spans="1:33" x14ac:dyDescent="0.25">
      <c r="A122" s="10" t="str">
        <f t="shared" si="2"/>
        <v/>
      </c>
      <c r="B122" s="11"/>
      <c r="C122" s="10" t="str">
        <f t="shared" si="3"/>
        <v/>
      </c>
      <c r="D122" s="11"/>
      <c r="E122" s="11"/>
      <c r="F122" s="11"/>
      <c r="G122" s="11"/>
      <c r="H122" s="10" t="str">
        <f>IF(ISBLANK(F122),"",IF(G122&lt;&gt;"",UPPER(TRIM(G122)),IF(ISNUMBER(SEARCH(" ",TRIM(F122))),UPPER(LEFT(TRIM(RIGHT(SUBSTITUTE(TRIM(F122)," ",REPT(" ",100)),100)),Settings!$B$9)),UPPER(LEFT(TRIM(F122),Settings!$B$9)))))</f>
        <v/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0" t="str">
        <f>IF(ISBLANK(D122),"",IF(COUNTIFS(Circulation!$B$2:$B$500,A122,Circulation!$H$2:$H$500,"Active")&gt;0,"On Loan","Available"))</f>
        <v/>
      </c>
      <c r="AA122" s="11"/>
      <c r="AB122" s="11"/>
      <c r="AC122" s="11"/>
      <c r="AD122" s="11"/>
      <c r="AE122" s="11"/>
      <c r="AF122" s="11"/>
      <c r="AG122" s="11"/>
    </row>
    <row r="123" spans="1:33" x14ac:dyDescent="0.25">
      <c r="A123" s="10" t="str">
        <f t="shared" si="2"/>
        <v/>
      </c>
      <c r="B123" s="11"/>
      <c r="C123" s="10" t="str">
        <f t="shared" si="3"/>
        <v/>
      </c>
      <c r="D123" s="11"/>
      <c r="E123" s="11"/>
      <c r="F123" s="11"/>
      <c r="G123" s="11"/>
      <c r="H123" s="10" t="str">
        <f>IF(ISBLANK(F123),"",IF(G123&lt;&gt;"",UPPER(TRIM(G123)),IF(ISNUMBER(SEARCH(" ",TRIM(F123))),UPPER(LEFT(TRIM(RIGHT(SUBSTITUTE(TRIM(F123)," ",REPT(" ",100)),100)),Settings!$B$9)),UPPER(LEFT(TRIM(F123),Settings!$B$9)))))</f>
        <v/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0" t="str">
        <f>IF(ISBLANK(D123),"",IF(COUNTIFS(Circulation!$B$2:$B$500,A123,Circulation!$H$2:$H$500,"Active")&gt;0,"On Loan","Available"))</f>
        <v/>
      </c>
      <c r="AA123" s="11"/>
      <c r="AB123" s="11"/>
      <c r="AC123" s="11"/>
      <c r="AD123" s="11"/>
      <c r="AE123" s="11"/>
      <c r="AF123" s="11"/>
      <c r="AG123" s="11"/>
    </row>
    <row r="124" spans="1:33" x14ac:dyDescent="0.25">
      <c r="A124" s="10" t="str">
        <f t="shared" si="2"/>
        <v/>
      </c>
      <c r="B124" s="11"/>
      <c r="C124" s="10" t="str">
        <f t="shared" si="3"/>
        <v/>
      </c>
      <c r="D124" s="11"/>
      <c r="E124" s="11"/>
      <c r="F124" s="11"/>
      <c r="G124" s="11"/>
      <c r="H124" s="10" t="str">
        <f>IF(ISBLANK(F124),"",IF(G124&lt;&gt;"",UPPER(TRIM(G124)),IF(ISNUMBER(SEARCH(" ",TRIM(F124))),UPPER(LEFT(TRIM(RIGHT(SUBSTITUTE(TRIM(F124)," ",REPT(" ",100)),100)),Settings!$B$9)),UPPER(LEFT(TRIM(F124),Settings!$B$9)))))</f>
        <v/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0" t="str">
        <f>IF(ISBLANK(D124),"",IF(COUNTIFS(Circulation!$B$2:$B$500,A124,Circulation!$H$2:$H$500,"Active")&gt;0,"On Loan","Available"))</f>
        <v/>
      </c>
      <c r="AA124" s="11"/>
      <c r="AB124" s="11"/>
      <c r="AC124" s="11"/>
      <c r="AD124" s="11"/>
      <c r="AE124" s="11"/>
      <c r="AF124" s="11"/>
      <c r="AG124" s="11"/>
    </row>
    <row r="125" spans="1:33" x14ac:dyDescent="0.25">
      <c r="A125" s="10" t="str">
        <f t="shared" si="2"/>
        <v/>
      </c>
      <c r="B125" s="11"/>
      <c r="C125" s="10" t="str">
        <f t="shared" si="3"/>
        <v/>
      </c>
      <c r="D125" s="11"/>
      <c r="E125" s="11"/>
      <c r="F125" s="11"/>
      <c r="G125" s="11"/>
      <c r="H125" s="10" t="str">
        <f>IF(ISBLANK(F125),"",IF(G125&lt;&gt;"",UPPER(TRIM(G125)),IF(ISNUMBER(SEARCH(" ",TRIM(F125))),UPPER(LEFT(TRIM(RIGHT(SUBSTITUTE(TRIM(F125)," ",REPT(" ",100)),100)),Settings!$B$9)),UPPER(LEFT(TRIM(F125),Settings!$B$9)))))</f>
        <v/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0" t="str">
        <f>IF(ISBLANK(D125),"",IF(COUNTIFS(Circulation!$B$2:$B$500,A125,Circulation!$H$2:$H$500,"Active")&gt;0,"On Loan","Available"))</f>
        <v/>
      </c>
      <c r="AA125" s="11"/>
      <c r="AB125" s="11"/>
      <c r="AC125" s="11"/>
      <c r="AD125" s="11"/>
      <c r="AE125" s="11"/>
      <c r="AF125" s="11"/>
      <c r="AG125" s="11"/>
    </row>
    <row r="126" spans="1:33" x14ac:dyDescent="0.25">
      <c r="A126" s="10" t="str">
        <f t="shared" si="2"/>
        <v/>
      </c>
      <c r="B126" s="11"/>
      <c r="C126" s="10" t="str">
        <f t="shared" si="3"/>
        <v/>
      </c>
      <c r="D126" s="11"/>
      <c r="E126" s="11"/>
      <c r="F126" s="11"/>
      <c r="G126" s="11"/>
      <c r="H126" s="10" t="str">
        <f>IF(ISBLANK(F126),"",IF(G126&lt;&gt;"",UPPER(TRIM(G126)),IF(ISNUMBER(SEARCH(" ",TRIM(F126))),UPPER(LEFT(TRIM(RIGHT(SUBSTITUTE(TRIM(F126)," ",REPT(" ",100)),100)),Settings!$B$9)),UPPER(LEFT(TRIM(F126),Settings!$B$9)))))</f>
        <v/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0" t="str">
        <f>IF(ISBLANK(D126),"",IF(COUNTIFS(Circulation!$B$2:$B$500,A126,Circulation!$H$2:$H$500,"Active")&gt;0,"On Loan","Available"))</f>
        <v/>
      </c>
      <c r="AA126" s="11"/>
      <c r="AB126" s="11"/>
      <c r="AC126" s="11"/>
      <c r="AD126" s="11"/>
      <c r="AE126" s="11"/>
      <c r="AF126" s="11"/>
      <c r="AG126" s="11"/>
    </row>
    <row r="127" spans="1:33" x14ac:dyDescent="0.25">
      <c r="A127" s="10" t="str">
        <f t="shared" si="2"/>
        <v/>
      </c>
      <c r="B127" s="11"/>
      <c r="C127" s="10" t="str">
        <f t="shared" si="3"/>
        <v/>
      </c>
      <c r="D127" s="11"/>
      <c r="E127" s="11"/>
      <c r="F127" s="11"/>
      <c r="G127" s="11"/>
      <c r="H127" s="10" t="str">
        <f>IF(ISBLANK(F127),"",IF(G127&lt;&gt;"",UPPER(TRIM(G127)),IF(ISNUMBER(SEARCH(" ",TRIM(F127))),UPPER(LEFT(TRIM(RIGHT(SUBSTITUTE(TRIM(F127)," ",REPT(" ",100)),100)),Settings!$B$9)),UPPER(LEFT(TRIM(F127),Settings!$B$9)))))</f>
        <v/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0" t="str">
        <f>IF(ISBLANK(D127),"",IF(COUNTIFS(Circulation!$B$2:$B$500,A127,Circulation!$H$2:$H$500,"Active")&gt;0,"On Loan","Available"))</f>
        <v/>
      </c>
      <c r="AA127" s="11"/>
      <c r="AB127" s="11"/>
      <c r="AC127" s="11"/>
      <c r="AD127" s="11"/>
      <c r="AE127" s="11"/>
      <c r="AF127" s="11"/>
      <c r="AG127" s="11"/>
    </row>
    <row r="128" spans="1:33" x14ac:dyDescent="0.25">
      <c r="A128" s="10" t="str">
        <f t="shared" si="2"/>
        <v/>
      </c>
      <c r="B128" s="11"/>
      <c r="C128" s="10" t="str">
        <f t="shared" si="3"/>
        <v/>
      </c>
      <c r="D128" s="11"/>
      <c r="E128" s="11"/>
      <c r="F128" s="11"/>
      <c r="G128" s="11"/>
      <c r="H128" s="10" t="str">
        <f>IF(ISBLANK(F128),"",IF(G128&lt;&gt;"",UPPER(TRIM(G128)),IF(ISNUMBER(SEARCH(" ",TRIM(F128))),UPPER(LEFT(TRIM(RIGHT(SUBSTITUTE(TRIM(F128)," ",REPT(" ",100)),100)),Settings!$B$9)),UPPER(LEFT(TRIM(F128),Settings!$B$9)))))</f>
        <v/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0" t="str">
        <f>IF(ISBLANK(D128),"",IF(COUNTIFS(Circulation!$B$2:$B$500,A128,Circulation!$H$2:$H$500,"Active")&gt;0,"On Loan","Available"))</f>
        <v/>
      </c>
      <c r="AA128" s="11"/>
      <c r="AB128" s="11"/>
      <c r="AC128" s="11"/>
      <c r="AD128" s="11"/>
      <c r="AE128" s="11"/>
      <c r="AF128" s="11"/>
      <c r="AG128" s="11"/>
    </row>
    <row r="129" spans="1:33" x14ac:dyDescent="0.25">
      <c r="A129" s="10" t="str">
        <f t="shared" si="2"/>
        <v/>
      </c>
      <c r="B129" s="11"/>
      <c r="C129" s="10" t="str">
        <f t="shared" si="3"/>
        <v/>
      </c>
      <c r="D129" s="11"/>
      <c r="E129" s="11"/>
      <c r="F129" s="11"/>
      <c r="G129" s="11"/>
      <c r="H129" s="10" t="str">
        <f>IF(ISBLANK(F129),"",IF(G129&lt;&gt;"",UPPER(TRIM(G129)),IF(ISNUMBER(SEARCH(" ",TRIM(F129))),UPPER(LEFT(TRIM(RIGHT(SUBSTITUTE(TRIM(F129)," ",REPT(" ",100)),100)),Settings!$B$9)),UPPER(LEFT(TRIM(F129),Settings!$B$9)))))</f>
        <v/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0" t="str">
        <f>IF(ISBLANK(D129),"",IF(COUNTIFS(Circulation!$B$2:$B$500,A129,Circulation!$H$2:$H$500,"Active")&gt;0,"On Loan","Available"))</f>
        <v/>
      </c>
      <c r="AA129" s="11"/>
      <c r="AB129" s="11"/>
      <c r="AC129" s="11"/>
      <c r="AD129" s="11"/>
      <c r="AE129" s="11"/>
      <c r="AF129" s="11"/>
      <c r="AG129" s="11"/>
    </row>
    <row r="130" spans="1:33" x14ac:dyDescent="0.25">
      <c r="A130" s="10" t="str">
        <f t="shared" ref="A130:A193" si="4">IF(ISBLANK(D130),"",ROW()-1)</f>
        <v/>
      </c>
      <c r="B130" s="11"/>
      <c r="C130" s="10" t="str">
        <f t="shared" ref="C130:C193" si="5">IF(ISBLANK(D130),"",MID(K130,SEARCH("(",K130)+1,SEARCH(")",K130)-SEARCH("(",K130)-1)&amp;"-"&amp;MID(L130,SEARCH("(",L130)+1,SEARCH(")",L130)-SEARCH("(",L130)-1)&amp;"-"&amp;H130&amp;"-"&amp;TEXT(A130,"000")&amp;IF(ISBLANK(N130),"","-"&amp;SUBSTITUTE(N130," ","")))</f>
        <v/>
      </c>
      <c r="D130" s="11"/>
      <c r="E130" s="11"/>
      <c r="F130" s="11"/>
      <c r="G130" s="11"/>
      <c r="H130" s="10" t="str">
        <f>IF(ISBLANK(F130),"",IF(G130&lt;&gt;"",UPPER(TRIM(G130)),IF(ISNUMBER(SEARCH(" ",TRIM(F130))),UPPER(LEFT(TRIM(RIGHT(SUBSTITUTE(TRIM(F130)," ",REPT(" ",100)),100)),Settings!$B$9)),UPPER(LEFT(TRIM(F130),Settings!$B$9)))))</f>
        <v/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0" t="str">
        <f>IF(ISBLANK(D130),"",IF(COUNTIFS(Circulation!$B$2:$B$500,A130,Circulation!$H$2:$H$500,"Active")&gt;0,"On Loan","Available"))</f>
        <v/>
      </c>
      <c r="AA130" s="11"/>
      <c r="AB130" s="11"/>
      <c r="AC130" s="11"/>
      <c r="AD130" s="11"/>
      <c r="AE130" s="11"/>
      <c r="AF130" s="11"/>
      <c r="AG130" s="11"/>
    </row>
    <row r="131" spans="1:33" x14ac:dyDescent="0.25">
      <c r="A131" s="10" t="str">
        <f t="shared" si="4"/>
        <v/>
      </c>
      <c r="B131" s="11"/>
      <c r="C131" s="10" t="str">
        <f t="shared" si="5"/>
        <v/>
      </c>
      <c r="D131" s="11"/>
      <c r="E131" s="11"/>
      <c r="F131" s="11"/>
      <c r="G131" s="11"/>
      <c r="H131" s="10" t="str">
        <f>IF(ISBLANK(F131),"",IF(G131&lt;&gt;"",UPPER(TRIM(G131)),IF(ISNUMBER(SEARCH(" ",TRIM(F131))),UPPER(LEFT(TRIM(RIGHT(SUBSTITUTE(TRIM(F131)," ",REPT(" ",100)),100)),Settings!$B$9)),UPPER(LEFT(TRIM(F131),Settings!$B$9)))))</f>
        <v/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0" t="str">
        <f>IF(ISBLANK(D131),"",IF(COUNTIFS(Circulation!$B$2:$B$500,A131,Circulation!$H$2:$H$500,"Active")&gt;0,"On Loan","Available"))</f>
        <v/>
      </c>
      <c r="AA131" s="11"/>
      <c r="AB131" s="11"/>
      <c r="AC131" s="11"/>
      <c r="AD131" s="11"/>
      <c r="AE131" s="11"/>
      <c r="AF131" s="11"/>
      <c r="AG131" s="11"/>
    </row>
    <row r="132" spans="1:33" x14ac:dyDescent="0.25">
      <c r="A132" s="10" t="str">
        <f t="shared" si="4"/>
        <v/>
      </c>
      <c r="B132" s="11"/>
      <c r="C132" s="10" t="str">
        <f t="shared" si="5"/>
        <v/>
      </c>
      <c r="D132" s="11"/>
      <c r="E132" s="11"/>
      <c r="F132" s="11"/>
      <c r="G132" s="11"/>
      <c r="H132" s="10" t="str">
        <f>IF(ISBLANK(F132),"",IF(G132&lt;&gt;"",UPPER(TRIM(G132)),IF(ISNUMBER(SEARCH(" ",TRIM(F132))),UPPER(LEFT(TRIM(RIGHT(SUBSTITUTE(TRIM(F132)," ",REPT(" ",100)),100)),Settings!$B$9)),UPPER(LEFT(TRIM(F132),Settings!$B$9)))))</f>
        <v/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0" t="str">
        <f>IF(ISBLANK(D132),"",IF(COUNTIFS(Circulation!$B$2:$B$500,A132,Circulation!$H$2:$H$500,"Active")&gt;0,"On Loan","Available"))</f>
        <v/>
      </c>
      <c r="AA132" s="11"/>
      <c r="AB132" s="11"/>
      <c r="AC132" s="11"/>
      <c r="AD132" s="11"/>
      <c r="AE132" s="11"/>
      <c r="AF132" s="11"/>
      <c r="AG132" s="11"/>
    </row>
    <row r="133" spans="1:33" x14ac:dyDescent="0.25">
      <c r="A133" s="10" t="str">
        <f t="shared" si="4"/>
        <v/>
      </c>
      <c r="B133" s="11"/>
      <c r="C133" s="10" t="str">
        <f t="shared" si="5"/>
        <v/>
      </c>
      <c r="D133" s="11"/>
      <c r="E133" s="11"/>
      <c r="F133" s="11"/>
      <c r="G133" s="11"/>
      <c r="H133" s="10" t="str">
        <f>IF(ISBLANK(F133),"",IF(G133&lt;&gt;"",UPPER(TRIM(G133)),IF(ISNUMBER(SEARCH(" ",TRIM(F133))),UPPER(LEFT(TRIM(RIGHT(SUBSTITUTE(TRIM(F133)," ",REPT(" ",100)),100)),Settings!$B$9)),UPPER(LEFT(TRIM(F133),Settings!$B$9)))))</f>
        <v/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0" t="str">
        <f>IF(ISBLANK(D133),"",IF(COUNTIFS(Circulation!$B$2:$B$500,A133,Circulation!$H$2:$H$500,"Active")&gt;0,"On Loan","Available"))</f>
        <v/>
      </c>
      <c r="AA133" s="11"/>
      <c r="AB133" s="11"/>
      <c r="AC133" s="11"/>
      <c r="AD133" s="11"/>
      <c r="AE133" s="11"/>
      <c r="AF133" s="11"/>
      <c r="AG133" s="11"/>
    </row>
    <row r="134" spans="1:33" x14ac:dyDescent="0.25">
      <c r="A134" s="10" t="str">
        <f t="shared" si="4"/>
        <v/>
      </c>
      <c r="B134" s="11"/>
      <c r="C134" s="10" t="str">
        <f t="shared" si="5"/>
        <v/>
      </c>
      <c r="D134" s="11"/>
      <c r="E134" s="11"/>
      <c r="F134" s="11"/>
      <c r="G134" s="11"/>
      <c r="H134" s="10" t="str">
        <f>IF(ISBLANK(F134),"",IF(G134&lt;&gt;"",UPPER(TRIM(G134)),IF(ISNUMBER(SEARCH(" ",TRIM(F134))),UPPER(LEFT(TRIM(RIGHT(SUBSTITUTE(TRIM(F134)," ",REPT(" ",100)),100)),Settings!$B$9)),UPPER(LEFT(TRIM(F134),Settings!$B$9)))))</f>
        <v/>
      </c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0" t="str">
        <f>IF(ISBLANK(D134),"",IF(COUNTIFS(Circulation!$B$2:$B$500,A134,Circulation!$H$2:$H$500,"Active")&gt;0,"On Loan","Available"))</f>
        <v/>
      </c>
      <c r="AA134" s="11"/>
      <c r="AB134" s="11"/>
      <c r="AC134" s="11"/>
      <c r="AD134" s="11"/>
      <c r="AE134" s="11"/>
      <c r="AF134" s="11"/>
      <c r="AG134" s="11"/>
    </row>
    <row r="135" spans="1:33" x14ac:dyDescent="0.25">
      <c r="A135" s="10" t="str">
        <f t="shared" si="4"/>
        <v/>
      </c>
      <c r="B135" s="11"/>
      <c r="C135" s="10" t="str">
        <f t="shared" si="5"/>
        <v/>
      </c>
      <c r="D135" s="11"/>
      <c r="E135" s="11"/>
      <c r="F135" s="11"/>
      <c r="G135" s="11"/>
      <c r="H135" s="10" t="str">
        <f>IF(ISBLANK(F135),"",IF(G135&lt;&gt;"",UPPER(TRIM(G135)),IF(ISNUMBER(SEARCH(" ",TRIM(F135))),UPPER(LEFT(TRIM(RIGHT(SUBSTITUTE(TRIM(F135)," ",REPT(" ",100)),100)),Settings!$B$9)),UPPER(LEFT(TRIM(F135),Settings!$B$9)))))</f>
        <v/>
      </c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0" t="str">
        <f>IF(ISBLANK(D135),"",IF(COUNTIFS(Circulation!$B$2:$B$500,A135,Circulation!$H$2:$H$500,"Active")&gt;0,"On Loan","Available"))</f>
        <v/>
      </c>
      <c r="AA135" s="11"/>
      <c r="AB135" s="11"/>
      <c r="AC135" s="11"/>
      <c r="AD135" s="11"/>
      <c r="AE135" s="11"/>
      <c r="AF135" s="11"/>
      <c r="AG135" s="11"/>
    </row>
    <row r="136" spans="1:33" x14ac:dyDescent="0.25">
      <c r="A136" s="10" t="str">
        <f t="shared" si="4"/>
        <v/>
      </c>
      <c r="B136" s="11"/>
      <c r="C136" s="10" t="str">
        <f t="shared" si="5"/>
        <v/>
      </c>
      <c r="D136" s="11"/>
      <c r="E136" s="11"/>
      <c r="F136" s="11"/>
      <c r="G136" s="11"/>
      <c r="H136" s="10" t="str">
        <f>IF(ISBLANK(F136),"",IF(G136&lt;&gt;"",UPPER(TRIM(G136)),IF(ISNUMBER(SEARCH(" ",TRIM(F136))),UPPER(LEFT(TRIM(RIGHT(SUBSTITUTE(TRIM(F136)," ",REPT(" ",100)),100)),Settings!$B$9)),UPPER(LEFT(TRIM(F136),Settings!$B$9)))))</f>
        <v/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0" t="str">
        <f>IF(ISBLANK(D136),"",IF(COUNTIFS(Circulation!$B$2:$B$500,A136,Circulation!$H$2:$H$500,"Active")&gt;0,"On Loan","Available"))</f>
        <v/>
      </c>
      <c r="AA136" s="11"/>
      <c r="AB136" s="11"/>
      <c r="AC136" s="11"/>
      <c r="AD136" s="11"/>
      <c r="AE136" s="11"/>
      <c r="AF136" s="11"/>
      <c r="AG136" s="11"/>
    </row>
    <row r="137" spans="1:33" x14ac:dyDescent="0.25">
      <c r="A137" s="10" t="str">
        <f t="shared" si="4"/>
        <v/>
      </c>
      <c r="B137" s="11"/>
      <c r="C137" s="10" t="str">
        <f t="shared" si="5"/>
        <v/>
      </c>
      <c r="D137" s="11"/>
      <c r="E137" s="11"/>
      <c r="F137" s="11"/>
      <c r="G137" s="11"/>
      <c r="H137" s="10" t="str">
        <f>IF(ISBLANK(F137),"",IF(G137&lt;&gt;"",UPPER(TRIM(G137)),IF(ISNUMBER(SEARCH(" ",TRIM(F137))),UPPER(LEFT(TRIM(RIGHT(SUBSTITUTE(TRIM(F137)," ",REPT(" ",100)),100)),Settings!$B$9)),UPPER(LEFT(TRIM(F137),Settings!$B$9)))))</f>
        <v/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0" t="str">
        <f>IF(ISBLANK(D137),"",IF(COUNTIFS(Circulation!$B$2:$B$500,A137,Circulation!$H$2:$H$500,"Active")&gt;0,"On Loan","Available"))</f>
        <v/>
      </c>
      <c r="AA137" s="11"/>
      <c r="AB137" s="11"/>
      <c r="AC137" s="11"/>
      <c r="AD137" s="11"/>
      <c r="AE137" s="11"/>
      <c r="AF137" s="11"/>
      <c r="AG137" s="11"/>
    </row>
    <row r="138" spans="1:33" x14ac:dyDescent="0.25">
      <c r="A138" s="10" t="str">
        <f t="shared" si="4"/>
        <v/>
      </c>
      <c r="B138" s="11"/>
      <c r="C138" s="10" t="str">
        <f t="shared" si="5"/>
        <v/>
      </c>
      <c r="D138" s="11"/>
      <c r="E138" s="11"/>
      <c r="F138" s="11"/>
      <c r="G138" s="11"/>
      <c r="H138" s="10" t="str">
        <f>IF(ISBLANK(F138),"",IF(G138&lt;&gt;"",UPPER(TRIM(G138)),IF(ISNUMBER(SEARCH(" ",TRIM(F138))),UPPER(LEFT(TRIM(RIGHT(SUBSTITUTE(TRIM(F138)," ",REPT(" ",100)),100)),Settings!$B$9)),UPPER(LEFT(TRIM(F138),Settings!$B$9)))))</f>
        <v/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0" t="str">
        <f>IF(ISBLANK(D138),"",IF(COUNTIFS(Circulation!$B$2:$B$500,A138,Circulation!$H$2:$H$500,"Active")&gt;0,"On Loan","Available"))</f>
        <v/>
      </c>
      <c r="AA138" s="11"/>
      <c r="AB138" s="11"/>
      <c r="AC138" s="11"/>
      <c r="AD138" s="11"/>
      <c r="AE138" s="11"/>
      <c r="AF138" s="11"/>
      <c r="AG138" s="11"/>
    </row>
    <row r="139" spans="1:33" x14ac:dyDescent="0.25">
      <c r="A139" s="10" t="str">
        <f t="shared" si="4"/>
        <v/>
      </c>
      <c r="B139" s="11"/>
      <c r="C139" s="10" t="str">
        <f t="shared" si="5"/>
        <v/>
      </c>
      <c r="D139" s="11"/>
      <c r="E139" s="11"/>
      <c r="F139" s="11"/>
      <c r="G139" s="11"/>
      <c r="H139" s="10" t="str">
        <f>IF(ISBLANK(F139),"",IF(G139&lt;&gt;"",UPPER(TRIM(G139)),IF(ISNUMBER(SEARCH(" ",TRIM(F139))),UPPER(LEFT(TRIM(RIGHT(SUBSTITUTE(TRIM(F139)," ",REPT(" ",100)),100)),Settings!$B$9)),UPPER(LEFT(TRIM(F139),Settings!$B$9)))))</f>
        <v/>
      </c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0" t="str">
        <f>IF(ISBLANK(D139),"",IF(COUNTIFS(Circulation!$B$2:$B$500,A139,Circulation!$H$2:$H$500,"Active")&gt;0,"On Loan","Available"))</f>
        <v/>
      </c>
      <c r="AA139" s="11"/>
      <c r="AB139" s="11"/>
      <c r="AC139" s="11"/>
      <c r="AD139" s="11"/>
      <c r="AE139" s="11"/>
      <c r="AF139" s="11"/>
      <c r="AG139" s="11"/>
    </row>
    <row r="140" spans="1:33" x14ac:dyDescent="0.25">
      <c r="A140" s="10" t="str">
        <f t="shared" si="4"/>
        <v/>
      </c>
      <c r="B140" s="11"/>
      <c r="C140" s="10" t="str">
        <f t="shared" si="5"/>
        <v/>
      </c>
      <c r="D140" s="11"/>
      <c r="E140" s="11"/>
      <c r="F140" s="11"/>
      <c r="G140" s="11"/>
      <c r="H140" s="10" t="str">
        <f>IF(ISBLANK(F140),"",IF(G140&lt;&gt;"",UPPER(TRIM(G140)),IF(ISNUMBER(SEARCH(" ",TRIM(F140))),UPPER(LEFT(TRIM(RIGHT(SUBSTITUTE(TRIM(F140)," ",REPT(" ",100)),100)),Settings!$B$9)),UPPER(LEFT(TRIM(F140),Settings!$B$9)))))</f>
        <v/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0" t="str">
        <f>IF(ISBLANK(D140),"",IF(COUNTIFS(Circulation!$B$2:$B$500,A140,Circulation!$H$2:$H$500,"Active")&gt;0,"On Loan","Available"))</f>
        <v/>
      </c>
      <c r="AA140" s="11"/>
      <c r="AB140" s="11"/>
      <c r="AC140" s="11"/>
      <c r="AD140" s="11"/>
      <c r="AE140" s="11"/>
      <c r="AF140" s="11"/>
      <c r="AG140" s="11"/>
    </row>
    <row r="141" spans="1:33" x14ac:dyDescent="0.25">
      <c r="A141" s="10" t="str">
        <f t="shared" si="4"/>
        <v/>
      </c>
      <c r="B141" s="11"/>
      <c r="C141" s="10" t="str">
        <f t="shared" si="5"/>
        <v/>
      </c>
      <c r="D141" s="11"/>
      <c r="E141" s="11"/>
      <c r="F141" s="11"/>
      <c r="G141" s="11"/>
      <c r="H141" s="10" t="str">
        <f>IF(ISBLANK(F141),"",IF(G141&lt;&gt;"",UPPER(TRIM(G141)),IF(ISNUMBER(SEARCH(" ",TRIM(F141))),UPPER(LEFT(TRIM(RIGHT(SUBSTITUTE(TRIM(F141)," ",REPT(" ",100)),100)),Settings!$B$9)),UPPER(LEFT(TRIM(F141),Settings!$B$9)))))</f>
        <v/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0" t="str">
        <f>IF(ISBLANK(D141),"",IF(COUNTIFS(Circulation!$B$2:$B$500,A141,Circulation!$H$2:$H$500,"Active")&gt;0,"On Loan","Available"))</f>
        <v/>
      </c>
      <c r="AA141" s="11"/>
      <c r="AB141" s="11"/>
      <c r="AC141" s="11"/>
      <c r="AD141" s="11"/>
      <c r="AE141" s="11"/>
      <c r="AF141" s="11"/>
      <c r="AG141" s="11"/>
    </row>
    <row r="142" spans="1:33" x14ac:dyDescent="0.25">
      <c r="A142" s="10" t="str">
        <f t="shared" si="4"/>
        <v/>
      </c>
      <c r="B142" s="11"/>
      <c r="C142" s="10" t="str">
        <f t="shared" si="5"/>
        <v/>
      </c>
      <c r="D142" s="11"/>
      <c r="E142" s="11"/>
      <c r="F142" s="11"/>
      <c r="G142" s="11"/>
      <c r="H142" s="10" t="str">
        <f>IF(ISBLANK(F142),"",IF(G142&lt;&gt;"",UPPER(TRIM(G142)),IF(ISNUMBER(SEARCH(" ",TRIM(F142))),UPPER(LEFT(TRIM(RIGHT(SUBSTITUTE(TRIM(F142)," ",REPT(" ",100)),100)),Settings!$B$9)),UPPER(LEFT(TRIM(F142),Settings!$B$9)))))</f>
        <v/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0" t="str">
        <f>IF(ISBLANK(D142),"",IF(COUNTIFS(Circulation!$B$2:$B$500,A142,Circulation!$H$2:$H$500,"Active")&gt;0,"On Loan","Available"))</f>
        <v/>
      </c>
      <c r="AA142" s="11"/>
      <c r="AB142" s="11"/>
      <c r="AC142" s="11"/>
      <c r="AD142" s="11"/>
      <c r="AE142" s="11"/>
      <c r="AF142" s="11"/>
      <c r="AG142" s="11"/>
    </row>
    <row r="143" spans="1:33" x14ac:dyDescent="0.25">
      <c r="A143" s="10" t="str">
        <f t="shared" si="4"/>
        <v/>
      </c>
      <c r="B143" s="11"/>
      <c r="C143" s="10" t="str">
        <f t="shared" si="5"/>
        <v/>
      </c>
      <c r="D143" s="11"/>
      <c r="E143" s="11"/>
      <c r="F143" s="11"/>
      <c r="G143" s="11"/>
      <c r="H143" s="10" t="str">
        <f>IF(ISBLANK(F143),"",IF(G143&lt;&gt;"",UPPER(TRIM(G143)),IF(ISNUMBER(SEARCH(" ",TRIM(F143))),UPPER(LEFT(TRIM(RIGHT(SUBSTITUTE(TRIM(F143)," ",REPT(" ",100)),100)),Settings!$B$9)),UPPER(LEFT(TRIM(F143),Settings!$B$9)))))</f>
        <v/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0" t="str">
        <f>IF(ISBLANK(D143),"",IF(COUNTIFS(Circulation!$B$2:$B$500,A143,Circulation!$H$2:$H$500,"Active")&gt;0,"On Loan","Available"))</f>
        <v/>
      </c>
      <c r="AA143" s="11"/>
      <c r="AB143" s="11"/>
      <c r="AC143" s="11"/>
      <c r="AD143" s="11"/>
      <c r="AE143" s="11"/>
      <c r="AF143" s="11"/>
      <c r="AG143" s="11"/>
    </row>
    <row r="144" spans="1:33" x14ac:dyDescent="0.25">
      <c r="A144" s="10" t="str">
        <f t="shared" si="4"/>
        <v/>
      </c>
      <c r="B144" s="11"/>
      <c r="C144" s="10" t="str">
        <f t="shared" si="5"/>
        <v/>
      </c>
      <c r="D144" s="11"/>
      <c r="E144" s="11"/>
      <c r="F144" s="11"/>
      <c r="G144" s="11"/>
      <c r="H144" s="10" t="str">
        <f>IF(ISBLANK(F144),"",IF(G144&lt;&gt;"",UPPER(TRIM(G144)),IF(ISNUMBER(SEARCH(" ",TRIM(F144))),UPPER(LEFT(TRIM(RIGHT(SUBSTITUTE(TRIM(F144)," ",REPT(" ",100)),100)),Settings!$B$9)),UPPER(LEFT(TRIM(F144),Settings!$B$9)))))</f>
        <v/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0" t="str">
        <f>IF(ISBLANK(D144),"",IF(COUNTIFS(Circulation!$B$2:$B$500,A144,Circulation!$H$2:$H$500,"Active")&gt;0,"On Loan","Available"))</f>
        <v/>
      </c>
      <c r="AA144" s="11"/>
      <c r="AB144" s="11"/>
      <c r="AC144" s="11"/>
      <c r="AD144" s="11"/>
      <c r="AE144" s="11"/>
      <c r="AF144" s="11"/>
      <c r="AG144" s="11"/>
    </row>
    <row r="145" spans="1:33" x14ac:dyDescent="0.25">
      <c r="A145" s="10" t="str">
        <f t="shared" si="4"/>
        <v/>
      </c>
      <c r="B145" s="11"/>
      <c r="C145" s="10" t="str">
        <f t="shared" si="5"/>
        <v/>
      </c>
      <c r="D145" s="11"/>
      <c r="E145" s="11"/>
      <c r="F145" s="11"/>
      <c r="G145" s="11"/>
      <c r="H145" s="10" t="str">
        <f>IF(ISBLANK(F145),"",IF(G145&lt;&gt;"",UPPER(TRIM(G145)),IF(ISNUMBER(SEARCH(" ",TRIM(F145))),UPPER(LEFT(TRIM(RIGHT(SUBSTITUTE(TRIM(F145)," ",REPT(" ",100)),100)),Settings!$B$9)),UPPER(LEFT(TRIM(F145),Settings!$B$9)))))</f>
        <v/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0" t="str">
        <f>IF(ISBLANK(D145),"",IF(COUNTIFS(Circulation!$B$2:$B$500,A145,Circulation!$H$2:$H$500,"Active")&gt;0,"On Loan","Available"))</f>
        <v/>
      </c>
      <c r="AA145" s="11"/>
      <c r="AB145" s="11"/>
      <c r="AC145" s="11"/>
      <c r="AD145" s="11"/>
      <c r="AE145" s="11"/>
      <c r="AF145" s="11"/>
      <c r="AG145" s="11"/>
    </row>
    <row r="146" spans="1:33" x14ac:dyDescent="0.25">
      <c r="A146" s="10" t="str">
        <f t="shared" si="4"/>
        <v/>
      </c>
      <c r="B146" s="11"/>
      <c r="C146" s="10" t="str">
        <f t="shared" si="5"/>
        <v/>
      </c>
      <c r="D146" s="11"/>
      <c r="E146" s="11"/>
      <c r="F146" s="11"/>
      <c r="G146" s="11"/>
      <c r="H146" s="10" t="str">
        <f>IF(ISBLANK(F146),"",IF(G146&lt;&gt;"",UPPER(TRIM(G146)),IF(ISNUMBER(SEARCH(" ",TRIM(F146))),UPPER(LEFT(TRIM(RIGHT(SUBSTITUTE(TRIM(F146)," ",REPT(" ",100)),100)),Settings!$B$9)),UPPER(LEFT(TRIM(F146),Settings!$B$9)))))</f>
        <v/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0" t="str">
        <f>IF(ISBLANK(D146),"",IF(COUNTIFS(Circulation!$B$2:$B$500,A146,Circulation!$H$2:$H$500,"Active")&gt;0,"On Loan","Available"))</f>
        <v/>
      </c>
      <c r="AA146" s="11"/>
      <c r="AB146" s="11"/>
      <c r="AC146" s="11"/>
      <c r="AD146" s="11"/>
      <c r="AE146" s="11"/>
      <c r="AF146" s="11"/>
      <c r="AG146" s="11"/>
    </row>
    <row r="147" spans="1:33" x14ac:dyDescent="0.25">
      <c r="A147" s="10" t="str">
        <f t="shared" si="4"/>
        <v/>
      </c>
      <c r="B147" s="11"/>
      <c r="C147" s="10" t="str">
        <f t="shared" si="5"/>
        <v/>
      </c>
      <c r="D147" s="11"/>
      <c r="E147" s="11"/>
      <c r="F147" s="11"/>
      <c r="G147" s="11"/>
      <c r="H147" s="10" t="str">
        <f>IF(ISBLANK(F147),"",IF(G147&lt;&gt;"",UPPER(TRIM(G147)),IF(ISNUMBER(SEARCH(" ",TRIM(F147))),UPPER(LEFT(TRIM(RIGHT(SUBSTITUTE(TRIM(F147)," ",REPT(" ",100)),100)),Settings!$B$9)),UPPER(LEFT(TRIM(F147),Settings!$B$9)))))</f>
        <v/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0" t="str">
        <f>IF(ISBLANK(D147),"",IF(COUNTIFS(Circulation!$B$2:$B$500,A147,Circulation!$H$2:$H$500,"Active")&gt;0,"On Loan","Available"))</f>
        <v/>
      </c>
      <c r="AA147" s="11"/>
      <c r="AB147" s="11"/>
      <c r="AC147" s="11"/>
      <c r="AD147" s="11"/>
      <c r="AE147" s="11"/>
      <c r="AF147" s="11"/>
      <c r="AG147" s="11"/>
    </row>
    <row r="148" spans="1:33" x14ac:dyDescent="0.25">
      <c r="A148" s="10" t="str">
        <f t="shared" si="4"/>
        <v/>
      </c>
      <c r="B148" s="11"/>
      <c r="C148" s="10" t="str">
        <f t="shared" si="5"/>
        <v/>
      </c>
      <c r="D148" s="11"/>
      <c r="E148" s="11"/>
      <c r="F148" s="11"/>
      <c r="G148" s="11"/>
      <c r="H148" s="10" t="str">
        <f>IF(ISBLANK(F148),"",IF(G148&lt;&gt;"",UPPER(TRIM(G148)),IF(ISNUMBER(SEARCH(" ",TRIM(F148))),UPPER(LEFT(TRIM(RIGHT(SUBSTITUTE(TRIM(F148)," ",REPT(" ",100)),100)),Settings!$B$9)),UPPER(LEFT(TRIM(F148),Settings!$B$9)))))</f>
        <v/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0" t="str">
        <f>IF(ISBLANK(D148),"",IF(COUNTIFS(Circulation!$B$2:$B$500,A148,Circulation!$H$2:$H$500,"Active")&gt;0,"On Loan","Available"))</f>
        <v/>
      </c>
      <c r="AA148" s="11"/>
      <c r="AB148" s="11"/>
      <c r="AC148" s="11"/>
      <c r="AD148" s="11"/>
      <c r="AE148" s="11"/>
      <c r="AF148" s="11"/>
      <c r="AG148" s="11"/>
    </row>
    <row r="149" spans="1:33" x14ac:dyDescent="0.25">
      <c r="A149" s="10" t="str">
        <f t="shared" si="4"/>
        <v/>
      </c>
      <c r="B149" s="11"/>
      <c r="C149" s="10" t="str">
        <f t="shared" si="5"/>
        <v/>
      </c>
      <c r="D149" s="11"/>
      <c r="E149" s="11"/>
      <c r="F149" s="11"/>
      <c r="G149" s="11"/>
      <c r="H149" s="10" t="str">
        <f>IF(ISBLANK(F149),"",IF(G149&lt;&gt;"",UPPER(TRIM(G149)),IF(ISNUMBER(SEARCH(" ",TRIM(F149))),UPPER(LEFT(TRIM(RIGHT(SUBSTITUTE(TRIM(F149)," ",REPT(" ",100)),100)),Settings!$B$9)),UPPER(LEFT(TRIM(F149),Settings!$B$9)))))</f>
        <v/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0" t="str">
        <f>IF(ISBLANK(D149),"",IF(COUNTIFS(Circulation!$B$2:$B$500,A149,Circulation!$H$2:$H$500,"Active")&gt;0,"On Loan","Available"))</f>
        <v/>
      </c>
      <c r="AA149" s="11"/>
      <c r="AB149" s="11"/>
      <c r="AC149" s="11"/>
      <c r="AD149" s="11"/>
      <c r="AE149" s="11"/>
      <c r="AF149" s="11"/>
      <c r="AG149" s="11"/>
    </row>
    <row r="150" spans="1:33" x14ac:dyDescent="0.25">
      <c r="A150" s="10" t="str">
        <f t="shared" si="4"/>
        <v/>
      </c>
      <c r="B150" s="11"/>
      <c r="C150" s="10" t="str">
        <f t="shared" si="5"/>
        <v/>
      </c>
      <c r="D150" s="11"/>
      <c r="E150" s="11"/>
      <c r="F150" s="11"/>
      <c r="G150" s="11"/>
      <c r="H150" s="10" t="str">
        <f>IF(ISBLANK(F150),"",IF(G150&lt;&gt;"",UPPER(TRIM(G150)),IF(ISNUMBER(SEARCH(" ",TRIM(F150))),UPPER(LEFT(TRIM(RIGHT(SUBSTITUTE(TRIM(F150)," ",REPT(" ",100)),100)),Settings!$B$9)),UPPER(LEFT(TRIM(F150),Settings!$B$9)))))</f>
        <v/>
      </c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0" t="str">
        <f>IF(ISBLANK(D150),"",IF(COUNTIFS(Circulation!$B$2:$B$500,A150,Circulation!$H$2:$H$500,"Active")&gt;0,"On Loan","Available"))</f>
        <v/>
      </c>
      <c r="AA150" s="11"/>
      <c r="AB150" s="11"/>
      <c r="AC150" s="11"/>
      <c r="AD150" s="11"/>
      <c r="AE150" s="11"/>
      <c r="AF150" s="11"/>
      <c r="AG150" s="11"/>
    </row>
    <row r="151" spans="1:33" x14ac:dyDescent="0.25">
      <c r="A151" s="10" t="str">
        <f t="shared" si="4"/>
        <v/>
      </c>
      <c r="B151" s="11"/>
      <c r="C151" s="10" t="str">
        <f t="shared" si="5"/>
        <v/>
      </c>
      <c r="D151" s="11"/>
      <c r="E151" s="11"/>
      <c r="F151" s="11"/>
      <c r="G151" s="11"/>
      <c r="H151" s="10" t="str">
        <f>IF(ISBLANK(F151),"",IF(G151&lt;&gt;"",UPPER(TRIM(G151)),IF(ISNUMBER(SEARCH(" ",TRIM(F151))),UPPER(LEFT(TRIM(RIGHT(SUBSTITUTE(TRIM(F151)," ",REPT(" ",100)),100)),Settings!$B$9)),UPPER(LEFT(TRIM(F151),Settings!$B$9)))))</f>
        <v/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0" t="str">
        <f>IF(ISBLANK(D151),"",IF(COUNTIFS(Circulation!$B$2:$B$500,A151,Circulation!$H$2:$H$500,"Active")&gt;0,"On Loan","Available"))</f>
        <v/>
      </c>
      <c r="AA151" s="11"/>
      <c r="AB151" s="11"/>
      <c r="AC151" s="11"/>
      <c r="AD151" s="11"/>
      <c r="AE151" s="11"/>
      <c r="AF151" s="11"/>
      <c r="AG151" s="11"/>
    </row>
    <row r="152" spans="1:33" x14ac:dyDescent="0.25">
      <c r="A152" s="10" t="str">
        <f t="shared" si="4"/>
        <v/>
      </c>
      <c r="B152" s="11"/>
      <c r="C152" s="10" t="str">
        <f t="shared" si="5"/>
        <v/>
      </c>
      <c r="D152" s="11"/>
      <c r="E152" s="11"/>
      <c r="F152" s="11"/>
      <c r="G152" s="11"/>
      <c r="H152" s="10" t="str">
        <f>IF(ISBLANK(F152),"",IF(G152&lt;&gt;"",UPPER(TRIM(G152)),IF(ISNUMBER(SEARCH(" ",TRIM(F152))),UPPER(LEFT(TRIM(RIGHT(SUBSTITUTE(TRIM(F152)," ",REPT(" ",100)),100)),Settings!$B$9)),UPPER(LEFT(TRIM(F152),Settings!$B$9)))))</f>
        <v/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0" t="str">
        <f>IF(ISBLANK(D152),"",IF(COUNTIFS(Circulation!$B$2:$B$500,A152,Circulation!$H$2:$H$500,"Active")&gt;0,"On Loan","Available"))</f>
        <v/>
      </c>
      <c r="AA152" s="11"/>
      <c r="AB152" s="11"/>
      <c r="AC152" s="11"/>
      <c r="AD152" s="11"/>
      <c r="AE152" s="11"/>
      <c r="AF152" s="11"/>
      <c r="AG152" s="11"/>
    </row>
    <row r="153" spans="1:33" x14ac:dyDescent="0.25">
      <c r="A153" s="10" t="str">
        <f t="shared" si="4"/>
        <v/>
      </c>
      <c r="B153" s="11"/>
      <c r="C153" s="10" t="str">
        <f t="shared" si="5"/>
        <v/>
      </c>
      <c r="D153" s="11"/>
      <c r="E153" s="11"/>
      <c r="F153" s="11"/>
      <c r="G153" s="11"/>
      <c r="H153" s="10" t="str">
        <f>IF(ISBLANK(F153),"",IF(G153&lt;&gt;"",UPPER(TRIM(G153)),IF(ISNUMBER(SEARCH(" ",TRIM(F153))),UPPER(LEFT(TRIM(RIGHT(SUBSTITUTE(TRIM(F153)," ",REPT(" ",100)),100)),Settings!$B$9)),UPPER(LEFT(TRIM(F153),Settings!$B$9)))))</f>
        <v/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0" t="str">
        <f>IF(ISBLANK(D153),"",IF(COUNTIFS(Circulation!$B$2:$B$500,A153,Circulation!$H$2:$H$500,"Active")&gt;0,"On Loan","Available"))</f>
        <v/>
      </c>
      <c r="AA153" s="11"/>
      <c r="AB153" s="11"/>
      <c r="AC153" s="11"/>
      <c r="AD153" s="11"/>
      <c r="AE153" s="11"/>
      <c r="AF153" s="11"/>
      <c r="AG153" s="11"/>
    </row>
    <row r="154" spans="1:33" x14ac:dyDescent="0.25">
      <c r="A154" s="10" t="str">
        <f t="shared" si="4"/>
        <v/>
      </c>
      <c r="B154" s="11"/>
      <c r="C154" s="10" t="str">
        <f t="shared" si="5"/>
        <v/>
      </c>
      <c r="D154" s="11"/>
      <c r="E154" s="11"/>
      <c r="F154" s="11"/>
      <c r="G154" s="11"/>
      <c r="H154" s="10" t="str">
        <f>IF(ISBLANK(F154),"",IF(G154&lt;&gt;"",UPPER(TRIM(G154)),IF(ISNUMBER(SEARCH(" ",TRIM(F154))),UPPER(LEFT(TRIM(RIGHT(SUBSTITUTE(TRIM(F154)," ",REPT(" ",100)),100)),Settings!$B$9)),UPPER(LEFT(TRIM(F154),Settings!$B$9)))))</f>
        <v/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0" t="str">
        <f>IF(ISBLANK(D154),"",IF(COUNTIFS(Circulation!$B$2:$B$500,A154,Circulation!$H$2:$H$500,"Active")&gt;0,"On Loan","Available"))</f>
        <v/>
      </c>
      <c r="AA154" s="11"/>
      <c r="AB154" s="11"/>
      <c r="AC154" s="11"/>
      <c r="AD154" s="11"/>
      <c r="AE154" s="11"/>
      <c r="AF154" s="11"/>
      <c r="AG154" s="11"/>
    </row>
    <row r="155" spans="1:33" x14ac:dyDescent="0.25">
      <c r="A155" s="10" t="str">
        <f t="shared" si="4"/>
        <v/>
      </c>
      <c r="B155" s="11"/>
      <c r="C155" s="10" t="str">
        <f t="shared" si="5"/>
        <v/>
      </c>
      <c r="D155" s="11"/>
      <c r="E155" s="11"/>
      <c r="F155" s="11"/>
      <c r="G155" s="11"/>
      <c r="H155" s="10" t="str">
        <f>IF(ISBLANK(F155),"",IF(G155&lt;&gt;"",UPPER(TRIM(G155)),IF(ISNUMBER(SEARCH(" ",TRIM(F155))),UPPER(LEFT(TRIM(RIGHT(SUBSTITUTE(TRIM(F155)," ",REPT(" ",100)),100)),Settings!$B$9)),UPPER(LEFT(TRIM(F155),Settings!$B$9)))))</f>
        <v/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0" t="str">
        <f>IF(ISBLANK(D155),"",IF(COUNTIFS(Circulation!$B$2:$B$500,A155,Circulation!$H$2:$H$500,"Active")&gt;0,"On Loan","Available"))</f>
        <v/>
      </c>
      <c r="AA155" s="11"/>
      <c r="AB155" s="11"/>
      <c r="AC155" s="11"/>
      <c r="AD155" s="11"/>
      <c r="AE155" s="11"/>
      <c r="AF155" s="11"/>
      <c r="AG155" s="11"/>
    </row>
    <row r="156" spans="1:33" x14ac:dyDescent="0.25">
      <c r="A156" s="10" t="str">
        <f t="shared" si="4"/>
        <v/>
      </c>
      <c r="B156" s="11"/>
      <c r="C156" s="10" t="str">
        <f t="shared" si="5"/>
        <v/>
      </c>
      <c r="D156" s="11"/>
      <c r="E156" s="11"/>
      <c r="F156" s="11"/>
      <c r="G156" s="11"/>
      <c r="H156" s="10" t="str">
        <f>IF(ISBLANK(F156),"",IF(G156&lt;&gt;"",UPPER(TRIM(G156)),IF(ISNUMBER(SEARCH(" ",TRIM(F156))),UPPER(LEFT(TRIM(RIGHT(SUBSTITUTE(TRIM(F156)," ",REPT(" ",100)),100)),Settings!$B$9)),UPPER(LEFT(TRIM(F156),Settings!$B$9)))))</f>
        <v/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0" t="str">
        <f>IF(ISBLANK(D156),"",IF(COUNTIFS(Circulation!$B$2:$B$500,A156,Circulation!$H$2:$H$500,"Active")&gt;0,"On Loan","Available"))</f>
        <v/>
      </c>
      <c r="AA156" s="11"/>
      <c r="AB156" s="11"/>
      <c r="AC156" s="11"/>
      <c r="AD156" s="11"/>
      <c r="AE156" s="11"/>
      <c r="AF156" s="11"/>
      <c r="AG156" s="11"/>
    </row>
    <row r="157" spans="1:33" x14ac:dyDescent="0.25">
      <c r="A157" s="10" t="str">
        <f t="shared" si="4"/>
        <v/>
      </c>
      <c r="B157" s="11"/>
      <c r="C157" s="10" t="str">
        <f t="shared" si="5"/>
        <v/>
      </c>
      <c r="D157" s="11"/>
      <c r="E157" s="11"/>
      <c r="F157" s="11"/>
      <c r="G157" s="11"/>
      <c r="H157" s="10" t="str">
        <f>IF(ISBLANK(F157),"",IF(G157&lt;&gt;"",UPPER(TRIM(G157)),IF(ISNUMBER(SEARCH(" ",TRIM(F157))),UPPER(LEFT(TRIM(RIGHT(SUBSTITUTE(TRIM(F157)," ",REPT(" ",100)),100)),Settings!$B$9)),UPPER(LEFT(TRIM(F157),Settings!$B$9)))))</f>
        <v/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0" t="str">
        <f>IF(ISBLANK(D157),"",IF(COUNTIFS(Circulation!$B$2:$B$500,A157,Circulation!$H$2:$H$500,"Active")&gt;0,"On Loan","Available"))</f>
        <v/>
      </c>
      <c r="AA157" s="11"/>
      <c r="AB157" s="11"/>
      <c r="AC157" s="11"/>
      <c r="AD157" s="11"/>
      <c r="AE157" s="11"/>
      <c r="AF157" s="11"/>
      <c r="AG157" s="11"/>
    </row>
    <row r="158" spans="1:33" x14ac:dyDescent="0.25">
      <c r="A158" s="10" t="str">
        <f t="shared" si="4"/>
        <v/>
      </c>
      <c r="B158" s="11"/>
      <c r="C158" s="10" t="str">
        <f t="shared" si="5"/>
        <v/>
      </c>
      <c r="D158" s="11"/>
      <c r="E158" s="11"/>
      <c r="F158" s="11"/>
      <c r="G158" s="11"/>
      <c r="H158" s="10" t="str">
        <f>IF(ISBLANK(F158),"",IF(G158&lt;&gt;"",UPPER(TRIM(G158)),IF(ISNUMBER(SEARCH(" ",TRIM(F158))),UPPER(LEFT(TRIM(RIGHT(SUBSTITUTE(TRIM(F158)," ",REPT(" ",100)),100)),Settings!$B$9)),UPPER(LEFT(TRIM(F158),Settings!$B$9)))))</f>
        <v/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0" t="str">
        <f>IF(ISBLANK(D158),"",IF(COUNTIFS(Circulation!$B$2:$B$500,A158,Circulation!$H$2:$H$500,"Active")&gt;0,"On Loan","Available"))</f>
        <v/>
      </c>
      <c r="AA158" s="11"/>
      <c r="AB158" s="11"/>
      <c r="AC158" s="11"/>
      <c r="AD158" s="11"/>
      <c r="AE158" s="11"/>
      <c r="AF158" s="11"/>
      <c r="AG158" s="11"/>
    </row>
    <row r="159" spans="1:33" x14ac:dyDescent="0.25">
      <c r="A159" s="10" t="str">
        <f t="shared" si="4"/>
        <v/>
      </c>
      <c r="B159" s="11"/>
      <c r="C159" s="10" t="str">
        <f t="shared" si="5"/>
        <v/>
      </c>
      <c r="D159" s="11"/>
      <c r="E159" s="11"/>
      <c r="F159" s="11"/>
      <c r="G159" s="11"/>
      <c r="H159" s="10" t="str">
        <f>IF(ISBLANK(F159),"",IF(G159&lt;&gt;"",UPPER(TRIM(G159)),IF(ISNUMBER(SEARCH(" ",TRIM(F159))),UPPER(LEFT(TRIM(RIGHT(SUBSTITUTE(TRIM(F159)," ",REPT(" ",100)),100)),Settings!$B$9)),UPPER(LEFT(TRIM(F159),Settings!$B$9)))))</f>
        <v/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0" t="str">
        <f>IF(ISBLANK(D159),"",IF(COUNTIFS(Circulation!$B$2:$B$500,A159,Circulation!$H$2:$H$500,"Active")&gt;0,"On Loan","Available"))</f>
        <v/>
      </c>
      <c r="AA159" s="11"/>
      <c r="AB159" s="11"/>
      <c r="AC159" s="11"/>
      <c r="AD159" s="11"/>
      <c r="AE159" s="11"/>
      <c r="AF159" s="11"/>
      <c r="AG159" s="11"/>
    </row>
    <row r="160" spans="1:33" x14ac:dyDescent="0.25">
      <c r="A160" s="10" t="str">
        <f t="shared" si="4"/>
        <v/>
      </c>
      <c r="B160" s="11"/>
      <c r="C160" s="10" t="str">
        <f t="shared" si="5"/>
        <v/>
      </c>
      <c r="D160" s="11"/>
      <c r="E160" s="11"/>
      <c r="F160" s="11"/>
      <c r="G160" s="11"/>
      <c r="H160" s="10" t="str">
        <f>IF(ISBLANK(F160),"",IF(G160&lt;&gt;"",UPPER(TRIM(G160)),IF(ISNUMBER(SEARCH(" ",TRIM(F160))),UPPER(LEFT(TRIM(RIGHT(SUBSTITUTE(TRIM(F160)," ",REPT(" ",100)),100)),Settings!$B$9)),UPPER(LEFT(TRIM(F160),Settings!$B$9)))))</f>
        <v/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0" t="str">
        <f>IF(ISBLANK(D160),"",IF(COUNTIFS(Circulation!$B$2:$B$500,A160,Circulation!$H$2:$H$500,"Active")&gt;0,"On Loan","Available"))</f>
        <v/>
      </c>
      <c r="AA160" s="11"/>
      <c r="AB160" s="11"/>
      <c r="AC160" s="11"/>
      <c r="AD160" s="11"/>
      <c r="AE160" s="11"/>
      <c r="AF160" s="11"/>
      <c r="AG160" s="11"/>
    </row>
    <row r="161" spans="1:33" x14ac:dyDescent="0.25">
      <c r="A161" s="10" t="str">
        <f t="shared" si="4"/>
        <v/>
      </c>
      <c r="B161" s="11"/>
      <c r="C161" s="10" t="str">
        <f t="shared" si="5"/>
        <v/>
      </c>
      <c r="D161" s="11"/>
      <c r="E161" s="11"/>
      <c r="F161" s="11"/>
      <c r="G161" s="11"/>
      <c r="H161" s="10" t="str">
        <f>IF(ISBLANK(F161),"",IF(G161&lt;&gt;"",UPPER(TRIM(G161)),IF(ISNUMBER(SEARCH(" ",TRIM(F161))),UPPER(LEFT(TRIM(RIGHT(SUBSTITUTE(TRIM(F161)," ",REPT(" ",100)),100)),Settings!$B$9)),UPPER(LEFT(TRIM(F161),Settings!$B$9)))))</f>
        <v/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0" t="str">
        <f>IF(ISBLANK(D161),"",IF(COUNTIFS(Circulation!$B$2:$B$500,A161,Circulation!$H$2:$H$500,"Active")&gt;0,"On Loan","Available"))</f>
        <v/>
      </c>
      <c r="AA161" s="11"/>
      <c r="AB161" s="11"/>
      <c r="AC161" s="11"/>
      <c r="AD161" s="11"/>
      <c r="AE161" s="11"/>
      <c r="AF161" s="11"/>
      <c r="AG161" s="11"/>
    </row>
    <row r="162" spans="1:33" x14ac:dyDescent="0.25">
      <c r="A162" s="10" t="str">
        <f t="shared" si="4"/>
        <v/>
      </c>
      <c r="B162" s="11"/>
      <c r="C162" s="10" t="str">
        <f t="shared" si="5"/>
        <v/>
      </c>
      <c r="D162" s="11"/>
      <c r="E162" s="11"/>
      <c r="F162" s="11"/>
      <c r="G162" s="11"/>
      <c r="H162" s="10" t="str">
        <f>IF(ISBLANK(F162),"",IF(G162&lt;&gt;"",UPPER(TRIM(G162)),IF(ISNUMBER(SEARCH(" ",TRIM(F162))),UPPER(LEFT(TRIM(RIGHT(SUBSTITUTE(TRIM(F162)," ",REPT(" ",100)),100)),Settings!$B$9)),UPPER(LEFT(TRIM(F162),Settings!$B$9)))))</f>
        <v/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0" t="str">
        <f>IF(ISBLANK(D162),"",IF(COUNTIFS(Circulation!$B$2:$B$500,A162,Circulation!$H$2:$H$500,"Active")&gt;0,"On Loan","Available"))</f>
        <v/>
      </c>
      <c r="AA162" s="11"/>
      <c r="AB162" s="11"/>
      <c r="AC162" s="11"/>
      <c r="AD162" s="11"/>
      <c r="AE162" s="11"/>
      <c r="AF162" s="11"/>
      <c r="AG162" s="11"/>
    </row>
    <row r="163" spans="1:33" x14ac:dyDescent="0.25">
      <c r="A163" s="10" t="str">
        <f t="shared" si="4"/>
        <v/>
      </c>
      <c r="B163" s="11"/>
      <c r="C163" s="10" t="str">
        <f t="shared" si="5"/>
        <v/>
      </c>
      <c r="D163" s="11"/>
      <c r="E163" s="11"/>
      <c r="F163" s="11"/>
      <c r="G163" s="11"/>
      <c r="H163" s="10" t="str">
        <f>IF(ISBLANK(F163),"",IF(G163&lt;&gt;"",UPPER(TRIM(G163)),IF(ISNUMBER(SEARCH(" ",TRIM(F163))),UPPER(LEFT(TRIM(RIGHT(SUBSTITUTE(TRIM(F163)," ",REPT(" ",100)),100)),Settings!$B$9)),UPPER(LEFT(TRIM(F163),Settings!$B$9)))))</f>
        <v/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0" t="str">
        <f>IF(ISBLANK(D163),"",IF(COUNTIFS(Circulation!$B$2:$B$500,A163,Circulation!$H$2:$H$500,"Active")&gt;0,"On Loan","Available"))</f>
        <v/>
      </c>
      <c r="AA163" s="11"/>
      <c r="AB163" s="11"/>
      <c r="AC163" s="11"/>
      <c r="AD163" s="11"/>
      <c r="AE163" s="11"/>
      <c r="AF163" s="11"/>
      <c r="AG163" s="11"/>
    </row>
    <row r="164" spans="1:33" x14ac:dyDescent="0.25">
      <c r="A164" s="10" t="str">
        <f t="shared" si="4"/>
        <v/>
      </c>
      <c r="B164" s="11"/>
      <c r="C164" s="10" t="str">
        <f t="shared" si="5"/>
        <v/>
      </c>
      <c r="D164" s="11"/>
      <c r="E164" s="11"/>
      <c r="F164" s="11"/>
      <c r="G164" s="11"/>
      <c r="H164" s="10" t="str">
        <f>IF(ISBLANK(F164),"",IF(G164&lt;&gt;"",UPPER(TRIM(G164)),IF(ISNUMBER(SEARCH(" ",TRIM(F164))),UPPER(LEFT(TRIM(RIGHT(SUBSTITUTE(TRIM(F164)," ",REPT(" ",100)),100)),Settings!$B$9)),UPPER(LEFT(TRIM(F164),Settings!$B$9)))))</f>
        <v/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0" t="str">
        <f>IF(ISBLANK(D164),"",IF(COUNTIFS(Circulation!$B$2:$B$500,A164,Circulation!$H$2:$H$500,"Active")&gt;0,"On Loan","Available"))</f>
        <v/>
      </c>
      <c r="AA164" s="11"/>
      <c r="AB164" s="11"/>
      <c r="AC164" s="11"/>
      <c r="AD164" s="11"/>
      <c r="AE164" s="11"/>
      <c r="AF164" s="11"/>
      <c r="AG164" s="11"/>
    </row>
    <row r="165" spans="1:33" x14ac:dyDescent="0.25">
      <c r="A165" s="10" t="str">
        <f t="shared" si="4"/>
        <v/>
      </c>
      <c r="B165" s="11"/>
      <c r="C165" s="10" t="str">
        <f t="shared" si="5"/>
        <v/>
      </c>
      <c r="D165" s="11"/>
      <c r="E165" s="11"/>
      <c r="F165" s="11"/>
      <c r="G165" s="11"/>
      <c r="H165" s="10" t="str">
        <f>IF(ISBLANK(F165),"",IF(G165&lt;&gt;"",UPPER(TRIM(G165)),IF(ISNUMBER(SEARCH(" ",TRIM(F165))),UPPER(LEFT(TRIM(RIGHT(SUBSTITUTE(TRIM(F165)," ",REPT(" ",100)),100)),Settings!$B$9)),UPPER(LEFT(TRIM(F165),Settings!$B$9)))))</f>
        <v/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0" t="str">
        <f>IF(ISBLANK(D165),"",IF(COUNTIFS(Circulation!$B$2:$B$500,A165,Circulation!$H$2:$H$500,"Active")&gt;0,"On Loan","Available"))</f>
        <v/>
      </c>
      <c r="AA165" s="11"/>
      <c r="AB165" s="11"/>
      <c r="AC165" s="11"/>
      <c r="AD165" s="11"/>
      <c r="AE165" s="11"/>
      <c r="AF165" s="11"/>
      <c r="AG165" s="11"/>
    </row>
    <row r="166" spans="1:33" x14ac:dyDescent="0.25">
      <c r="A166" s="10" t="str">
        <f t="shared" si="4"/>
        <v/>
      </c>
      <c r="B166" s="11"/>
      <c r="C166" s="10" t="str">
        <f t="shared" si="5"/>
        <v/>
      </c>
      <c r="D166" s="11"/>
      <c r="E166" s="11"/>
      <c r="F166" s="11"/>
      <c r="G166" s="11"/>
      <c r="H166" s="10" t="str">
        <f>IF(ISBLANK(F166),"",IF(G166&lt;&gt;"",UPPER(TRIM(G166)),IF(ISNUMBER(SEARCH(" ",TRIM(F166))),UPPER(LEFT(TRIM(RIGHT(SUBSTITUTE(TRIM(F166)," ",REPT(" ",100)),100)),Settings!$B$9)),UPPER(LEFT(TRIM(F166),Settings!$B$9)))))</f>
        <v/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0" t="str">
        <f>IF(ISBLANK(D166),"",IF(COUNTIFS(Circulation!$B$2:$B$500,A166,Circulation!$H$2:$H$500,"Active")&gt;0,"On Loan","Available"))</f>
        <v/>
      </c>
      <c r="AA166" s="11"/>
      <c r="AB166" s="11"/>
      <c r="AC166" s="11"/>
      <c r="AD166" s="11"/>
      <c r="AE166" s="11"/>
      <c r="AF166" s="11"/>
      <c r="AG166" s="11"/>
    </row>
    <row r="167" spans="1:33" x14ac:dyDescent="0.25">
      <c r="A167" s="10" t="str">
        <f t="shared" si="4"/>
        <v/>
      </c>
      <c r="B167" s="11"/>
      <c r="C167" s="10" t="str">
        <f t="shared" si="5"/>
        <v/>
      </c>
      <c r="D167" s="11"/>
      <c r="E167" s="11"/>
      <c r="F167" s="11"/>
      <c r="G167" s="11"/>
      <c r="H167" s="10" t="str">
        <f>IF(ISBLANK(F167),"",IF(G167&lt;&gt;"",UPPER(TRIM(G167)),IF(ISNUMBER(SEARCH(" ",TRIM(F167))),UPPER(LEFT(TRIM(RIGHT(SUBSTITUTE(TRIM(F167)," ",REPT(" ",100)),100)),Settings!$B$9)),UPPER(LEFT(TRIM(F167),Settings!$B$9)))))</f>
        <v/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0" t="str">
        <f>IF(ISBLANK(D167),"",IF(COUNTIFS(Circulation!$B$2:$B$500,A167,Circulation!$H$2:$H$500,"Active")&gt;0,"On Loan","Available"))</f>
        <v/>
      </c>
      <c r="AA167" s="11"/>
      <c r="AB167" s="11"/>
      <c r="AC167" s="11"/>
      <c r="AD167" s="11"/>
      <c r="AE167" s="11"/>
      <c r="AF167" s="11"/>
      <c r="AG167" s="11"/>
    </row>
    <row r="168" spans="1:33" x14ac:dyDescent="0.25">
      <c r="A168" s="10" t="str">
        <f t="shared" si="4"/>
        <v/>
      </c>
      <c r="B168" s="11"/>
      <c r="C168" s="10" t="str">
        <f t="shared" si="5"/>
        <v/>
      </c>
      <c r="D168" s="11"/>
      <c r="E168" s="11"/>
      <c r="F168" s="11"/>
      <c r="G168" s="11"/>
      <c r="H168" s="10" t="str">
        <f>IF(ISBLANK(F168),"",IF(G168&lt;&gt;"",UPPER(TRIM(G168)),IF(ISNUMBER(SEARCH(" ",TRIM(F168))),UPPER(LEFT(TRIM(RIGHT(SUBSTITUTE(TRIM(F168)," ",REPT(" ",100)),100)),Settings!$B$9)),UPPER(LEFT(TRIM(F168),Settings!$B$9)))))</f>
        <v/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0" t="str">
        <f>IF(ISBLANK(D168),"",IF(COUNTIFS(Circulation!$B$2:$B$500,A168,Circulation!$H$2:$H$500,"Active")&gt;0,"On Loan","Available"))</f>
        <v/>
      </c>
      <c r="AA168" s="11"/>
      <c r="AB168" s="11"/>
      <c r="AC168" s="11"/>
      <c r="AD168" s="11"/>
      <c r="AE168" s="11"/>
      <c r="AF168" s="11"/>
      <c r="AG168" s="11"/>
    </row>
    <row r="169" spans="1:33" x14ac:dyDescent="0.25">
      <c r="A169" s="10" t="str">
        <f t="shared" si="4"/>
        <v/>
      </c>
      <c r="B169" s="11"/>
      <c r="C169" s="10" t="str">
        <f t="shared" si="5"/>
        <v/>
      </c>
      <c r="D169" s="11"/>
      <c r="E169" s="11"/>
      <c r="F169" s="11"/>
      <c r="G169" s="11"/>
      <c r="H169" s="10" t="str">
        <f>IF(ISBLANK(F169),"",IF(G169&lt;&gt;"",UPPER(TRIM(G169)),IF(ISNUMBER(SEARCH(" ",TRIM(F169))),UPPER(LEFT(TRIM(RIGHT(SUBSTITUTE(TRIM(F169)," ",REPT(" ",100)),100)),Settings!$B$9)),UPPER(LEFT(TRIM(F169),Settings!$B$9)))))</f>
        <v/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0" t="str">
        <f>IF(ISBLANK(D169),"",IF(COUNTIFS(Circulation!$B$2:$B$500,A169,Circulation!$H$2:$H$500,"Active")&gt;0,"On Loan","Available"))</f>
        <v/>
      </c>
      <c r="AA169" s="11"/>
      <c r="AB169" s="11"/>
      <c r="AC169" s="11"/>
      <c r="AD169" s="11"/>
      <c r="AE169" s="11"/>
      <c r="AF169" s="11"/>
      <c r="AG169" s="11"/>
    </row>
    <row r="170" spans="1:33" x14ac:dyDescent="0.25">
      <c r="A170" s="10" t="str">
        <f t="shared" si="4"/>
        <v/>
      </c>
      <c r="B170" s="11"/>
      <c r="C170" s="10" t="str">
        <f t="shared" si="5"/>
        <v/>
      </c>
      <c r="D170" s="11"/>
      <c r="E170" s="11"/>
      <c r="F170" s="11"/>
      <c r="G170" s="11"/>
      <c r="H170" s="10" t="str">
        <f>IF(ISBLANK(F170),"",IF(G170&lt;&gt;"",UPPER(TRIM(G170)),IF(ISNUMBER(SEARCH(" ",TRIM(F170))),UPPER(LEFT(TRIM(RIGHT(SUBSTITUTE(TRIM(F170)," ",REPT(" ",100)),100)),Settings!$B$9)),UPPER(LEFT(TRIM(F170),Settings!$B$9)))))</f>
        <v/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0" t="str">
        <f>IF(ISBLANK(D170),"",IF(COUNTIFS(Circulation!$B$2:$B$500,A170,Circulation!$H$2:$H$500,"Active")&gt;0,"On Loan","Available"))</f>
        <v/>
      </c>
      <c r="AA170" s="11"/>
      <c r="AB170" s="11"/>
      <c r="AC170" s="11"/>
      <c r="AD170" s="11"/>
      <c r="AE170" s="11"/>
      <c r="AF170" s="11"/>
      <c r="AG170" s="11"/>
    </row>
    <row r="171" spans="1:33" x14ac:dyDescent="0.25">
      <c r="A171" s="10" t="str">
        <f t="shared" si="4"/>
        <v/>
      </c>
      <c r="B171" s="11"/>
      <c r="C171" s="10" t="str">
        <f t="shared" si="5"/>
        <v/>
      </c>
      <c r="D171" s="11"/>
      <c r="E171" s="11"/>
      <c r="F171" s="11"/>
      <c r="G171" s="11"/>
      <c r="H171" s="10" t="str">
        <f>IF(ISBLANK(F171),"",IF(G171&lt;&gt;"",UPPER(TRIM(G171)),IF(ISNUMBER(SEARCH(" ",TRIM(F171))),UPPER(LEFT(TRIM(RIGHT(SUBSTITUTE(TRIM(F171)," ",REPT(" ",100)),100)),Settings!$B$9)),UPPER(LEFT(TRIM(F171),Settings!$B$9)))))</f>
        <v/>
      </c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0" t="str">
        <f>IF(ISBLANK(D171),"",IF(COUNTIFS(Circulation!$B$2:$B$500,A171,Circulation!$H$2:$H$500,"Active")&gt;0,"On Loan","Available"))</f>
        <v/>
      </c>
      <c r="AA171" s="11"/>
      <c r="AB171" s="11"/>
      <c r="AC171" s="11"/>
      <c r="AD171" s="11"/>
      <c r="AE171" s="11"/>
      <c r="AF171" s="11"/>
      <c r="AG171" s="11"/>
    </row>
    <row r="172" spans="1:33" x14ac:dyDescent="0.25">
      <c r="A172" s="10" t="str">
        <f t="shared" si="4"/>
        <v/>
      </c>
      <c r="B172" s="11"/>
      <c r="C172" s="10" t="str">
        <f t="shared" si="5"/>
        <v/>
      </c>
      <c r="D172" s="11"/>
      <c r="E172" s="11"/>
      <c r="F172" s="11"/>
      <c r="G172" s="11"/>
      <c r="H172" s="10" t="str">
        <f>IF(ISBLANK(F172),"",IF(G172&lt;&gt;"",UPPER(TRIM(G172)),IF(ISNUMBER(SEARCH(" ",TRIM(F172))),UPPER(LEFT(TRIM(RIGHT(SUBSTITUTE(TRIM(F172)," ",REPT(" ",100)),100)),Settings!$B$9)),UPPER(LEFT(TRIM(F172),Settings!$B$9)))))</f>
        <v/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0" t="str">
        <f>IF(ISBLANK(D172),"",IF(COUNTIFS(Circulation!$B$2:$B$500,A172,Circulation!$H$2:$H$500,"Active")&gt;0,"On Loan","Available"))</f>
        <v/>
      </c>
      <c r="AA172" s="11"/>
      <c r="AB172" s="11"/>
      <c r="AC172" s="11"/>
      <c r="AD172" s="11"/>
      <c r="AE172" s="11"/>
      <c r="AF172" s="11"/>
      <c r="AG172" s="11"/>
    </row>
    <row r="173" spans="1:33" x14ac:dyDescent="0.25">
      <c r="A173" s="10" t="str">
        <f t="shared" si="4"/>
        <v/>
      </c>
      <c r="B173" s="11"/>
      <c r="C173" s="10" t="str">
        <f t="shared" si="5"/>
        <v/>
      </c>
      <c r="D173" s="11"/>
      <c r="E173" s="11"/>
      <c r="F173" s="11"/>
      <c r="G173" s="11"/>
      <c r="H173" s="10" t="str">
        <f>IF(ISBLANK(F173),"",IF(G173&lt;&gt;"",UPPER(TRIM(G173)),IF(ISNUMBER(SEARCH(" ",TRIM(F173))),UPPER(LEFT(TRIM(RIGHT(SUBSTITUTE(TRIM(F173)," ",REPT(" ",100)),100)),Settings!$B$9)),UPPER(LEFT(TRIM(F173),Settings!$B$9)))))</f>
        <v/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0" t="str">
        <f>IF(ISBLANK(D173),"",IF(COUNTIFS(Circulation!$B$2:$B$500,A173,Circulation!$H$2:$H$500,"Active")&gt;0,"On Loan","Available"))</f>
        <v/>
      </c>
      <c r="AA173" s="11"/>
      <c r="AB173" s="11"/>
      <c r="AC173" s="11"/>
      <c r="AD173" s="11"/>
      <c r="AE173" s="11"/>
      <c r="AF173" s="11"/>
      <c r="AG173" s="11"/>
    </row>
    <row r="174" spans="1:33" x14ac:dyDescent="0.25">
      <c r="A174" s="10" t="str">
        <f t="shared" si="4"/>
        <v/>
      </c>
      <c r="B174" s="11"/>
      <c r="C174" s="10" t="str">
        <f t="shared" si="5"/>
        <v/>
      </c>
      <c r="D174" s="11"/>
      <c r="E174" s="11"/>
      <c r="F174" s="11"/>
      <c r="G174" s="11"/>
      <c r="H174" s="10" t="str">
        <f>IF(ISBLANK(F174),"",IF(G174&lt;&gt;"",UPPER(TRIM(G174)),IF(ISNUMBER(SEARCH(" ",TRIM(F174))),UPPER(LEFT(TRIM(RIGHT(SUBSTITUTE(TRIM(F174)," ",REPT(" ",100)),100)),Settings!$B$9)),UPPER(LEFT(TRIM(F174),Settings!$B$9)))))</f>
        <v/>
      </c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0" t="str">
        <f>IF(ISBLANK(D174),"",IF(COUNTIFS(Circulation!$B$2:$B$500,A174,Circulation!$H$2:$H$500,"Active")&gt;0,"On Loan","Available"))</f>
        <v/>
      </c>
      <c r="AA174" s="11"/>
      <c r="AB174" s="11"/>
      <c r="AC174" s="11"/>
      <c r="AD174" s="11"/>
      <c r="AE174" s="11"/>
      <c r="AF174" s="11"/>
      <c r="AG174" s="11"/>
    </row>
    <row r="175" spans="1:33" x14ac:dyDescent="0.25">
      <c r="A175" s="10" t="str">
        <f t="shared" si="4"/>
        <v/>
      </c>
      <c r="B175" s="11"/>
      <c r="C175" s="10" t="str">
        <f t="shared" si="5"/>
        <v/>
      </c>
      <c r="D175" s="11"/>
      <c r="E175" s="11"/>
      <c r="F175" s="11"/>
      <c r="G175" s="11"/>
      <c r="H175" s="10" t="str">
        <f>IF(ISBLANK(F175),"",IF(G175&lt;&gt;"",UPPER(TRIM(G175)),IF(ISNUMBER(SEARCH(" ",TRIM(F175))),UPPER(LEFT(TRIM(RIGHT(SUBSTITUTE(TRIM(F175)," ",REPT(" ",100)),100)),Settings!$B$9)),UPPER(LEFT(TRIM(F175),Settings!$B$9)))))</f>
        <v/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0" t="str">
        <f>IF(ISBLANK(D175),"",IF(COUNTIFS(Circulation!$B$2:$B$500,A175,Circulation!$H$2:$H$500,"Active")&gt;0,"On Loan","Available"))</f>
        <v/>
      </c>
      <c r="AA175" s="11"/>
      <c r="AB175" s="11"/>
      <c r="AC175" s="11"/>
      <c r="AD175" s="11"/>
      <c r="AE175" s="11"/>
      <c r="AF175" s="11"/>
      <c r="AG175" s="11"/>
    </row>
    <row r="176" spans="1:33" x14ac:dyDescent="0.25">
      <c r="A176" s="10" t="str">
        <f t="shared" si="4"/>
        <v/>
      </c>
      <c r="B176" s="11"/>
      <c r="C176" s="10" t="str">
        <f t="shared" si="5"/>
        <v/>
      </c>
      <c r="D176" s="11"/>
      <c r="E176" s="11"/>
      <c r="F176" s="11"/>
      <c r="G176" s="11"/>
      <c r="H176" s="10" t="str">
        <f>IF(ISBLANK(F176),"",IF(G176&lt;&gt;"",UPPER(TRIM(G176)),IF(ISNUMBER(SEARCH(" ",TRIM(F176))),UPPER(LEFT(TRIM(RIGHT(SUBSTITUTE(TRIM(F176)," ",REPT(" ",100)),100)),Settings!$B$9)),UPPER(LEFT(TRIM(F176),Settings!$B$9)))))</f>
        <v/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0" t="str">
        <f>IF(ISBLANK(D176),"",IF(COUNTIFS(Circulation!$B$2:$B$500,A176,Circulation!$H$2:$H$500,"Active")&gt;0,"On Loan","Available"))</f>
        <v/>
      </c>
      <c r="AA176" s="11"/>
      <c r="AB176" s="11"/>
      <c r="AC176" s="11"/>
      <c r="AD176" s="11"/>
      <c r="AE176" s="11"/>
      <c r="AF176" s="11"/>
      <c r="AG176" s="11"/>
    </row>
    <row r="177" spans="1:33" x14ac:dyDescent="0.25">
      <c r="A177" s="10" t="str">
        <f t="shared" si="4"/>
        <v/>
      </c>
      <c r="B177" s="11"/>
      <c r="C177" s="10" t="str">
        <f t="shared" si="5"/>
        <v/>
      </c>
      <c r="D177" s="11"/>
      <c r="E177" s="11"/>
      <c r="F177" s="11"/>
      <c r="G177" s="11"/>
      <c r="H177" s="10" t="str">
        <f>IF(ISBLANK(F177),"",IF(G177&lt;&gt;"",UPPER(TRIM(G177)),IF(ISNUMBER(SEARCH(" ",TRIM(F177))),UPPER(LEFT(TRIM(RIGHT(SUBSTITUTE(TRIM(F177)," ",REPT(" ",100)),100)),Settings!$B$9)),UPPER(LEFT(TRIM(F177),Settings!$B$9)))))</f>
        <v/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0" t="str">
        <f>IF(ISBLANK(D177),"",IF(COUNTIFS(Circulation!$B$2:$B$500,A177,Circulation!$H$2:$H$500,"Active")&gt;0,"On Loan","Available"))</f>
        <v/>
      </c>
      <c r="AA177" s="11"/>
      <c r="AB177" s="11"/>
      <c r="AC177" s="11"/>
      <c r="AD177" s="11"/>
      <c r="AE177" s="11"/>
      <c r="AF177" s="11"/>
      <c r="AG177" s="11"/>
    </row>
    <row r="178" spans="1:33" x14ac:dyDescent="0.25">
      <c r="A178" s="10" t="str">
        <f t="shared" si="4"/>
        <v/>
      </c>
      <c r="B178" s="11"/>
      <c r="C178" s="10" t="str">
        <f t="shared" si="5"/>
        <v/>
      </c>
      <c r="D178" s="11"/>
      <c r="E178" s="11"/>
      <c r="F178" s="11"/>
      <c r="G178" s="11"/>
      <c r="H178" s="10" t="str">
        <f>IF(ISBLANK(F178),"",IF(G178&lt;&gt;"",UPPER(TRIM(G178)),IF(ISNUMBER(SEARCH(" ",TRIM(F178))),UPPER(LEFT(TRIM(RIGHT(SUBSTITUTE(TRIM(F178)," ",REPT(" ",100)),100)),Settings!$B$9)),UPPER(LEFT(TRIM(F178),Settings!$B$9)))))</f>
        <v/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0" t="str">
        <f>IF(ISBLANK(D178),"",IF(COUNTIFS(Circulation!$B$2:$B$500,A178,Circulation!$H$2:$H$500,"Active")&gt;0,"On Loan","Available"))</f>
        <v/>
      </c>
      <c r="AA178" s="11"/>
      <c r="AB178" s="11"/>
      <c r="AC178" s="11"/>
      <c r="AD178" s="11"/>
      <c r="AE178" s="11"/>
      <c r="AF178" s="11"/>
      <c r="AG178" s="11"/>
    </row>
    <row r="179" spans="1:33" x14ac:dyDescent="0.25">
      <c r="A179" s="10" t="str">
        <f t="shared" si="4"/>
        <v/>
      </c>
      <c r="B179" s="11"/>
      <c r="C179" s="10" t="str">
        <f t="shared" si="5"/>
        <v/>
      </c>
      <c r="D179" s="11"/>
      <c r="E179" s="11"/>
      <c r="F179" s="11"/>
      <c r="G179" s="11"/>
      <c r="H179" s="10" t="str">
        <f>IF(ISBLANK(F179),"",IF(G179&lt;&gt;"",UPPER(TRIM(G179)),IF(ISNUMBER(SEARCH(" ",TRIM(F179))),UPPER(LEFT(TRIM(RIGHT(SUBSTITUTE(TRIM(F179)," ",REPT(" ",100)),100)),Settings!$B$9)),UPPER(LEFT(TRIM(F179),Settings!$B$9)))))</f>
        <v/>
      </c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0" t="str">
        <f>IF(ISBLANK(D179),"",IF(COUNTIFS(Circulation!$B$2:$B$500,A179,Circulation!$H$2:$H$500,"Active")&gt;0,"On Loan","Available"))</f>
        <v/>
      </c>
      <c r="AA179" s="11"/>
      <c r="AB179" s="11"/>
      <c r="AC179" s="11"/>
      <c r="AD179" s="11"/>
      <c r="AE179" s="11"/>
      <c r="AF179" s="11"/>
      <c r="AG179" s="11"/>
    </row>
    <row r="180" spans="1:33" x14ac:dyDescent="0.25">
      <c r="A180" s="10" t="str">
        <f t="shared" si="4"/>
        <v/>
      </c>
      <c r="B180" s="11"/>
      <c r="C180" s="10" t="str">
        <f t="shared" si="5"/>
        <v/>
      </c>
      <c r="D180" s="11"/>
      <c r="E180" s="11"/>
      <c r="F180" s="11"/>
      <c r="G180" s="11"/>
      <c r="H180" s="10" t="str">
        <f>IF(ISBLANK(F180),"",IF(G180&lt;&gt;"",UPPER(TRIM(G180)),IF(ISNUMBER(SEARCH(" ",TRIM(F180))),UPPER(LEFT(TRIM(RIGHT(SUBSTITUTE(TRIM(F180)," ",REPT(" ",100)),100)),Settings!$B$9)),UPPER(LEFT(TRIM(F180),Settings!$B$9)))))</f>
        <v/>
      </c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0" t="str">
        <f>IF(ISBLANK(D180),"",IF(COUNTIFS(Circulation!$B$2:$B$500,A180,Circulation!$H$2:$H$500,"Active")&gt;0,"On Loan","Available"))</f>
        <v/>
      </c>
      <c r="AA180" s="11"/>
      <c r="AB180" s="11"/>
      <c r="AC180" s="11"/>
      <c r="AD180" s="11"/>
      <c r="AE180" s="11"/>
      <c r="AF180" s="11"/>
      <c r="AG180" s="11"/>
    </row>
    <row r="181" spans="1:33" x14ac:dyDescent="0.25">
      <c r="A181" s="10" t="str">
        <f t="shared" si="4"/>
        <v/>
      </c>
      <c r="B181" s="11"/>
      <c r="C181" s="10" t="str">
        <f t="shared" si="5"/>
        <v/>
      </c>
      <c r="D181" s="11"/>
      <c r="E181" s="11"/>
      <c r="F181" s="11"/>
      <c r="G181" s="11"/>
      <c r="H181" s="10" t="str">
        <f>IF(ISBLANK(F181),"",IF(G181&lt;&gt;"",UPPER(TRIM(G181)),IF(ISNUMBER(SEARCH(" ",TRIM(F181))),UPPER(LEFT(TRIM(RIGHT(SUBSTITUTE(TRIM(F181)," ",REPT(" ",100)),100)),Settings!$B$9)),UPPER(LEFT(TRIM(F181),Settings!$B$9)))))</f>
        <v/>
      </c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0" t="str">
        <f>IF(ISBLANK(D181),"",IF(COUNTIFS(Circulation!$B$2:$B$500,A181,Circulation!$H$2:$H$500,"Active")&gt;0,"On Loan","Available"))</f>
        <v/>
      </c>
      <c r="AA181" s="11"/>
      <c r="AB181" s="11"/>
      <c r="AC181" s="11"/>
      <c r="AD181" s="11"/>
      <c r="AE181" s="11"/>
      <c r="AF181" s="11"/>
      <c r="AG181" s="11"/>
    </row>
    <row r="182" spans="1:33" x14ac:dyDescent="0.25">
      <c r="A182" s="10" t="str">
        <f t="shared" si="4"/>
        <v/>
      </c>
      <c r="B182" s="11"/>
      <c r="C182" s="10" t="str">
        <f t="shared" si="5"/>
        <v/>
      </c>
      <c r="D182" s="11"/>
      <c r="E182" s="11"/>
      <c r="F182" s="11"/>
      <c r="G182" s="11"/>
      <c r="H182" s="10" t="str">
        <f>IF(ISBLANK(F182),"",IF(G182&lt;&gt;"",UPPER(TRIM(G182)),IF(ISNUMBER(SEARCH(" ",TRIM(F182))),UPPER(LEFT(TRIM(RIGHT(SUBSTITUTE(TRIM(F182)," ",REPT(" ",100)),100)),Settings!$B$9)),UPPER(LEFT(TRIM(F182),Settings!$B$9)))))</f>
        <v/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0" t="str">
        <f>IF(ISBLANK(D182),"",IF(COUNTIFS(Circulation!$B$2:$B$500,A182,Circulation!$H$2:$H$500,"Active")&gt;0,"On Loan","Available"))</f>
        <v/>
      </c>
      <c r="AA182" s="11"/>
      <c r="AB182" s="11"/>
      <c r="AC182" s="11"/>
      <c r="AD182" s="11"/>
      <c r="AE182" s="11"/>
      <c r="AF182" s="11"/>
      <c r="AG182" s="11"/>
    </row>
    <row r="183" spans="1:33" x14ac:dyDescent="0.25">
      <c r="A183" s="10" t="str">
        <f t="shared" si="4"/>
        <v/>
      </c>
      <c r="B183" s="11"/>
      <c r="C183" s="10" t="str">
        <f t="shared" si="5"/>
        <v/>
      </c>
      <c r="D183" s="11"/>
      <c r="E183" s="11"/>
      <c r="F183" s="11"/>
      <c r="G183" s="11"/>
      <c r="H183" s="10" t="str">
        <f>IF(ISBLANK(F183),"",IF(G183&lt;&gt;"",UPPER(TRIM(G183)),IF(ISNUMBER(SEARCH(" ",TRIM(F183))),UPPER(LEFT(TRIM(RIGHT(SUBSTITUTE(TRIM(F183)," ",REPT(" ",100)),100)),Settings!$B$9)),UPPER(LEFT(TRIM(F183),Settings!$B$9)))))</f>
        <v/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0" t="str">
        <f>IF(ISBLANK(D183),"",IF(COUNTIFS(Circulation!$B$2:$B$500,A183,Circulation!$H$2:$H$500,"Active")&gt;0,"On Loan","Available"))</f>
        <v/>
      </c>
      <c r="AA183" s="11"/>
      <c r="AB183" s="11"/>
      <c r="AC183" s="11"/>
      <c r="AD183" s="11"/>
      <c r="AE183" s="11"/>
      <c r="AF183" s="11"/>
      <c r="AG183" s="11"/>
    </row>
    <row r="184" spans="1:33" x14ac:dyDescent="0.25">
      <c r="A184" s="10" t="str">
        <f t="shared" si="4"/>
        <v/>
      </c>
      <c r="B184" s="11"/>
      <c r="C184" s="10" t="str">
        <f t="shared" si="5"/>
        <v/>
      </c>
      <c r="D184" s="11"/>
      <c r="E184" s="11"/>
      <c r="F184" s="11"/>
      <c r="G184" s="11"/>
      <c r="H184" s="10" t="str">
        <f>IF(ISBLANK(F184),"",IF(G184&lt;&gt;"",UPPER(TRIM(G184)),IF(ISNUMBER(SEARCH(" ",TRIM(F184))),UPPER(LEFT(TRIM(RIGHT(SUBSTITUTE(TRIM(F184)," ",REPT(" ",100)),100)),Settings!$B$9)),UPPER(LEFT(TRIM(F184),Settings!$B$9)))))</f>
        <v/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0" t="str">
        <f>IF(ISBLANK(D184),"",IF(COUNTIFS(Circulation!$B$2:$B$500,A184,Circulation!$H$2:$H$500,"Active")&gt;0,"On Loan","Available"))</f>
        <v/>
      </c>
      <c r="AA184" s="11"/>
      <c r="AB184" s="11"/>
      <c r="AC184" s="11"/>
      <c r="AD184" s="11"/>
      <c r="AE184" s="11"/>
      <c r="AF184" s="11"/>
      <c r="AG184" s="11"/>
    </row>
    <row r="185" spans="1:33" x14ac:dyDescent="0.25">
      <c r="A185" s="10" t="str">
        <f t="shared" si="4"/>
        <v/>
      </c>
      <c r="B185" s="11"/>
      <c r="C185" s="10" t="str">
        <f t="shared" si="5"/>
        <v/>
      </c>
      <c r="D185" s="11"/>
      <c r="E185" s="11"/>
      <c r="F185" s="11"/>
      <c r="G185" s="11"/>
      <c r="H185" s="10" t="str">
        <f>IF(ISBLANK(F185),"",IF(G185&lt;&gt;"",UPPER(TRIM(G185)),IF(ISNUMBER(SEARCH(" ",TRIM(F185))),UPPER(LEFT(TRIM(RIGHT(SUBSTITUTE(TRIM(F185)," ",REPT(" ",100)),100)),Settings!$B$9)),UPPER(LEFT(TRIM(F185),Settings!$B$9)))))</f>
        <v/>
      </c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0" t="str">
        <f>IF(ISBLANK(D185),"",IF(COUNTIFS(Circulation!$B$2:$B$500,A185,Circulation!$H$2:$H$500,"Active")&gt;0,"On Loan","Available"))</f>
        <v/>
      </c>
      <c r="AA185" s="11"/>
      <c r="AB185" s="11"/>
      <c r="AC185" s="11"/>
      <c r="AD185" s="11"/>
      <c r="AE185" s="11"/>
      <c r="AF185" s="11"/>
      <c r="AG185" s="11"/>
    </row>
    <row r="186" spans="1:33" x14ac:dyDescent="0.25">
      <c r="A186" s="10" t="str">
        <f t="shared" si="4"/>
        <v/>
      </c>
      <c r="B186" s="11"/>
      <c r="C186" s="10" t="str">
        <f t="shared" si="5"/>
        <v/>
      </c>
      <c r="D186" s="11"/>
      <c r="E186" s="11"/>
      <c r="F186" s="11"/>
      <c r="G186" s="11"/>
      <c r="H186" s="10" t="str">
        <f>IF(ISBLANK(F186),"",IF(G186&lt;&gt;"",UPPER(TRIM(G186)),IF(ISNUMBER(SEARCH(" ",TRIM(F186))),UPPER(LEFT(TRIM(RIGHT(SUBSTITUTE(TRIM(F186)," ",REPT(" ",100)),100)),Settings!$B$9)),UPPER(LEFT(TRIM(F186),Settings!$B$9)))))</f>
        <v/>
      </c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0" t="str">
        <f>IF(ISBLANK(D186),"",IF(COUNTIFS(Circulation!$B$2:$B$500,A186,Circulation!$H$2:$H$500,"Active")&gt;0,"On Loan","Available"))</f>
        <v/>
      </c>
      <c r="AA186" s="11"/>
      <c r="AB186" s="11"/>
      <c r="AC186" s="11"/>
      <c r="AD186" s="11"/>
      <c r="AE186" s="11"/>
      <c r="AF186" s="11"/>
      <c r="AG186" s="11"/>
    </row>
    <row r="187" spans="1:33" x14ac:dyDescent="0.25">
      <c r="A187" s="10" t="str">
        <f t="shared" si="4"/>
        <v/>
      </c>
      <c r="B187" s="11"/>
      <c r="C187" s="10" t="str">
        <f t="shared" si="5"/>
        <v/>
      </c>
      <c r="D187" s="11"/>
      <c r="E187" s="11"/>
      <c r="F187" s="11"/>
      <c r="G187" s="11"/>
      <c r="H187" s="10" t="str">
        <f>IF(ISBLANK(F187),"",IF(G187&lt;&gt;"",UPPER(TRIM(G187)),IF(ISNUMBER(SEARCH(" ",TRIM(F187))),UPPER(LEFT(TRIM(RIGHT(SUBSTITUTE(TRIM(F187)," ",REPT(" ",100)),100)),Settings!$B$9)),UPPER(LEFT(TRIM(F187),Settings!$B$9)))))</f>
        <v/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0" t="str">
        <f>IF(ISBLANK(D187),"",IF(COUNTIFS(Circulation!$B$2:$B$500,A187,Circulation!$H$2:$H$500,"Active")&gt;0,"On Loan","Available"))</f>
        <v/>
      </c>
      <c r="AA187" s="11"/>
      <c r="AB187" s="11"/>
      <c r="AC187" s="11"/>
      <c r="AD187" s="11"/>
      <c r="AE187" s="11"/>
      <c r="AF187" s="11"/>
      <c r="AG187" s="11"/>
    </row>
    <row r="188" spans="1:33" x14ac:dyDescent="0.25">
      <c r="A188" s="10" t="str">
        <f t="shared" si="4"/>
        <v/>
      </c>
      <c r="B188" s="11"/>
      <c r="C188" s="10" t="str">
        <f t="shared" si="5"/>
        <v/>
      </c>
      <c r="D188" s="11"/>
      <c r="E188" s="11"/>
      <c r="F188" s="11"/>
      <c r="G188" s="11"/>
      <c r="H188" s="10" t="str">
        <f>IF(ISBLANK(F188),"",IF(G188&lt;&gt;"",UPPER(TRIM(G188)),IF(ISNUMBER(SEARCH(" ",TRIM(F188))),UPPER(LEFT(TRIM(RIGHT(SUBSTITUTE(TRIM(F188)," ",REPT(" ",100)),100)),Settings!$B$9)),UPPER(LEFT(TRIM(F188),Settings!$B$9)))))</f>
        <v/>
      </c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0" t="str">
        <f>IF(ISBLANK(D188),"",IF(COUNTIFS(Circulation!$B$2:$B$500,A188,Circulation!$H$2:$H$500,"Active")&gt;0,"On Loan","Available"))</f>
        <v/>
      </c>
      <c r="AA188" s="11"/>
      <c r="AB188" s="11"/>
      <c r="AC188" s="11"/>
      <c r="AD188" s="11"/>
      <c r="AE188" s="11"/>
      <c r="AF188" s="11"/>
      <c r="AG188" s="11"/>
    </row>
    <row r="189" spans="1:33" x14ac:dyDescent="0.25">
      <c r="A189" s="10" t="str">
        <f t="shared" si="4"/>
        <v/>
      </c>
      <c r="B189" s="11"/>
      <c r="C189" s="10" t="str">
        <f t="shared" si="5"/>
        <v/>
      </c>
      <c r="D189" s="11"/>
      <c r="E189" s="11"/>
      <c r="F189" s="11"/>
      <c r="G189" s="11"/>
      <c r="H189" s="10" t="str">
        <f>IF(ISBLANK(F189),"",IF(G189&lt;&gt;"",UPPER(TRIM(G189)),IF(ISNUMBER(SEARCH(" ",TRIM(F189))),UPPER(LEFT(TRIM(RIGHT(SUBSTITUTE(TRIM(F189)," ",REPT(" ",100)),100)),Settings!$B$9)),UPPER(LEFT(TRIM(F189),Settings!$B$9)))))</f>
        <v/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0" t="str">
        <f>IF(ISBLANK(D189),"",IF(COUNTIFS(Circulation!$B$2:$B$500,A189,Circulation!$H$2:$H$500,"Active")&gt;0,"On Loan","Available"))</f>
        <v/>
      </c>
      <c r="AA189" s="11"/>
      <c r="AB189" s="11"/>
      <c r="AC189" s="11"/>
      <c r="AD189" s="11"/>
      <c r="AE189" s="11"/>
      <c r="AF189" s="11"/>
      <c r="AG189" s="11"/>
    </row>
    <row r="190" spans="1:33" x14ac:dyDescent="0.25">
      <c r="A190" s="10" t="str">
        <f t="shared" si="4"/>
        <v/>
      </c>
      <c r="B190" s="11"/>
      <c r="C190" s="10" t="str">
        <f t="shared" si="5"/>
        <v/>
      </c>
      <c r="D190" s="11"/>
      <c r="E190" s="11"/>
      <c r="F190" s="11"/>
      <c r="G190" s="11"/>
      <c r="H190" s="10" t="str">
        <f>IF(ISBLANK(F190),"",IF(G190&lt;&gt;"",UPPER(TRIM(G190)),IF(ISNUMBER(SEARCH(" ",TRIM(F190))),UPPER(LEFT(TRIM(RIGHT(SUBSTITUTE(TRIM(F190)," ",REPT(" ",100)),100)),Settings!$B$9)),UPPER(LEFT(TRIM(F190),Settings!$B$9)))))</f>
        <v/>
      </c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0" t="str">
        <f>IF(ISBLANK(D190),"",IF(COUNTIFS(Circulation!$B$2:$B$500,A190,Circulation!$H$2:$H$500,"Active")&gt;0,"On Loan","Available"))</f>
        <v/>
      </c>
      <c r="AA190" s="11"/>
      <c r="AB190" s="11"/>
      <c r="AC190" s="11"/>
      <c r="AD190" s="11"/>
      <c r="AE190" s="11"/>
      <c r="AF190" s="11"/>
      <c r="AG190" s="11"/>
    </row>
    <row r="191" spans="1:33" x14ac:dyDescent="0.25">
      <c r="A191" s="10" t="str">
        <f t="shared" si="4"/>
        <v/>
      </c>
      <c r="B191" s="11"/>
      <c r="C191" s="10" t="str">
        <f t="shared" si="5"/>
        <v/>
      </c>
      <c r="D191" s="11"/>
      <c r="E191" s="11"/>
      <c r="F191" s="11"/>
      <c r="G191" s="11"/>
      <c r="H191" s="10" t="str">
        <f>IF(ISBLANK(F191),"",IF(G191&lt;&gt;"",UPPER(TRIM(G191)),IF(ISNUMBER(SEARCH(" ",TRIM(F191))),UPPER(LEFT(TRIM(RIGHT(SUBSTITUTE(TRIM(F191)," ",REPT(" ",100)),100)),Settings!$B$9)),UPPER(LEFT(TRIM(F191),Settings!$B$9)))))</f>
        <v/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0" t="str">
        <f>IF(ISBLANK(D191),"",IF(COUNTIFS(Circulation!$B$2:$B$500,A191,Circulation!$H$2:$H$500,"Active")&gt;0,"On Loan","Available"))</f>
        <v/>
      </c>
      <c r="AA191" s="11"/>
      <c r="AB191" s="11"/>
      <c r="AC191" s="11"/>
      <c r="AD191" s="11"/>
      <c r="AE191" s="11"/>
      <c r="AF191" s="11"/>
      <c r="AG191" s="11"/>
    </row>
    <row r="192" spans="1:33" x14ac:dyDescent="0.25">
      <c r="A192" s="10" t="str">
        <f t="shared" si="4"/>
        <v/>
      </c>
      <c r="B192" s="11"/>
      <c r="C192" s="10" t="str">
        <f t="shared" si="5"/>
        <v/>
      </c>
      <c r="D192" s="11"/>
      <c r="E192" s="11"/>
      <c r="F192" s="11"/>
      <c r="G192" s="11"/>
      <c r="H192" s="10" t="str">
        <f>IF(ISBLANK(F192),"",IF(G192&lt;&gt;"",UPPER(TRIM(G192)),IF(ISNUMBER(SEARCH(" ",TRIM(F192))),UPPER(LEFT(TRIM(RIGHT(SUBSTITUTE(TRIM(F192)," ",REPT(" ",100)),100)),Settings!$B$9)),UPPER(LEFT(TRIM(F192),Settings!$B$9)))))</f>
        <v/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0" t="str">
        <f>IF(ISBLANK(D192),"",IF(COUNTIFS(Circulation!$B$2:$B$500,A192,Circulation!$H$2:$H$500,"Active")&gt;0,"On Loan","Available"))</f>
        <v/>
      </c>
      <c r="AA192" s="11"/>
      <c r="AB192" s="11"/>
      <c r="AC192" s="11"/>
      <c r="AD192" s="11"/>
      <c r="AE192" s="11"/>
      <c r="AF192" s="11"/>
      <c r="AG192" s="11"/>
    </row>
    <row r="193" spans="1:33" x14ac:dyDescent="0.25">
      <c r="A193" s="10" t="str">
        <f t="shared" si="4"/>
        <v/>
      </c>
      <c r="B193" s="11"/>
      <c r="C193" s="10" t="str">
        <f t="shared" si="5"/>
        <v/>
      </c>
      <c r="D193" s="11"/>
      <c r="E193" s="11"/>
      <c r="F193" s="11"/>
      <c r="G193" s="11"/>
      <c r="H193" s="10" t="str">
        <f>IF(ISBLANK(F193),"",IF(G193&lt;&gt;"",UPPER(TRIM(G193)),IF(ISNUMBER(SEARCH(" ",TRIM(F193))),UPPER(LEFT(TRIM(RIGHT(SUBSTITUTE(TRIM(F193)," ",REPT(" ",100)),100)),Settings!$B$9)),UPPER(LEFT(TRIM(F193),Settings!$B$9)))))</f>
        <v/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0" t="str">
        <f>IF(ISBLANK(D193),"",IF(COUNTIFS(Circulation!$B$2:$B$500,A193,Circulation!$H$2:$H$500,"Active")&gt;0,"On Loan","Available"))</f>
        <v/>
      </c>
      <c r="AA193" s="11"/>
      <c r="AB193" s="11"/>
      <c r="AC193" s="11"/>
      <c r="AD193" s="11"/>
      <c r="AE193" s="11"/>
      <c r="AF193" s="11"/>
      <c r="AG193" s="11"/>
    </row>
    <row r="194" spans="1:33" x14ac:dyDescent="0.25">
      <c r="A194" s="10" t="str">
        <f t="shared" ref="A194:A257" si="6">IF(ISBLANK(D194),"",ROW()-1)</f>
        <v/>
      </c>
      <c r="B194" s="11"/>
      <c r="C194" s="10" t="str">
        <f t="shared" ref="C194:C257" si="7">IF(ISBLANK(D194),"",MID(K194,SEARCH("(",K194)+1,SEARCH(")",K194)-SEARCH("(",K194)-1)&amp;"-"&amp;MID(L194,SEARCH("(",L194)+1,SEARCH(")",L194)-SEARCH("(",L194)-1)&amp;"-"&amp;H194&amp;"-"&amp;TEXT(A194,"000")&amp;IF(ISBLANK(N194),"","-"&amp;SUBSTITUTE(N194," ","")))</f>
        <v/>
      </c>
      <c r="D194" s="11"/>
      <c r="E194" s="11"/>
      <c r="F194" s="11"/>
      <c r="G194" s="11"/>
      <c r="H194" s="10" t="str">
        <f>IF(ISBLANK(F194),"",IF(G194&lt;&gt;"",UPPER(TRIM(G194)),IF(ISNUMBER(SEARCH(" ",TRIM(F194))),UPPER(LEFT(TRIM(RIGHT(SUBSTITUTE(TRIM(F194)," ",REPT(" ",100)),100)),Settings!$B$9)),UPPER(LEFT(TRIM(F194),Settings!$B$9)))))</f>
        <v/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0" t="str">
        <f>IF(ISBLANK(D194),"",IF(COUNTIFS(Circulation!$B$2:$B$500,A194,Circulation!$H$2:$H$500,"Active")&gt;0,"On Loan","Available"))</f>
        <v/>
      </c>
      <c r="AA194" s="11"/>
      <c r="AB194" s="11"/>
      <c r="AC194" s="11"/>
      <c r="AD194" s="11"/>
      <c r="AE194" s="11"/>
      <c r="AF194" s="11"/>
      <c r="AG194" s="11"/>
    </row>
    <row r="195" spans="1:33" x14ac:dyDescent="0.25">
      <c r="A195" s="10" t="str">
        <f t="shared" si="6"/>
        <v/>
      </c>
      <c r="B195" s="11"/>
      <c r="C195" s="10" t="str">
        <f t="shared" si="7"/>
        <v/>
      </c>
      <c r="D195" s="11"/>
      <c r="E195" s="11"/>
      <c r="F195" s="11"/>
      <c r="G195" s="11"/>
      <c r="H195" s="10" t="str">
        <f>IF(ISBLANK(F195),"",IF(G195&lt;&gt;"",UPPER(TRIM(G195)),IF(ISNUMBER(SEARCH(" ",TRIM(F195))),UPPER(LEFT(TRIM(RIGHT(SUBSTITUTE(TRIM(F195)," ",REPT(" ",100)),100)),Settings!$B$9)),UPPER(LEFT(TRIM(F195),Settings!$B$9)))))</f>
        <v/>
      </c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0" t="str">
        <f>IF(ISBLANK(D195),"",IF(COUNTIFS(Circulation!$B$2:$B$500,A195,Circulation!$H$2:$H$500,"Active")&gt;0,"On Loan","Available"))</f>
        <v/>
      </c>
      <c r="AA195" s="11"/>
      <c r="AB195" s="11"/>
      <c r="AC195" s="11"/>
      <c r="AD195" s="11"/>
      <c r="AE195" s="11"/>
      <c r="AF195" s="11"/>
      <c r="AG195" s="11"/>
    </row>
    <row r="196" spans="1:33" x14ac:dyDescent="0.25">
      <c r="A196" s="10" t="str">
        <f t="shared" si="6"/>
        <v/>
      </c>
      <c r="B196" s="11"/>
      <c r="C196" s="10" t="str">
        <f t="shared" si="7"/>
        <v/>
      </c>
      <c r="D196" s="11"/>
      <c r="E196" s="11"/>
      <c r="F196" s="11"/>
      <c r="G196" s="11"/>
      <c r="H196" s="10" t="str">
        <f>IF(ISBLANK(F196),"",IF(G196&lt;&gt;"",UPPER(TRIM(G196)),IF(ISNUMBER(SEARCH(" ",TRIM(F196))),UPPER(LEFT(TRIM(RIGHT(SUBSTITUTE(TRIM(F196)," ",REPT(" ",100)),100)),Settings!$B$9)),UPPER(LEFT(TRIM(F196),Settings!$B$9)))))</f>
        <v/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0" t="str">
        <f>IF(ISBLANK(D196),"",IF(COUNTIFS(Circulation!$B$2:$B$500,A196,Circulation!$H$2:$H$500,"Active")&gt;0,"On Loan","Available"))</f>
        <v/>
      </c>
      <c r="AA196" s="11"/>
      <c r="AB196" s="11"/>
      <c r="AC196" s="11"/>
      <c r="AD196" s="11"/>
      <c r="AE196" s="11"/>
      <c r="AF196" s="11"/>
      <c r="AG196" s="11"/>
    </row>
    <row r="197" spans="1:33" x14ac:dyDescent="0.25">
      <c r="A197" s="10" t="str">
        <f t="shared" si="6"/>
        <v/>
      </c>
      <c r="B197" s="11"/>
      <c r="C197" s="10" t="str">
        <f t="shared" si="7"/>
        <v/>
      </c>
      <c r="D197" s="11"/>
      <c r="E197" s="11"/>
      <c r="F197" s="11"/>
      <c r="G197" s="11"/>
      <c r="H197" s="10" t="str">
        <f>IF(ISBLANK(F197),"",IF(G197&lt;&gt;"",UPPER(TRIM(G197)),IF(ISNUMBER(SEARCH(" ",TRIM(F197))),UPPER(LEFT(TRIM(RIGHT(SUBSTITUTE(TRIM(F197)," ",REPT(" ",100)),100)),Settings!$B$9)),UPPER(LEFT(TRIM(F197),Settings!$B$9)))))</f>
        <v/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0" t="str">
        <f>IF(ISBLANK(D197),"",IF(COUNTIFS(Circulation!$B$2:$B$500,A197,Circulation!$H$2:$H$500,"Active")&gt;0,"On Loan","Available"))</f>
        <v/>
      </c>
      <c r="AA197" s="11"/>
      <c r="AB197" s="11"/>
      <c r="AC197" s="11"/>
      <c r="AD197" s="11"/>
      <c r="AE197" s="11"/>
      <c r="AF197" s="11"/>
      <c r="AG197" s="11"/>
    </row>
    <row r="198" spans="1:33" x14ac:dyDescent="0.25">
      <c r="A198" s="10" t="str">
        <f t="shared" si="6"/>
        <v/>
      </c>
      <c r="B198" s="11"/>
      <c r="C198" s="10" t="str">
        <f t="shared" si="7"/>
        <v/>
      </c>
      <c r="D198" s="11"/>
      <c r="E198" s="11"/>
      <c r="F198" s="11"/>
      <c r="G198" s="11"/>
      <c r="H198" s="10" t="str">
        <f>IF(ISBLANK(F198),"",IF(G198&lt;&gt;"",UPPER(TRIM(G198)),IF(ISNUMBER(SEARCH(" ",TRIM(F198))),UPPER(LEFT(TRIM(RIGHT(SUBSTITUTE(TRIM(F198)," ",REPT(" ",100)),100)),Settings!$B$9)),UPPER(LEFT(TRIM(F198),Settings!$B$9)))))</f>
        <v/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0" t="str">
        <f>IF(ISBLANK(D198),"",IF(COUNTIFS(Circulation!$B$2:$B$500,A198,Circulation!$H$2:$H$500,"Active")&gt;0,"On Loan","Available"))</f>
        <v/>
      </c>
      <c r="AA198" s="11"/>
      <c r="AB198" s="11"/>
      <c r="AC198" s="11"/>
      <c r="AD198" s="11"/>
      <c r="AE198" s="11"/>
      <c r="AF198" s="11"/>
      <c r="AG198" s="11"/>
    </row>
    <row r="199" spans="1:33" x14ac:dyDescent="0.25">
      <c r="A199" s="10" t="str">
        <f t="shared" si="6"/>
        <v/>
      </c>
      <c r="B199" s="11"/>
      <c r="C199" s="10" t="str">
        <f t="shared" si="7"/>
        <v/>
      </c>
      <c r="D199" s="11"/>
      <c r="E199" s="11"/>
      <c r="F199" s="11"/>
      <c r="G199" s="11"/>
      <c r="H199" s="10" t="str">
        <f>IF(ISBLANK(F199),"",IF(G199&lt;&gt;"",UPPER(TRIM(G199)),IF(ISNUMBER(SEARCH(" ",TRIM(F199))),UPPER(LEFT(TRIM(RIGHT(SUBSTITUTE(TRIM(F199)," ",REPT(" ",100)),100)),Settings!$B$9)),UPPER(LEFT(TRIM(F199),Settings!$B$9)))))</f>
        <v/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0" t="str">
        <f>IF(ISBLANK(D199),"",IF(COUNTIFS(Circulation!$B$2:$B$500,A199,Circulation!$H$2:$H$500,"Active")&gt;0,"On Loan","Available"))</f>
        <v/>
      </c>
      <c r="AA199" s="11"/>
      <c r="AB199" s="11"/>
      <c r="AC199" s="11"/>
      <c r="AD199" s="11"/>
      <c r="AE199" s="11"/>
      <c r="AF199" s="11"/>
      <c r="AG199" s="11"/>
    </row>
    <row r="200" spans="1:33" x14ac:dyDescent="0.25">
      <c r="A200" s="10" t="str">
        <f t="shared" si="6"/>
        <v/>
      </c>
      <c r="B200" s="11"/>
      <c r="C200" s="10" t="str">
        <f t="shared" si="7"/>
        <v/>
      </c>
      <c r="D200" s="11"/>
      <c r="E200" s="11"/>
      <c r="F200" s="11"/>
      <c r="G200" s="11"/>
      <c r="H200" s="10" t="str">
        <f>IF(ISBLANK(F200),"",IF(G200&lt;&gt;"",UPPER(TRIM(G200)),IF(ISNUMBER(SEARCH(" ",TRIM(F200))),UPPER(LEFT(TRIM(RIGHT(SUBSTITUTE(TRIM(F200)," ",REPT(" ",100)),100)),Settings!$B$9)),UPPER(LEFT(TRIM(F200),Settings!$B$9)))))</f>
        <v/>
      </c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0" t="str">
        <f>IF(ISBLANK(D200),"",IF(COUNTIFS(Circulation!$B$2:$B$500,A200,Circulation!$H$2:$H$500,"Active")&gt;0,"On Loan","Available"))</f>
        <v/>
      </c>
      <c r="AA200" s="11"/>
      <c r="AB200" s="11"/>
      <c r="AC200" s="11"/>
      <c r="AD200" s="11"/>
      <c r="AE200" s="11"/>
      <c r="AF200" s="11"/>
      <c r="AG200" s="11"/>
    </row>
    <row r="201" spans="1:33" x14ac:dyDescent="0.25">
      <c r="A201" s="10" t="str">
        <f t="shared" si="6"/>
        <v/>
      </c>
      <c r="B201" s="11"/>
      <c r="C201" s="10" t="str">
        <f t="shared" si="7"/>
        <v/>
      </c>
      <c r="D201" s="11"/>
      <c r="E201" s="11"/>
      <c r="F201" s="11"/>
      <c r="G201" s="11"/>
      <c r="H201" s="10" t="str">
        <f>IF(ISBLANK(F201),"",IF(G201&lt;&gt;"",UPPER(TRIM(G201)),IF(ISNUMBER(SEARCH(" ",TRIM(F201))),UPPER(LEFT(TRIM(RIGHT(SUBSTITUTE(TRIM(F201)," ",REPT(" ",100)),100)),Settings!$B$9)),UPPER(LEFT(TRIM(F201),Settings!$B$9)))))</f>
        <v/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0" t="str">
        <f>IF(ISBLANK(D201),"",IF(COUNTIFS(Circulation!$B$2:$B$500,A201,Circulation!$H$2:$H$500,"Active")&gt;0,"On Loan","Available"))</f>
        <v/>
      </c>
      <c r="AA201" s="11"/>
      <c r="AB201" s="11"/>
      <c r="AC201" s="11"/>
      <c r="AD201" s="11"/>
      <c r="AE201" s="11"/>
      <c r="AF201" s="11"/>
      <c r="AG201" s="11"/>
    </row>
    <row r="202" spans="1:33" x14ac:dyDescent="0.25">
      <c r="A202" s="10" t="str">
        <f t="shared" si="6"/>
        <v/>
      </c>
      <c r="B202" s="11"/>
      <c r="C202" s="10" t="str">
        <f t="shared" si="7"/>
        <v/>
      </c>
      <c r="D202" s="11"/>
      <c r="E202" s="11"/>
      <c r="F202" s="11"/>
      <c r="G202" s="11"/>
      <c r="H202" s="10" t="str">
        <f>IF(ISBLANK(F202),"",IF(G202&lt;&gt;"",UPPER(TRIM(G202)),IF(ISNUMBER(SEARCH(" ",TRIM(F202))),UPPER(LEFT(TRIM(RIGHT(SUBSTITUTE(TRIM(F202)," ",REPT(" ",100)),100)),Settings!$B$9)),UPPER(LEFT(TRIM(F202),Settings!$B$9)))))</f>
        <v/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0" t="str">
        <f>IF(ISBLANK(D202),"",IF(COUNTIFS(Circulation!$B$2:$B$500,A202,Circulation!$H$2:$H$500,"Active")&gt;0,"On Loan","Available"))</f>
        <v/>
      </c>
      <c r="AA202" s="11"/>
      <c r="AB202" s="11"/>
      <c r="AC202" s="11"/>
      <c r="AD202" s="11"/>
      <c r="AE202" s="11"/>
      <c r="AF202" s="11"/>
      <c r="AG202" s="11"/>
    </row>
    <row r="203" spans="1:33" x14ac:dyDescent="0.25">
      <c r="A203" s="10" t="str">
        <f t="shared" si="6"/>
        <v/>
      </c>
      <c r="B203" s="11"/>
      <c r="C203" s="10" t="str">
        <f t="shared" si="7"/>
        <v/>
      </c>
      <c r="D203" s="11"/>
      <c r="E203" s="11"/>
      <c r="F203" s="11"/>
      <c r="G203" s="11"/>
      <c r="H203" s="10" t="str">
        <f>IF(ISBLANK(F203),"",IF(G203&lt;&gt;"",UPPER(TRIM(G203)),IF(ISNUMBER(SEARCH(" ",TRIM(F203))),UPPER(LEFT(TRIM(RIGHT(SUBSTITUTE(TRIM(F203)," ",REPT(" ",100)),100)),Settings!$B$9)),UPPER(LEFT(TRIM(F203),Settings!$B$9)))))</f>
        <v/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0" t="str">
        <f>IF(ISBLANK(D203),"",IF(COUNTIFS(Circulation!$B$2:$B$500,A203,Circulation!$H$2:$H$500,"Active")&gt;0,"On Loan","Available"))</f>
        <v/>
      </c>
      <c r="AA203" s="11"/>
      <c r="AB203" s="11"/>
      <c r="AC203" s="11"/>
      <c r="AD203" s="11"/>
      <c r="AE203" s="11"/>
      <c r="AF203" s="11"/>
      <c r="AG203" s="11"/>
    </row>
    <row r="204" spans="1:33" x14ac:dyDescent="0.25">
      <c r="A204" s="10" t="str">
        <f t="shared" si="6"/>
        <v/>
      </c>
      <c r="B204" s="11"/>
      <c r="C204" s="10" t="str">
        <f t="shared" si="7"/>
        <v/>
      </c>
      <c r="D204" s="11"/>
      <c r="E204" s="11"/>
      <c r="F204" s="11"/>
      <c r="G204" s="11"/>
      <c r="H204" s="10" t="str">
        <f>IF(ISBLANK(F204),"",IF(G204&lt;&gt;"",UPPER(TRIM(G204)),IF(ISNUMBER(SEARCH(" ",TRIM(F204))),UPPER(LEFT(TRIM(RIGHT(SUBSTITUTE(TRIM(F204)," ",REPT(" ",100)),100)),Settings!$B$9)),UPPER(LEFT(TRIM(F204),Settings!$B$9)))))</f>
        <v/>
      </c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0" t="str">
        <f>IF(ISBLANK(D204),"",IF(COUNTIFS(Circulation!$B$2:$B$500,A204,Circulation!$H$2:$H$500,"Active")&gt;0,"On Loan","Available"))</f>
        <v/>
      </c>
      <c r="AA204" s="11"/>
      <c r="AB204" s="11"/>
      <c r="AC204" s="11"/>
      <c r="AD204" s="11"/>
      <c r="AE204" s="11"/>
      <c r="AF204" s="11"/>
      <c r="AG204" s="11"/>
    </row>
    <row r="205" spans="1:33" x14ac:dyDescent="0.25">
      <c r="A205" s="10" t="str">
        <f t="shared" si="6"/>
        <v/>
      </c>
      <c r="B205" s="11"/>
      <c r="C205" s="10" t="str">
        <f t="shared" si="7"/>
        <v/>
      </c>
      <c r="D205" s="11"/>
      <c r="E205" s="11"/>
      <c r="F205" s="11"/>
      <c r="G205" s="11"/>
      <c r="H205" s="10" t="str">
        <f>IF(ISBLANK(F205),"",IF(G205&lt;&gt;"",UPPER(TRIM(G205)),IF(ISNUMBER(SEARCH(" ",TRIM(F205))),UPPER(LEFT(TRIM(RIGHT(SUBSTITUTE(TRIM(F205)," ",REPT(" ",100)),100)),Settings!$B$9)),UPPER(LEFT(TRIM(F205),Settings!$B$9)))))</f>
        <v/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0" t="str">
        <f>IF(ISBLANK(D205),"",IF(COUNTIFS(Circulation!$B$2:$B$500,A205,Circulation!$H$2:$H$500,"Active")&gt;0,"On Loan","Available"))</f>
        <v/>
      </c>
      <c r="AA205" s="11"/>
      <c r="AB205" s="11"/>
      <c r="AC205" s="11"/>
      <c r="AD205" s="11"/>
      <c r="AE205" s="11"/>
      <c r="AF205" s="11"/>
      <c r="AG205" s="11"/>
    </row>
    <row r="206" spans="1:33" x14ac:dyDescent="0.25">
      <c r="A206" s="10" t="str">
        <f t="shared" si="6"/>
        <v/>
      </c>
      <c r="B206" s="11"/>
      <c r="C206" s="10" t="str">
        <f t="shared" si="7"/>
        <v/>
      </c>
      <c r="D206" s="11"/>
      <c r="E206" s="11"/>
      <c r="F206" s="11"/>
      <c r="G206" s="11"/>
      <c r="H206" s="10" t="str">
        <f>IF(ISBLANK(F206),"",IF(G206&lt;&gt;"",UPPER(TRIM(G206)),IF(ISNUMBER(SEARCH(" ",TRIM(F206))),UPPER(LEFT(TRIM(RIGHT(SUBSTITUTE(TRIM(F206)," ",REPT(" ",100)),100)),Settings!$B$9)),UPPER(LEFT(TRIM(F206),Settings!$B$9)))))</f>
        <v/>
      </c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0" t="str">
        <f>IF(ISBLANK(D206),"",IF(COUNTIFS(Circulation!$B$2:$B$500,A206,Circulation!$H$2:$H$500,"Active")&gt;0,"On Loan","Available"))</f>
        <v/>
      </c>
      <c r="AA206" s="11"/>
      <c r="AB206" s="11"/>
      <c r="AC206" s="11"/>
      <c r="AD206" s="11"/>
      <c r="AE206" s="11"/>
      <c r="AF206" s="11"/>
      <c r="AG206" s="11"/>
    </row>
    <row r="207" spans="1:33" x14ac:dyDescent="0.25">
      <c r="A207" s="10" t="str">
        <f t="shared" si="6"/>
        <v/>
      </c>
      <c r="B207" s="11"/>
      <c r="C207" s="10" t="str">
        <f t="shared" si="7"/>
        <v/>
      </c>
      <c r="D207" s="11"/>
      <c r="E207" s="11"/>
      <c r="F207" s="11"/>
      <c r="G207" s="11"/>
      <c r="H207" s="10" t="str">
        <f>IF(ISBLANK(F207),"",IF(G207&lt;&gt;"",UPPER(TRIM(G207)),IF(ISNUMBER(SEARCH(" ",TRIM(F207))),UPPER(LEFT(TRIM(RIGHT(SUBSTITUTE(TRIM(F207)," ",REPT(" ",100)),100)),Settings!$B$9)),UPPER(LEFT(TRIM(F207),Settings!$B$9)))))</f>
        <v/>
      </c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0" t="str">
        <f>IF(ISBLANK(D207),"",IF(COUNTIFS(Circulation!$B$2:$B$500,A207,Circulation!$H$2:$H$500,"Active")&gt;0,"On Loan","Available"))</f>
        <v/>
      </c>
      <c r="AA207" s="11"/>
      <c r="AB207" s="11"/>
      <c r="AC207" s="11"/>
      <c r="AD207" s="11"/>
      <c r="AE207" s="11"/>
      <c r="AF207" s="11"/>
      <c r="AG207" s="11"/>
    </row>
    <row r="208" spans="1:33" x14ac:dyDescent="0.25">
      <c r="A208" s="10" t="str">
        <f t="shared" si="6"/>
        <v/>
      </c>
      <c r="B208" s="11"/>
      <c r="C208" s="10" t="str">
        <f t="shared" si="7"/>
        <v/>
      </c>
      <c r="D208" s="11"/>
      <c r="E208" s="11"/>
      <c r="F208" s="11"/>
      <c r="G208" s="11"/>
      <c r="H208" s="10" t="str">
        <f>IF(ISBLANK(F208),"",IF(G208&lt;&gt;"",UPPER(TRIM(G208)),IF(ISNUMBER(SEARCH(" ",TRIM(F208))),UPPER(LEFT(TRIM(RIGHT(SUBSTITUTE(TRIM(F208)," ",REPT(" ",100)),100)),Settings!$B$9)),UPPER(LEFT(TRIM(F208),Settings!$B$9)))))</f>
        <v/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0" t="str">
        <f>IF(ISBLANK(D208),"",IF(COUNTIFS(Circulation!$B$2:$B$500,A208,Circulation!$H$2:$H$500,"Active")&gt;0,"On Loan","Available"))</f>
        <v/>
      </c>
      <c r="AA208" s="11"/>
      <c r="AB208" s="11"/>
      <c r="AC208" s="11"/>
      <c r="AD208" s="11"/>
      <c r="AE208" s="11"/>
      <c r="AF208" s="11"/>
      <c r="AG208" s="11"/>
    </row>
    <row r="209" spans="1:33" x14ac:dyDescent="0.25">
      <c r="A209" s="10" t="str">
        <f t="shared" si="6"/>
        <v/>
      </c>
      <c r="B209" s="11"/>
      <c r="C209" s="10" t="str">
        <f t="shared" si="7"/>
        <v/>
      </c>
      <c r="D209" s="11"/>
      <c r="E209" s="11"/>
      <c r="F209" s="11"/>
      <c r="G209" s="11"/>
      <c r="H209" s="10" t="str">
        <f>IF(ISBLANK(F209),"",IF(G209&lt;&gt;"",UPPER(TRIM(G209)),IF(ISNUMBER(SEARCH(" ",TRIM(F209))),UPPER(LEFT(TRIM(RIGHT(SUBSTITUTE(TRIM(F209)," ",REPT(" ",100)),100)),Settings!$B$9)),UPPER(LEFT(TRIM(F209),Settings!$B$9)))))</f>
        <v/>
      </c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0" t="str">
        <f>IF(ISBLANK(D209),"",IF(COUNTIFS(Circulation!$B$2:$B$500,A209,Circulation!$H$2:$H$500,"Active")&gt;0,"On Loan","Available"))</f>
        <v/>
      </c>
      <c r="AA209" s="11"/>
      <c r="AB209" s="11"/>
      <c r="AC209" s="11"/>
      <c r="AD209" s="11"/>
      <c r="AE209" s="11"/>
      <c r="AF209" s="11"/>
      <c r="AG209" s="11"/>
    </row>
    <row r="210" spans="1:33" x14ac:dyDescent="0.25">
      <c r="A210" s="10" t="str">
        <f t="shared" si="6"/>
        <v/>
      </c>
      <c r="B210" s="11"/>
      <c r="C210" s="10" t="str">
        <f t="shared" si="7"/>
        <v/>
      </c>
      <c r="D210" s="11"/>
      <c r="E210" s="11"/>
      <c r="F210" s="11"/>
      <c r="G210" s="11"/>
      <c r="H210" s="10" t="str">
        <f>IF(ISBLANK(F210),"",IF(G210&lt;&gt;"",UPPER(TRIM(G210)),IF(ISNUMBER(SEARCH(" ",TRIM(F210))),UPPER(LEFT(TRIM(RIGHT(SUBSTITUTE(TRIM(F210)," ",REPT(" ",100)),100)),Settings!$B$9)),UPPER(LEFT(TRIM(F210),Settings!$B$9)))))</f>
        <v/>
      </c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0" t="str">
        <f>IF(ISBLANK(D210),"",IF(COUNTIFS(Circulation!$B$2:$B$500,A210,Circulation!$H$2:$H$500,"Active")&gt;0,"On Loan","Available"))</f>
        <v/>
      </c>
      <c r="AA210" s="11"/>
      <c r="AB210" s="11"/>
      <c r="AC210" s="11"/>
      <c r="AD210" s="11"/>
      <c r="AE210" s="11"/>
      <c r="AF210" s="11"/>
      <c r="AG210" s="11"/>
    </row>
    <row r="211" spans="1:33" x14ac:dyDescent="0.25">
      <c r="A211" s="10" t="str">
        <f t="shared" si="6"/>
        <v/>
      </c>
      <c r="B211" s="11"/>
      <c r="C211" s="10" t="str">
        <f t="shared" si="7"/>
        <v/>
      </c>
      <c r="D211" s="11"/>
      <c r="E211" s="11"/>
      <c r="F211" s="11"/>
      <c r="G211" s="11"/>
      <c r="H211" s="10" t="str">
        <f>IF(ISBLANK(F211),"",IF(G211&lt;&gt;"",UPPER(TRIM(G211)),IF(ISNUMBER(SEARCH(" ",TRIM(F211))),UPPER(LEFT(TRIM(RIGHT(SUBSTITUTE(TRIM(F211)," ",REPT(" ",100)),100)),Settings!$B$9)),UPPER(LEFT(TRIM(F211),Settings!$B$9)))))</f>
        <v/>
      </c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0" t="str">
        <f>IF(ISBLANK(D211),"",IF(COUNTIFS(Circulation!$B$2:$B$500,A211,Circulation!$H$2:$H$500,"Active")&gt;0,"On Loan","Available"))</f>
        <v/>
      </c>
      <c r="AA211" s="11"/>
      <c r="AB211" s="11"/>
      <c r="AC211" s="11"/>
      <c r="AD211" s="11"/>
      <c r="AE211" s="11"/>
      <c r="AF211" s="11"/>
      <c r="AG211" s="11"/>
    </row>
    <row r="212" spans="1:33" x14ac:dyDescent="0.25">
      <c r="A212" s="10" t="str">
        <f t="shared" si="6"/>
        <v/>
      </c>
      <c r="B212" s="11"/>
      <c r="C212" s="10" t="str">
        <f t="shared" si="7"/>
        <v/>
      </c>
      <c r="D212" s="11"/>
      <c r="E212" s="11"/>
      <c r="F212" s="11"/>
      <c r="G212" s="11"/>
      <c r="H212" s="10" t="str">
        <f>IF(ISBLANK(F212),"",IF(G212&lt;&gt;"",UPPER(TRIM(G212)),IF(ISNUMBER(SEARCH(" ",TRIM(F212))),UPPER(LEFT(TRIM(RIGHT(SUBSTITUTE(TRIM(F212)," ",REPT(" ",100)),100)),Settings!$B$9)),UPPER(LEFT(TRIM(F212),Settings!$B$9)))))</f>
        <v/>
      </c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0" t="str">
        <f>IF(ISBLANK(D212),"",IF(COUNTIFS(Circulation!$B$2:$B$500,A212,Circulation!$H$2:$H$500,"Active")&gt;0,"On Loan","Available"))</f>
        <v/>
      </c>
      <c r="AA212" s="11"/>
      <c r="AB212" s="11"/>
      <c r="AC212" s="11"/>
      <c r="AD212" s="11"/>
      <c r="AE212" s="11"/>
      <c r="AF212" s="11"/>
      <c r="AG212" s="11"/>
    </row>
    <row r="213" spans="1:33" x14ac:dyDescent="0.25">
      <c r="A213" s="10" t="str">
        <f t="shared" si="6"/>
        <v/>
      </c>
      <c r="B213" s="11"/>
      <c r="C213" s="10" t="str">
        <f t="shared" si="7"/>
        <v/>
      </c>
      <c r="D213" s="11"/>
      <c r="E213" s="11"/>
      <c r="F213" s="11"/>
      <c r="G213" s="11"/>
      <c r="H213" s="10" t="str">
        <f>IF(ISBLANK(F213),"",IF(G213&lt;&gt;"",UPPER(TRIM(G213)),IF(ISNUMBER(SEARCH(" ",TRIM(F213))),UPPER(LEFT(TRIM(RIGHT(SUBSTITUTE(TRIM(F213)," ",REPT(" ",100)),100)),Settings!$B$9)),UPPER(LEFT(TRIM(F213),Settings!$B$9)))))</f>
        <v/>
      </c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0" t="str">
        <f>IF(ISBLANK(D213),"",IF(COUNTIFS(Circulation!$B$2:$B$500,A213,Circulation!$H$2:$H$500,"Active")&gt;0,"On Loan","Available"))</f>
        <v/>
      </c>
      <c r="AA213" s="11"/>
      <c r="AB213" s="11"/>
      <c r="AC213" s="11"/>
      <c r="AD213" s="11"/>
      <c r="AE213" s="11"/>
      <c r="AF213" s="11"/>
      <c r="AG213" s="11"/>
    </row>
    <row r="214" spans="1:33" x14ac:dyDescent="0.25">
      <c r="A214" s="10" t="str">
        <f t="shared" si="6"/>
        <v/>
      </c>
      <c r="B214" s="11"/>
      <c r="C214" s="10" t="str">
        <f t="shared" si="7"/>
        <v/>
      </c>
      <c r="D214" s="11"/>
      <c r="E214" s="11"/>
      <c r="F214" s="11"/>
      <c r="G214" s="11"/>
      <c r="H214" s="10" t="str">
        <f>IF(ISBLANK(F214),"",IF(G214&lt;&gt;"",UPPER(TRIM(G214)),IF(ISNUMBER(SEARCH(" ",TRIM(F214))),UPPER(LEFT(TRIM(RIGHT(SUBSTITUTE(TRIM(F214)," ",REPT(" ",100)),100)),Settings!$B$9)),UPPER(LEFT(TRIM(F214),Settings!$B$9)))))</f>
        <v/>
      </c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0" t="str">
        <f>IF(ISBLANK(D214),"",IF(COUNTIFS(Circulation!$B$2:$B$500,A214,Circulation!$H$2:$H$500,"Active")&gt;0,"On Loan","Available"))</f>
        <v/>
      </c>
      <c r="AA214" s="11"/>
      <c r="AB214" s="11"/>
      <c r="AC214" s="11"/>
      <c r="AD214" s="11"/>
      <c r="AE214" s="11"/>
      <c r="AF214" s="11"/>
      <c r="AG214" s="11"/>
    </row>
    <row r="215" spans="1:33" x14ac:dyDescent="0.25">
      <c r="A215" s="10" t="str">
        <f t="shared" si="6"/>
        <v/>
      </c>
      <c r="B215" s="11"/>
      <c r="C215" s="10" t="str">
        <f t="shared" si="7"/>
        <v/>
      </c>
      <c r="D215" s="11"/>
      <c r="E215" s="11"/>
      <c r="F215" s="11"/>
      <c r="G215" s="11"/>
      <c r="H215" s="10" t="str">
        <f>IF(ISBLANK(F215),"",IF(G215&lt;&gt;"",UPPER(TRIM(G215)),IF(ISNUMBER(SEARCH(" ",TRIM(F215))),UPPER(LEFT(TRIM(RIGHT(SUBSTITUTE(TRIM(F215)," ",REPT(" ",100)),100)),Settings!$B$9)),UPPER(LEFT(TRIM(F215),Settings!$B$9)))))</f>
        <v/>
      </c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0" t="str">
        <f>IF(ISBLANK(D215),"",IF(COUNTIFS(Circulation!$B$2:$B$500,A215,Circulation!$H$2:$H$500,"Active")&gt;0,"On Loan","Available"))</f>
        <v/>
      </c>
      <c r="AA215" s="11"/>
      <c r="AB215" s="11"/>
      <c r="AC215" s="11"/>
      <c r="AD215" s="11"/>
      <c r="AE215" s="11"/>
      <c r="AF215" s="11"/>
      <c r="AG215" s="11"/>
    </row>
    <row r="216" spans="1:33" x14ac:dyDescent="0.25">
      <c r="A216" s="10" t="str">
        <f t="shared" si="6"/>
        <v/>
      </c>
      <c r="B216" s="11"/>
      <c r="C216" s="10" t="str">
        <f t="shared" si="7"/>
        <v/>
      </c>
      <c r="D216" s="11"/>
      <c r="E216" s="11"/>
      <c r="F216" s="11"/>
      <c r="G216" s="11"/>
      <c r="H216" s="10" t="str">
        <f>IF(ISBLANK(F216),"",IF(G216&lt;&gt;"",UPPER(TRIM(G216)),IF(ISNUMBER(SEARCH(" ",TRIM(F216))),UPPER(LEFT(TRIM(RIGHT(SUBSTITUTE(TRIM(F216)," ",REPT(" ",100)),100)),Settings!$B$9)),UPPER(LEFT(TRIM(F216),Settings!$B$9)))))</f>
        <v/>
      </c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0" t="str">
        <f>IF(ISBLANK(D216),"",IF(COUNTIFS(Circulation!$B$2:$B$500,A216,Circulation!$H$2:$H$500,"Active")&gt;0,"On Loan","Available"))</f>
        <v/>
      </c>
      <c r="AA216" s="11"/>
      <c r="AB216" s="11"/>
      <c r="AC216" s="11"/>
      <c r="AD216" s="11"/>
      <c r="AE216" s="11"/>
      <c r="AF216" s="11"/>
      <c r="AG216" s="11"/>
    </row>
    <row r="217" spans="1:33" x14ac:dyDescent="0.25">
      <c r="A217" s="10" t="str">
        <f t="shared" si="6"/>
        <v/>
      </c>
      <c r="B217" s="11"/>
      <c r="C217" s="10" t="str">
        <f t="shared" si="7"/>
        <v/>
      </c>
      <c r="D217" s="11"/>
      <c r="E217" s="11"/>
      <c r="F217" s="11"/>
      <c r="G217" s="11"/>
      <c r="H217" s="10" t="str">
        <f>IF(ISBLANK(F217),"",IF(G217&lt;&gt;"",UPPER(TRIM(G217)),IF(ISNUMBER(SEARCH(" ",TRIM(F217))),UPPER(LEFT(TRIM(RIGHT(SUBSTITUTE(TRIM(F217)," ",REPT(" ",100)),100)),Settings!$B$9)),UPPER(LEFT(TRIM(F217),Settings!$B$9)))))</f>
        <v/>
      </c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0" t="str">
        <f>IF(ISBLANK(D217),"",IF(COUNTIFS(Circulation!$B$2:$B$500,A217,Circulation!$H$2:$H$500,"Active")&gt;0,"On Loan","Available"))</f>
        <v/>
      </c>
      <c r="AA217" s="11"/>
      <c r="AB217" s="11"/>
      <c r="AC217" s="11"/>
      <c r="AD217" s="11"/>
      <c r="AE217" s="11"/>
      <c r="AF217" s="11"/>
      <c r="AG217" s="11"/>
    </row>
    <row r="218" spans="1:33" x14ac:dyDescent="0.25">
      <c r="A218" s="10" t="str">
        <f t="shared" si="6"/>
        <v/>
      </c>
      <c r="B218" s="11"/>
      <c r="C218" s="10" t="str">
        <f t="shared" si="7"/>
        <v/>
      </c>
      <c r="D218" s="11"/>
      <c r="E218" s="11"/>
      <c r="F218" s="11"/>
      <c r="G218" s="11"/>
      <c r="H218" s="10" t="str">
        <f>IF(ISBLANK(F218),"",IF(G218&lt;&gt;"",UPPER(TRIM(G218)),IF(ISNUMBER(SEARCH(" ",TRIM(F218))),UPPER(LEFT(TRIM(RIGHT(SUBSTITUTE(TRIM(F218)," ",REPT(" ",100)),100)),Settings!$B$9)),UPPER(LEFT(TRIM(F218),Settings!$B$9)))))</f>
        <v/>
      </c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0" t="str">
        <f>IF(ISBLANK(D218),"",IF(COUNTIFS(Circulation!$B$2:$B$500,A218,Circulation!$H$2:$H$500,"Active")&gt;0,"On Loan","Available"))</f>
        <v/>
      </c>
      <c r="AA218" s="11"/>
      <c r="AB218" s="11"/>
      <c r="AC218" s="11"/>
      <c r="AD218" s="11"/>
      <c r="AE218" s="11"/>
      <c r="AF218" s="11"/>
      <c r="AG218" s="11"/>
    </row>
    <row r="219" spans="1:33" x14ac:dyDescent="0.25">
      <c r="A219" s="10" t="str">
        <f t="shared" si="6"/>
        <v/>
      </c>
      <c r="B219" s="11"/>
      <c r="C219" s="10" t="str">
        <f t="shared" si="7"/>
        <v/>
      </c>
      <c r="D219" s="11"/>
      <c r="E219" s="11"/>
      <c r="F219" s="11"/>
      <c r="G219" s="11"/>
      <c r="H219" s="10" t="str">
        <f>IF(ISBLANK(F219),"",IF(G219&lt;&gt;"",UPPER(TRIM(G219)),IF(ISNUMBER(SEARCH(" ",TRIM(F219))),UPPER(LEFT(TRIM(RIGHT(SUBSTITUTE(TRIM(F219)," ",REPT(" ",100)),100)),Settings!$B$9)),UPPER(LEFT(TRIM(F219),Settings!$B$9)))))</f>
        <v/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0" t="str">
        <f>IF(ISBLANK(D219),"",IF(COUNTIFS(Circulation!$B$2:$B$500,A219,Circulation!$H$2:$H$500,"Active")&gt;0,"On Loan","Available"))</f>
        <v/>
      </c>
      <c r="AA219" s="11"/>
      <c r="AB219" s="11"/>
      <c r="AC219" s="11"/>
      <c r="AD219" s="11"/>
      <c r="AE219" s="11"/>
      <c r="AF219" s="11"/>
      <c r="AG219" s="11"/>
    </row>
    <row r="220" spans="1:33" x14ac:dyDescent="0.25">
      <c r="A220" s="10" t="str">
        <f t="shared" si="6"/>
        <v/>
      </c>
      <c r="B220" s="11"/>
      <c r="C220" s="10" t="str">
        <f t="shared" si="7"/>
        <v/>
      </c>
      <c r="D220" s="11"/>
      <c r="E220" s="11"/>
      <c r="F220" s="11"/>
      <c r="G220" s="11"/>
      <c r="H220" s="10" t="str">
        <f>IF(ISBLANK(F220),"",IF(G220&lt;&gt;"",UPPER(TRIM(G220)),IF(ISNUMBER(SEARCH(" ",TRIM(F220))),UPPER(LEFT(TRIM(RIGHT(SUBSTITUTE(TRIM(F220)," ",REPT(" ",100)),100)),Settings!$B$9)),UPPER(LEFT(TRIM(F220),Settings!$B$9)))))</f>
        <v/>
      </c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0" t="str">
        <f>IF(ISBLANK(D220),"",IF(COUNTIFS(Circulation!$B$2:$B$500,A220,Circulation!$H$2:$H$500,"Active")&gt;0,"On Loan","Available"))</f>
        <v/>
      </c>
      <c r="AA220" s="11"/>
      <c r="AB220" s="11"/>
      <c r="AC220" s="11"/>
      <c r="AD220" s="11"/>
      <c r="AE220" s="11"/>
      <c r="AF220" s="11"/>
      <c r="AG220" s="11"/>
    </row>
    <row r="221" spans="1:33" x14ac:dyDescent="0.25">
      <c r="A221" s="10" t="str">
        <f t="shared" si="6"/>
        <v/>
      </c>
      <c r="B221" s="11"/>
      <c r="C221" s="10" t="str">
        <f t="shared" si="7"/>
        <v/>
      </c>
      <c r="D221" s="11"/>
      <c r="E221" s="11"/>
      <c r="F221" s="11"/>
      <c r="G221" s="11"/>
      <c r="H221" s="10" t="str">
        <f>IF(ISBLANK(F221),"",IF(G221&lt;&gt;"",UPPER(TRIM(G221)),IF(ISNUMBER(SEARCH(" ",TRIM(F221))),UPPER(LEFT(TRIM(RIGHT(SUBSTITUTE(TRIM(F221)," ",REPT(" ",100)),100)),Settings!$B$9)),UPPER(LEFT(TRIM(F221),Settings!$B$9)))))</f>
        <v/>
      </c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0" t="str">
        <f>IF(ISBLANK(D221),"",IF(COUNTIFS(Circulation!$B$2:$B$500,A221,Circulation!$H$2:$H$500,"Active")&gt;0,"On Loan","Available"))</f>
        <v/>
      </c>
      <c r="AA221" s="11"/>
      <c r="AB221" s="11"/>
      <c r="AC221" s="11"/>
      <c r="AD221" s="11"/>
      <c r="AE221" s="11"/>
      <c r="AF221" s="11"/>
      <c r="AG221" s="11"/>
    </row>
    <row r="222" spans="1:33" x14ac:dyDescent="0.25">
      <c r="A222" s="10" t="str">
        <f t="shared" si="6"/>
        <v/>
      </c>
      <c r="B222" s="11"/>
      <c r="C222" s="10" t="str">
        <f t="shared" si="7"/>
        <v/>
      </c>
      <c r="D222" s="11"/>
      <c r="E222" s="11"/>
      <c r="F222" s="11"/>
      <c r="G222" s="11"/>
      <c r="H222" s="10" t="str">
        <f>IF(ISBLANK(F222),"",IF(G222&lt;&gt;"",UPPER(TRIM(G222)),IF(ISNUMBER(SEARCH(" ",TRIM(F222))),UPPER(LEFT(TRIM(RIGHT(SUBSTITUTE(TRIM(F222)," ",REPT(" ",100)),100)),Settings!$B$9)),UPPER(LEFT(TRIM(F222),Settings!$B$9)))))</f>
        <v/>
      </c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0" t="str">
        <f>IF(ISBLANK(D222),"",IF(COUNTIFS(Circulation!$B$2:$B$500,A222,Circulation!$H$2:$H$500,"Active")&gt;0,"On Loan","Available"))</f>
        <v/>
      </c>
      <c r="AA222" s="11"/>
      <c r="AB222" s="11"/>
      <c r="AC222" s="11"/>
      <c r="AD222" s="11"/>
      <c r="AE222" s="11"/>
      <c r="AF222" s="11"/>
      <c r="AG222" s="11"/>
    </row>
    <row r="223" spans="1:33" x14ac:dyDescent="0.25">
      <c r="A223" s="10" t="str">
        <f t="shared" si="6"/>
        <v/>
      </c>
      <c r="B223" s="11"/>
      <c r="C223" s="10" t="str">
        <f t="shared" si="7"/>
        <v/>
      </c>
      <c r="D223" s="11"/>
      <c r="E223" s="11"/>
      <c r="F223" s="11"/>
      <c r="G223" s="11"/>
      <c r="H223" s="10" t="str">
        <f>IF(ISBLANK(F223),"",IF(G223&lt;&gt;"",UPPER(TRIM(G223)),IF(ISNUMBER(SEARCH(" ",TRIM(F223))),UPPER(LEFT(TRIM(RIGHT(SUBSTITUTE(TRIM(F223)," ",REPT(" ",100)),100)),Settings!$B$9)),UPPER(LEFT(TRIM(F223),Settings!$B$9)))))</f>
        <v/>
      </c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0" t="str">
        <f>IF(ISBLANK(D223),"",IF(COUNTIFS(Circulation!$B$2:$B$500,A223,Circulation!$H$2:$H$500,"Active")&gt;0,"On Loan","Available"))</f>
        <v/>
      </c>
      <c r="AA223" s="11"/>
      <c r="AB223" s="11"/>
      <c r="AC223" s="11"/>
      <c r="AD223" s="11"/>
      <c r="AE223" s="11"/>
      <c r="AF223" s="11"/>
      <c r="AG223" s="11"/>
    </row>
    <row r="224" spans="1:33" x14ac:dyDescent="0.25">
      <c r="A224" s="10" t="str">
        <f t="shared" si="6"/>
        <v/>
      </c>
      <c r="B224" s="11"/>
      <c r="C224" s="10" t="str">
        <f t="shared" si="7"/>
        <v/>
      </c>
      <c r="D224" s="11"/>
      <c r="E224" s="11"/>
      <c r="F224" s="11"/>
      <c r="G224" s="11"/>
      <c r="H224" s="10" t="str">
        <f>IF(ISBLANK(F224),"",IF(G224&lt;&gt;"",UPPER(TRIM(G224)),IF(ISNUMBER(SEARCH(" ",TRIM(F224))),UPPER(LEFT(TRIM(RIGHT(SUBSTITUTE(TRIM(F224)," ",REPT(" ",100)),100)),Settings!$B$9)),UPPER(LEFT(TRIM(F224),Settings!$B$9)))))</f>
        <v/>
      </c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0" t="str">
        <f>IF(ISBLANK(D224),"",IF(COUNTIFS(Circulation!$B$2:$B$500,A224,Circulation!$H$2:$H$500,"Active")&gt;0,"On Loan","Available"))</f>
        <v/>
      </c>
      <c r="AA224" s="11"/>
      <c r="AB224" s="11"/>
      <c r="AC224" s="11"/>
      <c r="AD224" s="11"/>
      <c r="AE224" s="11"/>
      <c r="AF224" s="11"/>
      <c r="AG224" s="11"/>
    </row>
    <row r="225" spans="1:33" x14ac:dyDescent="0.25">
      <c r="A225" s="10" t="str">
        <f t="shared" si="6"/>
        <v/>
      </c>
      <c r="B225" s="11"/>
      <c r="C225" s="10" t="str">
        <f t="shared" si="7"/>
        <v/>
      </c>
      <c r="D225" s="11"/>
      <c r="E225" s="11"/>
      <c r="F225" s="11"/>
      <c r="G225" s="11"/>
      <c r="H225" s="10" t="str">
        <f>IF(ISBLANK(F225),"",IF(G225&lt;&gt;"",UPPER(TRIM(G225)),IF(ISNUMBER(SEARCH(" ",TRIM(F225))),UPPER(LEFT(TRIM(RIGHT(SUBSTITUTE(TRIM(F225)," ",REPT(" ",100)),100)),Settings!$B$9)),UPPER(LEFT(TRIM(F225),Settings!$B$9)))))</f>
        <v/>
      </c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0" t="str">
        <f>IF(ISBLANK(D225),"",IF(COUNTIFS(Circulation!$B$2:$B$500,A225,Circulation!$H$2:$H$500,"Active")&gt;0,"On Loan","Available"))</f>
        <v/>
      </c>
      <c r="AA225" s="11"/>
      <c r="AB225" s="11"/>
      <c r="AC225" s="11"/>
      <c r="AD225" s="11"/>
      <c r="AE225" s="11"/>
      <c r="AF225" s="11"/>
      <c r="AG225" s="11"/>
    </row>
    <row r="226" spans="1:33" x14ac:dyDescent="0.25">
      <c r="A226" s="10" t="str">
        <f t="shared" si="6"/>
        <v/>
      </c>
      <c r="B226" s="11"/>
      <c r="C226" s="10" t="str">
        <f t="shared" si="7"/>
        <v/>
      </c>
      <c r="D226" s="11"/>
      <c r="E226" s="11"/>
      <c r="F226" s="11"/>
      <c r="G226" s="11"/>
      <c r="H226" s="10" t="str">
        <f>IF(ISBLANK(F226),"",IF(G226&lt;&gt;"",UPPER(TRIM(G226)),IF(ISNUMBER(SEARCH(" ",TRIM(F226))),UPPER(LEFT(TRIM(RIGHT(SUBSTITUTE(TRIM(F226)," ",REPT(" ",100)),100)),Settings!$B$9)),UPPER(LEFT(TRIM(F226),Settings!$B$9)))))</f>
        <v/>
      </c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0" t="str">
        <f>IF(ISBLANK(D226),"",IF(COUNTIFS(Circulation!$B$2:$B$500,A226,Circulation!$H$2:$H$500,"Active")&gt;0,"On Loan","Available"))</f>
        <v/>
      </c>
      <c r="AA226" s="11"/>
      <c r="AB226" s="11"/>
      <c r="AC226" s="11"/>
      <c r="AD226" s="11"/>
      <c r="AE226" s="11"/>
      <c r="AF226" s="11"/>
      <c r="AG226" s="11"/>
    </row>
    <row r="227" spans="1:33" x14ac:dyDescent="0.25">
      <c r="A227" s="10" t="str">
        <f t="shared" si="6"/>
        <v/>
      </c>
      <c r="B227" s="11"/>
      <c r="C227" s="10" t="str">
        <f t="shared" si="7"/>
        <v/>
      </c>
      <c r="D227" s="11"/>
      <c r="E227" s="11"/>
      <c r="F227" s="11"/>
      <c r="G227" s="11"/>
      <c r="H227" s="10" t="str">
        <f>IF(ISBLANK(F227),"",IF(G227&lt;&gt;"",UPPER(TRIM(G227)),IF(ISNUMBER(SEARCH(" ",TRIM(F227))),UPPER(LEFT(TRIM(RIGHT(SUBSTITUTE(TRIM(F227)," ",REPT(" ",100)),100)),Settings!$B$9)),UPPER(LEFT(TRIM(F227),Settings!$B$9)))))</f>
        <v/>
      </c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0" t="str">
        <f>IF(ISBLANK(D227),"",IF(COUNTIFS(Circulation!$B$2:$B$500,A227,Circulation!$H$2:$H$500,"Active")&gt;0,"On Loan","Available"))</f>
        <v/>
      </c>
      <c r="AA227" s="11"/>
      <c r="AB227" s="11"/>
      <c r="AC227" s="11"/>
      <c r="AD227" s="11"/>
      <c r="AE227" s="11"/>
      <c r="AF227" s="11"/>
      <c r="AG227" s="11"/>
    </row>
    <row r="228" spans="1:33" x14ac:dyDescent="0.25">
      <c r="A228" s="10" t="str">
        <f t="shared" si="6"/>
        <v/>
      </c>
      <c r="B228" s="11"/>
      <c r="C228" s="10" t="str">
        <f t="shared" si="7"/>
        <v/>
      </c>
      <c r="D228" s="11"/>
      <c r="E228" s="11"/>
      <c r="F228" s="11"/>
      <c r="G228" s="11"/>
      <c r="H228" s="10" t="str">
        <f>IF(ISBLANK(F228),"",IF(G228&lt;&gt;"",UPPER(TRIM(G228)),IF(ISNUMBER(SEARCH(" ",TRIM(F228))),UPPER(LEFT(TRIM(RIGHT(SUBSTITUTE(TRIM(F228)," ",REPT(" ",100)),100)),Settings!$B$9)),UPPER(LEFT(TRIM(F228),Settings!$B$9)))))</f>
        <v/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0" t="str">
        <f>IF(ISBLANK(D228),"",IF(COUNTIFS(Circulation!$B$2:$B$500,A228,Circulation!$H$2:$H$500,"Active")&gt;0,"On Loan","Available"))</f>
        <v/>
      </c>
      <c r="AA228" s="11"/>
      <c r="AB228" s="11"/>
      <c r="AC228" s="11"/>
      <c r="AD228" s="11"/>
      <c r="AE228" s="11"/>
      <c r="AF228" s="11"/>
      <c r="AG228" s="11"/>
    </row>
    <row r="229" spans="1:33" x14ac:dyDescent="0.25">
      <c r="A229" s="10" t="str">
        <f t="shared" si="6"/>
        <v/>
      </c>
      <c r="B229" s="11"/>
      <c r="C229" s="10" t="str">
        <f t="shared" si="7"/>
        <v/>
      </c>
      <c r="D229" s="11"/>
      <c r="E229" s="11"/>
      <c r="F229" s="11"/>
      <c r="G229" s="11"/>
      <c r="H229" s="10" t="str">
        <f>IF(ISBLANK(F229),"",IF(G229&lt;&gt;"",UPPER(TRIM(G229)),IF(ISNUMBER(SEARCH(" ",TRIM(F229))),UPPER(LEFT(TRIM(RIGHT(SUBSTITUTE(TRIM(F229)," ",REPT(" ",100)),100)),Settings!$B$9)),UPPER(LEFT(TRIM(F229),Settings!$B$9)))))</f>
        <v/>
      </c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0" t="str">
        <f>IF(ISBLANK(D229),"",IF(COUNTIFS(Circulation!$B$2:$B$500,A229,Circulation!$H$2:$H$500,"Active")&gt;0,"On Loan","Available"))</f>
        <v/>
      </c>
      <c r="AA229" s="11"/>
      <c r="AB229" s="11"/>
      <c r="AC229" s="11"/>
      <c r="AD229" s="11"/>
      <c r="AE229" s="11"/>
      <c r="AF229" s="11"/>
      <c r="AG229" s="11"/>
    </row>
    <row r="230" spans="1:33" x14ac:dyDescent="0.25">
      <c r="A230" s="10" t="str">
        <f t="shared" si="6"/>
        <v/>
      </c>
      <c r="B230" s="11"/>
      <c r="C230" s="10" t="str">
        <f t="shared" si="7"/>
        <v/>
      </c>
      <c r="D230" s="11"/>
      <c r="E230" s="11"/>
      <c r="F230" s="11"/>
      <c r="G230" s="11"/>
      <c r="H230" s="10" t="str">
        <f>IF(ISBLANK(F230),"",IF(G230&lt;&gt;"",UPPER(TRIM(G230)),IF(ISNUMBER(SEARCH(" ",TRIM(F230))),UPPER(LEFT(TRIM(RIGHT(SUBSTITUTE(TRIM(F230)," ",REPT(" ",100)),100)),Settings!$B$9)),UPPER(LEFT(TRIM(F230),Settings!$B$9)))))</f>
        <v/>
      </c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0" t="str">
        <f>IF(ISBLANK(D230),"",IF(COUNTIFS(Circulation!$B$2:$B$500,A230,Circulation!$H$2:$H$500,"Active")&gt;0,"On Loan","Available"))</f>
        <v/>
      </c>
      <c r="AA230" s="11"/>
      <c r="AB230" s="11"/>
      <c r="AC230" s="11"/>
      <c r="AD230" s="11"/>
      <c r="AE230" s="11"/>
      <c r="AF230" s="11"/>
      <c r="AG230" s="11"/>
    </row>
    <row r="231" spans="1:33" x14ac:dyDescent="0.25">
      <c r="A231" s="10" t="str">
        <f t="shared" si="6"/>
        <v/>
      </c>
      <c r="B231" s="11"/>
      <c r="C231" s="10" t="str">
        <f t="shared" si="7"/>
        <v/>
      </c>
      <c r="D231" s="11"/>
      <c r="E231" s="11"/>
      <c r="F231" s="11"/>
      <c r="G231" s="11"/>
      <c r="H231" s="10" t="str">
        <f>IF(ISBLANK(F231),"",IF(G231&lt;&gt;"",UPPER(TRIM(G231)),IF(ISNUMBER(SEARCH(" ",TRIM(F231))),UPPER(LEFT(TRIM(RIGHT(SUBSTITUTE(TRIM(F231)," ",REPT(" ",100)),100)),Settings!$B$9)),UPPER(LEFT(TRIM(F231),Settings!$B$9)))))</f>
        <v/>
      </c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0" t="str">
        <f>IF(ISBLANK(D231),"",IF(COUNTIFS(Circulation!$B$2:$B$500,A231,Circulation!$H$2:$H$500,"Active")&gt;0,"On Loan","Available"))</f>
        <v/>
      </c>
      <c r="AA231" s="11"/>
      <c r="AB231" s="11"/>
      <c r="AC231" s="11"/>
      <c r="AD231" s="11"/>
      <c r="AE231" s="11"/>
      <c r="AF231" s="11"/>
      <c r="AG231" s="11"/>
    </row>
    <row r="232" spans="1:33" x14ac:dyDescent="0.25">
      <c r="A232" s="10" t="str">
        <f t="shared" si="6"/>
        <v/>
      </c>
      <c r="B232" s="11"/>
      <c r="C232" s="10" t="str">
        <f t="shared" si="7"/>
        <v/>
      </c>
      <c r="D232" s="11"/>
      <c r="E232" s="11"/>
      <c r="F232" s="11"/>
      <c r="G232" s="11"/>
      <c r="H232" s="10" t="str">
        <f>IF(ISBLANK(F232),"",IF(G232&lt;&gt;"",UPPER(TRIM(G232)),IF(ISNUMBER(SEARCH(" ",TRIM(F232))),UPPER(LEFT(TRIM(RIGHT(SUBSTITUTE(TRIM(F232)," ",REPT(" ",100)),100)),Settings!$B$9)),UPPER(LEFT(TRIM(F232),Settings!$B$9)))))</f>
        <v/>
      </c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0" t="str">
        <f>IF(ISBLANK(D232),"",IF(COUNTIFS(Circulation!$B$2:$B$500,A232,Circulation!$H$2:$H$500,"Active")&gt;0,"On Loan","Available"))</f>
        <v/>
      </c>
      <c r="AA232" s="11"/>
      <c r="AB232" s="11"/>
      <c r="AC232" s="11"/>
      <c r="AD232" s="11"/>
      <c r="AE232" s="11"/>
      <c r="AF232" s="11"/>
      <c r="AG232" s="11"/>
    </row>
    <row r="233" spans="1:33" x14ac:dyDescent="0.25">
      <c r="A233" s="10" t="str">
        <f t="shared" si="6"/>
        <v/>
      </c>
      <c r="B233" s="11"/>
      <c r="C233" s="10" t="str">
        <f t="shared" si="7"/>
        <v/>
      </c>
      <c r="D233" s="11"/>
      <c r="E233" s="11"/>
      <c r="F233" s="11"/>
      <c r="G233" s="11"/>
      <c r="H233" s="10" t="str">
        <f>IF(ISBLANK(F233),"",IF(G233&lt;&gt;"",UPPER(TRIM(G233)),IF(ISNUMBER(SEARCH(" ",TRIM(F233))),UPPER(LEFT(TRIM(RIGHT(SUBSTITUTE(TRIM(F233)," ",REPT(" ",100)),100)),Settings!$B$9)),UPPER(LEFT(TRIM(F233),Settings!$B$9)))))</f>
        <v/>
      </c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0" t="str">
        <f>IF(ISBLANK(D233),"",IF(COUNTIFS(Circulation!$B$2:$B$500,A233,Circulation!$H$2:$H$500,"Active")&gt;0,"On Loan","Available"))</f>
        <v/>
      </c>
      <c r="AA233" s="11"/>
      <c r="AB233" s="11"/>
      <c r="AC233" s="11"/>
      <c r="AD233" s="11"/>
      <c r="AE233" s="11"/>
      <c r="AF233" s="11"/>
      <c r="AG233" s="11"/>
    </row>
    <row r="234" spans="1:33" x14ac:dyDescent="0.25">
      <c r="A234" s="10" t="str">
        <f t="shared" si="6"/>
        <v/>
      </c>
      <c r="B234" s="11"/>
      <c r="C234" s="10" t="str">
        <f t="shared" si="7"/>
        <v/>
      </c>
      <c r="D234" s="11"/>
      <c r="E234" s="11"/>
      <c r="F234" s="11"/>
      <c r="G234" s="11"/>
      <c r="H234" s="10" t="str">
        <f>IF(ISBLANK(F234),"",IF(G234&lt;&gt;"",UPPER(TRIM(G234)),IF(ISNUMBER(SEARCH(" ",TRIM(F234))),UPPER(LEFT(TRIM(RIGHT(SUBSTITUTE(TRIM(F234)," ",REPT(" ",100)),100)),Settings!$B$9)),UPPER(LEFT(TRIM(F234),Settings!$B$9)))))</f>
        <v/>
      </c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0" t="str">
        <f>IF(ISBLANK(D234),"",IF(COUNTIFS(Circulation!$B$2:$B$500,A234,Circulation!$H$2:$H$500,"Active")&gt;0,"On Loan","Available"))</f>
        <v/>
      </c>
      <c r="AA234" s="11"/>
      <c r="AB234" s="11"/>
      <c r="AC234" s="11"/>
      <c r="AD234" s="11"/>
      <c r="AE234" s="11"/>
      <c r="AF234" s="11"/>
      <c r="AG234" s="11"/>
    </row>
    <row r="235" spans="1:33" x14ac:dyDescent="0.25">
      <c r="A235" s="10" t="str">
        <f t="shared" si="6"/>
        <v/>
      </c>
      <c r="B235" s="11"/>
      <c r="C235" s="10" t="str">
        <f t="shared" si="7"/>
        <v/>
      </c>
      <c r="D235" s="11"/>
      <c r="E235" s="11"/>
      <c r="F235" s="11"/>
      <c r="G235" s="11"/>
      <c r="H235" s="10" t="str">
        <f>IF(ISBLANK(F235),"",IF(G235&lt;&gt;"",UPPER(TRIM(G235)),IF(ISNUMBER(SEARCH(" ",TRIM(F235))),UPPER(LEFT(TRIM(RIGHT(SUBSTITUTE(TRIM(F235)," ",REPT(" ",100)),100)),Settings!$B$9)),UPPER(LEFT(TRIM(F235),Settings!$B$9)))))</f>
        <v/>
      </c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0" t="str">
        <f>IF(ISBLANK(D235),"",IF(COUNTIFS(Circulation!$B$2:$B$500,A235,Circulation!$H$2:$H$500,"Active")&gt;0,"On Loan","Available"))</f>
        <v/>
      </c>
      <c r="AA235" s="11"/>
      <c r="AB235" s="11"/>
      <c r="AC235" s="11"/>
      <c r="AD235" s="11"/>
      <c r="AE235" s="11"/>
      <c r="AF235" s="11"/>
      <c r="AG235" s="11"/>
    </row>
    <row r="236" spans="1:33" x14ac:dyDescent="0.25">
      <c r="A236" s="10" t="str">
        <f t="shared" si="6"/>
        <v/>
      </c>
      <c r="B236" s="11"/>
      <c r="C236" s="10" t="str">
        <f t="shared" si="7"/>
        <v/>
      </c>
      <c r="D236" s="11"/>
      <c r="E236" s="11"/>
      <c r="F236" s="11"/>
      <c r="G236" s="11"/>
      <c r="H236" s="10" t="str">
        <f>IF(ISBLANK(F236),"",IF(G236&lt;&gt;"",UPPER(TRIM(G236)),IF(ISNUMBER(SEARCH(" ",TRIM(F236))),UPPER(LEFT(TRIM(RIGHT(SUBSTITUTE(TRIM(F236)," ",REPT(" ",100)),100)),Settings!$B$9)),UPPER(LEFT(TRIM(F236),Settings!$B$9)))))</f>
        <v/>
      </c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0" t="str">
        <f>IF(ISBLANK(D236),"",IF(COUNTIFS(Circulation!$B$2:$B$500,A236,Circulation!$H$2:$H$500,"Active")&gt;0,"On Loan","Available"))</f>
        <v/>
      </c>
      <c r="AA236" s="11"/>
      <c r="AB236" s="11"/>
      <c r="AC236" s="11"/>
      <c r="AD236" s="11"/>
      <c r="AE236" s="11"/>
      <c r="AF236" s="11"/>
      <c r="AG236" s="11"/>
    </row>
    <row r="237" spans="1:33" x14ac:dyDescent="0.25">
      <c r="A237" s="10" t="str">
        <f t="shared" si="6"/>
        <v/>
      </c>
      <c r="B237" s="11"/>
      <c r="C237" s="10" t="str">
        <f t="shared" si="7"/>
        <v/>
      </c>
      <c r="D237" s="11"/>
      <c r="E237" s="11"/>
      <c r="F237" s="11"/>
      <c r="G237" s="11"/>
      <c r="H237" s="10" t="str">
        <f>IF(ISBLANK(F237),"",IF(G237&lt;&gt;"",UPPER(TRIM(G237)),IF(ISNUMBER(SEARCH(" ",TRIM(F237))),UPPER(LEFT(TRIM(RIGHT(SUBSTITUTE(TRIM(F237)," ",REPT(" ",100)),100)),Settings!$B$9)),UPPER(LEFT(TRIM(F237),Settings!$B$9)))))</f>
        <v/>
      </c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0" t="str">
        <f>IF(ISBLANK(D237),"",IF(COUNTIFS(Circulation!$B$2:$B$500,A237,Circulation!$H$2:$H$500,"Active")&gt;0,"On Loan","Available"))</f>
        <v/>
      </c>
      <c r="AA237" s="11"/>
      <c r="AB237" s="11"/>
      <c r="AC237" s="11"/>
      <c r="AD237" s="11"/>
      <c r="AE237" s="11"/>
      <c r="AF237" s="11"/>
      <c r="AG237" s="11"/>
    </row>
    <row r="238" spans="1:33" x14ac:dyDescent="0.25">
      <c r="A238" s="10" t="str">
        <f t="shared" si="6"/>
        <v/>
      </c>
      <c r="B238" s="11"/>
      <c r="C238" s="10" t="str">
        <f t="shared" si="7"/>
        <v/>
      </c>
      <c r="D238" s="11"/>
      <c r="E238" s="11"/>
      <c r="F238" s="11"/>
      <c r="G238" s="11"/>
      <c r="H238" s="10" t="str">
        <f>IF(ISBLANK(F238),"",IF(G238&lt;&gt;"",UPPER(TRIM(G238)),IF(ISNUMBER(SEARCH(" ",TRIM(F238))),UPPER(LEFT(TRIM(RIGHT(SUBSTITUTE(TRIM(F238)," ",REPT(" ",100)),100)),Settings!$B$9)),UPPER(LEFT(TRIM(F238),Settings!$B$9)))))</f>
        <v/>
      </c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0" t="str">
        <f>IF(ISBLANK(D238),"",IF(COUNTIFS(Circulation!$B$2:$B$500,A238,Circulation!$H$2:$H$500,"Active")&gt;0,"On Loan","Available"))</f>
        <v/>
      </c>
      <c r="AA238" s="11"/>
      <c r="AB238" s="11"/>
      <c r="AC238" s="11"/>
      <c r="AD238" s="11"/>
      <c r="AE238" s="11"/>
      <c r="AF238" s="11"/>
      <c r="AG238" s="11"/>
    </row>
    <row r="239" spans="1:33" x14ac:dyDescent="0.25">
      <c r="A239" s="10" t="str">
        <f t="shared" si="6"/>
        <v/>
      </c>
      <c r="B239" s="11"/>
      <c r="C239" s="10" t="str">
        <f t="shared" si="7"/>
        <v/>
      </c>
      <c r="D239" s="11"/>
      <c r="E239" s="11"/>
      <c r="F239" s="11"/>
      <c r="G239" s="11"/>
      <c r="H239" s="10" t="str">
        <f>IF(ISBLANK(F239),"",IF(G239&lt;&gt;"",UPPER(TRIM(G239)),IF(ISNUMBER(SEARCH(" ",TRIM(F239))),UPPER(LEFT(TRIM(RIGHT(SUBSTITUTE(TRIM(F239)," ",REPT(" ",100)),100)),Settings!$B$9)),UPPER(LEFT(TRIM(F239),Settings!$B$9)))))</f>
        <v/>
      </c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0" t="str">
        <f>IF(ISBLANK(D239),"",IF(COUNTIFS(Circulation!$B$2:$B$500,A239,Circulation!$H$2:$H$500,"Active")&gt;0,"On Loan","Available"))</f>
        <v/>
      </c>
      <c r="AA239" s="11"/>
      <c r="AB239" s="11"/>
      <c r="AC239" s="11"/>
      <c r="AD239" s="11"/>
      <c r="AE239" s="11"/>
      <c r="AF239" s="11"/>
      <c r="AG239" s="11"/>
    </row>
    <row r="240" spans="1:33" x14ac:dyDescent="0.25">
      <c r="A240" s="10" t="str">
        <f t="shared" si="6"/>
        <v/>
      </c>
      <c r="B240" s="11"/>
      <c r="C240" s="10" t="str">
        <f t="shared" si="7"/>
        <v/>
      </c>
      <c r="D240" s="11"/>
      <c r="E240" s="11"/>
      <c r="F240" s="11"/>
      <c r="G240" s="11"/>
      <c r="H240" s="10" t="str">
        <f>IF(ISBLANK(F240),"",IF(G240&lt;&gt;"",UPPER(TRIM(G240)),IF(ISNUMBER(SEARCH(" ",TRIM(F240))),UPPER(LEFT(TRIM(RIGHT(SUBSTITUTE(TRIM(F240)," ",REPT(" ",100)),100)),Settings!$B$9)),UPPER(LEFT(TRIM(F240),Settings!$B$9)))))</f>
        <v/>
      </c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0" t="str">
        <f>IF(ISBLANK(D240),"",IF(COUNTIFS(Circulation!$B$2:$B$500,A240,Circulation!$H$2:$H$500,"Active")&gt;0,"On Loan","Available"))</f>
        <v/>
      </c>
      <c r="AA240" s="11"/>
      <c r="AB240" s="11"/>
      <c r="AC240" s="11"/>
      <c r="AD240" s="11"/>
      <c r="AE240" s="11"/>
      <c r="AF240" s="11"/>
      <c r="AG240" s="11"/>
    </row>
    <row r="241" spans="1:33" x14ac:dyDescent="0.25">
      <c r="A241" s="10" t="str">
        <f t="shared" si="6"/>
        <v/>
      </c>
      <c r="B241" s="11"/>
      <c r="C241" s="10" t="str">
        <f t="shared" si="7"/>
        <v/>
      </c>
      <c r="D241" s="11"/>
      <c r="E241" s="11"/>
      <c r="F241" s="11"/>
      <c r="G241" s="11"/>
      <c r="H241" s="10" t="str">
        <f>IF(ISBLANK(F241),"",IF(G241&lt;&gt;"",UPPER(TRIM(G241)),IF(ISNUMBER(SEARCH(" ",TRIM(F241))),UPPER(LEFT(TRIM(RIGHT(SUBSTITUTE(TRIM(F241)," ",REPT(" ",100)),100)),Settings!$B$9)),UPPER(LEFT(TRIM(F241),Settings!$B$9)))))</f>
        <v/>
      </c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0" t="str">
        <f>IF(ISBLANK(D241),"",IF(COUNTIFS(Circulation!$B$2:$B$500,A241,Circulation!$H$2:$H$500,"Active")&gt;0,"On Loan","Available"))</f>
        <v/>
      </c>
      <c r="AA241" s="11"/>
      <c r="AB241" s="11"/>
      <c r="AC241" s="11"/>
      <c r="AD241" s="11"/>
      <c r="AE241" s="11"/>
      <c r="AF241" s="11"/>
      <c r="AG241" s="11"/>
    </row>
    <row r="242" spans="1:33" x14ac:dyDescent="0.25">
      <c r="A242" s="10" t="str">
        <f t="shared" si="6"/>
        <v/>
      </c>
      <c r="B242" s="11"/>
      <c r="C242" s="10" t="str">
        <f t="shared" si="7"/>
        <v/>
      </c>
      <c r="D242" s="11"/>
      <c r="E242" s="11"/>
      <c r="F242" s="11"/>
      <c r="G242" s="11"/>
      <c r="H242" s="10" t="str">
        <f>IF(ISBLANK(F242),"",IF(G242&lt;&gt;"",UPPER(TRIM(G242)),IF(ISNUMBER(SEARCH(" ",TRIM(F242))),UPPER(LEFT(TRIM(RIGHT(SUBSTITUTE(TRIM(F242)," ",REPT(" ",100)),100)),Settings!$B$9)),UPPER(LEFT(TRIM(F242),Settings!$B$9)))))</f>
        <v/>
      </c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0" t="str">
        <f>IF(ISBLANK(D242),"",IF(COUNTIFS(Circulation!$B$2:$B$500,A242,Circulation!$H$2:$H$500,"Active")&gt;0,"On Loan","Available"))</f>
        <v/>
      </c>
      <c r="AA242" s="11"/>
      <c r="AB242" s="11"/>
      <c r="AC242" s="11"/>
      <c r="AD242" s="11"/>
      <c r="AE242" s="11"/>
      <c r="AF242" s="11"/>
      <c r="AG242" s="11"/>
    </row>
    <row r="243" spans="1:33" x14ac:dyDescent="0.25">
      <c r="A243" s="10" t="str">
        <f t="shared" si="6"/>
        <v/>
      </c>
      <c r="B243" s="11"/>
      <c r="C243" s="10" t="str">
        <f t="shared" si="7"/>
        <v/>
      </c>
      <c r="D243" s="11"/>
      <c r="E243" s="11"/>
      <c r="F243" s="11"/>
      <c r="G243" s="11"/>
      <c r="H243" s="10" t="str">
        <f>IF(ISBLANK(F243),"",IF(G243&lt;&gt;"",UPPER(TRIM(G243)),IF(ISNUMBER(SEARCH(" ",TRIM(F243))),UPPER(LEFT(TRIM(RIGHT(SUBSTITUTE(TRIM(F243)," ",REPT(" ",100)),100)),Settings!$B$9)),UPPER(LEFT(TRIM(F243),Settings!$B$9)))))</f>
        <v/>
      </c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0" t="str">
        <f>IF(ISBLANK(D243),"",IF(COUNTIFS(Circulation!$B$2:$B$500,A243,Circulation!$H$2:$H$500,"Active")&gt;0,"On Loan","Available"))</f>
        <v/>
      </c>
      <c r="AA243" s="11"/>
      <c r="AB243" s="11"/>
      <c r="AC243" s="11"/>
      <c r="AD243" s="11"/>
      <c r="AE243" s="11"/>
      <c r="AF243" s="11"/>
      <c r="AG243" s="11"/>
    </row>
    <row r="244" spans="1:33" x14ac:dyDescent="0.25">
      <c r="A244" s="10" t="str">
        <f t="shared" si="6"/>
        <v/>
      </c>
      <c r="B244" s="11"/>
      <c r="C244" s="10" t="str">
        <f t="shared" si="7"/>
        <v/>
      </c>
      <c r="D244" s="11"/>
      <c r="E244" s="11"/>
      <c r="F244" s="11"/>
      <c r="G244" s="11"/>
      <c r="H244" s="10" t="str">
        <f>IF(ISBLANK(F244),"",IF(G244&lt;&gt;"",UPPER(TRIM(G244)),IF(ISNUMBER(SEARCH(" ",TRIM(F244))),UPPER(LEFT(TRIM(RIGHT(SUBSTITUTE(TRIM(F244)," ",REPT(" ",100)),100)),Settings!$B$9)),UPPER(LEFT(TRIM(F244),Settings!$B$9)))))</f>
        <v/>
      </c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0" t="str">
        <f>IF(ISBLANK(D244),"",IF(COUNTIFS(Circulation!$B$2:$B$500,A244,Circulation!$H$2:$H$500,"Active")&gt;0,"On Loan","Available"))</f>
        <v/>
      </c>
      <c r="AA244" s="11"/>
      <c r="AB244" s="11"/>
      <c r="AC244" s="11"/>
      <c r="AD244" s="11"/>
      <c r="AE244" s="11"/>
      <c r="AF244" s="11"/>
      <c r="AG244" s="11"/>
    </row>
    <row r="245" spans="1:33" x14ac:dyDescent="0.25">
      <c r="A245" s="10" t="str">
        <f t="shared" si="6"/>
        <v/>
      </c>
      <c r="B245" s="11"/>
      <c r="C245" s="10" t="str">
        <f t="shared" si="7"/>
        <v/>
      </c>
      <c r="D245" s="11"/>
      <c r="E245" s="11"/>
      <c r="F245" s="11"/>
      <c r="G245" s="11"/>
      <c r="H245" s="10" t="str">
        <f>IF(ISBLANK(F245),"",IF(G245&lt;&gt;"",UPPER(TRIM(G245)),IF(ISNUMBER(SEARCH(" ",TRIM(F245))),UPPER(LEFT(TRIM(RIGHT(SUBSTITUTE(TRIM(F245)," ",REPT(" ",100)),100)),Settings!$B$9)),UPPER(LEFT(TRIM(F245),Settings!$B$9)))))</f>
        <v/>
      </c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0" t="str">
        <f>IF(ISBLANK(D245),"",IF(COUNTIFS(Circulation!$B$2:$B$500,A245,Circulation!$H$2:$H$500,"Active")&gt;0,"On Loan","Available"))</f>
        <v/>
      </c>
      <c r="AA245" s="11"/>
      <c r="AB245" s="11"/>
      <c r="AC245" s="11"/>
      <c r="AD245" s="11"/>
      <c r="AE245" s="11"/>
      <c r="AF245" s="11"/>
      <c r="AG245" s="11"/>
    </row>
    <row r="246" spans="1:33" x14ac:dyDescent="0.25">
      <c r="A246" s="10" t="str">
        <f t="shared" si="6"/>
        <v/>
      </c>
      <c r="B246" s="11"/>
      <c r="C246" s="10" t="str">
        <f t="shared" si="7"/>
        <v/>
      </c>
      <c r="D246" s="11"/>
      <c r="E246" s="11"/>
      <c r="F246" s="11"/>
      <c r="G246" s="11"/>
      <c r="H246" s="10" t="str">
        <f>IF(ISBLANK(F246),"",IF(G246&lt;&gt;"",UPPER(TRIM(G246)),IF(ISNUMBER(SEARCH(" ",TRIM(F246))),UPPER(LEFT(TRIM(RIGHT(SUBSTITUTE(TRIM(F246)," ",REPT(" ",100)),100)),Settings!$B$9)),UPPER(LEFT(TRIM(F246),Settings!$B$9)))))</f>
        <v/>
      </c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0" t="str">
        <f>IF(ISBLANK(D246),"",IF(COUNTIFS(Circulation!$B$2:$B$500,A246,Circulation!$H$2:$H$500,"Active")&gt;0,"On Loan","Available"))</f>
        <v/>
      </c>
      <c r="AA246" s="11"/>
      <c r="AB246" s="11"/>
      <c r="AC246" s="11"/>
      <c r="AD246" s="11"/>
      <c r="AE246" s="11"/>
      <c r="AF246" s="11"/>
      <c r="AG246" s="11"/>
    </row>
    <row r="247" spans="1:33" x14ac:dyDescent="0.25">
      <c r="A247" s="10" t="str">
        <f t="shared" si="6"/>
        <v/>
      </c>
      <c r="B247" s="11"/>
      <c r="C247" s="10" t="str">
        <f t="shared" si="7"/>
        <v/>
      </c>
      <c r="D247" s="11"/>
      <c r="E247" s="11"/>
      <c r="F247" s="11"/>
      <c r="G247" s="11"/>
      <c r="H247" s="10" t="str">
        <f>IF(ISBLANK(F247),"",IF(G247&lt;&gt;"",UPPER(TRIM(G247)),IF(ISNUMBER(SEARCH(" ",TRIM(F247))),UPPER(LEFT(TRIM(RIGHT(SUBSTITUTE(TRIM(F247)," ",REPT(" ",100)),100)),Settings!$B$9)),UPPER(LEFT(TRIM(F247),Settings!$B$9)))))</f>
        <v/>
      </c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0" t="str">
        <f>IF(ISBLANK(D247),"",IF(COUNTIFS(Circulation!$B$2:$B$500,A247,Circulation!$H$2:$H$500,"Active")&gt;0,"On Loan","Available"))</f>
        <v/>
      </c>
      <c r="AA247" s="11"/>
      <c r="AB247" s="11"/>
      <c r="AC247" s="11"/>
      <c r="AD247" s="11"/>
      <c r="AE247" s="11"/>
      <c r="AF247" s="11"/>
      <c r="AG247" s="11"/>
    </row>
    <row r="248" spans="1:33" x14ac:dyDescent="0.25">
      <c r="A248" s="10" t="str">
        <f t="shared" si="6"/>
        <v/>
      </c>
      <c r="B248" s="11"/>
      <c r="C248" s="10" t="str">
        <f t="shared" si="7"/>
        <v/>
      </c>
      <c r="D248" s="11"/>
      <c r="E248" s="11"/>
      <c r="F248" s="11"/>
      <c r="G248" s="11"/>
      <c r="H248" s="10" t="str">
        <f>IF(ISBLANK(F248),"",IF(G248&lt;&gt;"",UPPER(TRIM(G248)),IF(ISNUMBER(SEARCH(" ",TRIM(F248))),UPPER(LEFT(TRIM(RIGHT(SUBSTITUTE(TRIM(F248)," ",REPT(" ",100)),100)),Settings!$B$9)),UPPER(LEFT(TRIM(F248),Settings!$B$9)))))</f>
        <v/>
      </c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0" t="str">
        <f>IF(ISBLANK(D248),"",IF(COUNTIFS(Circulation!$B$2:$B$500,A248,Circulation!$H$2:$H$500,"Active")&gt;0,"On Loan","Available"))</f>
        <v/>
      </c>
      <c r="AA248" s="11"/>
      <c r="AB248" s="11"/>
      <c r="AC248" s="11"/>
      <c r="AD248" s="11"/>
      <c r="AE248" s="11"/>
      <c r="AF248" s="11"/>
      <c r="AG248" s="11"/>
    </row>
    <row r="249" spans="1:33" x14ac:dyDescent="0.25">
      <c r="A249" s="10" t="str">
        <f t="shared" si="6"/>
        <v/>
      </c>
      <c r="B249" s="11"/>
      <c r="C249" s="10" t="str">
        <f t="shared" si="7"/>
        <v/>
      </c>
      <c r="D249" s="11"/>
      <c r="E249" s="11"/>
      <c r="F249" s="11"/>
      <c r="G249" s="11"/>
      <c r="H249" s="10" t="str">
        <f>IF(ISBLANK(F249),"",IF(G249&lt;&gt;"",UPPER(TRIM(G249)),IF(ISNUMBER(SEARCH(" ",TRIM(F249))),UPPER(LEFT(TRIM(RIGHT(SUBSTITUTE(TRIM(F249)," ",REPT(" ",100)),100)),Settings!$B$9)),UPPER(LEFT(TRIM(F249),Settings!$B$9)))))</f>
        <v/>
      </c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0" t="str">
        <f>IF(ISBLANK(D249),"",IF(COUNTIFS(Circulation!$B$2:$B$500,A249,Circulation!$H$2:$H$500,"Active")&gt;0,"On Loan","Available"))</f>
        <v/>
      </c>
      <c r="AA249" s="11"/>
      <c r="AB249" s="11"/>
      <c r="AC249" s="11"/>
      <c r="AD249" s="11"/>
      <c r="AE249" s="11"/>
      <c r="AF249" s="11"/>
      <c r="AG249" s="11"/>
    </row>
    <row r="250" spans="1:33" x14ac:dyDescent="0.25">
      <c r="A250" s="10" t="str">
        <f t="shared" si="6"/>
        <v/>
      </c>
      <c r="B250" s="11"/>
      <c r="C250" s="10" t="str">
        <f t="shared" si="7"/>
        <v/>
      </c>
      <c r="D250" s="11"/>
      <c r="E250" s="11"/>
      <c r="F250" s="11"/>
      <c r="G250" s="11"/>
      <c r="H250" s="10" t="str">
        <f>IF(ISBLANK(F250),"",IF(G250&lt;&gt;"",UPPER(TRIM(G250)),IF(ISNUMBER(SEARCH(" ",TRIM(F250))),UPPER(LEFT(TRIM(RIGHT(SUBSTITUTE(TRIM(F250)," ",REPT(" ",100)),100)),Settings!$B$9)),UPPER(LEFT(TRIM(F250),Settings!$B$9)))))</f>
        <v/>
      </c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0" t="str">
        <f>IF(ISBLANK(D250),"",IF(COUNTIFS(Circulation!$B$2:$B$500,A250,Circulation!$H$2:$H$500,"Active")&gt;0,"On Loan","Available"))</f>
        <v/>
      </c>
      <c r="AA250" s="11"/>
      <c r="AB250" s="11"/>
      <c r="AC250" s="11"/>
      <c r="AD250" s="11"/>
      <c r="AE250" s="11"/>
      <c r="AF250" s="11"/>
      <c r="AG250" s="11"/>
    </row>
    <row r="251" spans="1:33" x14ac:dyDescent="0.25">
      <c r="A251" s="10" t="str">
        <f t="shared" si="6"/>
        <v/>
      </c>
      <c r="B251" s="11"/>
      <c r="C251" s="10" t="str">
        <f t="shared" si="7"/>
        <v/>
      </c>
      <c r="D251" s="11"/>
      <c r="E251" s="11"/>
      <c r="F251" s="11"/>
      <c r="G251" s="11"/>
      <c r="H251" s="10" t="str">
        <f>IF(ISBLANK(F251),"",IF(G251&lt;&gt;"",UPPER(TRIM(G251)),IF(ISNUMBER(SEARCH(" ",TRIM(F251))),UPPER(LEFT(TRIM(RIGHT(SUBSTITUTE(TRIM(F251)," ",REPT(" ",100)),100)),Settings!$B$9)),UPPER(LEFT(TRIM(F251),Settings!$B$9)))))</f>
        <v/>
      </c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0" t="str">
        <f>IF(ISBLANK(D251),"",IF(COUNTIFS(Circulation!$B$2:$B$500,A251,Circulation!$H$2:$H$500,"Active")&gt;0,"On Loan","Available"))</f>
        <v/>
      </c>
      <c r="AA251" s="11"/>
      <c r="AB251" s="11"/>
      <c r="AC251" s="11"/>
      <c r="AD251" s="11"/>
      <c r="AE251" s="11"/>
      <c r="AF251" s="11"/>
      <c r="AG251" s="11"/>
    </row>
    <row r="252" spans="1:33" x14ac:dyDescent="0.25">
      <c r="A252" s="10" t="str">
        <f t="shared" si="6"/>
        <v/>
      </c>
      <c r="B252" s="11"/>
      <c r="C252" s="10" t="str">
        <f t="shared" si="7"/>
        <v/>
      </c>
      <c r="D252" s="11"/>
      <c r="E252" s="11"/>
      <c r="F252" s="11"/>
      <c r="G252" s="11"/>
      <c r="H252" s="10" t="str">
        <f>IF(ISBLANK(F252),"",IF(G252&lt;&gt;"",UPPER(TRIM(G252)),IF(ISNUMBER(SEARCH(" ",TRIM(F252))),UPPER(LEFT(TRIM(RIGHT(SUBSTITUTE(TRIM(F252)," ",REPT(" ",100)),100)),Settings!$B$9)),UPPER(LEFT(TRIM(F252),Settings!$B$9)))))</f>
        <v/>
      </c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0" t="str">
        <f>IF(ISBLANK(D252),"",IF(COUNTIFS(Circulation!$B$2:$B$500,A252,Circulation!$H$2:$H$500,"Active")&gt;0,"On Loan","Available"))</f>
        <v/>
      </c>
      <c r="AA252" s="11"/>
      <c r="AB252" s="11"/>
      <c r="AC252" s="11"/>
      <c r="AD252" s="11"/>
      <c r="AE252" s="11"/>
      <c r="AF252" s="11"/>
      <c r="AG252" s="11"/>
    </row>
    <row r="253" spans="1:33" x14ac:dyDescent="0.25">
      <c r="A253" s="10" t="str">
        <f t="shared" si="6"/>
        <v/>
      </c>
      <c r="B253" s="11"/>
      <c r="C253" s="10" t="str">
        <f t="shared" si="7"/>
        <v/>
      </c>
      <c r="D253" s="11"/>
      <c r="E253" s="11"/>
      <c r="F253" s="11"/>
      <c r="G253" s="11"/>
      <c r="H253" s="10" t="str">
        <f>IF(ISBLANK(F253),"",IF(G253&lt;&gt;"",UPPER(TRIM(G253)),IF(ISNUMBER(SEARCH(" ",TRIM(F253))),UPPER(LEFT(TRIM(RIGHT(SUBSTITUTE(TRIM(F253)," ",REPT(" ",100)),100)),Settings!$B$9)),UPPER(LEFT(TRIM(F253),Settings!$B$9)))))</f>
        <v/>
      </c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0" t="str">
        <f>IF(ISBLANK(D253),"",IF(COUNTIFS(Circulation!$B$2:$B$500,A253,Circulation!$H$2:$H$500,"Active")&gt;0,"On Loan","Available"))</f>
        <v/>
      </c>
      <c r="AA253" s="11"/>
      <c r="AB253" s="11"/>
      <c r="AC253" s="11"/>
      <c r="AD253" s="11"/>
      <c r="AE253" s="11"/>
      <c r="AF253" s="11"/>
      <c r="AG253" s="11"/>
    </row>
    <row r="254" spans="1:33" x14ac:dyDescent="0.25">
      <c r="A254" s="10" t="str">
        <f t="shared" si="6"/>
        <v/>
      </c>
      <c r="B254" s="11"/>
      <c r="C254" s="10" t="str">
        <f t="shared" si="7"/>
        <v/>
      </c>
      <c r="D254" s="11"/>
      <c r="E254" s="11"/>
      <c r="F254" s="11"/>
      <c r="G254" s="11"/>
      <c r="H254" s="10" t="str">
        <f>IF(ISBLANK(F254),"",IF(G254&lt;&gt;"",UPPER(TRIM(G254)),IF(ISNUMBER(SEARCH(" ",TRIM(F254))),UPPER(LEFT(TRIM(RIGHT(SUBSTITUTE(TRIM(F254)," ",REPT(" ",100)),100)),Settings!$B$9)),UPPER(LEFT(TRIM(F254),Settings!$B$9)))))</f>
        <v/>
      </c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0" t="str">
        <f>IF(ISBLANK(D254),"",IF(COUNTIFS(Circulation!$B$2:$B$500,A254,Circulation!$H$2:$H$500,"Active")&gt;0,"On Loan","Available"))</f>
        <v/>
      </c>
      <c r="AA254" s="11"/>
      <c r="AB254" s="11"/>
      <c r="AC254" s="11"/>
      <c r="AD254" s="11"/>
      <c r="AE254" s="11"/>
      <c r="AF254" s="11"/>
      <c r="AG254" s="11"/>
    </row>
    <row r="255" spans="1:33" x14ac:dyDescent="0.25">
      <c r="A255" s="10" t="str">
        <f t="shared" si="6"/>
        <v/>
      </c>
      <c r="B255" s="11"/>
      <c r="C255" s="10" t="str">
        <f t="shared" si="7"/>
        <v/>
      </c>
      <c r="D255" s="11"/>
      <c r="E255" s="11"/>
      <c r="F255" s="11"/>
      <c r="G255" s="11"/>
      <c r="H255" s="10" t="str">
        <f>IF(ISBLANK(F255),"",IF(G255&lt;&gt;"",UPPER(TRIM(G255)),IF(ISNUMBER(SEARCH(" ",TRIM(F255))),UPPER(LEFT(TRIM(RIGHT(SUBSTITUTE(TRIM(F255)," ",REPT(" ",100)),100)),Settings!$B$9)),UPPER(LEFT(TRIM(F255),Settings!$B$9)))))</f>
        <v/>
      </c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0" t="str">
        <f>IF(ISBLANK(D255),"",IF(COUNTIFS(Circulation!$B$2:$B$500,A255,Circulation!$H$2:$H$500,"Active")&gt;0,"On Loan","Available"))</f>
        <v/>
      </c>
      <c r="AA255" s="11"/>
      <c r="AB255" s="11"/>
      <c r="AC255" s="11"/>
      <c r="AD255" s="11"/>
      <c r="AE255" s="11"/>
      <c r="AF255" s="11"/>
      <c r="AG255" s="11"/>
    </row>
    <row r="256" spans="1:33" x14ac:dyDescent="0.25">
      <c r="A256" s="10" t="str">
        <f t="shared" si="6"/>
        <v/>
      </c>
      <c r="B256" s="11"/>
      <c r="C256" s="10" t="str">
        <f t="shared" si="7"/>
        <v/>
      </c>
      <c r="D256" s="11"/>
      <c r="E256" s="11"/>
      <c r="F256" s="11"/>
      <c r="G256" s="11"/>
      <c r="H256" s="10" t="str">
        <f>IF(ISBLANK(F256),"",IF(G256&lt;&gt;"",UPPER(TRIM(G256)),IF(ISNUMBER(SEARCH(" ",TRIM(F256))),UPPER(LEFT(TRIM(RIGHT(SUBSTITUTE(TRIM(F256)," ",REPT(" ",100)),100)),Settings!$B$9)),UPPER(LEFT(TRIM(F256),Settings!$B$9)))))</f>
        <v/>
      </c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0" t="str">
        <f>IF(ISBLANK(D256),"",IF(COUNTIFS(Circulation!$B$2:$B$500,A256,Circulation!$H$2:$H$500,"Active")&gt;0,"On Loan","Available"))</f>
        <v/>
      </c>
      <c r="AA256" s="11"/>
      <c r="AB256" s="11"/>
      <c r="AC256" s="11"/>
      <c r="AD256" s="11"/>
      <c r="AE256" s="11"/>
      <c r="AF256" s="11"/>
      <c r="AG256" s="11"/>
    </row>
    <row r="257" spans="1:33" x14ac:dyDescent="0.25">
      <c r="A257" s="10" t="str">
        <f t="shared" si="6"/>
        <v/>
      </c>
      <c r="B257" s="11"/>
      <c r="C257" s="10" t="str">
        <f t="shared" si="7"/>
        <v/>
      </c>
      <c r="D257" s="11"/>
      <c r="E257" s="11"/>
      <c r="F257" s="11"/>
      <c r="G257" s="11"/>
      <c r="H257" s="10" t="str">
        <f>IF(ISBLANK(F257),"",IF(G257&lt;&gt;"",UPPER(TRIM(G257)),IF(ISNUMBER(SEARCH(" ",TRIM(F257))),UPPER(LEFT(TRIM(RIGHT(SUBSTITUTE(TRIM(F257)," ",REPT(" ",100)),100)),Settings!$B$9)),UPPER(LEFT(TRIM(F257),Settings!$B$9)))))</f>
        <v/>
      </c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0" t="str">
        <f>IF(ISBLANK(D257),"",IF(COUNTIFS(Circulation!$B$2:$B$500,A257,Circulation!$H$2:$H$500,"Active")&gt;0,"On Loan","Available"))</f>
        <v/>
      </c>
      <c r="AA257" s="11"/>
      <c r="AB257" s="11"/>
      <c r="AC257" s="11"/>
      <c r="AD257" s="11"/>
      <c r="AE257" s="11"/>
      <c r="AF257" s="11"/>
      <c r="AG257" s="11"/>
    </row>
    <row r="258" spans="1:33" x14ac:dyDescent="0.25">
      <c r="A258" s="10" t="str">
        <f t="shared" ref="A258:A321" si="8">IF(ISBLANK(D258),"",ROW()-1)</f>
        <v/>
      </c>
      <c r="B258" s="11"/>
      <c r="C258" s="10" t="str">
        <f t="shared" ref="C258:C321" si="9">IF(ISBLANK(D258),"",MID(K258,SEARCH("(",K258)+1,SEARCH(")",K258)-SEARCH("(",K258)-1)&amp;"-"&amp;MID(L258,SEARCH("(",L258)+1,SEARCH(")",L258)-SEARCH("(",L258)-1)&amp;"-"&amp;H258&amp;"-"&amp;TEXT(A258,"000")&amp;IF(ISBLANK(N258),"","-"&amp;SUBSTITUTE(N258," ","")))</f>
        <v/>
      </c>
      <c r="D258" s="11"/>
      <c r="E258" s="11"/>
      <c r="F258" s="11"/>
      <c r="G258" s="11"/>
      <c r="H258" s="10" t="str">
        <f>IF(ISBLANK(F258),"",IF(G258&lt;&gt;"",UPPER(TRIM(G258)),IF(ISNUMBER(SEARCH(" ",TRIM(F258))),UPPER(LEFT(TRIM(RIGHT(SUBSTITUTE(TRIM(F258)," ",REPT(" ",100)),100)),Settings!$B$9)),UPPER(LEFT(TRIM(F258),Settings!$B$9)))))</f>
        <v/>
      </c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0" t="str">
        <f>IF(ISBLANK(D258),"",IF(COUNTIFS(Circulation!$B$2:$B$500,A258,Circulation!$H$2:$H$500,"Active")&gt;0,"On Loan","Available"))</f>
        <v/>
      </c>
      <c r="AA258" s="11"/>
      <c r="AB258" s="11"/>
      <c r="AC258" s="11"/>
      <c r="AD258" s="11"/>
      <c r="AE258" s="11"/>
      <c r="AF258" s="11"/>
      <c r="AG258" s="11"/>
    </row>
    <row r="259" spans="1:33" x14ac:dyDescent="0.25">
      <c r="A259" s="10" t="str">
        <f t="shared" si="8"/>
        <v/>
      </c>
      <c r="B259" s="11"/>
      <c r="C259" s="10" t="str">
        <f t="shared" si="9"/>
        <v/>
      </c>
      <c r="D259" s="11"/>
      <c r="E259" s="11"/>
      <c r="F259" s="11"/>
      <c r="G259" s="11"/>
      <c r="H259" s="10" t="str">
        <f>IF(ISBLANK(F259),"",IF(G259&lt;&gt;"",UPPER(TRIM(G259)),IF(ISNUMBER(SEARCH(" ",TRIM(F259))),UPPER(LEFT(TRIM(RIGHT(SUBSTITUTE(TRIM(F259)," ",REPT(" ",100)),100)),Settings!$B$9)),UPPER(LEFT(TRIM(F259),Settings!$B$9)))))</f>
        <v/>
      </c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0" t="str">
        <f>IF(ISBLANK(D259),"",IF(COUNTIFS(Circulation!$B$2:$B$500,A259,Circulation!$H$2:$H$500,"Active")&gt;0,"On Loan","Available"))</f>
        <v/>
      </c>
      <c r="AA259" s="11"/>
      <c r="AB259" s="11"/>
      <c r="AC259" s="11"/>
      <c r="AD259" s="11"/>
      <c r="AE259" s="11"/>
      <c r="AF259" s="11"/>
      <c r="AG259" s="11"/>
    </row>
    <row r="260" spans="1:33" x14ac:dyDescent="0.25">
      <c r="A260" s="10" t="str">
        <f t="shared" si="8"/>
        <v/>
      </c>
      <c r="B260" s="11"/>
      <c r="C260" s="10" t="str">
        <f t="shared" si="9"/>
        <v/>
      </c>
      <c r="D260" s="11"/>
      <c r="E260" s="11"/>
      <c r="F260" s="11"/>
      <c r="G260" s="11"/>
      <c r="H260" s="10" t="str">
        <f>IF(ISBLANK(F260),"",IF(G260&lt;&gt;"",UPPER(TRIM(G260)),IF(ISNUMBER(SEARCH(" ",TRIM(F260))),UPPER(LEFT(TRIM(RIGHT(SUBSTITUTE(TRIM(F260)," ",REPT(" ",100)),100)),Settings!$B$9)),UPPER(LEFT(TRIM(F260),Settings!$B$9)))))</f>
        <v/>
      </c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0" t="str">
        <f>IF(ISBLANK(D260),"",IF(COUNTIFS(Circulation!$B$2:$B$500,A260,Circulation!$H$2:$H$500,"Active")&gt;0,"On Loan","Available"))</f>
        <v/>
      </c>
      <c r="AA260" s="11"/>
      <c r="AB260" s="11"/>
      <c r="AC260" s="11"/>
      <c r="AD260" s="11"/>
      <c r="AE260" s="11"/>
      <c r="AF260" s="11"/>
      <c r="AG260" s="11"/>
    </row>
    <row r="261" spans="1:33" x14ac:dyDescent="0.25">
      <c r="A261" s="10" t="str">
        <f t="shared" si="8"/>
        <v/>
      </c>
      <c r="B261" s="11"/>
      <c r="C261" s="10" t="str">
        <f t="shared" si="9"/>
        <v/>
      </c>
      <c r="D261" s="11"/>
      <c r="E261" s="11"/>
      <c r="F261" s="11"/>
      <c r="G261" s="11"/>
      <c r="H261" s="10" t="str">
        <f>IF(ISBLANK(F261),"",IF(G261&lt;&gt;"",UPPER(TRIM(G261)),IF(ISNUMBER(SEARCH(" ",TRIM(F261))),UPPER(LEFT(TRIM(RIGHT(SUBSTITUTE(TRIM(F261)," ",REPT(" ",100)),100)),Settings!$B$9)),UPPER(LEFT(TRIM(F261),Settings!$B$9)))))</f>
        <v/>
      </c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0" t="str">
        <f>IF(ISBLANK(D261),"",IF(COUNTIFS(Circulation!$B$2:$B$500,A261,Circulation!$H$2:$H$500,"Active")&gt;0,"On Loan","Available"))</f>
        <v/>
      </c>
      <c r="AA261" s="11"/>
      <c r="AB261" s="11"/>
      <c r="AC261" s="11"/>
      <c r="AD261" s="11"/>
      <c r="AE261" s="11"/>
      <c r="AF261" s="11"/>
      <c r="AG261" s="11"/>
    </row>
    <row r="262" spans="1:33" x14ac:dyDescent="0.25">
      <c r="A262" s="10" t="str">
        <f t="shared" si="8"/>
        <v/>
      </c>
      <c r="B262" s="11"/>
      <c r="C262" s="10" t="str">
        <f t="shared" si="9"/>
        <v/>
      </c>
      <c r="D262" s="11"/>
      <c r="E262" s="11"/>
      <c r="F262" s="11"/>
      <c r="G262" s="11"/>
      <c r="H262" s="10" t="str">
        <f>IF(ISBLANK(F262),"",IF(G262&lt;&gt;"",UPPER(TRIM(G262)),IF(ISNUMBER(SEARCH(" ",TRIM(F262))),UPPER(LEFT(TRIM(RIGHT(SUBSTITUTE(TRIM(F262)," ",REPT(" ",100)),100)),Settings!$B$9)),UPPER(LEFT(TRIM(F262),Settings!$B$9)))))</f>
        <v/>
      </c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0" t="str">
        <f>IF(ISBLANK(D262),"",IF(COUNTIFS(Circulation!$B$2:$B$500,A262,Circulation!$H$2:$H$500,"Active")&gt;0,"On Loan","Available"))</f>
        <v/>
      </c>
      <c r="AA262" s="11"/>
      <c r="AB262" s="11"/>
      <c r="AC262" s="11"/>
      <c r="AD262" s="11"/>
      <c r="AE262" s="11"/>
      <c r="AF262" s="11"/>
      <c r="AG262" s="11"/>
    </row>
    <row r="263" spans="1:33" x14ac:dyDescent="0.25">
      <c r="A263" s="10" t="str">
        <f t="shared" si="8"/>
        <v/>
      </c>
      <c r="B263" s="11"/>
      <c r="C263" s="10" t="str">
        <f t="shared" si="9"/>
        <v/>
      </c>
      <c r="D263" s="11"/>
      <c r="E263" s="11"/>
      <c r="F263" s="11"/>
      <c r="G263" s="11"/>
      <c r="H263" s="10" t="str">
        <f>IF(ISBLANK(F263),"",IF(G263&lt;&gt;"",UPPER(TRIM(G263)),IF(ISNUMBER(SEARCH(" ",TRIM(F263))),UPPER(LEFT(TRIM(RIGHT(SUBSTITUTE(TRIM(F263)," ",REPT(" ",100)),100)),Settings!$B$9)),UPPER(LEFT(TRIM(F263),Settings!$B$9)))))</f>
        <v/>
      </c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0" t="str">
        <f>IF(ISBLANK(D263),"",IF(COUNTIFS(Circulation!$B$2:$B$500,A263,Circulation!$H$2:$H$500,"Active")&gt;0,"On Loan","Available"))</f>
        <v/>
      </c>
      <c r="AA263" s="11"/>
      <c r="AB263" s="11"/>
      <c r="AC263" s="11"/>
      <c r="AD263" s="11"/>
      <c r="AE263" s="11"/>
      <c r="AF263" s="11"/>
      <c r="AG263" s="11"/>
    </row>
    <row r="264" spans="1:33" x14ac:dyDescent="0.25">
      <c r="A264" s="10" t="str">
        <f t="shared" si="8"/>
        <v/>
      </c>
      <c r="B264" s="11"/>
      <c r="C264" s="10" t="str">
        <f t="shared" si="9"/>
        <v/>
      </c>
      <c r="D264" s="11"/>
      <c r="E264" s="11"/>
      <c r="F264" s="11"/>
      <c r="G264" s="11"/>
      <c r="H264" s="10" t="str">
        <f>IF(ISBLANK(F264),"",IF(G264&lt;&gt;"",UPPER(TRIM(G264)),IF(ISNUMBER(SEARCH(" ",TRIM(F264))),UPPER(LEFT(TRIM(RIGHT(SUBSTITUTE(TRIM(F264)," ",REPT(" ",100)),100)),Settings!$B$9)),UPPER(LEFT(TRIM(F264),Settings!$B$9)))))</f>
        <v/>
      </c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0" t="str">
        <f>IF(ISBLANK(D264),"",IF(COUNTIFS(Circulation!$B$2:$B$500,A264,Circulation!$H$2:$H$500,"Active")&gt;0,"On Loan","Available"))</f>
        <v/>
      </c>
      <c r="AA264" s="11"/>
      <c r="AB264" s="11"/>
      <c r="AC264" s="11"/>
      <c r="AD264" s="11"/>
      <c r="AE264" s="11"/>
      <c r="AF264" s="11"/>
      <c r="AG264" s="11"/>
    </row>
    <row r="265" spans="1:33" x14ac:dyDescent="0.25">
      <c r="A265" s="10" t="str">
        <f t="shared" si="8"/>
        <v/>
      </c>
      <c r="B265" s="11"/>
      <c r="C265" s="10" t="str">
        <f t="shared" si="9"/>
        <v/>
      </c>
      <c r="D265" s="11"/>
      <c r="E265" s="11"/>
      <c r="F265" s="11"/>
      <c r="G265" s="11"/>
      <c r="H265" s="10" t="str">
        <f>IF(ISBLANK(F265),"",IF(G265&lt;&gt;"",UPPER(TRIM(G265)),IF(ISNUMBER(SEARCH(" ",TRIM(F265))),UPPER(LEFT(TRIM(RIGHT(SUBSTITUTE(TRIM(F265)," ",REPT(" ",100)),100)),Settings!$B$9)),UPPER(LEFT(TRIM(F265),Settings!$B$9)))))</f>
        <v/>
      </c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0" t="str">
        <f>IF(ISBLANK(D265),"",IF(COUNTIFS(Circulation!$B$2:$B$500,A265,Circulation!$H$2:$H$500,"Active")&gt;0,"On Loan","Available"))</f>
        <v/>
      </c>
      <c r="AA265" s="11"/>
      <c r="AB265" s="11"/>
      <c r="AC265" s="11"/>
      <c r="AD265" s="11"/>
      <c r="AE265" s="11"/>
      <c r="AF265" s="11"/>
      <c r="AG265" s="11"/>
    </row>
    <row r="266" spans="1:33" x14ac:dyDescent="0.25">
      <c r="A266" s="10" t="str">
        <f t="shared" si="8"/>
        <v/>
      </c>
      <c r="B266" s="11"/>
      <c r="C266" s="10" t="str">
        <f t="shared" si="9"/>
        <v/>
      </c>
      <c r="D266" s="11"/>
      <c r="E266" s="11"/>
      <c r="F266" s="11"/>
      <c r="G266" s="11"/>
      <c r="H266" s="10" t="str">
        <f>IF(ISBLANK(F266),"",IF(G266&lt;&gt;"",UPPER(TRIM(G266)),IF(ISNUMBER(SEARCH(" ",TRIM(F266))),UPPER(LEFT(TRIM(RIGHT(SUBSTITUTE(TRIM(F266)," ",REPT(" ",100)),100)),Settings!$B$9)),UPPER(LEFT(TRIM(F266),Settings!$B$9)))))</f>
        <v/>
      </c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0" t="str">
        <f>IF(ISBLANK(D266),"",IF(COUNTIFS(Circulation!$B$2:$B$500,A266,Circulation!$H$2:$H$500,"Active")&gt;0,"On Loan","Available"))</f>
        <v/>
      </c>
      <c r="AA266" s="11"/>
      <c r="AB266" s="11"/>
      <c r="AC266" s="11"/>
      <c r="AD266" s="11"/>
      <c r="AE266" s="11"/>
      <c r="AF266" s="11"/>
      <c r="AG266" s="11"/>
    </row>
    <row r="267" spans="1:33" x14ac:dyDescent="0.25">
      <c r="A267" s="10" t="str">
        <f t="shared" si="8"/>
        <v/>
      </c>
      <c r="B267" s="11"/>
      <c r="C267" s="10" t="str">
        <f t="shared" si="9"/>
        <v/>
      </c>
      <c r="D267" s="11"/>
      <c r="E267" s="11"/>
      <c r="F267" s="11"/>
      <c r="G267" s="11"/>
      <c r="H267" s="10" t="str">
        <f>IF(ISBLANK(F267),"",IF(G267&lt;&gt;"",UPPER(TRIM(G267)),IF(ISNUMBER(SEARCH(" ",TRIM(F267))),UPPER(LEFT(TRIM(RIGHT(SUBSTITUTE(TRIM(F267)," ",REPT(" ",100)),100)),Settings!$B$9)),UPPER(LEFT(TRIM(F267),Settings!$B$9)))))</f>
        <v/>
      </c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0" t="str">
        <f>IF(ISBLANK(D267),"",IF(COUNTIFS(Circulation!$B$2:$B$500,A267,Circulation!$H$2:$H$500,"Active")&gt;0,"On Loan","Available"))</f>
        <v/>
      </c>
      <c r="AA267" s="11"/>
      <c r="AB267" s="11"/>
      <c r="AC267" s="11"/>
      <c r="AD267" s="11"/>
      <c r="AE267" s="11"/>
      <c r="AF267" s="11"/>
      <c r="AG267" s="11"/>
    </row>
    <row r="268" spans="1:33" x14ac:dyDescent="0.25">
      <c r="A268" s="10" t="str">
        <f t="shared" si="8"/>
        <v/>
      </c>
      <c r="B268" s="11"/>
      <c r="C268" s="10" t="str">
        <f t="shared" si="9"/>
        <v/>
      </c>
      <c r="D268" s="11"/>
      <c r="E268" s="11"/>
      <c r="F268" s="11"/>
      <c r="G268" s="11"/>
      <c r="H268" s="10" t="str">
        <f>IF(ISBLANK(F268),"",IF(G268&lt;&gt;"",UPPER(TRIM(G268)),IF(ISNUMBER(SEARCH(" ",TRIM(F268))),UPPER(LEFT(TRIM(RIGHT(SUBSTITUTE(TRIM(F268)," ",REPT(" ",100)),100)),Settings!$B$9)),UPPER(LEFT(TRIM(F268),Settings!$B$9)))))</f>
        <v/>
      </c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0" t="str">
        <f>IF(ISBLANK(D268),"",IF(COUNTIFS(Circulation!$B$2:$B$500,A268,Circulation!$H$2:$H$500,"Active")&gt;0,"On Loan","Available"))</f>
        <v/>
      </c>
      <c r="AA268" s="11"/>
      <c r="AB268" s="11"/>
      <c r="AC268" s="11"/>
      <c r="AD268" s="11"/>
      <c r="AE268" s="11"/>
      <c r="AF268" s="11"/>
      <c r="AG268" s="11"/>
    </row>
    <row r="269" spans="1:33" x14ac:dyDescent="0.25">
      <c r="A269" s="10" t="str">
        <f t="shared" si="8"/>
        <v/>
      </c>
      <c r="B269" s="11"/>
      <c r="C269" s="10" t="str">
        <f t="shared" si="9"/>
        <v/>
      </c>
      <c r="D269" s="11"/>
      <c r="E269" s="11"/>
      <c r="F269" s="11"/>
      <c r="G269" s="11"/>
      <c r="H269" s="10" t="str">
        <f>IF(ISBLANK(F269),"",IF(G269&lt;&gt;"",UPPER(TRIM(G269)),IF(ISNUMBER(SEARCH(" ",TRIM(F269))),UPPER(LEFT(TRIM(RIGHT(SUBSTITUTE(TRIM(F269)," ",REPT(" ",100)),100)),Settings!$B$9)),UPPER(LEFT(TRIM(F269),Settings!$B$9)))))</f>
        <v/>
      </c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0" t="str">
        <f>IF(ISBLANK(D269),"",IF(COUNTIFS(Circulation!$B$2:$B$500,A269,Circulation!$H$2:$H$500,"Active")&gt;0,"On Loan","Available"))</f>
        <v/>
      </c>
      <c r="AA269" s="11"/>
      <c r="AB269" s="11"/>
      <c r="AC269" s="11"/>
      <c r="AD269" s="11"/>
      <c r="AE269" s="11"/>
      <c r="AF269" s="11"/>
      <c r="AG269" s="11"/>
    </row>
    <row r="270" spans="1:33" x14ac:dyDescent="0.25">
      <c r="A270" s="10" t="str">
        <f t="shared" si="8"/>
        <v/>
      </c>
      <c r="B270" s="11"/>
      <c r="C270" s="10" t="str">
        <f t="shared" si="9"/>
        <v/>
      </c>
      <c r="D270" s="11"/>
      <c r="E270" s="11"/>
      <c r="F270" s="11"/>
      <c r="G270" s="11"/>
      <c r="H270" s="10" t="str">
        <f>IF(ISBLANK(F270),"",IF(G270&lt;&gt;"",UPPER(TRIM(G270)),IF(ISNUMBER(SEARCH(" ",TRIM(F270))),UPPER(LEFT(TRIM(RIGHT(SUBSTITUTE(TRIM(F270)," ",REPT(" ",100)),100)),Settings!$B$9)),UPPER(LEFT(TRIM(F270),Settings!$B$9)))))</f>
        <v/>
      </c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0" t="str">
        <f>IF(ISBLANK(D270),"",IF(COUNTIFS(Circulation!$B$2:$B$500,A270,Circulation!$H$2:$H$500,"Active")&gt;0,"On Loan","Available"))</f>
        <v/>
      </c>
      <c r="AA270" s="11"/>
      <c r="AB270" s="11"/>
      <c r="AC270" s="11"/>
      <c r="AD270" s="11"/>
      <c r="AE270" s="11"/>
      <c r="AF270" s="11"/>
      <c r="AG270" s="11"/>
    </row>
    <row r="271" spans="1:33" x14ac:dyDescent="0.25">
      <c r="A271" s="10" t="str">
        <f t="shared" si="8"/>
        <v/>
      </c>
      <c r="B271" s="11"/>
      <c r="C271" s="10" t="str">
        <f t="shared" si="9"/>
        <v/>
      </c>
      <c r="D271" s="11"/>
      <c r="E271" s="11"/>
      <c r="F271" s="11"/>
      <c r="G271" s="11"/>
      <c r="H271" s="10" t="str">
        <f>IF(ISBLANK(F271),"",IF(G271&lt;&gt;"",UPPER(TRIM(G271)),IF(ISNUMBER(SEARCH(" ",TRIM(F271))),UPPER(LEFT(TRIM(RIGHT(SUBSTITUTE(TRIM(F271)," ",REPT(" ",100)),100)),Settings!$B$9)),UPPER(LEFT(TRIM(F271),Settings!$B$9)))))</f>
        <v/>
      </c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0" t="str">
        <f>IF(ISBLANK(D271),"",IF(COUNTIFS(Circulation!$B$2:$B$500,A271,Circulation!$H$2:$H$500,"Active")&gt;0,"On Loan","Available"))</f>
        <v/>
      </c>
      <c r="AA271" s="11"/>
      <c r="AB271" s="11"/>
      <c r="AC271" s="11"/>
      <c r="AD271" s="11"/>
      <c r="AE271" s="11"/>
      <c r="AF271" s="11"/>
      <c r="AG271" s="11"/>
    </row>
    <row r="272" spans="1:33" x14ac:dyDescent="0.25">
      <c r="A272" s="10" t="str">
        <f t="shared" si="8"/>
        <v/>
      </c>
      <c r="B272" s="11"/>
      <c r="C272" s="10" t="str">
        <f t="shared" si="9"/>
        <v/>
      </c>
      <c r="D272" s="11"/>
      <c r="E272" s="11"/>
      <c r="F272" s="11"/>
      <c r="G272" s="11"/>
      <c r="H272" s="10" t="str">
        <f>IF(ISBLANK(F272),"",IF(G272&lt;&gt;"",UPPER(TRIM(G272)),IF(ISNUMBER(SEARCH(" ",TRIM(F272))),UPPER(LEFT(TRIM(RIGHT(SUBSTITUTE(TRIM(F272)," ",REPT(" ",100)),100)),Settings!$B$9)),UPPER(LEFT(TRIM(F272),Settings!$B$9)))))</f>
        <v/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0" t="str">
        <f>IF(ISBLANK(D272),"",IF(COUNTIFS(Circulation!$B$2:$B$500,A272,Circulation!$H$2:$H$500,"Active")&gt;0,"On Loan","Available"))</f>
        <v/>
      </c>
      <c r="AA272" s="11"/>
      <c r="AB272" s="11"/>
      <c r="AC272" s="11"/>
      <c r="AD272" s="11"/>
      <c r="AE272" s="11"/>
      <c r="AF272" s="11"/>
      <c r="AG272" s="11"/>
    </row>
    <row r="273" spans="1:33" x14ac:dyDescent="0.25">
      <c r="A273" s="10" t="str">
        <f t="shared" si="8"/>
        <v/>
      </c>
      <c r="B273" s="11"/>
      <c r="C273" s="10" t="str">
        <f t="shared" si="9"/>
        <v/>
      </c>
      <c r="D273" s="11"/>
      <c r="E273" s="11"/>
      <c r="F273" s="11"/>
      <c r="G273" s="11"/>
      <c r="H273" s="10" t="str">
        <f>IF(ISBLANK(F273),"",IF(G273&lt;&gt;"",UPPER(TRIM(G273)),IF(ISNUMBER(SEARCH(" ",TRIM(F273))),UPPER(LEFT(TRIM(RIGHT(SUBSTITUTE(TRIM(F273)," ",REPT(" ",100)),100)),Settings!$B$9)),UPPER(LEFT(TRIM(F273),Settings!$B$9)))))</f>
        <v/>
      </c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0" t="str">
        <f>IF(ISBLANK(D273),"",IF(COUNTIFS(Circulation!$B$2:$B$500,A273,Circulation!$H$2:$H$500,"Active")&gt;0,"On Loan","Available"))</f>
        <v/>
      </c>
      <c r="AA273" s="11"/>
      <c r="AB273" s="11"/>
      <c r="AC273" s="11"/>
      <c r="AD273" s="11"/>
      <c r="AE273" s="11"/>
      <c r="AF273" s="11"/>
      <c r="AG273" s="11"/>
    </row>
    <row r="274" spans="1:33" x14ac:dyDescent="0.25">
      <c r="A274" s="10" t="str">
        <f t="shared" si="8"/>
        <v/>
      </c>
      <c r="B274" s="11"/>
      <c r="C274" s="10" t="str">
        <f t="shared" si="9"/>
        <v/>
      </c>
      <c r="D274" s="11"/>
      <c r="E274" s="11"/>
      <c r="F274" s="11"/>
      <c r="G274" s="11"/>
      <c r="H274" s="10" t="str">
        <f>IF(ISBLANK(F274),"",IF(G274&lt;&gt;"",UPPER(TRIM(G274)),IF(ISNUMBER(SEARCH(" ",TRIM(F274))),UPPER(LEFT(TRIM(RIGHT(SUBSTITUTE(TRIM(F274)," ",REPT(" ",100)),100)),Settings!$B$9)),UPPER(LEFT(TRIM(F274),Settings!$B$9)))))</f>
        <v/>
      </c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0" t="str">
        <f>IF(ISBLANK(D274),"",IF(COUNTIFS(Circulation!$B$2:$B$500,A274,Circulation!$H$2:$H$500,"Active")&gt;0,"On Loan","Available"))</f>
        <v/>
      </c>
      <c r="AA274" s="11"/>
      <c r="AB274" s="11"/>
      <c r="AC274" s="11"/>
      <c r="AD274" s="11"/>
      <c r="AE274" s="11"/>
      <c r="AF274" s="11"/>
      <c r="AG274" s="11"/>
    </row>
    <row r="275" spans="1:33" x14ac:dyDescent="0.25">
      <c r="A275" s="10" t="str">
        <f t="shared" si="8"/>
        <v/>
      </c>
      <c r="B275" s="11"/>
      <c r="C275" s="10" t="str">
        <f t="shared" si="9"/>
        <v/>
      </c>
      <c r="D275" s="11"/>
      <c r="E275" s="11"/>
      <c r="F275" s="11"/>
      <c r="G275" s="11"/>
      <c r="H275" s="10" t="str">
        <f>IF(ISBLANK(F275),"",IF(G275&lt;&gt;"",UPPER(TRIM(G275)),IF(ISNUMBER(SEARCH(" ",TRIM(F275))),UPPER(LEFT(TRIM(RIGHT(SUBSTITUTE(TRIM(F275)," ",REPT(" ",100)),100)),Settings!$B$9)),UPPER(LEFT(TRIM(F275),Settings!$B$9)))))</f>
        <v/>
      </c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0" t="str">
        <f>IF(ISBLANK(D275),"",IF(COUNTIFS(Circulation!$B$2:$B$500,A275,Circulation!$H$2:$H$500,"Active")&gt;0,"On Loan","Available"))</f>
        <v/>
      </c>
      <c r="AA275" s="11"/>
      <c r="AB275" s="11"/>
      <c r="AC275" s="11"/>
      <c r="AD275" s="11"/>
      <c r="AE275" s="11"/>
      <c r="AF275" s="11"/>
      <c r="AG275" s="11"/>
    </row>
    <row r="276" spans="1:33" x14ac:dyDescent="0.25">
      <c r="A276" s="10" t="str">
        <f t="shared" si="8"/>
        <v/>
      </c>
      <c r="B276" s="11"/>
      <c r="C276" s="10" t="str">
        <f t="shared" si="9"/>
        <v/>
      </c>
      <c r="D276" s="11"/>
      <c r="E276" s="11"/>
      <c r="F276" s="11"/>
      <c r="G276" s="11"/>
      <c r="H276" s="10" t="str">
        <f>IF(ISBLANK(F276),"",IF(G276&lt;&gt;"",UPPER(TRIM(G276)),IF(ISNUMBER(SEARCH(" ",TRIM(F276))),UPPER(LEFT(TRIM(RIGHT(SUBSTITUTE(TRIM(F276)," ",REPT(" ",100)),100)),Settings!$B$9)),UPPER(LEFT(TRIM(F276),Settings!$B$9)))))</f>
        <v/>
      </c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0" t="str">
        <f>IF(ISBLANK(D276),"",IF(COUNTIFS(Circulation!$B$2:$B$500,A276,Circulation!$H$2:$H$500,"Active")&gt;0,"On Loan","Available"))</f>
        <v/>
      </c>
      <c r="AA276" s="11"/>
      <c r="AB276" s="11"/>
      <c r="AC276" s="11"/>
      <c r="AD276" s="11"/>
      <c r="AE276" s="11"/>
      <c r="AF276" s="11"/>
      <c r="AG276" s="11"/>
    </row>
    <row r="277" spans="1:33" x14ac:dyDescent="0.25">
      <c r="A277" s="10" t="str">
        <f t="shared" si="8"/>
        <v/>
      </c>
      <c r="B277" s="11"/>
      <c r="C277" s="10" t="str">
        <f t="shared" si="9"/>
        <v/>
      </c>
      <c r="D277" s="11"/>
      <c r="E277" s="11"/>
      <c r="F277" s="11"/>
      <c r="G277" s="11"/>
      <c r="H277" s="10" t="str">
        <f>IF(ISBLANK(F277),"",IF(G277&lt;&gt;"",UPPER(TRIM(G277)),IF(ISNUMBER(SEARCH(" ",TRIM(F277))),UPPER(LEFT(TRIM(RIGHT(SUBSTITUTE(TRIM(F277)," ",REPT(" ",100)),100)),Settings!$B$9)),UPPER(LEFT(TRIM(F277),Settings!$B$9)))))</f>
        <v/>
      </c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0" t="str">
        <f>IF(ISBLANK(D277),"",IF(COUNTIFS(Circulation!$B$2:$B$500,A277,Circulation!$H$2:$H$500,"Active")&gt;0,"On Loan","Available"))</f>
        <v/>
      </c>
      <c r="AA277" s="11"/>
      <c r="AB277" s="11"/>
      <c r="AC277" s="11"/>
      <c r="AD277" s="11"/>
      <c r="AE277" s="11"/>
      <c r="AF277" s="11"/>
      <c r="AG277" s="11"/>
    </row>
    <row r="278" spans="1:33" x14ac:dyDescent="0.25">
      <c r="A278" s="10" t="str">
        <f t="shared" si="8"/>
        <v/>
      </c>
      <c r="B278" s="11"/>
      <c r="C278" s="10" t="str">
        <f t="shared" si="9"/>
        <v/>
      </c>
      <c r="D278" s="11"/>
      <c r="E278" s="11"/>
      <c r="F278" s="11"/>
      <c r="G278" s="11"/>
      <c r="H278" s="10" t="str">
        <f>IF(ISBLANK(F278),"",IF(G278&lt;&gt;"",UPPER(TRIM(G278)),IF(ISNUMBER(SEARCH(" ",TRIM(F278))),UPPER(LEFT(TRIM(RIGHT(SUBSTITUTE(TRIM(F278)," ",REPT(" ",100)),100)),Settings!$B$9)),UPPER(LEFT(TRIM(F278),Settings!$B$9)))))</f>
        <v/>
      </c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0" t="str">
        <f>IF(ISBLANK(D278),"",IF(COUNTIFS(Circulation!$B$2:$B$500,A278,Circulation!$H$2:$H$500,"Active")&gt;0,"On Loan","Available"))</f>
        <v/>
      </c>
      <c r="AA278" s="11"/>
      <c r="AB278" s="11"/>
      <c r="AC278" s="11"/>
      <c r="AD278" s="11"/>
      <c r="AE278" s="11"/>
      <c r="AF278" s="11"/>
      <c r="AG278" s="11"/>
    </row>
    <row r="279" spans="1:33" x14ac:dyDescent="0.25">
      <c r="A279" s="10" t="str">
        <f t="shared" si="8"/>
        <v/>
      </c>
      <c r="B279" s="11"/>
      <c r="C279" s="10" t="str">
        <f t="shared" si="9"/>
        <v/>
      </c>
      <c r="D279" s="11"/>
      <c r="E279" s="11"/>
      <c r="F279" s="11"/>
      <c r="G279" s="11"/>
      <c r="H279" s="10" t="str">
        <f>IF(ISBLANK(F279),"",IF(G279&lt;&gt;"",UPPER(TRIM(G279)),IF(ISNUMBER(SEARCH(" ",TRIM(F279))),UPPER(LEFT(TRIM(RIGHT(SUBSTITUTE(TRIM(F279)," ",REPT(" ",100)),100)),Settings!$B$9)),UPPER(LEFT(TRIM(F279),Settings!$B$9)))))</f>
        <v/>
      </c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0" t="str">
        <f>IF(ISBLANK(D279),"",IF(COUNTIFS(Circulation!$B$2:$B$500,A279,Circulation!$H$2:$H$500,"Active")&gt;0,"On Loan","Available"))</f>
        <v/>
      </c>
      <c r="AA279" s="11"/>
      <c r="AB279" s="11"/>
      <c r="AC279" s="11"/>
      <c r="AD279" s="11"/>
      <c r="AE279" s="11"/>
      <c r="AF279" s="11"/>
      <c r="AG279" s="11"/>
    </row>
    <row r="280" spans="1:33" x14ac:dyDescent="0.25">
      <c r="A280" s="10" t="str">
        <f t="shared" si="8"/>
        <v/>
      </c>
      <c r="B280" s="11"/>
      <c r="C280" s="10" t="str">
        <f t="shared" si="9"/>
        <v/>
      </c>
      <c r="D280" s="11"/>
      <c r="E280" s="11"/>
      <c r="F280" s="11"/>
      <c r="G280" s="11"/>
      <c r="H280" s="10" t="str">
        <f>IF(ISBLANK(F280),"",IF(G280&lt;&gt;"",UPPER(TRIM(G280)),IF(ISNUMBER(SEARCH(" ",TRIM(F280))),UPPER(LEFT(TRIM(RIGHT(SUBSTITUTE(TRIM(F280)," ",REPT(" ",100)),100)),Settings!$B$9)),UPPER(LEFT(TRIM(F280),Settings!$B$9)))))</f>
        <v/>
      </c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0" t="str">
        <f>IF(ISBLANK(D280),"",IF(COUNTIFS(Circulation!$B$2:$B$500,A280,Circulation!$H$2:$H$500,"Active")&gt;0,"On Loan","Available"))</f>
        <v/>
      </c>
      <c r="AA280" s="11"/>
      <c r="AB280" s="11"/>
      <c r="AC280" s="11"/>
      <c r="AD280" s="11"/>
      <c r="AE280" s="11"/>
      <c r="AF280" s="11"/>
      <c r="AG280" s="11"/>
    </row>
    <row r="281" spans="1:33" x14ac:dyDescent="0.25">
      <c r="A281" s="10" t="str">
        <f t="shared" si="8"/>
        <v/>
      </c>
      <c r="B281" s="11"/>
      <c r="C281" s="10" t="str">
        <f t="shared" si="9"/>
        <v/>
      </c>
      <c r="D281" s="11"/>
      <c r="E281" s="11"/>
      <c r="F281" s="11"/>
      <c r="G281" s="11"/>
      <c r="H281" s="10" t="str">
        <f>IF(ISBLANK(F281),"",IF(G281&lt;&gt;"",UPPER(TRIM(G281)),IF(ISNUMBER(SEARCH(" ",TRIM(F281))),UPPER(LEFT(TRIM(RIGHT(SUBSTITUTE(TRIM(F281)," ",REPT(" ",100)),100)),Settings!$B$9)),UPPER(LEFT(TRIM(F281),Settings!$B$9)))))</f>
        <v/>
      </c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0" t="str">
        <f>IF(ISBLANK(D281),"",IF(COUNTIFS(Circulation!$B$2:$B$500,A281,Circulation!$H$2:$H$500,"Active")&gt;0,"On Loan","Available"))</f>
        <v/>
      </c>
      <c r="AA281" s="11"/>
      <c r="AB281" s="11"/>
      <c r="AC281" s="11"/>
      <c r="AD281" s="11"/>
      <c r="AE281" s="11"/>
      <c r="AF281" s="11"/>
      <c r="AG281" s="11"/>
    </row>
    <row r="282" spans="1:33" x14ac:dyDescent="0.25">
      <c r="A282" s="10" t="str">
        <f t="shared" si="8"/>
        <v/>
      </c>
      <c r="B282" s="11"/>
      <c r="C282" s="10" t="str">
        <f t="shared" si="9"/>
        <v/>
      </c>
      <c r="D282" s="11"/>
      <c r="E282" s="11"/>
      <c r="F282" s="11"/>
      <c r="G282" s="11"/>
      <c r="H282" s="10" t="str">
        <f>IF(ISBLANK(F282),"",IF(G282&lt;&gt;"",UPPER(TRIM(G282)),IF(ISNUMBER(SEARCH(" ",TRIM(F282))),UPPER(LEFT(TRIM(RIGHT(SUBSTITUTE(TRIM(F282)," ",REPT(" ",100)),100)),Settings!$B$9)),UPPER(LEFT(TRIM(F282),Settings!$B$9)))))</f>
        <v/>
      </c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0" t="str">
        <f>IF(ISBLANK(D282),"",IF(COUNTIFS(Circulation!$B$2:$B$500,A282,Circulation!$H$2:$H$500,"Active")&gt;0,"On Loan","Available"))</f>
        <v/>
      </c>
      <c r="AA282" s="11"/>
      <c r="AB282" s="11"/>
      <c r="AC282" s="11"/>
      <c r="AD282" s="11"/>
      <c r="AE282" s="11"/>
      <c r="AF282" s="11"/>
      <c r="AG282" s="11"/>
    </row>
    <row r="283" spans="1:33" x14ac:dyDescent="0.25">
      <c r="A283" s="10" t="str">
        <f t="shared" si="8"/>
        <v/>
      </c>
      <c r="B283" s="11"/>
      <c r="C283" s="10" t="str">
        <f t="shared" si="9"/>
        <v/>
      </c>
      <c r="D283" s="11"/>
      <c r="E283" s="11"/>
      <c r="F283" s="11"/>
      <c r="G283" s="11"/>
      <c r="H283" s="10" t="str">
        <f>IF(ISBLANK(F283),"",IF(G283&lt;&gt;"",UPPER(TRIM(G283)),IF(ISNUMBER(SEARCH(" ",TRIM(F283))),UPPER(LEFT(TRIM(RIGHT(SUBSTITUTE(TRIM(F283)," ",REPT(" ",100)),100)),Settings!$B$9)),UPPER(LEFT(TRIM(F283),Settings!$B$9)))))</f>
        <v/>
      </c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0" t="str">
        <f>IF(ISBLANK(D283),"",IF(COUNTIFS(Circulation!$B$2:$B$500,A283,Circulation!$H$2:$H$500,"Active")&gt;0,"On Loan","Available"))</f>
        <v/>
      </c>
      <c r="AA283" s="11"/>
      <c r="AB283" s="11"/>
      <c r="AC283" s="11"/>
      <c r="AD283" s="11"/>
      <c r="AE283" s="11"/>
      <c r="AF283" s="11"/>
      <c r="AG283" s="11"/>
    </row>
    <row r="284" spans="1:33" x14ac:dyDescent="0.25">
      <c r="A284" s="10" t="str">
        <f t="shared" si="8"/>
        <v/>
      </c>
      <c r="B284" s="11"/>
      <c r="C284" s="10" t="str">
        <f t="shared" si="9"/>
        <v/>
      </c>
      <c r="D284" s="11"/>
      <c r="E284" s="11"/>
      <c r="F284" s="11"/>
      <c r="G284" s="11"/>
      <c r="H284" s="10" t="str">
        <f>IF(ISBLANK(F284),"",IF(G284&lt;&gt;"",UPPER(TRIM(G284)),IF(ISNUMBER(SEARCH(" ",TRIM(F284))),UPPER(LEFT(TRIM(RIGHT(SUBSTITUTE(TRIM(F284)," ",REPT(" ",100)),100)),Settings!$B$9)),UPPER(LEFT(TRIM(F284),Settings!$B$9)))))</f>
        <v/>
      </c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0" t="str">
        <f>IF(ISBLANK(D284),"",IF(COUNTIFS(Circulation!$B$2:$B$500,A284,Circulation!$H$2:$H$500,"Active")&gt;0,"On Loan","Available"))</f>
        <v/>
      </c>
      <c r="AA284" s="11"/>
      <c r="AB284" s="11"/>
      <c r="AC284" s="11"/>
      <c r="AD284" s="11"/>
      <c r="AE284" s="11"/>
      <c r="AF284" s="11"/>
      <c r="AG284" s="11"/>
    </row>
    <row r="285" spans="1:33" x14ac:dyDescent="0.25">
      <c r="A285" s="10" t="str">
        <f t="shared" si="8"/>
        <v/>
      </c>
      <c r="B285" s="11"/>
      <c r="C285" s="10" t="str">
        <f t="shared" si="9"/>
        <v/>
      </c>
      <c r="D285" s="11"/>
      <c r="E285" s="11"/>
      <c r="F285" s="11"/>
      <c r="G285" s="11"/>
      <c r="H285" s="10" t="str">
        <f>IF(ISBLANK(F285),"",IF(G285&lt;&gt;"",UPPER(TRIM(G285)),IF(ISNUMBER(SEARCH(" ",TRIM(F285))),UPPER(LEFT(TRIM(RIGHT(SUBSTITUTE(TRIM(F285)," ",REPT(" ",100)),100)),Settings!$B$9)),UPPER(LEFT(TRIM(F285),Settings!$B$9)))))</f>
        <v/>
      </c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0" t="str">
        <f>IF(ISBLANK(D285),"",IF(COUNTIFS(Circulation!$B$2:$B$500,A285,Circulation!$H$2:$H$500,"Active")&gt;0,"On Loan","Available"))</f>
        <v/>
      </c>
      <c r="AA285" s="11"/>
      <c r="AB285" s="11"/>
      <c r="AC285" s="11"/>
      <c r="AD285" s="11"/>
      <c r="AE285" s="11"/>
      <c r="AF285" s="11"/>
      <c r="AG285" s="11"/>
    </row>
    <row r="286" spans="1:33" x14ac:dyDescent="0.25">
      <c r="A286" s="10" t="str">
        <f t="shared" si="8"/>
        <v/>
      </c>
      <c r="B286" s="11"/>
      <c r="C286" s="10" t="str">
        <f t="shared" si="9"/>
        <v/>
      </c>
      <c r="D286" s="11"/>
      <c r="E286" s="11"/>
      <c r="F286" s="11"/>
      <c r="G286" s="11"/>
      <c r="H286" s="10" t="str">
        <f>IF(ISBLANK(F286),"",IF(G286&lt;&gt;"",UPPER(TRIM(G286)),IF(ISNUMBER(SEARCH(" ",TRIM(F286))),UPPER(LEFT(TRIM(RIGHT(SUBSTITUTE(TRIM(F286)," ",REPT(" ",100)),100)),Settings!$B$9)),UPPER(LEFT(TRIM(F286),Settings!$B$9)))))</f>
        <v/>
      </c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0" t="str">
        <f>IF(ISBLANK(D286),"",IF(COUNTIFS(Circulation!$B$2:$B$500,A286,Circulation!$H$2:$H$500,"Active")&gt;0,"On Loan","Available"))</f>
        <v/>
      </c>
      <c r="AA286" s="11"/>
      <c r="AB286" s="11"/>
      <c r="AC286" s="11"/>
      <c r="AD286" s="11"/>
      <c r="AE286" s="11"/>
      <c r="AF286" s="11"/>
      <c r="AG286" s="11"/>
    </row>
    <row r="287" spans="1:33" x14ac:dyDescent="0.25">
      <c r="A287" s="10" t="str">
        <f t="shared" si="8"/>
        <v/>
      </c>
      <c r="B287" s="11"/>
      <c r="C287" s="10" t="str">
        <f t="shared" si="9"/>
        <v/>
      </c>
      <c r="D287" s="11"/>
      <c r="E287" s="11"/>
      <c r="F287" s="11"/>
      <c r="G287" s="11"/>
      <c r="H287" s="10" t="str">
        <f>IF(ISBLANK(F287),"",IF(G287&lt;&gt;"",UPPER(TRIM(G287)),IF(ISNUMBER(SEARCH(" ",TRIM(F287))),UPPER(LEFT(TRIM(RIGHT(SUBSTITUTE(TRIM(F287)," ",REPT(" ",100)),100)),Settings!$B$9)),UPPER(LEFT(TRIM(F287),Settings!$B$9)))))</f>
        <v/>
      </c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0" t="str">
        <f>IF(ISBLANK(D287),"",IF(COUNTIFS(Circulation!$B$2:$B$500,A287,Circulation!$H$2:$H$500,"Active")&gt;0,"On Loan","Available"))</f>
        <v/>
      </c>
      <c r="AA287" s="11"/>
      <c r="AB287" s="11"/>
      <c r="AC287" s="11"/>
      <c r="AD287" s="11"/>
      <c r="AE287" s="11"/>
      <c r="AF287" s="11"/>
      <c r="AG287" s="11"/>
    </row>
    <row r="288" spans="1:33" x14ac:dyDescent="0.25">
      <c r="A288" s="10" t="str">
        <f t="shared" si="8"/>
        <v/>
      </c>
      <c r="B288" s="11"/>
      <c r="C288" s="10" t="str">
        <f t="shared" si="9"/>
        <v/>
      </c>
      <c r="D288" s="11"/>
      <c r="E288" s="11"/>
      <c r="F288" s="11"/>
      <c r="G288" s="11"/>
      <c r="H288" s="10" t="str">
        <f>IF(ISBLANK(F288),"",IF(G288&lt;&gt;"",UPPER(TRIM(G288)),IF(ISNUMBER(SEARCH(" ",TRIM(F288))),UPPER(LEFT(TRIM(RIGHT(SUBSTITUTE(TRIM(F288)," ",REPT(" ",100)),100)),Settings!$B$9)),UPPER(LEFT(TRIM(F288),Settings!$B$9)))))</f>
        <v/>
      </c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0" t="str">
        <f>IF(ISBLANK(D288),"",IF(COUNTIFS(Circulation!$B$2:$B$500,A288,Circulation!$H$2:$H$500,"Active")&gt;0,"On Loan","Available"))</f>
        <v/>
      </c>
      <c r="AA288" s="11"/>
      <c r="AB288" s="11"/>
      <c r="AC288" s="11"/>
      <c r="AD288" s="11"/>
      <c r="AE288" s="11"/>
      <c r="AF288" s="11"/>
      <c r="AG288" s="11"/>
    </row>
    <row r="289" spans="1:33" x14ac:dyDescent="0.25">
      <c r="A289" s="10" t="str">
        <f t="shared" si="8"/>
        <v/>
      </c>
      <c r="B289" s="11"/>
      <c r="C289" s="10" t="str">
        <f t="shared" si="9"/>
        <v/>
      </c>
      <c r="D289" s="11"/>
      <c r="E289" s="11"/>
      <c r="F289" s="11"/>
      <c r="G289" s="11"/>
      <c r="H289" s="10" t="str">
        <f>IF(ISBLANK(F289),"",IF(G289&lt;&gt;"",UPPER(TRIM(G289)),IF(ISNUMBER(SEARCH(" ",TRIM(F289))),UPPER(LEFT(TRIM(RIGHT(SUBSTITUTE(TRIM(F289)," ",REPT(" ",100)),100)),Settings!$B$9)),UPPER(LEFT(TRIM(F289),Settings!$B$9)))))</f>
        <v/>
      </c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0" t="str">
        <f>IF(ISBLANK(D289),"",IF(COUNTIFS(Circulation!$B$2:$B$500,A289,Circulation!$H$2:$H$500,"Active")&gt;0,"On Loan","Available"))</f>
        <v/>
      </c>
      <c r="AA289" s="11"/>
      <c r="AB289" s="11"/>
      <c r="AC289" s="11"/>
      <c r="AD289" s="11"/>
      <c r="AE289" s="11"/>
      <c r="AF289" s="11"/>
      <c r="AG289" s="11"/>
    </row>
    <row r="290" spans="1:33" x14ac:dyDescent="0.25">
      <c r="A290" s="10" t="str">
        <f t="shared" si="8"/>
        <v/>
      </c>
      <c r="B290" s="11"/>
      <c r="C290" s="10" t="str">
        <f t="shared" si="9"/>
        <v/>
      </c>
      <c r="D290" s="11"/>
      <c r="E290" s="11"/>
      <c r="F290" s="11"/>
      <c r="G290" s="11"/>
      <c r="H290" s="10" t="str">
        <f>IF(ISBLANK(F290),"",IF(G290&lt;&gt;"",UPPER(TRIM(G290)),IF(ISNUMBER(SEARCH(" ",TRIM(F290))),UPPER(LEFT(TRIM(RIGHT(SUBSTITUTE(TRIM(F290)," ",REPT(" ",100)),100)),Settings!$B$9)),UPPER(LEFT(TRIM(F290),Settings!$B$9)))))</f>
        <v/>
      </c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0" t="str">
        <f>IF(ISBLANK(D290),"",IF(COUNTIFS(Circulation!$B$2:$B$500,A290,Circulation!$H$2:$H$500,"Active")&gt;0,"On Loan","Available"))</f>
        <v/>
      </c>
      <c r="AA290" s="11"/>
      <c r="AB290" s="11"/>
      <c r="AC290" s="11"/>
      <c r="AD290" s="11"/>
      <c r="AE290" s="11"/>
      <c r="AF290" s="11"/>
      <c r="AG290" s="11"/>
    </row>
    <row r="291" spans="1:33" x14ac:dyDescent="0.25">
      <c r="A291" s="10" t="str">
        <f t="shared" si="8"/>
        <v/>
      </c>
      <c r="B291" s="11"/>
      <c r="C291" s="10" t="str">
        <f t="shared" si="9"/>
        <v/>
      </c>
      <c r="D291" s="11"/>
      <c r="E291" s="11"/>
      <c r="F291" s="11"/>
      <c r="G291" s="11"/>
      <c r="H291" s="10" t="str">
        <f>IF(ISBLANK(F291),"",IF(G291&lt;&gt;"",UPPER(TRIM(G291)),IF(ISNUMBER(SEARCH(" ",TRIM(F291))),UPPER(LEFT(TRIM(RIGHT(SUBSTITUTE(TRIM(F291)," ",REPT(" ",100)),100)),Settings!$B$9)),UPPER(LEFT(TRIM(F291),Settings!$B$9)))))</f>
        <v/>
      </c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0" t="str">
        <f>IF(ISBLANK(D291),"",IF(COUNTIFS(Circulation!$B$2:$B$500,A291,Circulation!$H$2:$H$500,"Active")&gt;0,"On Loan","Available"))</f>
        <v/>
      </c>
      <c r="AA291" s="11"/>
      <c r="AB291" s="11"/>
      <c r="AC291" s="11"/>
      <c r="AD291" s="11"/>
      <c r="AE291" s="11"/>
      <c r="AF291" s="11"/>
      <c r="AG291" s="11"/>
    </row>
    <row r="292" spans="1:33" x14ac:dyDescent="0.25">
      <c r="A292" s="10" t="str">
        <f t="shared" si="8"/>
        <v/>
      </c>
      <c r="B292" s="11"/>
      <c r="C292" s="10" t="str">
        <f t="shared" si="9"/>
        <v/>
      </c>
      <c r="D292" s="11"/>
      <c r="E292" s="11"/>
      <c r="F292" s="11"/>
      <c r="G292" s="11"/>
      <c r="H292" s="10" t="str">
        <f>IF(ISBLANK(F292),"",IF(G292&lt;&gt;"",UPPER(TRIM(G292)),IF(ISNUMBER(SEARCH(" ",TRIM(F292))),UPPER(LEFT(TRIM(RIGHT(SUBSTITUTE(TRIM(F292)," ",REPT(" ",100)),100)),Settings!$B$9)),UPPER(LEFT(TRIM(F292),Settings!$B$9)))))</f>
        <v/>
      </c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0" t="str">
        <f>IF(ISBLANK(D292),"",IF(COUNTIFS(Circulation!$B$2:$B$500,A292,Circulation!$H$2:$H$500,"Active")&gt;0,"On Loan","Available"))</f>
        <v/>
      </c>
      <c r="AA292" s="11"/>
      <c r="AB292" s="11"/>
      <c r="AC292" s="11"/>
      <c r="AD292" s="11"/>
      <c r="AE292" s="11"/>
      <c r="AF292" s="11"/>
      <c r="AG292" s="11"/>
    </row>
    <row r="293" spans="1:33" x14ac:dyDescent="0.25">
      <c r="A293" s="10" t="str">
        <f t="shared" si="8"/>
        <v/>
      </c>
      <c r="B293" s="11"/>
      <c r="C293" s="10" t="str">
        <f t="shared" si="9"/>
        <v/>
      </c>
      <c r="D293" s="11"/>
      <c r="E293" s="11"/>
      <c r="F293" s="11"/>
      <c r="G293" s="11"/>
      <c r="H293" s="10" t="str">
        <f>IF(ISBLANK(F293),"",IF(G293&lt;&gt;"",UPPER(TRIM(G293)),IF(ISNUMBER(SEARCH(" ",TRIM(F293))),UPPER(LEFT(TRIM(RIGHT(SUBSTITUTE(TRIM(F293)," ",REPT(" ",100)),100)),Settings!$B$9)),UPPER(LEFT(TRIM(F293),Settings!$B$9)))))</f>
        <v/>
      </c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0" t="str">
        <f>IF(ISBLANK(D293),"",IF(COUNTIFS(Circulation!$B$2:$B$500,A293,Circulation!$H$2:$H$500,"Active")&gt;0,"On Loan","Available"))</f>
        <v/>
      </c>
      <c r="AA293" s="11"/>
      <c r="AB293" s="11"/>
      <c r="AC293" s="11"/>
      <c r="AD293" s="11"/>
      <c r="AE293" s="11"/>
      <c r="AF293" s="11"/>
      <c r="AG293" s="11"/>
    </row>
    <row r="294" spans="1:33" x14ac:dyDescent="0.25">
      <c r="A294" s="10" t="str">
        <f t="shared" si="8"/>
        <v/>
      </c>
      <c r="B294" s="11"/>
      <c r="C294" s="10" t="str">
        <f t="shared" si="9"/>
        <v/>
      </c>
      <c r="D294" s="11"/>
      <c r="E294" s="11"/>
      <c r="F294" s="11"/>
      <c r="G294" s="11"/>
      <c r="H294" s="10" t="str">
        <f>IF(ISBLANK(F294),"",IF(G294&lt;&gt;"",UPPER(TRIM(G294)),IF(ISNUMBER(SEARCH(" ",TRIM(F294))),UPPER(LEFT(TRIM(RIGHT(SUBSTITUTE(TRIM(F294)," ",REPT(" ",100)),100)),Settings!$B$9)),UPPER(LEFT(TRIM(F294),Settings!$B$9)))))</f>
        <v/>
      </c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0" t="str">
        <f>IF(ISBLANK(D294),"",IF(COUNTIFS(Circulation!$B$2:$B$500,A294,Circulation!$H$2:$H$500,"Active")&gt;0,"On Loan","Available"))</f>
        <v/>
      </c>
      <c r="AA294" s="11"/>
      <c r="AB294" s="11"/>
      <c r="AC294" s="11"/>
      <c r="AD294" s="11"/>
      <c r="AE294" s="11"/>
      <c r="AF294" s="11"/>
      <c r="AG294" s="11"/>
    </row>
    <row r="295" spans="1:33" x14ac:dyDescent="0.25">
      <c r="A295" s="10" t="str">
        <f t="shared" si="8"/>
        <v/>
      </c>
      <c r="B295" s="11"/>
      <c r="C295" s="10" t="str">
        <f t="shared" si="9"/>
        <v/>
      </c>
      <c r="D295" s="11"/>
      <c r="E295" s="11"/>
      <c r="F295" s="11"/>
      <c r="G295" s="11"/>
      <c r="H295" s="10" t="str">
        <f>IF(ISBLANK(F295),"",IF(G295&lt;&gt;"",UPPER(TRIM(G295)),IF(ISNUMBER(SEARCH(" ",TRIM(F295))),UPPER(LEFT(TRIM(RIGHT(SUBSTITUTE(TRIM(F295)," ",REPT(" ",100)),100)),Settings!$B$9)),UPPER(LEFT(TRIM(F295),Settings!$B$9)))))</f>
        <v/>
      </c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0" t="str">
        <f>IF(ISBLANK(D295),"",IF(COUNTIFS(Circulation!$B$2:$B$500,A295,Circulation!$H$2:$H$500,"Active")&gt;0,"On Loan","Available"))</f>
        <v/>
      </c>
      <c r="AA295" s="11"/>
      <c r="AB295" s="11"/>
      <c r="AC295" s="11"/>
      <c r="AD295" s="11"/>
      <c r="AE295" s="11"/>
      <c r="AF295" s="11"/>
      <c r="AG295" s="11"/>
    </row>
    <row r="296" spans="1:33" x14ac:dyDescent="0.25">
      <c r="A296" s="10" t="str">
        <f t="shared" si="8"/>
        <v/>
      </c>
      <c r="B296" s="11"/>
      <c r="C296" s="10" t="str">
        <f t="shared" si="9"/>
        <v/>
      </c>
      <c r="D296" s="11"/>
      <c r="E296" s="11"/>
      <c r="F296" s="11"/>
      <c r="G296" s="11"/>
      <c r="H296" s="10" t="str">
        <f>IF(ISBLANK(F296),"",IF(G296&lt;&gt;"",UPPER(TRIM(G296)),IF(ISNUMBER(SEARCH(" ",TRIM(F296))),UPPER(LEFT(TRIM(RIGHT(SUBSTITUTE(TRIM(F296)," ",REPT(" ",100)),100)),Settings!$B$9)),UPPER(LEFT(TRIM(F296),Settings!$B$9)))))</f>
        <v/>
      </c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0" t="str">
        <f>IF(ISBLANK(D296),"",IF(COUNTIFS(Circulation!$B$2:$B$500,A296,Circulation!$H$2:$H$500,"Active")&gt;0,"On Loan","Available"))</f>
        <v/>
      </c>
      <c r="AA296" s="11"/>
      <c r="AB296" s="11"/>
      <c r="AC296" s="11"/>
      <c r="AD296" s="11"/>
      <c r="AE296" s="11"/>
      <c r="AF296" s="11"/>
      <c r="AG296" s="11"/>
    </row>
    <row r="297" spans="1:33" x14ac:dyDescent="0.25">
      <c r="A297" s="10" t="str">
        <f t="shared" si="8"/>
        <v/>
      </c>
      <c r="B297" s="11"/>
      <c r="C297" s="10" t="str">
        <f t="shared" si="9"/>
        <v/>
      </c>
      <c r="D297" s="11"/>
      <c r="E297" s="11"/>
      <c r="F297" s="11"/>
      <c r="G297" s="11"/>
      <c r="H297" s="10" t="str">
        <f>IF(ISBLANK(F297),"",IF(G297&lt;&gt;"",UPPER(TRIM(G297)),IF(ISNUMBER(SEARCH(" ",TRIM(F297))),UPPER(LEFT(TRIM(RIGHT(SUBSTITUTE(TRIM(F297)," ",REPT(" ",100)),100)),Settings!$B$9)),UPPER(LEFT(TRIM(F297),Settings!$B$9)))))</f>
        <v/>
      </c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0" t="str">
        <f>IF(ISBLANK(D297),"",IF(COUNTIFS(Circulation!$B$2:$B$500,A297,Circulation!$H$2:$H$500,"Active")&gt;0,"On Loan","Available"))</f>
        <v/>
      </c>
      <c r="AA297" s="11"/>
      <c r="AB297" s="11"/>
      <c r="AC297" s="11"/>
      <c r="AD297" s="11"/>
      <c r="AE297" s="11"/>
      <c r="AF297" s="11"/>
      <c r="AG297" s="11"/>
    </row>
    <row r="298" spans="1:33" x14ac:dyDescent="0.25">
      <c r="A298" s="10" t="str">
        <f t="shared" si="8"/>
        <v/>
      </c>
      <c r="B298" s="11"/>
      <c r="C298" s="10" t="str">
        <f t="shared" si="9"/>
        <v/>
      </c>
      <c r="D298" s="11"/>
      <c r="E298" s="11"/>
      <c r="F298" s="11"/>
      <c r="G298" s="11"/>
      <c r="H298" s="10" t="str">
        <f>IF(ISBLANK(F298),"",IF(G298&lt;&gt;"",UPPER(TRIM(G298)),IF(ISNUMBER(SEARCH(" ",TRIM(F298))),UPPER(LEFT(TRIM(RIGHT(SUBSTITUTE(TRIM(F298)," ",REPT(" ",100)),100)),Settings!$B$9)),UPPER(LEFT(TRIM(F298),Settings!$B$9)))))</f>
        <v/>
      </c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0" t="str">
        <f>IF(ISBLANK(D298),"",IF(COUNTIFS(Circulation!$B$2:$B$500,A298,Circulation!$H$2:$H$500,"Active")&gt;0,"On Loan","Available"))</f>
        <v/>
      </c>
      <c r="AA298" s="11"/>
      <c r="AB298" s="11"/>
      <c r="AC298" s="11"/>
      <c r="AD298" s="11"/>
      <c r="AE298" s="11"/>
      <c r="AF298" s="11"/>
      <c r="AG298" s="11"/>
    </row>
    <row r="299" spans="1:33" x14ac:dyDescent="0.25">
      <c r="A299" s="10" t="str">
        <f t="shared" si="8"/>
        <v/>
      </c>
      <c r="B299" s="11"/>
      <c r="C299" s="10" t="str">
        <f t="shared" si="9"/>
        <v/>
      </c>
      <c r="D299" s="11"/>
      <c r="E299" s="11"/>
      <c r="F299" s="11"/>
      <c r="G299" s="11"/>
      <c r="H299" s="10" t="str">
        <f>IF(ISBLANK(F299),"",IF(G299&lt;&gt;"",UPPER(TRIM(G299)),IF(ISNUMBER(SEARCH(" ",TRIM(F299))),UPPER(LEFT(TRIM(RIGHT(SUBSTITUTE(TRIM(F299)," ",REPT(" ",100)),100)),Settings!$B$9)),UPPER(LEFT(TRIM(F299),Settings!$B$9)))))</f>
        <v/>
      </c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0" t="str">
        <f>IF(ISBLANK(D299),"",IF(COUNTIFS(Circulation!$B$2:$B$500,A299,Circulation!$H$2:$H$500,"Active")&gt;0,"On Loan","Available"))</f>
        <v/>
      </c>
      <c r="AA299" s="11"/>
      <c r="AB299" s="11"/>
      <c r="AC299" s="11"/>
      <c r="AD299" s="11"/>
      <c r="AE299" s="11"/>
      <c r="AF299" s="11"/>
      <c r="AG299" s="11"/>
    </row>
    <row r="300" spans="1:33" x14ac:dyDescent="0.25">
      <c r="A300" s="10" t="str">
        <f t="shared" si="8"/>
        <v/>
      </c>
      <c r="B300" s="11"/>
      <c r="C300" s="10" t="str">
        <f t="shared" si="9"/>
        <v/>
      </c>
      <c r="D300" s="11"/>
      <c r="E300" s="11"/>
      <c r="F300" s="11"/>
      <c r="G300" s="11"/>
      <c r="H300" s="10" t="str">
        <f>IF(ISBLANK(F300),"",IF(G300&lt;&gt;"",UPPER(TRIM(G300)),IF(ISNUMBER(SEARCH(" ",TRIM(F300))),UPPER(LEFT(TRIM(RIGHT(SUBSTITUTE(TRIM(F300)," ",REPT(" ",100)),100)),Settings!$B$9)),UPPER(LEFT(TRIM(F300),Settings!$B$9)))))</f>
        <v/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0" t="str">
        <f>IF(ISBLANK(D300),"",IF(COUNTIFS(Circulation!$B$2:$B$500,A300,Circulation!$H$2:$H$500,"Active")&gt;0,"On Loan","Available"))</f>
        <v/>
      </c>
      <c r="AA300" s="11"/>
      <c r="AB300" s="11"/>
      <c r="AC300" s="11"/>
      <c r="AD300" s="11"/>
      <c r="AE300" s="11"/>
      <c r="AF300" s="11"/>
      <c r="AG300" s="11"/>
    </row>
    <row r="301" spans="1:33" x14ac:dyDescent="0.25">
      <c r="A301" s="10" t="str">
        <f t="shared" si="8"/>
        <v/>
      </c>
      <c r="B301" s="11"/>
      <c r="C301" s="10" t="str">
        <f t="shared" si="9"/>
        <v/>
      </c>
      <c r="D301" s="11"/>
      <c r="E301" s="11"/>
      <c r="F301" s="11"/>
      <c r="G301" s="11"/>
      <c r="H301" s="10" t="str">
        <f>IF(ISBLANK(F301),"",IF(G301&lt;&gt;"",UPPER(TRIM(G301)),IF(ISNUMBER(SEARCH(" ",TRIM(F301))),UPPER(LEFT(TRIM(RIGHT(SUBSTITUTE(TRIM(F301)," ",REPT(" ",100)),100)),Settings!$B$9)),UPPER(LEFT(TRIM(F301),Settings!$B$9)))))</f>
        <v/>
      </c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0" t="str">
        <f>IF(ISBLANK(D301),"",IF(COUNTIFS(Circulation!$B$2:$B$500,A301,Circulation!$H$2:$H$500,"Active")&gt;0,"On Loan","Available"))</f>
        <v/>
      </c>
      <c r="AA301" s="11"/>
      <c r="AB301" s="11"/>
      <c r="AC301" s="11"/>
      <c r="AD301" s="11"/>
      <c r="AE301" s="11"/>
      <c r="AF301" s="11"/>
      <c r="AG301" s="11"/>
    </row>
    <row r="302" spans="1:33" x14ac:dyDescent="0.25">
      <c r="A302" s="10" t="str">
        <f t="shared" si="8"/>
        <v/>
      </c>
      <c r="B302" s="11"/>
      <c r="C302" s="10" t="str">
        <f t="shared" si="9"/>
        <v/>
      </c>
      <c r="D302" s="11"/>
      <c r="E302" s="11"/>
      <c r="F302" s="11"/>
      <c r="G302" s="11"/>
      <c r="H302" s="10" t="str">
        <f>IF(ISBLANK(F302),"",IF(G302&lt;&gt;"",UPPER(TRIM(G302)),IF(ISNUMBER(SEARCH(" ",TRIM(F302))),UPPER(LEFT(TRIM(RIGHT(SUBSTITUTE(TRIM(F302)," ",REPT(" ",100)),100)),Settings!$B$9)),UPPER(LEFT(TRIM(F302),Settings!$B$9)))))</f>
        <v/>
      </c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0" t="str">
        <f>IF(ISBLANK(D302),"",IF(COUNTIFS(Circulation!$B$2:$B$500,A302,Circulation!$H$2:$H$500,"Active")&gt;0,"On Loan","Available"))</f>
        <v/>
      </c>
      <c r="AA302" s="11"/>
      <c r="AB302" s="11"/>
      <c r="AC302" s="11"/>
      <c r="AD302" s="11"/>
      <c r="AE302" s="11"/>
      <c r="AF302" s="11"/>
      <c r="AG302" s="11"/>
    </row>
    <row r="303" spans="1:33" x14ac:dyDescent="0.25">
      <c r="A303" s="10" t="str">
        <f t="shared" si="8"/>
        <v/>
      </c>
      <c r="B303" s="11"/>
      <c r="C303" s="10" t="str">
        <f t="shared" si="9"/>
        <v/>
      </c>
      <c r="D303" s="11"/>
      <c r="E303" s="11"/>
      <c r="F303" s="11"/>
      <c r="G303" s="11"/>
      <c r="H303" s="10" t="str">
        <f>IF(ISBLANK(F303),"",IF(G303&lt;&gt;"",UPPER(TRIM(G303)),IF(ISNUMBER(SEARCH(" ",TRIM(F303))),UPPER(LEFT(TRIM(RIGHT(SUBSTITUTE(TRIM(F303)," ",REPT(" ",100)),100)),Settings!$B$9)),UPPER(LEFT(TRIM(F303),Settings!$B$9)))))</f>
        <v/>
      </c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0" t="str">
        <f>IF(ISBLANK(D303),"",IF(COUNTIFS(Circulation!$B$2:$B$500,A303,Circulation!$H$2:$H$500,"Active")&gt;0,"On Loan","Available"))</f>
        <v/>
      </c>
      <c r="AA303" s="11"/>
      <c r="AB303" s="11"/>
      <c r="AC303" s="11"/>
      <c r="AD303" s="11"/>
      <c r="AE303" s="11"/>
      <c r="AF303" s="11"/>
      <c r="AG303" s="11"/>
    </row>
    <row r="304" spans="1:33" x14ac:dyDescent="0.25">
      <c r="A304" s="10" t="str">
        <f t="shared" si="8"/>
        <v/>
      </c>
      <c r="B304" s="11"/>
      <c r="C304" s="10" t="str">
        <f t="shared" si="9"/>
        <v/>
      </c>
      <c r="D304" s="11"/>
      <c r="E304" s="11"/>
      <c r="F304" s="11"/>
      <c r="G304" s="11"/>
      <c r="H304" s="10" t="str">
        <f>IF(ISBLANK(F304),"",IF(G304&lt;&gt;"",UPPER(TRIM(G304)),IF(ISNUMBER(SEARCH(" ",TRIM(F304))),UPPER(LEFT(TRIM(RIGHT(SUBSTITUTE(TRIM(F304)," ",REPT(" ",100)),100)),Settings!$B$9)),UPPER(LEFT(TRIM(F304),Settings!$B$9)))))</f>
        <v/>
      </c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0" t="str">
        <f>IF(ISBLANK(D304),"",IF(COUNTIFS(Circulation!$B$2:$B$500,A304,Circulation!$H$2:$H$500,"Active")&gt;0,"On Loan","Available"))</f>
        <v/>
      </c>
      <c r="AA304" s="11"/>
      <c r="AB304" s="11"/>
      <c r="AC304" s="11"/>
      <c r="AD304" s="11"/>
      <c r="AE304" s="11"/>
      <c r="AF304" s="11"/>
      <c r="AG304" s="11"/>
    </row>
    <row r="305" spans="1:33" x14ac:dyDescent="0.25">
      <c r="A305" s="10" t="str">
        <f t="shared" si="8"/>
        <v/>
      </c>
      <c r="B305" s="11"/>
      <c r="C305" s="10" t="str">
        <f t="shared" si="9"/>
        <v/>
      </c>
      <c r="D305" s="11"/>
      <c r="E305" s="11"/>
      <c r="F305" s="11"/>
      <c r="G305" s="11"/>
      <c r="H305" s="10" t="str">
        <f>IF(ISBLANK(F305),"",IF(G305&lt;&gt;"",UPPER(TRIM(G305)),IF(ISNUMBER(SEARCH(" ",TRIM(F305))),UPPER(LEFT(TRIM(RIGHT(SUBSTITUTE(TRIM(F305)," ",REPT(" ",100)),100)),Settings!$B$9)),UPPER(LEFT(TRIM(F305),Settings!$B$9)))))</f>
        <v/>
      </c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0" t="str">
        <f>IF(ISBLANK(D305),"",IF(COUNTIFS(Circulation!$B$2:$B$500,A305,Circulation!$H$2:$H$500,"Active")&gt;0,"On Loan","Available"))</f>
        <v/>
      </c>
      <c r="AA305" s="11"/>
      <c r="AB305" s="11"/>
      <c r="AC305" s="11"/>
      <c r="AD305" s="11"/>
      <c r="AE305" s="11"/>
      <c r="AF305" s="11"/>
      <c r="AG305" s="11"/>
    </row>
    <row r="306" spans="1:33" x14ac:dyDescent="0.25">
      <c r="A306" s="10" t="str">
        <f t="shared" si="8"/>
        <v/>
      </c>
      <c r="B306" s="11"/>
      <c r="C306" s="10" t="str">
        <f t="shared" si="9"/>
        <v/>
      </c>
      <c r="D306" s="11"/>
      <c r="E306" s="11"/>
      <c r="F306" s="11"/>
      <c r="G306" s="11"/>
      <c r="H306" s="10" t="str">
        <f>IF(ISBLANK(F306),"",IF(G306&lt;&gt;"",UPPER(TRIM(G306)),IF(ISNUMBER(SEARCH(" ",TRIM(F306))),UPPER(LEFT(TRIM(RIGHT(SUBSTITUTE(TRIM(F306)," ",REPT(" ",100)),100)),Settings!$B$9)),UPPER(LEFT(TRIM(F306),Settings!$B$9)))))</f>
        <v/>
      </c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0" t="str">
        <f>IF(ISBLANK(D306),"",IF(COUNTIFS(Circulation!$B$2:$B$500,A306,Circulation!$H$2:$H$500,"Active")&gt;0,"On Loan","Available"))</f>
        <v/>
      </c>
      <c r="AA306" s="11"/>
      <c r="AB306" s="11"/>
      <c r="AC306" s="11"/>
      <c r="AD306" s="11"/>
      <c r="AE306" s="11"/>
      <c r="AF306" s="11"/>
      <c r="AG306" s="11"/>
    </row>
    <row r="307" spans="1:33" x14ac:dyDescent="0.25">
      <c r="A307" s="10" t="str">
        <f t="shared" si="8"/>
        <v/>
      </c>
      <c r="B307" s="11"/>
      <c r="C307" s="10" t="str">
        <f t="shared" si="9"/>
        <v/>
      </c>
      <c r="D307" s="11"/>
      <c r="E307" s="11"/>
      <c r="F307" s="11"/>
      <c r="G307" s="11"/>
      <c r="H307" s="10" t="str">
        <f>IF(ISBLANK(F307),"",IF(G307&lt;&gt;"",UPPER(TRIM(G307)),IF(ISNUMBER(SEARCH(" ",TRIM(F307))),UPPER(LEFT(TRIM(RIGHT(SUBSTITUTE(TRIM(F307)," ",REPT(" ",100)),100)),Settings!$B$9)),UPPER(LEFT(TRIM(F307),Settings!$B$9)))))</f>
        <v/>
      </c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0" t="str">
        <f>IF(ISBLANK(D307),"",IF(COUNTIFS(Circulation!$B$2:$B$500,A307,Circulation!$H$2:$H$500,"Active")&gt;0,"On Loan","Available"))</f>
        <v/>
      </c>
      <c r="AA307" s="11"/>
      <c r="AB307" s="11"/>
      <c r="AC307" s="11"/>
      <c r="AD307" s="11"/>
      <c r="AE307" s="11"/>
      <c r="AF307" s="11"/>
      <c r="AG307" s="11"/>
    </row>
    <row r="308" spans="1:33" x14ac:dyDescent="0.25">
      <c r="A308" s="10" t="str">
        <f t="shared" si="8"/>
        <v/>
      </c>
      <c r="B308" s="11"/>
      <c r="C308" s="10" t="str">
        <f t="shared" si="9"/>
        <v/>
      </c>
      <c r="D308" s="11"/>
      <c r="E308" s="11"/>
      <c r="F308" s="11"/>
      <c r="G308" s="11"/>
      <c r="H308" s="10" t="str">
        <f>IF(ISBLANK(F308),"",IF(G308&lt;&gt;"",UPPER(TRIM(G308)),IF(ISNUMBER(SEARCH(" ",TRIM(F308))),UPPER(LEFT(TRIM(RIGHT(SUBSTITUTE(TRIM(F308)," ",REPT(" ",100)),100)),Settings!$B$9)),UPPER(LEFT(TRIM(F308),Settings!$B$9)))))</f>
        <v/>
      </c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0" t="str">
        <f>IF(ISBLANK(D308),"",IF(COUNTIFS(Circulation!$B$2:$B$500,A308,Circulation!$H$2:$H$500,"Active")&gt;0,"On Loan","Available"))</f>
        <v/>
      </c>
      <c r="AA308" s="11"/>
      <c r="AB308" s="11"/>
      <c r="AC308" s="11"/>
      <c r="AD308" s="11"/>
      <c r="AE308" s="11"/>
      <c r="AF308" s="11"/>
      <c r="AG308" s="11"/>
    </row>
    <row r="309" spans="1:33" x14ac:dyDescent="0.25">
      <c r="A309" s="10" t="str">
        <f t="shared" si="8"/>
        <v/>
      </c>
      <c r="B309" s="11"/>
      <c r="C309" s="10" t="str">
        <f t="shared" si="9"/>
        <v/>
      </c>
      <c r="D309" s="11"/>
      <c r="E309" s="11"/>
      <c r="F309" s="11"/>
      <c r="G309" s="11"/>
      <c r="H309" s="10" t="str">
        <f>IF(ISBLANK(F309),"",IF(G309&lt;&gt;"",UPPER(TRIM(G309)),IF(ISNUMBER(SEARCH(" ",TRIM(F309))),UPPER(LEFT(TRIM(RIGHT(SUBSTITUTE(TRIM(F309)," ",REPT(" ",100)),100)),Settings!$B$9)),UPPER(LEFT(TRIM(F309),Settings!$B$9)))))</f>
        <v/>
      </c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0" t="str">
        <f>IF(ISBLANK(D309),"",IF(COUNTIFS(Circulation!$B$2:$B$500,A309,Circulation!$H$2:$H$500,"Active")&gt;0,"On Loan","Available"))</f>
        <v/>
      </c>
      <c r="AA309" s="11"/>
      <c r="AB309" s="11"/>
      <c r="AC309" s="11"/>
      <c r="AD309" s="11"/>
      <c r="AE309" s="11"/>
      <c r="AF309" s="11"/>
      <c r="AG309" s="11"/>
    </row>
    <row r="310" spans="1:33" x14ac:dyDescent="0.25">
      <c r="A310" s="10" t="str">
        <f t="shared" si="8"/>
        <v/>
      </c>
      <c r="B310" s="11"/>
      <c r="C310" s="10" t="str">
        <f t="shared" si="9"/>
        <v/>
      </c>
      <c r="D310" s="11"/>
      <c r="E310" s="11"/>
      <c r="F310" s="11"/>
      <c r="G310" s="11"/>
      <c r="H310" s="10" t="str">
        <f>IF(ISBLANK(F310),"",IF(G310&lt;&gt;"",UPPER(TRIM(G310)),IF(ISNUMBER(SEARCH(" ",TRIM(F310))),UPPER(LEFT(TRIM(RIGHT(SUBSTITUTE(TRIM(F310)," ",REPT(" ",100)),100)),Settings!$B$9)),UPPER(LEFT(TRIM(F310),Settings!$B$9)))))</f>
        <v/>
      </c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0" t="str">
        <f>IF(ISBLANK(D310),"",IF(COUNTIFS(Circulation!$B$2:$B$500,A310,Circulation!$H$2:$H$500,"Active")&gt;0,"On Loan","Available"))</f>
        <v/>
      </c>
      <c r="AA310" s="11"/>
      <c r="AB310" s="11"/>
      <c r="AC310" s="11"/>
      <c r="AD310" s="11"/>
      <c r="AE310" s="11"/>
      <c r="AF310" s="11"/>
      <c r="AG310" s="11"/>
    </row>
    <row r="311" spans="1:33" x14ac:dyDescent="0.25">
      <c r="A311" s="10" t="str">
        <f t="shared" si="8"/>
        <v/>
      </c>
      <c r="B311" s="11"/>
      <c r="C311" s="10" t="str">
        <f t="shared" si="9"/>
        <v/>
      </c>
      <c r="D311" s="11"/>
      <c r="E311" s="11"/>
      <c r="F311" s="11"/>
      <c r="G311" s="11"/>
      <c r="H311" s="10" t="str">
        <f>IF(ISBLANK(F311),"",IF(G311&lt;&gt;"",UPPER(TRIM(G311)),IF(ISNUMBER(SEARCH(" ",TRIM(F311))),UPPER(LEFT(TRIM(RIGHT(SUBSTITUTE(TRIM(F311)," ",REPT(" ",100)),100)),Settings!$B$9)),UPPER(LEFT(TRIM(F311),Settings!$B$9)))))</f>
        <v/>
      </c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0" t="str">
        <f>IF(ISBLANK(D311),"",IF(COUNTIFS(Circulation!$B$2:$B$500,A311,Circulation!$H$2:$H$500,"Active")&gt;0,"On Loan","Available"))</f>
        <v/>
      </c>
      <c r="AA311" s="11"/>
      <c r="AB311" s="11"/>
      <c r="AC311" s="11"/>
      <c r="AD311" s="11"/>
      <c r="AE311" s="11"/>
      <c r="AF311" s="11"/>
      <c r="AG311" s="11"/>
    </row>
    <row r="312" spans="1:33" x14ac:dyDescent="0.25">
      <c r="A312" s="10" t="str">
        <f t="shared" si="8"/>
        <v/>
      </c>
      <c r="B312" s="11"/>
      <c r="C312" s="10" t="str">
        <f t="shared" si="9"/>
        <v/>
      </c>
      <c r="D312" s="11"/>
      <c r="E312" s="11"/>
      <c r="F312" s="11"/>
      <c r="G312" s="11"/>
      <c r="H312" s="10" t="str">
        <f>IF(ISBLANK(F312),"",IF(G312&lt;&gt;"",UPPER(TRIM(G312)),IF(ISNUMBER(SEARCH(" ",TRIM(F312))),UPPER(LEFT(TRIM(RIGHT(SUBSTITUTE(TRIM(F312)," ",REPT(" ",100)),100)),Settings!$B$9)),UPPER(LEFT(TRIM(F312),Settings!$B$9)))))</f>
        <v/>
      </c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0" t="str">
        <f>IF(ISBLANK(D312),"",IF(COUNTIFS(Circulation!$B$2:$B$500,A312,Circulation!$H$2:$H$500,"Active")&gt;0,"On Loan","Available"))</f>
        <v/>
      </c>
      <c r="AA312" s="11"/>
      <c r="AB312" s="11"/>
      <c r="AC312" s="11"/>
      <c r="AD312" s="11"/>
      <c r="AE312" s="11"/>
      <c r="AF312" s="11"/>
      <c r="AG312" s="11"/>
    </row>
    <row r="313" spans="1:33" x14ac:dyDescent="0.25">
      <c r="A313" s="10" t="str">
        <f t="shared" si="8"/>
        <v/>
      </c>
      <c r="B313" s="11"/>
      <c r="C313" s="10" t="str">
        <f t="shared" si="9"/>
        <v/>
      </c>
      <c r="D313" s="11"/>
      <c r="E313" s="11"/>
      <c r="F313" s="11"/>
      <c r="G313" s="11"/>
      <c r="H313" s="10" t="str">
        <f>IF(ISBLANK(F313),"",IF(G313&lt;&gt;"",UPPER(TRIM(G313)),IF(ISNUMBER(SEARCH(" ",TRIM(F313))),UPPER(LEFT(TRIM(RIGHT(SUBSTITUTE(TRIM(F313)," ",REPT(" ",100)),100)),Settings!$B$9)),UPPER(LEFT(TRIM(F313),Settings!$B$9)))))</f>
        <v/>
      </c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0" t="str">
        <f>IF(ISBLANK(D313),"",IF(COUNTIFS(Circulation!$B$2:$B$500,A313,Circulation!$H$2:$H$500,"Active")&gt;0,"On Loan","Available"))</f>
        <v/>
      </c>
      <c r="AA313" s="11"/>
      <c r="AB313" s="11"/>
      <c r="AC313" s="11"/>
      <c r="AD313" s="11"/>
      <c r="AE313" s="11"/>
      <c r="AF313" s="11"/>
      <c r="AG313" s="11"/>
    </row>
    <row r="314" spans="1:33" x14ac:dyDescent="0.25">
      <c r="A314" s="10" t="str">
        <f t="shared" si="8"/>
        <v/>
      </c>
      <c r="B314" s="11"/>
      <c r="C314" s="10" t="str">
        <f t="shared" si="9"/>
        <v/>
      </c>
      <c r="D314" s="11"/>
      <c r="E314" s="11"/>
      <c r="F314" s="11"/>
      <c r="G314" s="11"/>
      <c r="H314" s="10" t="str">
        <f>IF(ISBLANK(F314),"",IF(G314&lt;&gt;"",UPPER(TRIM(G314)),IF(ISNUMBER(SEARCH(" ",TRIM(F314))),UPPER(LEFT(TRIM(RIGHT(SUBSTITUTE(TRIM(F314)," ",REPT(" ",100)),100)),Settings!$B$9)),UPPER(LEFT(TRIM(F314),Settings!$B$9)))))</f>
        <v/>
      </c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0" t="str">
        <f>IF(ISBLANK(D314),"",IF(COUNTIFS(Circulation!$B$2:$B$500,A314,Circulation!$H$2:$H$500,"Active")&gt;0,"On Loan","Available"))</f>
        <v/>
      </c>
      <c r="AA314" s="11"/>
      <c r="AB314" s="11"/>
      <c r="AC314" s="11"/>
      <c r="AD314" s="11"/>
      <c r="AE314" s="11"/>
      <c r="AF314" s="11"/>
      <c r="AG314" s="11"/>
    </row>
    <row r="315" spans="1:33" x14ac:dyDescent="0.25">
      <c r="A315" s="10" t="str">
        <f t="shared" si="8"/>
        <v/>
      </c>
      <c r="B315" s="11"/>
      <c r="C315" s="10" t="str">
        <f t="shared" si="9"/>
        <v/>
      </c>
      <c r="D315" s="11"/>
      <c r="E315" s="11"/>
      <c r="F315" s="11"/>
      <c r="G315" s="11"/>
      <c r="H315" s="10" t="str">
        <f>IF(ISBLANK(F315),"",IF(G315&lt;&gt;"",UPPER(TRIM(G315)),IF(ISNUMBER(SEARCH(" ",TRIM(F315))),UPPER(LEFT(TRIM(RIGHT(SUBSTITUTE(TRIM(F315)," ",REPT(" ",100)),100)),Settings!$B$9)),UPPER(LEFT(TRIM(F315),Settings!$B$9)))))</f>
        <v/>
      </c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0" t="str">
        <f>IF(ISBLANK(D315),"",IF(COUNTIFS(Circulation!$B$2:$B$500,A315,Circulation!$H$2:$H$500,"Active")&gt;0,"On Loan","Available"))</f>
        <v/>
      </c>
      <c r="AA315" s="11"/>
      <c r="AB315" s="11"/>
      <c r="AC315" s="11"/>
      <c r="AD315" s="11"/>
      <c r="AE315" s="11"/>
      <c r="AF315" s="11"/>
      <c r="AG315" s="11"/>
    </row>
    <row r="316" spans="1:33" x14ac:dyDescent="0.25">
      <c r="A316" s="10" t="str">
        <f t="shared" si="8"/>
        <v/>
      </c>
      <c r="B316" s="11"/>
      <c r="C316" s="10" t="str">
        <f t="shared" si="9"/>
        <v/>
      </c>
      <c r="D316" s="11"/>
      <c r="E316" s="11"/>
      <c r="F316" s="11"/>
      <c r="G316" s="11"/>
      <c r="H316" s="10" t="str">
        <f>IF(ISBLANK(F316),"",IF(G316&lt;&gt;"",UPPER(TRIM(G316)),IF(ISNUMBER(SEARCH(" ",TRIM(F316))),UPPER(LEFT(TRIM(RIGHT(SUBSTITUTE(TRIM(F316)," ",REPT(" ",100)),100)),Settings!$B$9)),UPPER(LEFT(TRIM(F316),Settings!$B$9)))))</f>
        <v/>
      </c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0" t="str">
        <f>IF(ISBLANK(D316),"",IF(COUNTIFS(Circulation!$B$2:$B$500,A316,Circulation!$H$2:$H$500,"Active")&gt;0,"On Loan","Available"))</f>
        <v/>
      </c>
      <c r="AA316" s="11"/>
      <c r="AB316" s="11"/>
      <c r="AC316" s="11"/>
      <c r="AD316" s="11"/>
      <c r="AE316" s="11"/>
      <c r="AF316" s="11"/>
      <c r="AG316" s="11"/>
    </row>
    <row r="317" spans="1:33" x14ac:dyDescent="0.25">
      <c r="A317" s="10" t="str">
        <f t="shared" si="8"/>
        <v/>
      </c>
      <c r="B317" s="11"/>
      <c r="C317" s="10" t="str">
        <f t="shared" si="9"/>
        <v/>
      </c>
      <c r="D317" s="11"/>
      <c r="E317" s="11"/>
      <c r="F317" s="11"/>
      <c r="G317" s="11"/>
      <c r="H317" s="10" t="str">
        <f>IF(ISBLANK(F317),"",IF(G317&lt;&gt;"",UPPER(TRIM(G317)),IF(ISNUMBER(SEARCH(" ",TRIM(F317))),UPPER(LEFT(TRIM(RIGHT(SUBSTITUTE(TRIM(F317)," ",REPT(" ",100)),100)),Settings!$B$9)),UPPER(LEFT(TRIM(F317),Settings!$B$9)))))</f>
        <v/>
      </c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0" t="str">
        <f>IF(ISBLANK(D317),"",IF(COUNTIFS(Circulation!$B$2:$B$500,A317,Circulation!$H$2:$H$500,"Active")&gt;0,"On Loan","Available"))</f>
        <v/>
      </c>
      <c r="AA317" s="11"/>
      <c r="AB317" s="11"/>
      <c r="AC317" s="11"/>
      <c r="AD317" s="11"/>
      <c r="AE317" s="11"/>
      <c r="AF317" s="11"/>
      <c r="AG317" s="11"/>
    </row>
    <row r="318" spans="1:33" x14ac:dyDescent="0.25">
      <c r="A318" s="10" t="str">
        <f t="shared" si="8"/>
        <v/>
      </c>
      <c r="B318" s="11"/>
      <c r="C318" s="10" t="str">
        <f t="shared" si="9"/>
        <v/>
      </c>
      <c r="D318" s="11"/>
      <c r="E318" s="11"/>
      <c r="F318" s="11"/>
      <c r="G318" s="11"/>
      <c r="H318" s="10" t="str">
        <f>IF(ISBLANK(F318),"",IF(G318&lt;&gt;"",UPPER(TRIM(G318)),IF(ISNUMBER(SEARCH(" ",TRIM(F318))),UPPER(LEFT(TRIM(RIGHT(SUBSTITUTE(TRIM(F318)," ",REPT(" ",100)),100)),Settings!$B$9)),UPPER(LEFT(TRIM(F318),Settings!$B$9)))))</f>
        <v/>
      </c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0" t="str">
        <f>IF(ISBLANK(D318),"",IF(COUNTIFS(Circulation!$B$2:$B$500,A318,Circulation!$H$2:$H$500,"Active")&gt;0,"On Loan","Available"))</f>
        <v/>
      </c>
      <c r="AA318" s="11"/>
      <c r="AB318" s="11"/>
      <c r="AC318" s="11"/>
      <c r="AD318" s="11"/>
      <c r="AE318" s="11"/>
      <c r="AF318" s="11"/>
      <c r="AG318" s="11"/>
    </row>
    <row r="319" spans="1:33" x14ac:dyDescent="0.25">
      <c r="A319" s="10" t="str">
        <f t="shared" si="8"/>
        <v/>
      </c>
      <c r="B319" s="11"/>
      <c r="C319" s="10" t="str">
        <f t="shared" si="9"/>
        <v/>
      </c>
      <c r="D319" s="11"/>
      <c r="E319" s="11"/>
      <c r="F319" s="11"/>
      <c r="G319" s="11"/>
      <c r="H319" s="10" t="str">
        <f>IF(ISBLANK(F319),"",IF(G319&lt;&gt;"",UPPER(TRIM(G319)),IF(ISNUMBER(SEARCH(" ",TRIM(F319))),UPPER(LEFT(TRIM(RIGHT(SUBSTITUTE(TRIM(F319)," ",REPT(" ",100)),100)),Settings!$B$9)),UPPER(LEFT(TRIM(F319),Settings!$B$9)))))</f>
        <v/>
      </c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0" t="str">
        <f>IF(ISBLANK(D319),"",IF(COUNTIFS(Circulation!$B$2:$B$500,A319,Circulation!$H$2:$H$500,"Active")&gt;0,"On Loan","Available"))</f>
        <v/>
      </c>
      <c r="AA319" s="11"/>
      <c r="AB319" s="11"/>
      <c r="AC319" s="11"/>
      <c r="AD319" s="11"/>
      <c r="AE319" s="11"/>
      <c r="AF319" s="11"/>
      <c r="AG319" s="11"/>
    </row>
    <row r="320" spans="1:33" x14ac:dyDescent="0.25">
      <c r="A320" s="10" t="str">
        <f t="shared" si="8"/>
        <v/>
      </c>
      <c r="B320" s="11"/>
      <c r="C320" s="10" t="str">
        <f t="shared" si="9"/>
        <v/>
      </c>
      <c r="D320" s="11"/>
      <c r="E320" s="11"/>
      <c r="F320" s="11"/>
      <c r="G320" s="11"/>
      <c r="H320" s="10" t="str">
        <f>IF(ISBLANK(F320),"",IF(G320&lt;&gt;"",UPPER(TRIM(G320)),IF(ISNUMBER(SEARCH(" ",TRIM(F320))),UPPER(LEFT(TRIM(RIGHT(SUBSTITUTE(TRIM(F320)," ",REPT(" ",100)),100)),Settings!$B$9)),UPPER(LEFT(TRIM(F320),Settings!$B$9)))))</f>
        <v/>
      </c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0" t="str">
        <f>IF(ISBLANK(D320),"",IF(COUNTIFS(Circulation!$B$2:$B$500,A320,Circulation!$H$2:$H$500,"Active")&gt;0,"On Loan","Available"))</f>
        <v/>
      </c>
      <c r="AA320" s="11"/>
      <c r="AB320" s="11"/>
      <c r="AC320" s="11"/>
      <c r="AD320" s="11"/>
      <c r="AE320" s="11"/>
      <c r="AF320" s="11"/>
      <c r="AG320" s="11"/>
    </row>
    <row r="321" spans="1:33" x14ac:dyDescent="0.25">
      <c r="A321" s="10" t="str">
        <f t="shared" si="8"/>
        <v/>
      </c>
      <c r="B321" s="11"/>
      <c r="C321" s="10" t="str">
        <f t="shared" si="9"/>
        <v/>
      </c>
      <c r="D321" s="11"/>
      <c r="E321" s="11"/>
      <c r="F321" s="11"/>
      <c r="G321" s="11"/>
      <c r="H321" s="10" t="str">
        <f>IF(ISBLANK(F321),"",IF(G321&lt;&gt;"",UPPER(TRIM(G321)),IF(ISNUMBER(SEARCH(" ",TRIM(F321))),UPPER(LEFT(TRIM(RIGHT(SUBSTITUTE(TRIM(F321)," ",REPT(" ",100)),100)),Settings!$B$9)),UPPER(LEFT(TRIM(F321),Settings!$B$9)))))</f>
        <v/>
      </c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0" t="str">
        <f>IF(ISBLANK(D321),"",IF(COUNTIFS(Circulation!$B$2:$B$500,A321,Circulation!$H$2:$H$500,"Active")&gt;0,"On Loan","Available"))</f>
        <v/>
      </c>
      <c r="AA321" s="11"/>
      <c r="AB321" s="11"/>
      <c r="AC321" s="11"/>
      <c r="AD321" s="11"/>
      <c r="AE321" s="11"/>
      <c r="AF321" s="11"/>
      <c r="AG321" s="11"/>
    </row>
    <row r="322" spans="1:33" x14ac:dyDescent="0.25">
      <c r="A322" s="10" t="str">
        <f t="shared" ref="A322:A385" si="10">IF(ISBLANK(D322),"",ROW()-1)</f>
        <v/>
      </c>
      <c r="B322" s="11"/>
      <c r="C322" s="10" t="str">
        <f t="shared" ref="C322:C385" si="11">IF(ISBLANK(D322),"",MID(K322,SEARCH("(",K322)+1,SEARCH(")",K322)-SEARCH("(",K322)-1)&amp;"-"&amp;MID(L322,SEARCH("(",L322)+1,SEARCH(")",L322)-SEARCH("(",L322)-1)&amp;"-"&amp;H322&amp;"-"&amp;TEXT(A322,"000")&amp;IF(ISBLANK(N322),"","-"&amp;SUBSTITUTE(N322," ","")))</f>
        <v/>
      </c>
      <c r="D322" s="11"/>
      <c r="E322" s="11"/>
      <c r="F322" s="11"/>
      <c r="G322" s="11"/>
      <c r="H322" s="10" t="str">
        <f>IF(ISBLANK(F322),"",IF(G322&lt;&gt;"",UPPER(TRIM(G322)),IF(ISNUMBER(SEARCH(" ",TRIM(F322))),UPPER(LEFT(TRIM(RIGHT(SUBSTITUTE(TRIM(F322)," ",REPT(" ",100)),100)),Settings!$B$9)),UPPER(LEFT(TRIM(F322),Settings!$B$9)))))</f>
        <v/>
      </c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0" t="str">
        <f>IF(ISBLANK(D322),"",IF(COUNTIFS(Circulation!$B$2:$B$500,A322,Circulation!$H$2:$H$500,"Active")&gt;0,"On Loan","Available"))</f>
        <v/>
      </c>
      <c r="AA322" s="11"/>
      <c r="AB322" s="11"/>
      <c r="AC322" s="11"/>
      <c r="AD322" s="11"/>
      <c r="AE322" s="11"/>
      <c r="AF322" s="11"/>
      <c r="AG322" s="11"/>
    </row>
    <row r="323" spans="1:33" x14ac:dyDescent="0.25">
      <c r="A323" s="10" t="str">
        <f t="shared" si="10"/>
        <v/>
      </c>
      <c r="B323" s="11"/>
      <c r="C323" s="10" t="str">
        <f t="shared" si="11"/>
        <v/>
      </c>
      <c r="D323" s="11"/>
      <c r="E323" s="11"/>
      <c r="F323" s="11"/>
      <c r="G323" s="11"/>
      <c r="H323" s="10" t="str">
        <f>IF(ISBLANK(F323),"",IF(G323&lt;&gt;"",UPPER(TRIM(G323)),IF(ISNUMBER(SEARCH(" ",TRIM(F323))),UPPER(LEFT(TRIM(RIGHT(SUBSTITUTE(TRIM(F323)," ",REPT(" ",100)),100)),Settings!$B$9)),UPPER(LEFT(TRIM(F323),Settings!$B$9)))))</f>
        <v/>
      </c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0" t="str">
        <f>IF(ISBLANK(D323),"",IF(COUNTIFS(Circulation!$B$2:$B$500,A323,Circulation!$H$2:$H$500,"Active")&gt;0,"On Loan","Available"))</f>
        <v/>
      </c>
      <c r="AA323" s="11"/>
      <c r="AB323" s="11"/>
      <c r="AC323" s="11"/>
      <c r="AD323" s="11"/>
      <c r="AE323" s="11"/>
      <c r="AF323" s="11"/>
      <c r="AG323" s="11"/>
    </row>
    <row r="324" spans="1:33" x14ac:dyDescent="0.25">
      <c r="A324" s="10" t="str">
        <f t="shared" si="10"/>
        <v/>
      </c>
      <c r="B324" s="11"/>
      <c r="C324" s="10" t="str">
        <f t="shared" si="11"/>
        <v/>
      </c>
      <c r="D324" s="11"/>
      <c r="E324" s="11"/>
      <c r="F324" s="11"/>
      <c r="G324" s="11"/>
      <c r="H324" s="10" t="str">
        <f>IF(ISBLANK(F324),"",IF(G324&lt;&gt;"",UPPER(TRIM(G324)),IF(ISNUMBER(SEARCH(" ",TRIM(F324))),UPPER(LEFT(TRIM(RIGHT(SUBSTITUTE(TRIM(F324)," ",REPT(" ",100)),100)),Settings!$B$9)),UPPER(LEFT(TRIM(F324),Settings!$B$9)))))</f>
        <v/>
      </c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0" t="str">
        <f>IF(ISBLANK(D324),"",IF(COUNTIFS(Circulation!$B$2:$B$500,A324,Circulation!$H$2:$H$500,"Active")&gt;0,"On Loan","Available"))</f>
        <v/>
      </c>
      <c r="AA324" s="11"/>
      <c r="AB324" s="11"/>
      <c r="AC324" s="11"/>
      <c r="AD324" s="11"/>
      <c r="AE324" s="11"/>
      <c r="AF324" s="11"/>
      <c r="AG324" s="11"/>
    </row>
    <row r="325" spans="1:33" x14ac:dyDescent="0.25">
      <c r="A325" s="10" t="str">
        <f t="shared" si="10"/>
        <v/>
      </c>
      <c r="B325" s="11"/>
      <c r="C325" s="10" t="str">
        <f t="shared" si="11"/>
        <v/>
      </c>
      <c r="D325" s="11"/>
      <c r="E325" s="11"/>
      <c r="F325" s="11"/>
      <c r="G325" s="11"/>
      <c r="H325" s="10" t="str">
        <f>IF(ISBLANK(F325),"",IF(G325&lt;&gt;"",UPPER(TRIM(G325)),IF(ISNUMBER(SEARCH(" ",TRIM(F325))),UPPER(LEFT(TRIM(RIGHT(SUBSTITUTE(TRIM(F325)," ",REPT(" ",100)),100)),Settings!$B$9)),UPPER(LEFT(TRIM(F325),Settings!$B$9)))))</f>
        <v/>
      </c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0" t="str">
        <f>IF(ISBLANK(D325),"",IF(COUNTIFS(Circulation!$B$2:$B$500,A325,Circulation!$H$2:$H$500,"Active")&gt;0,"On Loan","Available"))</f>
        <v/>
      </c>
      <c r="AA325" s="11"/>
      <c r="AB325" s="11"/>
      <c r="AC325" s="11"/>
      <c r="AD325" s="11"/>
      <c r="AE325" s="11"/>
      <c r="AF325" s="11"/>
      <c r="AG325" s="11"/>
    </row>
    <row r="326" spans="1:33" x14ac:dyDescent="0.25">
      <c r="A326" s="10" t="str">
        <f t="shared" si="10"/>
        <v/>
      </c>
      <c r="B326" s="11"/>
      <c r="C326" s="10" t="str">
        <f t="shared" si="11"/>
        <v/>
      </c>
      <c r="D326" s="11"/>
      <c r="E326" s="11"/>
      <c r="F326" s="11"/>
      <c r="G326" s="11"/>
      <c r="H326" s="10" t="str">
        <f>IF(ISBLANK(F326),"",IF(G326&lt;&gt;"",UPPER(TRIM(G326)),IF(ISNUMBER(SEARCH(" ",TRIM(F326))),UPPER(LEFT(TRIM(RIGHT(SUBSTITUTE(TRIM(F326)," ",REPT(" ",100)),100)),Settings!$B$9)),UPPER(LEFT(TRIM(F326),Settings!$B$9)))))</f>
        <v/>
      </c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0" t="str">
        <f>IF(ISBLANK(D326),"",IF(COUNTIFS(Circulation!$B$2:$B$500,A326,Circulation!$H$2:$H$500,"Active")&gt;0,"On Loan","Available"))</f>
        <v/>
      </c>
      <c r="AA326" s="11"/>
      <c r="AB326" s="11"/>
      <c r="AC326" s="11"/>
      <c r="AD326" s="11"/>
      <c r="AE326" s="11"/>
      <c r="AF326" s="11"/>
      <c r="AG326" s="11"/>
    </row>
    <row r="327" spans="1:33" x14ac:dyDescent="0.25">
      <c r="A327" s="10" t="str">
        <f t="shared" si="10"/>
        <v/>
      </c>
      <c r="B327" s="11"/>
      <c r="C327" s="10" t="str">
        <f t="shared" si="11"/>
        <v/>
      </c>
      <c r="D327" s="11"/>
      <c r="E327" s="11"/>
      <c r="F327" s="11"/>
      <c r="G327" s="11"/>
      <c r="H327" s="10" t="str">
        <f>IF(ISBLANK(F327),"",IF(G327&lt;&gt;"",UPPER(TRIM(G327)),IF(ISNUMBER(SEARCH(" ",TRIM(F327))),UPPER(LEFT(TRIM(RIGHT(SUBSTITUTE(TRIM(F327)," ",REPT(" ",100)),100)),Settings!$B$9)),UPPER(LEFT(TRIM(F327),Settings!$B$9)))))</f>
        <v/>
      </c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0" t="str">
        <f>IF(ISBLANK(D327),"",IF(COUNTIFS(Circulation!$B$2:$B$500,A327,Circulation!$H$2:$H$500,"Active")&gt;0,"On Loan","Available"))</f>
        <v/>
      </c>
      <c r="AA327" s="11"/>
      <c r="AB327" s="11"/>
      <c r="AC327" s="11"/>
      <c r="AD327" s="11"/>
      <c r="AE327" s="11"/>
      <c r="AF327" s="11"/>
      <c r="AG327" s="11"/>
    </row>
    <row r="328" spans="1:33" x14ac:dyDescent="0.25">
      <c r="A328" s="10" t="str">
        <f t="shared" si="10"/>
        <v/>
      </c>
      <c r="B328" s="11"/>
      <c r="C328" s="10" t="str">
        <f t="shared" si="11"/>
        <v/>
      </c>
      <c r="D328" s="11"/>
      <c r="E328" s="11"/>
      <c r="F328" s="11"/>
      <c r="G328" s="11"/>
      <c r="H328" s="10" t="str">
        <f>IF(ISBLANK(F328),"",IF(G328&lt;&gt;"",UPPER(TRIM(G328)),IF(ISNUMBER(SEARCH(" ",TRIM(F328))),UPPER(LEFT(TRIM(RIGHT(SUBSTITUTE(TRIM(F328)," ",REPT(" ",100)),100)),Settings!$B$9)),UPPER(LEFT(TRIM(F328),Settings!$B$9)))))</f>
        <v/>
      </c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0" t="str">
        <f>IF(ISBLANK(D328),"",IF(COUNTIFS(Circulation!$B$2:$B$500,A328,Circulation!$H$2:$H$500,"Active")&gt;0,"On Loan","Available"))</f>
        <v/>
      </c>
      <c r="AA328" s="11"/>
      <c r="AB328" s="11"/>
      <c r="AC328" s="11"/>
      <c r="AD328" s="11"/>
      <c r="AE328" s="11"/>
      <c r="AF328" s="11"/>
      <c r="AG328" s="11"/>
    </row>
    <row r="329" spans="1:33" x14ac:dyDescent="0.25">
      <c r="A329" s="10" t="str">
        <f t="shared" si="10"/>
        <v/>
      </c>
      <c r="B329" s="11"/>
      <c r="C329" s="10" t="str">
        <f t="shared" si="11"/>
        <v/>
      </c>
      <c r="D329" s="11"/>
      <c r="E329" s="11"/>
      <c r="F329" s="11"/>
      <c r="G329" s="11"/>
      <c r="H329" s="10" t="str">
        <f>IF(ISBLANK(F329),"",IF(G329&lt;&gt;"",UPPER(TRIM(G329)),IF(ISNUMBER(SEARCH(" ",TRIM(F329))),UPPER(LEFT(TRIM(RIGHT(SUBSTITUTE(TRIM(F329)," ",REPT(" ",100)),100)),Settings!$B$9)),UPPER(LEFT(TRIM(F329),Settings!$B$9)))))</f>
        <v/>
      </c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0" t="str">
        <f>IF(ISBLANK(D329),"",IF(COUNTIFS(Circulation!$B$2:$B$500,A329,Circulation!$H$2:$H$500,"Active")&gt;0,"On Loan","Available"))</f>
        <v/>
      </c>
      <c r="AA329" s="11"/>
      <c r="AB329" s="11"/>
      <c r="AC329" s="11"/>
      <c r="AD329" s="11"/>
      <c r="AE329" s="11"/>
      <c r="AF329" s="11"/>
      <c r="AG329" s="11"/>
    </row>
    <row r="330" spans="1:33" x14ac:dyDescent="0.25">
      <c r="A330" s="10" t="str">
        <f t="shared" si="10"/>
        <v/>
      </c>
      <c r="B330" s="11"/>
      <c r="C330" s="10" t="str">
        <f t="shared" si="11"/>
        <v/>
      </c>
      <c r="D330" s="11"/>
      <c r="E330" s="11"/>
      <c r="F330" s="11"/>
      <c r="G330" s="11"/>
      <c r="H330" s="10" t="str">
        <f>IF(ISBLANK(F330),"",IF(G330&lt;&gt;"",UPPER(TRIM(G330)),IF(ISNUMBER(SEARCH(" ",TRIM(F330))),UPPER(LEFT(TRIM(RIGHT(SUBSTITUTE(TRIM(F330)," ",REPT(" ",100)),100)),Settings!$B$9)),UPPER(LEFT(TRIM(F330),Settings!$B$9)))))</f>
        <v/>
      </c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0" t="str">
        <f>IF(ISBLANK(D330),"",IF(COUNTIFS(Circulation!$B$2:$B$500,A330,Circulation!$H$2:$H$500,"Active")&gt;0,"On Loan","Available"))</f>
        <v/>
      </c>
      <c r="AA330" s="11"/>
      <c r="AB330" s="11"/>
      <c r="AC330" s="11"/>
      <c r="AD330" s="11"/>
      <c r="AE330" s="11"/>
      <c r="AF330" s="11"/>
      <c r="AG330" s="11"/>
    </row>
    <row r="331" spans="1:33" x14ac:dyDescent="0.25">
      <c r="A331" s="10" t="str">
        <f t="shared" si="10"/>
        <v/>
      </c>
      <c r="B331" s="11"/>
      <c r="C331" s="10" t="str">
        <f t="shared" si="11"/>
        <v/>
      </c>
      <c r="D331" s="11"/>
      <c r="E331" s="11"/>
      <c r="F331" s="11"/>
      <c r="G331" s="11"/>
      <c r="H331" s="10" t="str">
        <f>IF(ISBLANK(F331),"",IF(G331&lt;&gt;"",UPPER(TRIM(G331)),IF(ISNUMBER(SEARCH(" ",TRIM(F331))),UPPER(LEFT(TRIM(RIGHT(SUBSTITUTE(TRIM(F331)," ",REPT(" ",100)),100)),Settings!$B$9)),UPPER(LEFT(TRIM(F331),Settings!$B$9)))))</f>
        <v/>
      </c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0" t="str">
        <f>IF(ISBLANK(D331),"",IF(COUNTIFS(Circulation!$B$2:$B$500,A331,Circulation!$H$2:$H$500,"Active")&gt;0,"On Loan","Available"))</f>
        <v/>
      </c>
      <c r="AA331" s="11"/>
      <c r="AB331" s="11"/>
      <c r="AC331" s="11"/>
      <c r="AD331" s="11"/>
      <c r="AE331" s="11"/>
      <c r="AF331" s="11"/>
      <c r="AG331" s="11"/>
    </row>
    <row r="332" spans="1:33" x14ac:dyDescent="0.25">
      <c r="A332" s="10" t="str">
        <f t="shared" si="10"/>
        <v/>
      </c>
      <c r="B332" s="11"/>
      <c r="C332" s="10" t="str">
        <f t="shared" si="11"/>
        <v/>
      </c>
      <c r="D332" s="11"/>
      <c r="E332" s="11"/>
      <c r="F332" s="11"/>
      <c r="G332" s="11"/>
      <c r="H332" s="10" t="str">
        <f>IF(ISBLANK(F332),"",IF(G332&lt;&gt;"",UPPER(TRIM(G332)),IF(ISNUMBER(SEARCH(" ",TRIM(F332))),UPPER(LEFT(TRIM(RIGHT(SUBSTITUTE(TRIM(F332)," ",REPT(" ",100)),100)),Settings!$B$9)),UPPER(LEFT(TRIM(F332),Settings!$B$9)))))</f>
        <v/>
      </c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0" t="str">
        <f>IF(ISBLANK(D332),"",IF(COUNTIFS(Circulation!$B$2:$B$500,A332,Circulation!$H$2:$H$500,"Active")&gt;0,"On Loan","Available"))</f>
        <v/>
      </c>
      <c r="AA332" s="11"/>
      <c r="AB332" s="11"/>
      <c r="AC332" s="11"/>
      <c r="AD332" s="11"/>
      <c r="AE332" s="11"/>
      <c r="AF332" s="11"/>
      <c r="AG332" s="11"/>
    </row>
    <row r="333" spans="1:33" x14ac:dyDescent="0.25">
      <c r="A333" s="10" t="str">
        <f t="shared" si="10"/>
        <v/>
      </c>
      <c r="B333" s="11"/>
      <c r="C333" s="10" t="str">
        <f t="shared" si="11"/>
        <v/>
      </c>
      <c r="D333" s="11"/>
      <c r="E333" s="11"/>
      <c r="F333" s="11"/>
      <c r="G333" s="11"/>
      <c r="H333" s="10" t="str">
        <f>IF(ISBLANK(F333),"",IF(G333&lt;&gt;"",UPPER(TRIM(G333)),IF(ISNUMBER(SEARCH(" ",TRIM(F333))),UPPER(LEFT(TRIM(RIGHT(SUBSTITUTE(TRIM(F333)," ",REPT(" ",100)),100)),Settings!$B$9)),UPPER(LEFT(TRIM(F333),Settings!$B$9)))))</f>
        <v/>
      </c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0" t="str">
        <f>IF(ISBLANK(D333),"",IF(COUNTIFS(Circulation!$B$2:$B$500,A333,Circulation!$H$2:$H$500,"Active")&gt;0,"On Loan","Available"))</f>
        <v/>
      </c>
      <c r="AA333" s="11"/>
      <c r="AB333" s="11"/>
      <c r="AC333" s="11"/>
      <c r="AD333" s="11"/>
      <c r="AE333" s="11"/>
      <c r="AF333" s="11"/>
      <c r="AG333" s="11"/>
    </row>
    <row r="334" spans="1:33" x14ac:dyDescent="0.25">
      <c r="A334" s="10" t="str">
        <f t="shared" si="10"/>
        <v/>
      </c>
      <c r="B334" s="11"/>
      <c r="C334" s="10" t="str">
        <f t="shared" si="11"/>
        <v/>
      </c>
      <c r="D334" s="11"/>
      <c r="E334" s="11"/>
      <c r="F334" s="11"/>
      <c r="G334" s="11"/>
      <c r="H334" s="10" t="str">
        <f>IF(ISBLANK(F334),"",IF(G334&lt;&gt;"",UPPER(TRIM(G334)),IF(ISNUMBER(SEARCH(" ",TRIM(F334))),UPPER(LEFT(TRIM(RIGHT(SUBSTITUTE(TRIM(F334)," ",REPT(" ",100)),100)),Settings!$B$9)),UPPER(LEFT(TRIM(F334),Settings!$B$9)))))</f>
        <v/>
      </c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0" t="str">
        <f>IF(ISBLANK(D334),"",IF(COUNTIFS(Circulation!$B$2:$B$500,A334,Circulation!$H$2:$H$500,"Active")&gt;0,"On Loan","Available"))</f>
        <v/>
      </c>
      <c r="AA334" s="11"/>
      <c r="AB334" s="11"/>
      <c r="AC334" s="11"/>
      <c r="AD334" s="11"/>
      <c r="AE334" s="11"/>
      <c r="AF334" s="11"/>
      <c r="AG334" s="11"/>
    </row>
    <row r="335" spans="1:33" x14ac:dyDescent="0.25">
      <c r="A335" s="10" t="str">
        <f t="shared" si="10"/>
        <v/>
      </c>
      <c r="B335" s="11"/>
      <c r="C335" s="10" t="str">
        <f t="shared" si="11"/>
        <v/>
      </c>
      <c r="D335" s="11"/>
      <c r="E335" s="11"/>
      <c r="F335" s="11"/>
      <c r="G335" s="11"/>
      <c r="H335" s="10" t="str">
        <f>IF(ISBLANK(F335),"",IF(G335&lt;&gt;"",UPPER(TRIM(G335)),IF(ISNUMBER(SEARCH(" ",TRIM(F335))),UPPER(LEFT(TRIM(RIGHT(SUBSTITUTE(TRIM(F335)," ",REPT(" ",100)),100)),Settings!$B$9)),UPPER(LEFT(TRIM(F335),Settings!$B$9)))))</f>
        <v/>
      </c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0" t="str">
        <f>IF(ISBLANK(D335),"",IF(COUNTIFS(Circulation!$B$2:$B$500,A335,Circulation!$H$2:$H$500,"Active")&gt;0,"On Loan","Available"))</f>
        <v/>
      </c>
      <c r="AA335" s="11"/>
      <c r="AB335" s="11"/>
      <c r="AC335" s="11"/>
      <c r="AD335" s="11"/>
      <c r="AE335" s="11"/>
      <c r="AF335" s="11"/>
      <c r="AG335" s="11"/>
    </row>
    <row r="336" spans="1:33" x14ac:dyDescent="0.25">
      <c r="A336" s="10" t="str">
        <f t="shared" si="10"/>
        <v/>
      </c>
      <c r="B336" s="11"/>
      <c r="C336" s="10" t="str">
        <f t="shared" si="11"/>
        <v/>
      </c>
      <c r="D336" s="11"/>
      <c r="E336" s="11"/>
      <c r="F336" s="11"/>
      <c r="G336" s="11"/>
      <c r="H336" s="10" t="str">
        <f>IF(ISBLANK(F336),"",IF(G336&lt;&gt;"",UPPER(TRIM(G336)),IF(ISNUMBER(SEARCH(" ",TRIM(F336))),UPPER(LEFT(TRIM(RIGHT(SUBSTITUTE(TRIM(F336)," ",REPT(" ",100)),100)),Settings!$B$9)),UPPER(LEFT(TRIM(F336),Settings!$B$9)))))</f>
        <v/>
      </c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0" t="str">
        <f>IF(ISBLANK(D336),"",IF(COUNTIFS(Circulation!$B$2:$B$500,A336,Circulation!$H$2:$H$500,"Active")&gt;0,"On Loan","Available"))</f>
        <v/>
      </c>
      <c r="AA336" s="11"/>
      <c r="AB336" s="11"/>
      <c r="AC336" s="11"/>
      <c r="AD336" s="11"/>
      <c r="AE336" s="11"/>
      <c r="AF336" s="11"/>
      <c r="AG336" s="11"/>
    </row>
    <row r="337" spans="1:33" x14ac:dyDescent="0.25">
      <c r="A337" s="10" t="str">
        <f t="shared" si="10"/>
        <v/>
      </c>
      <c r="B337" s="11"/>
      <c r="C337" s="10" t="str">
        <f t="shared" si="11"/>
        <v/>
      </c>
      <c r="D337" s="11"/>
      <c r="E337" s="11"/>
      <c r="F337" s="11"/>
      <c r="G337" s="11"/>
      <c r="H337" s="10" t="str">
        <f>IF(ISBLANK(F337),"",IF(G337&lt;&gt;"",UPPER(TRIM(G337)),IF(ISNUMBER(SEARCH(" ",TRIM(F337))),UPPER(LEFT(TRIM(RIGHT(SUBSTITUTE(TRIM(F337)," ",REPT(" ",100)),100)),Settings!$B$9)),UPPER(LEFT(TRIM(F337),Settings!$B$9)))))</f>
        <v/>
      </c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0" t="str">
        <f>IF(ISBLANK(D337),"",IF(COUNTIFS(Circulation!$B$2:$B$500,A337,Circulation!$H$2:$H$500,"Active")&gt;0,"On Loan","Available"))</f>
        <v/>
      </c>
      <c r="AA337" s="11"/>
      <c r="AB337" s="11"/>
      <c r="AC337" s="11"/>
      <c r="AD337" s="11"/>
      <c r="AE337" s="11"/>
      <c r="AF337" s="11"/>
      <c r="AG337" s="11"/>
    </row>
    <row r="338" spans="1:33" x14ac:dyDescent="0.25">
      <c r="A338" s="10" t="str">
        <f t="shared" si="10"/>
        <v/>
      </c>
      <c r="B338" s="11"/>
      <c r="C338" s="10" t="str">
        <f t="shared" si="11"/>
        <v/>
      </c>
      <c r="D338" s="11"/>
      <c r="E338" s="11"/>
      <c r="F338" s="11"/>
      <c r="G338" s="11"/>
      <c r="H338" s="10" t="str">
        <f>IF(ISBLANK(F338),"",IF(G338&lt;&gt;"",UPPER(TRIM(G338)),IF(ISNUMBER(SEARCH(" ",TRIM(F338))),UPPER(LEFT(TRIM(RIGHT(SUBSTITUTE(TRIM(F338)," ",REPT(" ",100)),100)),Settings!$B$9)),UPPER(LEFT(TRIM(F338),Settings!$B$9)))))</f>
        <v/>
      </c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0" t="str">
        <f>IF(ISBLANK(D338),"",IF(COUNTIFS(Circulation!$B$2:$B$500,A338,Circulation!$H$2:$H$500,"Active")&gt;0,"On Loan","Available"))</f>
        <v/>
      </c>
      <c r="AA338" s="11"/>
      <c r="AB338" s="11"/>
      <c r="AC338" s="11"/>
      <c r="AD338" s="11"/>
      <c r="AE338" s="11"/>
      <c r="AF338" s="11"/>
      <c r="AG338" s="11"/>
    </row>
    <row r="339" spans="1:33" x14ac:dyDescent="0.25">
      <c r="A339" s="10" t="str">
        <f t="shared" si="10"/>
        <v/>
      </c>
      <c r="B339" s="11"/>
      <c r="C339" s="10" t="str">
        <f t="shared" si="11"/>
        <v/>
      </c>
      <c r="D339" s="11"/>
      <c r="E339" s="11"/>
      <c r="F339" s="11"/>
      <c r="G339" s="11"/>
      <c r="H339" s="10" t="str">
        <f>IF(ISBLANK(F339),"",IF(G339&lt;&gt;"",UPPER(TRIM(G339)),IF(ISNUMBER(SEARCH(" ",TRIM(F339))),UPPER(LEFT(TRIM(RIGHT(SUBSTITUTE(TRIM(F339)," ",REPT(" ",100)),100)),Settings!$B$9)),UPPER(LEFT(TRIM(F339),Settings!$B$9)))))</f>
        <v/>
      </c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0" t="str">
        <f>IF(ISBLANK(D339),"",IF(COUNTIFS(Circulation!$B$2:$B$500,A339,Circulation!$H$2:$H$500,"Active")&gt;0,"On Loan","Available"))</f>
        <v/>
      </c>
      <c r="AA339" s="11"/>
      <c r="AB339" s="11"/>
      <c r="AC339" s="11"/>
      <c r="AD339" s="11"/>
      <c r="AE339" s="11"/>
      <c r="AF339" s="11"/>
      <c r="AG339" s="11"/>
    </row>
    <row r="340" spans="1:33" x14ac:dyDescent="0.25">
      <c r="A340" s="10" t="str">
        <f t="shared" si="10"/>
        <v/>
      </c>
      <c r="B340" s="11"/>
      <c r="C340" s="10" t="str">
        <f t="shared" si="11"/>
        <v/>
      </c>
      <c r="D340" s="11"/>
      <c r="E340" s="11"/>
      <c r="F340" s="11"/>
      <c r="G340" s="11"/>
      <c r="H340" s="10" t="str">
        <f>IF(ISBLANK(F340),"",IF(G340&lt;&gt;"",UPPER(TRIM(G340)),IF(ISNUMBER(SEARCH(" ",TRIM(F340))),UPPER(LEFT(TRIM(RIGHT(SUBSTITUTE(TRIM(F340)," ",REPT(" ",100)),100)),Settings!$B$9)),UPPER(LEFT(TRIM(F340),Settings!$B$9)))))</f>
        <v/>
      </c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0" t="str">
        <f>IF(ISBLANK(D340),"",IF(COUNTIFS(Circulation!$B$2:$B$500,A340,Circulation!$H$2:$H$500,"Active")&gt;0,"On Loan","Available"))</f>
        <v/>
      </c>
      <c r="AA340" s="11"/>
      <c r="AB340" s="11"/>
      <c r="AC340" s="11"/>
      <c r="AD340" s="11"/>
      <c r="AE340" s="11"/>
      <c r="AF340" s="11"/>
      <c r="AG340" s="11"/>
    </row>
    <row r="341" spans="1:33" x14ac:dyDescent="0.25">
      <c r="A341" s="10" t="str">
        <f t="shared" si="10"/>
        <v/>
      </c>
      <c r="B341" s="11"/>
      <c r="C341" s="10" t="str">
        <f t="shared" si="11"/>
        <v/>
      </c>
      <c r="D341" s="11"/>
      <c r="E341" s="11"/>
      <c r="F341" s="11"/>
      <c r="G341" s="11"/>
      <c r="H341" s="10" t="str">
        <f>IF(ISBLANK(F341),"",IF(G341&lt;&gt;"",UPPER(TRIM(G341)),IF(ISNUMBER(SEARCH(" ",TRIM(F341))),UPPER(LEFT(TRIM(RIGHT(SUBSTITUTE(TRIM(F341)," ",REPT(" ",100)),100)),Settings!$B$9)),UPPER(LEFT(TRIM(F341),Settings!$B$9)))))</f>
        <v/>
      </c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0" t="str">
        <f>IF(ISBLANK(D341),"",IF(COUNTIFS(Circulation!$B$2:$B$500,A341,Circulation!$H$2:$H$500,"Active")&gt;0,"On Loan","Available"))</f>
        <v/>
      </c>
      <c r="AA341" s="11"/>
      <c r="AB341" s="11"/>
      <c r="AC341" s="11"/>
      <c r="AD341" s="11"/>
      <c r="AE341" s="11"/>
      <c r="AF341" s="11"/>
      <c r="AG341" s="11"/>
    </row>
    <row r="342" spans="1:33" x14ac:dyDescent="0.25">
      <c r="A342" s="10" t="str">
        <f t="shared" si="10"/>
        <v/>
      </c>
      <c r="B342" s="11"/>
      <c r="C342" s="10" t="str">
        <f t="shared" si="11"/>
        <v/>
      </c>
      <c r="D342" s="11"/>
      <c r="E342" s="11"/>
      <c r="F342" s="11"/>
      <c r="G342" s="11"/>
      <c r="H342" s="10" t="str">
        <f>IF(ISBLANK(F342),"",IF(G342&lt;&gt;"",UPPER(TRIM(G342)),IF(ISNUMBER(SEARCH(" ",TRIM(F342))),UPPER(LEFT(TRIM(RIGHT(SUBSTITUTE(TRIM(F342)," ",REPT(" ",100)),100)),Settings!$B$9)),UPPER(LEFT(TRIM(F342),Settings!$B$9)))))</f>
        <v/>
      </c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0" t="str">
        <f>IF(ISBLANK(D342),"",IF(COUNTIFS(Circulation!$B$2:$B$500,A342,Circulation!$H$2:$H$500,"Active")&gt;0,"On Loan","Available"))</f>
        <v/>
      </c>
      <c r="AA342" s="11"/>
      <c r="AB342" s="11"/>
      <c r="AC342" s="11"/>
      <c r="AD342" s="11"/>
      <c r="AE342" s="11"/>
      <c r="AF342" s="11"/>
      <c r="AG342" s="11"/>
    </row>
    <row r="343" spans="1:33" x14ac:dyDescent="0.25">
      <c r="A343" s="10" t="str">
        <f t="shared" si="10"/>
        <v/>
      </c>
      <c r="B343" s="11"/>
      <c r="C343" s="10" t="str">
        <f t="shared" si="11"/>
        <v/>
      </c>
      <c r="D343" s="11"/>
      <c r="E343" s="11"/>
      <c r="F343" s="11"/>
      <c r="G343" s="11"/>
      <c r="H343" s="10" t="str">
        <f>IF(ISBLANK(F343),"",IF(G343&lt;&gt;"",UPPER(TRIM(G343)),IF(ISNUMBER(SEARCH(" ",TRIM(F343))),UPPER(LEFT(TRIM(RIGHT(SUBSTITUTE(TRIM(F343)," ",REPT(" ",100)),100)),Settings!$B$9)),UPPER(LEFT(TRIM(F343),Settings!$B$9)))))</f>
        <v/>
      </c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0" t="str">
        <f>IF(ISBLANK(D343),"",IF(COUNTIFS(Circulation!$B$2:$B$500,A343,Circulation!$H$2:$H$500,"Active")&gt;0,"On Loan","Available"))</f>
        <v/>
      </c>
      <c r="AA343" s="11"/>
      <c r="AB343" s="11"/>
      <c r="AC343" s="11"/>
      <c r="AD343" s="11"/>
      <c r="AE343" s="11"/>
      <c r="AF343" s="11"/>
      <c r="AG343" s="11"/>
    </row>
    <row r="344" spans="1:33" x14ac:dyDescent="0.25">
      <c r="A344" s="10" t="str">
        <f t="shared" si="10"/>
        <v/>
      </c>
      <c r="B344" s="11"/>
      <c r="C344" s="10" t="str">
        <f t="shared" si="11"/>
        <v/>
      </c>
      <c r="D344" s="11"/>
      <c r="E344" s="11"/>
      <c r="F344" s="11"/>
      <c r="G344" s="11"/>
      <c r="H344" s="10" t="str">
        <f>IF(ISBLANK(F344),"",IF(G344&lt;&gt;"",UPPER(TRIM(G344)),IF(ISNUMBER(SEARCH(" ",TRIM(F344))),UPPER(LEFT(TRIM(RIGHT(SUBSTITUTE(TRIM(F344)," ",REPT(" ",100)),100)),Settings!$B$9)),UPPER(LEFT(TRIM(F344),Settings!$B$9)))))</f>
        <v/>
      </c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0" t="str">
        <f>IF(ISBLANK(D344),"",IF(COUNTIFS(Circulation!$B$2:$B$500,A344,Circulation!$H$2:$H$500,"Active")&gt;0,"On Loan","Available"))</f>
        <v/>
      </c>
      <c r="AA344" s="11"/>
      <c r="AB344" s="11"/>
      <c r="AC344" s="11"/>
      <c r="AD344" s="11"/>
      <c r="AE344" s="11"/>
      <c r="AF344" s="11"/>
      <c r="AG344" s="11"/>
    </row>
    <row r="345" spans="1:33" x14ac:dyDescent="0.25">
      <c r="A345" s="10" t="str">
        <f t="shared" si="10"/>
        <v/>
      </c>
      <c r="B345" s="11"/>
      <c r="C345" s="10" t="str">
        <f t="shared" si="11"/>
        <v/>
      </c>
      <c r="D345" s="11"/>
      <c r="E345" s="11"/>
      <c r="F345" s="11"/>
      <c r="G345" s="11"/>
      <c r="H345" s="10" t="str">
        <f>IF(ISBLANK(F345),"",IF(G345&lt;&gt;"",UPPER(TRIM(G345)),IF(ISNUMBER(SEARCH(" ",TRIM(F345))),UPPER(LEFT(TRIM(RIGHT(SUBSTITUTE(TRIM(F345)," ",REPT(" ",100)),100)),Settings!$B$9)),UPPER(LEFT(TRIM(F345),Settings!$B$9)))))</f>
        <v/>
      </c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0" t="str">
        <f>IF(ISBLANK(D345),"",IF(COUNTIFS(Circulation!$B$2:$B$500,A345,Circulation!$H$2:$H$500,"Active")&gt;0,"On Loan","Available"))</f>
        <v/>
      </c>
      <c r="AA345" s="11"/>
      <c r="AB345" s="11"/>
      <c r="AC345" s="11"/>
      <c r="AD345" s="11"/>
      <c r="AE345" s="11"/>
      <c r="AF345" s="11"/>
      <c r="AG345" s="11"/>
    </row>
    <row r="346" spans="1:33" x14ac:dyDescent="0.25">
      <c r="A346" s="10" t="str">
        <f t="shared" si="10"/>
        <v/>
      </c>
      <c r="B346" s="11"/>
      <c r="C346" s="10" t="str">
        <f t="shared" si="11"/>
        <v/>
      </c>
      <c r="D346" s="11"/>
      <c r="E346" s="11"/>
      <c r="F346" s="11"/>
      <c r="G346" s="11"/>
      <c r="H346" s="10" t="str">
        <f>IF(ISBLANK(F346),"",IF(G346&lt;&gt;"",UPPER(TRIM(G346)),IF(ISNUMBER(SEARCH(" ",TRIM(F346))),UPPER(LEFT(TRIM(RIGHT(SUBSTITUTE(TRIM(F346)," ",REPT(" ",100)),100)),Settings!$B$9)),UPPER(LEFT(TRIM(F346),Settings!$B$9)))))</f>
        <v/>
      </c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0" t="str">
        <f>IF(ISBLANK(D346),"",IF(COUNTIFS(Circulation!$B$2:$B$500,A346,Circulation!$H$2:$H$500,"Active")&gt;0,"On Loan","Available"))</f>
        <v/>
      </c>
      <c r="AA346" s="11"/>
      <c r="AB346" s="11"/>
      <c r="AC346" s="11"/>
      <c r="AD346" s="11"/>
      <c r="AE346" s="11"/>
      <c r="AF346" s="11"/>
      <c r="AG346" s="11"/>
    </row>
    <row r="347" spans="1:33" x14ac:dyDescent="0.25">
      <c r="A347" s="10" t="str">
        <f t="shared" si="10"/>
        <v/>
      </c>
      <c r="B347" s="11"/>
      <c r="C347" s="10" t="str">
        <f t="shared" si="11"/>
        <v/>
      </c>
      <c r="D347" s="11"/>
      <c r="E347" s="11"/>
      <c r="F347" s="11"/>
      <c r="G347" s="11"/>
      <c r="H347" s="10" t="str">
        <f>IF(ISBLANK(F347),"",IF(G347&lt;&gt;"",UPPER(TRIM(G347)),IF(ISNUMBER(SEARCH(" ",TRIM(F347))),UPPER(LEFT(TRIM(RIGHT(SUBSTITUTE(TRIM(F347)," ",REPT(" ",100)),100)),Settings!$B$9)),UPPER(LEFT(TRIM(F347),Settings!$B$9)))))</f>
        <v/>
      </c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0" t="str">
        <f>IF(ISBLANK(D347),"",IF(COUNTIFS(Circulation!$B$2:$B$500,A347,Circulation!$H$2:$H$500,"Active")&gt;0,"On Loan","Available"))</f>
        <v/>
      </c>
      <c r="AA347" s="11"/>
      <c r="AB347" s="11"/>
      <c r="AC347" s="11"/>
      <c r="AD347" s="11"/>
      <c r="AE347" s="11"/>
      <c r="AF347" s="11"/>
      <c r="AG347" s="11"/>
    </row>
    <row r="348" spans="1:33" x14ac:dyDescent="0.25">
      <c r="A348" s="10" t="str">
        <f t="shared" si="10"/>
        <v/>
      </c>
      <c r="B348" s="11"/>
      <c r="C348" s="10" t="str">
        <f t="shared" si="11"/>
        <v/>
      </c>
      <c r="D348" s="11"/>
      <c r="E348" s="11"/>
      <c r="F348" s="11"/>
      <c r="G348" s="11"/>
      <c r="H348" s="10" t="str">
        <f>IF(ISBLANK(F348),"",IF(G348&lt;&gt;"",UPPER(TRIM(G348)),IF(ISNUMBER(SEARCH(" ",TRIM(F348))),UPPER(LEFT(TRIM(RIGHT(SUBSTITUTE(TRIM(F348)," ",REPT(" ",100)),100)),Settings!$B$9)),UPPER(LEFT(TRIM(F348),Settings!$B$9)))))</f>
        <v/>
      </c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0" t="str">
        <f>IF(ISBLANK(D348),"",IF(COUNTIFS(Circulation!$B$2:$B$500,A348,Circulation!$H$2:$H$500,"Active")&gt;0,"On Loan","Available"))</f>
        <v/>
      </c>
      <c r="AA348" s="11"/>
      <c r="AB348" s="11"/>
      <c r="AC348" s="11"/>
      <c r="AD348" s="11"/>
      <c r="AE348" s="11"/>
      <c r="AF348" s="11"/>
      <c r="AG348" s="11"/>
    </row>
    <row r="349" spans="1:33" x14ac:dyDescent="0.25">
      <c r="A349" s="10" t="str">
        <f t="shared" si="10"/>
        <v/>
      </c>
      <c r="B349" s="11"/>
      <c r="C349" s="10" t="str">
        <f t="shared" si="11"/>
        <v/>
      </c>
      <c r="D349" s="11"/>
      <c r="E349" s="11"/>
      <c r="F349" s="11"/>
      <c r="G349" s="11"/>
      <c r="H349" s="10" t="str">
        <f>IF(ISBLANK(F349),"",IF(G349&lt;&gt;"",UPPER(TRIM(G349)),IF(ISNUMBER(SEARCH(" ",TRIM(F349))),UPPER(LEFT(TRIM(RIGHT(SUBSTITUTE(TRIM(F349)," ",REPT(" ",100)),100)),Settings!$B$9)),UPPER(LEFT(TRIM(F349),Settings!$B$9)))))</f>
        <v/>
      </c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0" t="str">
        <f>IF(ISBLANK(D349),"",IF(COUNTIFS(Circulation!$B$2:$B$500,A349,Circulation!$H$2:$H$500,"Active")&gt;0,"On Loan","Available"))</f>
        <v/>
      </c>
      <c r="AA349" s="11"/>
      <c r="AB349" s="11"/>
      <c r="AC349" s="11"/>
      <c r="AD349" s="11"/>
      <c r="AE349" s="11"/>
      <c r="AF349" s="11"/>
      <c r="AG349" s="11"/>
    </row>
    <row r="350" spans="1:33" x14ac:dyDescent="0.25">
      <c r="A350" s="10" t="str">
        <f t="shared" si="10"/>
        <v/>
      </c>
      <c r="B350" s="11"/>
      <c r="C350" s="10" t="str">
        <f t="shared" si="11"/>
        <v/>
      </c>
      <c r="D350" s="11"/>
      <c r="E350" s="11"/>
      <c r="F350" s="11"/>
      <c r="G350" s="11"/>
      <c r="H350" s="10" t="str">
        <f>IF(ISBLANK(F350),"",IF(G350&lt;&gt;"",UPPER(TRIM(G350)),IF(ISNUMBER(SEARCH(" ",TRIM(F350))),UPPER(LEFT(TRIM(RIGHT(SUBSTITUTE(TRIM(F350)," ",REPT(" ",100)),100)),Settings!$B$9)),UPPER(LEFT(TRIM(F350),Settings!$B$9)))))</f>
        <v/>
      </c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0" t="str">
        <f>IF(ISBLANK(D350),"",IF(COUNTIFS(Circulation!$B$2:$B$500,A350,Circulation!$H$2:$H$500,"Active")&gt;0,"On Loan","Available"))</f>
        <v/>
      </c>
      <c r="AA350" s="11"/>
      <c r="AB350" s="11"/>
      <c r="AC350" s="11"/>
      <c r="AD350" s="11"/>
      <c r="AE350" s="11"/>
      <c r="AF350" s="11"/>
      <c r="AG350" s="11"/>
    </row>
    <row r="351" spans="1:33" x14ac:dyDescent="0.25">
      <c r="A351" s="10" t="str">
        <f t="shared" si="10"/>
        <v/>
      </c>
      <c r="B351" s="11"/>
      <c r="C351" s="10" t="str">
        <f t="shared" si="11"/>
        <v/>
      </c>
      <c r="D351" s="11"/>
      <c r="E351" s="11"/>
      <c r="F351" s="11"/>
      <c r="G351" s="11"/>
      <c r="H351" s="10" t="str">
        <f>IF(ISBLANK(F351),"",IF(G351&lt;&gt;"",UPPER(TRIM(G351)),IF(ISNUMBER(SEARCH(" ",TRIM(F351))),UPPER(LEFT(TRIM(RIGHT(SUBSTITUTE(TRIM(F351)," ",REPT(" ",100)),100)),Settings!$B$9)),UPPER(LEFT(TRIM(F351),Settings!$B$9)))))</f>
        <v/>
      </c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0" t="str">
        <f>IF(ISBLANK(D351),"",IF(COUNTIFS(Circulation!$B$2:$B$500,A351,Circulation!$H$2:$H$500,"Active")&gt;0,"On Loan","Available"))</f>
        <v/>
      </c>
      <c r="AA351" s="11"/>
      <c r="AB351" s="11"/>
      <c r="AC351" s="11"/>
      <c r="AD351" s="11"/>
      <c r="AE351" s="11"/>
      <c r="AF351" s="11"/>
      <c r="AG351" s="11"/>
    </row>
    <row r="352" spans="1:33" x14ac:dyDescent="0.25">
      <c r="A352" s="10" t="str">
        <f t="shared" si="10"/>
        <v/>
      </c>
      <c r="B352" s="11"/>
      <c r="C352" s="10" t="str">
        <f t="shared" si="11"/>
        <v/>
      </c>
      <c r="D352" s="11"/>
      <c r="E352" s="11"/>
      <c r="F352" s="11"/>
      <c r="G352" s="11"/>
      <c r="H352" s="10" t="str">
        <f>IF(ISBLANK(F352),"",IF(G352&lt;&gt;"",UPPER(TRIM(G352)),IF(ISNUMBER(SEARCH(" ",TRIM(F352))),UPPER(LEFT(TRIM(RIGHT(SUBSTITUTE(TRIM(F352)," ",REPT(" ",100)),100)),Settings!$B$9)),UPPER(LEFT(TRIM(F352),Settings!$B$9)))))</f>
        <v/>
      </c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0" t="str">
        <f>IF(ISBLANK(D352),"",IF(COUNTIFS(Circulation!$B$2:$B$500,A352,Circulation!$H$2:$H$500,"Active")&gt;0,"On Loan","Available"))</f>
        <v/>
      </c>
      <c r="AA352" s="11"/>
      <c r="AB352" s="11"/>
      <c r="AC352" s="11"/>
      <c r="AD352" s="11"/>
      <c r="AE352" s="11"/>
      <c r="AF352" s="11"/>
      <c r="AG352" s="11"/>
    </row>
    <row r="353" spans="1:33" x14ac:dyDescent="0.25">
      <c r="A353" s="10" t="str">
        <f t="shared" si="10"/>
        <v/>
      </c>
      <c r="B353" s="11"/>
      <c r="C353" s="10" t="str">
        <f t="shared" si="11"/>
        <v/>
      </c>
      <c r="D353" s="11"/>
      <c r="E353" s="11"/>
      <c r="F353" s="11"/>
      <c r="G353" s="11"/>
      <c r="H353" s="10" t="str">
        <f>IF(ISBLANK(F353),"",IF(G353&lt;&gt;"",UPPER(TRIM(G353)),IF(ISNUMBER(SEARCH(" ",TRIM(F353))),UPPER(LEFT(TRIM(RIGHT(SUBSTITUTE(TRIM(F353)," ",REPT(" ",100)),100)),Settings!$B$9)),UPPER(LEFT(TRIM(F353),Settings!$B$9)))))</f>
        <v/>
      </c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0" t="str">
        <f>IF(ISBLANK(D353),"",IF(COUNTIFS(Circulation!$B$2:$B$500,A353,Circulation!$H$2:$H$500,"Active")&gt;0,"On Loan","Available"))</f>
        <v/>
      </c>
      <c r="AA353" s="11"/>
      <c r="AB353" s="11"/>
      <c r="AC353" s="11"/>
      <c r="AD353" s="11"/>
      <c r="AE353" s="11"/>
      <c r="AF353" s="11"/>
      <c r="AG353" s="11"/>
    </row>
    <row r="354" spans="1:33" x14ac:dyDescent="0.25">
      <c r="A354" s="10" t="str">
        <f t="shared" si="10"/>
        <v/>
      </c>
      <c r="B354" s="11"/>
      <c r="C354" s="10" t="str">
        <f t="shared" si="11"/>
        <v/>
      </c>
      <c r="D354" s="11"/>
      <c r="E354" s="11"/>
      <c r="F354" s="11"/>
      <c r="G354" s="11"/>
      <c r="H354" s="10" t="str">
        <f>IF(ISBLANK(F354),"",IF(G354&lt;&gt;"",UPPER(TRIM(G354)),IF(ISNUMBER(SEARCH(" ",TRIM(F354))),UPPER(LEFT(TRIM(RIGHT(SUBSTITUTE(TRIM(F354)," ",REPT(" ",100)),100)),Settings!$B$9)),UPPER(LEFT(TRIM(F354),Settings!$B$9)))))</f>
        <v/>
      </c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0" t="str">
        <f>IF(ISBLANK(D354),"",IF(COUNTIFS(Circulation!$B$2:$B$500,A354,Circulation!$H$2:$H$500,"Active")&gt;0,"On Loan","Available"))</f>
        <v/>
      </c>
      <c r="AA354" s="11"/>
      <c r="AB354" s="11"/>
      <c r="AC354" s="11"/>
      <c r="AD354" s="11"/>
      <c r="AE354" s="11"/>
      <c r="AF354" s="11"/>
      <c r="AG354" s="11"/>
    </row>
    <row r="355" spans="1:33" x14ac:dyDescent="0.25">
      <c r="A355" s="10" t="str">
        <f t="shared" si="10"/>
        <v/>
      </c>
      <c r="B355" s="11"/>
      <c r="C355" s="10" t="str">
        <f t="shared" si="11"/>
        <v/>
      </c>
      <c r="D355" s="11"/>
      <c r="E355" s="11"/>
      <c r="F355" s="11"/>
      <c r="G355" s="11"/>
      <c r="H355" s="10" t="str">
        <f>IF(ISBLANK(F355),"",IF(G355&lt;&gt;"",UPPER(TRIM(G355)),IF(ISNUMBER(SEARCH(" ",TRIM(F355))),UPPER(LEFT(TRIM(RIGHT(SUBSTITUTE(TRIM(F355)," ",REPT(" ",100)),100)),Settings!$B$9)),UPPER(LEFT(TRIM(F355),Settings!$B$9)))))</f>
        <v/>
      </c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0" t="str">
        <f>IF(ISBLANK(D355),"",IF(COUNTIFS(Circulation!$B$2:$B$500,A355,Circulation!$H$2:$H$500,"Active")&gt;0,"On Loan","Available"))</f>
        <v/>
      </c>
      <c r="AA355" s="11"/>
      <c r="AB355" s="11"/>
      <c r="AC355" s="11"/>
      <c r="AD355" s="11"/>
      <c r="AE355" s="11"/>
      <c r="AF355" s="11"/>
      <c r="AG355" s="11"/>
    </row>
    <row r="356" spans="1:33" x14ac:dyDescent="0.25">
      <c r="A356" s="10" t="str">
        <f t="shared" si="10"/>
        <v/>
      </c>
      <c r="B356" s="11"/>
      <c r="C356" s="10" t="str">
        <f t="shared" si="11"/>
        <v/>
      </c>
      <c r="D356" s="11"/>
      <c r="E356" s="11"/>
      <c r="F356" s="11"/>
      <c r="G356" s="11"/>
      <c r="H356" s="10" t="str">
        <f>IF(ISBLANK(F356),"",IF(G356&lt;&gt;"",UPPER(TRIM(G356)),IF(ISNUMBER(SEARCH(" ",TRIM(F356))),UPPER(LEFT(TRIM(RIGHT(SUBSTITUTE(TRIM(F356)," ",REPT(" ",100)),100)),Settings!$B$9)),UPPER(LEFT(TRIM(F356),Settings!$B$9)))))</f>
        <v/>
      </c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0" t="str">
        <f>IF(ISBLANK(D356),"",IF(COUNTIFS(Circulation!$B$2:$B$500,A356,Circulation!$H$2:$H$500,"Active")&gt;0,"On Loan","Available"))</f>
        <v/>
      </c>
      <c r="AA356" s="11"/>
      <c r="AB356" s="11"/>
      <c r="AC356" s="11"/>
      <c r="AD356" s="11"/>
      <c r="AE356" s="11"/>
      <c r="AF356" s="11"/>
      <c r="AG356" s="11"/>
    </row>
    <row r="357" spans="1:33" x14ac:dyDescent="0.25">
      <c r="A357" s="10" t="str">
        <f t="shared" si="10"/>
        <v/>
      </c>
      <c r="B357" s="11"/>
      <c r="C357" s="10" t="str">
        <f t="shared" si="11"/>
        <v/>
      </c>
      <c r="D357" s="11"/>
      <c r="E357" s="11"/>
      <c r="F357" s="11"/>
      <c r="G357" s="11"/>
      <c r="H357" s="10" t="str">
        <f>IF(ISBLANK(F357),"",IF(G357&lt;&gt;"",UPPER(TRIM(G357)),IF(ISNUMBER(SEARCH(" ",TRIM(F357))),UPPER(LEFT(TRIM(RIGHT(SUBSTITUTE(TRIM(F357)," ",REPT(" ",100)),100)),Settings!$B$9)),UPPER(LEFT(TRIM(F357),Settings!$B$9)))))</f>
        <v/>
      </c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0" t="str">
        <f>IF(ISBLANK(D357),"",IF(COUNTIFS(Circulation!$B$2:$B$500,A357,Circulation!$H$2:$H$500,"Active")&gt;0,"On Loan","Available"))</f>
        <v/>
      </c>
      <c r="AA357" s="11"/>
      <c r="AB357" s="11"/>
      <c r="AC357" s="11"/>
      <c r="AD357" s="11"/>
      <c r="AE357" s="11"/>
      <c r="AF357" s="11"/>
      <c r="AG357" s="11"/>
    </row>
    <row r="358" spans="1:33" x14ac:dyDescent="0.25">
      <c r="A358" s="10" t="str">
        <f t="shared" si="10"/>
        <v/>
      </c>
      <c r="B358" s="11"/>
      <c r="C358" s="10" t="str">
        <f t="shared" si="11"/>
        <v/>
      </c>
      <c r="D358" s="11"/>
      <c r="E358" s="11"/>
      <c r="F358" s="11"/>
      <c r="G358" s="11"/>
      <c r="H358" s="10" t="str">
        <f>IF(ISBLANK(F358),"",IF(G358&lt;&gt;"",UPPER(TRIM(G358)),IF(ISNUMBER(SEARCH(" ",TRIM(F358))),UPPER(LEFT(TRIM(RIGHT(SUBSTITUTE(TRIM(F358)," ",REPT(" ",100)),100)),Settings!$B$9)),UPPER(LEFT(TRIM(F358),Settings!$B$9)))))</f>
        <v/>
      </c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0" t="str">
        <f>IF(ISBLANK(D358),"",IF(COUNTIFS(Circulation!$B$2:$B$500,A358,Circulation!$H$2:$H$500,"Active")&gt;0,"On Loan","Available"))</f>
        <v/>
      </c>
      <c r="AA358" s="11"/>
      <c r="AB358" s="11"/>
      <c r="AC358" s="11"/>
      <c r="AD358" s="11"/>
      <c r="AE358" s="11"/>
      <c r="AF358" s="11"/>
      <c r="AG358" s="11"/>
    </row>
    <row r="359" spans="1:33" x14ac:dyDescent="0.25">
      <c r="A359" s="10" t="str">
        <f t="shared" si="10"/>
        <v/>
      </c>
      <c r="B359" s="11"/>
      <c r="C359" s="10" t="str">
        <f t="shared" si="11"/>
        <v/>
      </c>
      <c r="D359" s="11"/>
      <c r="E359" s="11"/>
      <c r="F359" s="11"/>
      <c r="G359" s="11"/>
      <c r="H359" s="10" t="str">
        <f>IF(ISBLANK(F359),"",IF(G359&lt;&gt;"",UPPER(TRIM(G359)),IF(ISNUMBER(SEARCH(" ",TRIM(F359))),UPPER(LEFT(TRIM(RIGHT(SUBSTITUTE(TRIM(F359)," ",REPT(" ",100)),100)),Settings!$B$9)),UPPER(LEFT(TRIM(F359),Settings!$B$9)))))</f>
        <v/>
      </c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0" t="str">
        <f>IF(ISBLANK(D359),"",IF(COUNTIFS(Circulation!$B$2:$B$500,A359,Circulation!$H$2:$H$500,"Active")&gt;0,"On Loan","Available"))</f>
        <v/>
      </c>
      <c r="AA359" s="11"/>
      <c r="AB359" s="11"/>
      <c r="AC359" s="11"/>
      <c r="AD359" s="11"/>
      <c r="AE359" s="11"/>
      <c r="AF359" s="11"/>
      <c r="AG359" s="11"/>
    </row>
    <row r="360" spans="1:33" x14ac:dyDescent="0.25">
      <c r="A360" s="10" t="str">
        <f t="shared" si="10"/>
        <v/>
      </c>
      <c r="B360" s="11"/>
      <c r="C360" s="10" t="str">
        <f t="shared" si="11"/>
        <v/>
      </c>
      <c r="D360" s="11"/>
      <c r="E360" s="11"/>
      <c r="F360" s="11"/>
      <c r="G360" s="11"/>
      <c r="H360" s="10" t="str">
        <f>IF(ISBLANK(F360),"",IF(G360&lt;&gt;"",UPPER(TRIM(G360)),IF(ISNUMBER(SEARCH(" ",TRIM(F360))),UPPER(LEFT(TRIM(RIGHT(SUBSTITUTE(TRIM(F360)," ",REPT(" ",100)),100)),Settings!$B$9)),UPPER(LEFT(TRIM(F360),Settings!$B$9)))))</f>
        <v/>
      </c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0" t="str">
        <f>IF(ISBLANK(D360),"",IF(COUNTIFS(Circulation!$B$2:$B$500,A360,Circulation!$H$2:$H$500,"Active")&gt;0,"On Loan","Available"))</f>
        <v/>
      </c>
      <c r="AA360" s="11"/>
      <c r="AB360" s="11"/>
      <c r="AC360" s="11"/>
      <c r="AD360" s="11"/>
      <c r="AE360" s="11"/>
      <c r="AF360" s="11"/>
      <c r="AG360" s="11"/>
    </row>
    <row r="361" spans="1:33" x14ac:dyDescent="0.25">
      <c r="A361" s="10" t="str">
        <f t="shared" si="10"/>
        <v/>
      </c>
      <c r="B361" s="11"/>
      <c r="C361" s="10" t="str">
        <f t="shared" si="11"/>
        <v/>
      </c>
      <c r="D361" s="11"/>
      <c r="E361" s="11"/>
      <c r="F361" s="11"/>
      <c r="G361" s="11"/>
      <c r="H361" s="10" t="str">
        <f>IF(ISBLANK(F361),"",IF(G361&lt;&gt;"",UPPER(TRIM(G361)),IF(ISNUMBER(SEARCH(" ",TRIM(F361))),UPPER(LEFT(TRIM(RIGHT(SUBSTITUTE(TRIM(F361)," ",REPT(" ",100)),100)),Settings!$B$9)),UPPER(LEFT(TRIM(F361),Settings!$B$9)))))</f>
        <v/>
      </c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0" t="str">
        <f>IF(ISBLANK(D361),"",IF(COUNTIFS(Circulation!$B$2:$B$500,A361,Circulation!$H$2:$H$500,"Active")&gt;0,"On Loan","Available"))</f>
        <v/>
      </c>
      <c r="AA361" s="11"/>
      <c r="AB361" s="11"/>
      <c r="AC361" s="11"/>
      <c r="AD361" s="11"/>
      <c r="AE361" s="11"/>
      <c r="AF361" s="11"/>
      <c r="AG361" s="11"/>
    </row>
    <row r="362" spans="1:33" x14ac:dyDescent="0.25">
      <c r="A362" s="10" t="str">
        <f t="shared" si="10"/>
        <v/>
      </c>
      <c r="B362" s="11"/>
      <c r="C362" s="10" t="str">
        <f t="shared" si="11"/>
        <v/>
      </c>
      <c r="D362" s="11"/>
      <c r="E362" s="11"/>
      <c r="F362" s="11"/>
      <c r="G362" s="11"/>
      <c r="H362" s="10" t="str">
        <f>IF(ISBLANK(F362),"",IF(G362&lt;&gt;"",UPPER(TRIM(G362)),IF(ISNUMBER(SEARCH(" ",TRIM(F362))),UPPER(LEFT(TRIM(RIGHT(SUBSTITUTE(TRIM(F362)," ",REPT(" ",100)),100)),Settings!$B$9)),UPPER(LEFT(TRIM(F362),Settings!$B$9)))))</f>
        <v/>
      </c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0" t="str">
        <f>IF(ISBLANK(D362),"",IF(COUNTIFS(Circulation!$B$2:$B$500,A362,Circulation!$H$2:$H$500,"Active")&gt;0,"On Loan","Available"))</f>
        <v/>
      </c>
      <c r="AA362" s="11"/>
      <c r="AB362" s="11"/>
      <c r="AC362" s="11"/>
      <c r="AD362" s="11"/>
      <c r="AE362" s="11"/>
      <c r="AF362" s="11"/>
      <c r="AG362" s="11"/>
    </row>
    <row r="363" spans="1:33" x14ac:dyDescent="0.25">
      <c r="A363" s="10" t="str">
        <f t="shared" si="10"/>
        <v/>
      </c>
      <c r="B363" s="11"/>
      <c r="C363" s="10" t="str">
        <f t="shared" si="11"/>
        <v/>
      </c>
      <c r="D363" s="11"/>
      <c r="E363" s="11"/>
      <c r="F363" s="11"/>
      <c r="G363" s="11"/>
      <c r="H363" s="10" t="str">
        <f>IF(ISBLANK(F363),"",IF(G363&lt;&gt;"",UPPER(TRIM(G363)),IF(ISNUMBER(SEARCH(" ",TRIM(F363))),UPPER(LEFT(TRIM(RIGHT(SUBSTITUTE(TRIM(F363)," ",REPT(" ",100)),100)),Settings!$B$9)),UPPER(LEFT(TRIM(F363),Settings!$B$9)))))</f>
        <v/>
      </c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0" t="str">
        <f>IF(ISBLANK(D363),"",IF(COUNTIFS(Circulation!$B$2:$B$500,A363,Circulation!$H$2:$H$500,"Active")&gt;0,"On Loan","Available"))</f>
        <v/>
      </c>
      <c r="AA363" s="11"/>
      <c r="AB363" s="11"/>
      <c r="AC363" s="11"/>
      <c r="AD363" s="11"/>
      <c r="AE363" s="11"/>
      <c r="AF363" s="11"/>
      <c r="AG363" s="11"/>
    </row>
    <row r="364" spans="1:33" x14ac:dyDescent="0.25">
      <c r="A364" s="10" t="str">
        <f t="shared" si="10"/>
        <v/>
      </c>
      <c r="B364" s="11"/>
      <c r="C364" s="10" t="str">
        <f t="shared" si="11"/>
        <v/>
      </c>
      <c r="D364" s="11"/>
      <c r="E364" s="11"/>
      <c r="F364" s="11"/>
      <c r="G364" s="11"/>
      <c r="H364" s="10" t="str">
        <f>IF(ISBLANK(F364),"",IF(G364&lt;&gt;"",UPPER(TRIM(G364)),IF(ISNUMBER(SEARCH(" ",TRIM(F364))),UPPER(LEFT(TRIM(RIGHT(SUBSTITUTE(TRIM(F364)," ",REPT(" ",100)),100)),Settings!$B$9)),UPPER(LEFT(TRIM(F364),Settings!$B$9)))))</f>
        <v/>
      </c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0" t="str">
        <f>IF(ISBLANK(D364),"",IF(COUNTIFS(Circulation!$B$2:$B$500,A364,Circulation!$H$2:$H$500,"Active")&gt;0,"On Loan","Available"))</f>
        <v/>
      </c>
      <c r="AA364" s="11"/>
      <c r="AB364" s="11"/>
      <c r="AC364" s="11"/>
      <c r="AD364" s="11"/>
      <c r="AE364" s="11"/>
      <c r="AF364" s="11"/>
      <c r="AG364" s="11"/>
    </row>
    <row r="365" spans="1:33" x14ac:dyDescent="0.25">
      <c r="A365" s="10" t="str">
        <f t="shared" si="10"/>
        <v/>
      </c>
      <c r="B365" s="11"/>
      <c r="C365" s="10" t="str">
        <f t="shared" si="11"/>
        <v/>
      </c>
      <c r="D365" s="11"/>
      <c r="E365" s="11"/>
      <c r="F365" s="11"/>
      <c r="G365" s="11"/>
      <c r="H365" s="10" t="str">
        <f>IF(ISBLANK(F365),"",IF(G365&lt;&gt;"",UPPER(TRIM(G365)),IF(ISNUMBER(SEARCH(" ",TRIM(F365))),UPPER(LEFT(TRIM(RIGHT(SUBSTITUTE(TRIM(F365)," ",REPT(" ",100)),100)),Settings!$B$9)),UPPER(LEFT(TRIM(F365),Settings!$B$9)))))</f>
        <v/>
      </c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0" t="str">
        <f>IF(ISBLANK(D365),"",IF(COUNTIFS(Circulation!$B$2:$B$500,A365,Circulation!$H$2:$H$500,"Active")&gt;0,"On Loan","Available"))</f>
        <v/>
      </c>
      <c r="AA365" s="11"/>
      <c r="AB365" s="11"/>
      <c r="AC365" s="11"/>
      <c r="AD365" s="11"/>
      <c r="AE365" s="11"/>
      <c r="AF365" s="11"/>
      <c r="AG365" s="11"/>
    </row>
    <row r="366" spans="1:33" x14ac:dyDescent="0.25">
      <c r="A366" s="10" t="str">
        <f t="shared" si="10"/>
        <v/>
      </c>
      <c r="B366" s="11"/>
      <c r="C366" s="10" t="str">
        <f t="shared" si="11"/>
        <v/>
      </c>
      <c r="D366" s="11"/>
      <c r="E366" s="11"/>
      <c r="F366" s="11"/>
      <c r="G366" s="11"/>
      <c r="H366" s="10" t="str">
        <f>IF(ISBLANK(F366),"",IF(G366&lt;&gt;"",UPPER(TRIM(G366)),IF(ISNUMBER(SEARCH(" ",TRIM(F366))),UPPER(LEFT(TRIM(RIGHT(SUBSTITUTE(TRIM(F366)," ",REPT(" ",100)),100)),Settings!$B$9)),UPPER(LEFT(TRIM(F366),Settings!$B$9)))))</f>
        <v/>
      </c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0" t="str">
        <f>IF(ISBLANK(D366),"",IF(COUNTIFS(Circulation!$B$2:$B$500,A366,Circulation!$H$2:$H$500,"Active")&gt;0,"On Loan","Available"))</f>
        <v/>
      </c>
      <c r="AA366" s="11"/>
      <c r="AB366" s="11"/>
      <c r="AC366" s="11"/>
      <c r="AD366" s="11"/>
      <c r="AE366" s="11"/>
      <c r="AF366" s="11"/>
      <c r="AG366" s="11"/>
    </row>
    <row r="367" spans="1:33" x14ac:dyDescent="0.25">
      <c r="A367" s="10" t="str">
        <f t="shared" si="10"/>
        <v/>
      </c>
      <c r="B367" s="11"/>
      <c r="C367" s="10" t="str">
        <f t="shared" si="11"/>
        <v/>
      </c>
      <c r="D367" s="11"/>
      <c r="E367" s="11"/>
      <c r="F367" s="11"/>
      <c r="G367" s="11"/>
      <c r="H367" s="10" t="str">
        <f>IF(ISBLANK(F367),"",IF(G367&lt;&gt;"",UPPER(TRIM(G367)),IF(ISNUMBER(SEARCH(" ",TRIM(F367))),UPPER(LEFT(TRIM(RIGHT(SUBSTITUTE(TRIM(F367)," ",REPT(" ",100)),100)),Settings!$B$9)),UPPER(LEFT(TRIM(F367),Settings!$B$9)))))</f>
        <v/>
      </c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0" t="str">
        <f>IF(ISBLANK(D367),"",IF(COUNTIFS(Circulation!$B$2:$B$500,A367,Circulation!$H$2:$H$500,"Active")&gt;0,"On Loan","Available"))</f>
        <v/>
      </c>
      <c r="AA367" s="11"/>
      <c r="AB367" s="11"/>
      <c r="AC367" s="11"/>
      <c r="AD367" s="11"/>
      <c r="AE367" s="11"/>
      <c r="AF367" s="11"/>
      <c r="AG367" s="11"/>
    </row>
    <row r="368" spans="1:33" x14ac:dyDescent="0.25">
      <c r="A368" s="10" t="str">
        <f t="shared" si="10"/>
        <v/>
      </c>
      <c r="B368" s="11"/>
      <c r="C368" s="10" t="str">
        <f t="shared" si="11"/>
        <v/>
      </c>
      <c r="D368" s="11"/>
      <c r="E368" s="11"/>
      <c r="F368" s="11"/>
      <c r="G368" s="11"/>
      <c r="H368" s="10" t="str">
        <f>IF(ISBLANK(F368),"",IF(G368&lt;&gt;"",UPPER(TRIM(G368)),IF(ISNUMBER(SEARCH(" ",TRIM(F368))),UPPER(LEFT(TRIM(RIGHT(SUBSTITUTE(TRIM(F368)," ",REPT(" ",100)),100)),Settings!$B$9)),UPPER(LEFT(TRIM(F368),Settings!$B$9)))))</f>
        <v/>
      </c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0" t="str">
        <f>IF(ISBLANK(D368),"",IF(COUNTIFS(Circulation!$B$2:$B$500,A368,Circulation!$H$2:$H$500,"Active")&gt;0,"On Loan","Available"))</f>
        <v/>
      </c>
      <c r="AA368" s="11"/>
      <c r="AB368" s="11"/>
      <c r="AC368" s="11"/>
      <c r="AD368" s="11"/>
      <c r="AE368" s="11"/>
      <c r="AF368" s="11"/>
      <c r="AG368" s="11"/>
    </row>
    <row r="369" spans="1:33" x14ac:dyDescent="0.25">
      <c r="A369" s="10" t="str">
        <f t="shared" si="10"/>
        <v/>
      </c>
      <c r="B369" s="11"/>
      <c r="C369" s="10" t="str">
        <f t="shared" si="11"/>
        <v/>
      </c>
      <c r="D369" s="11"/>
      <c r="E369" s="11"/>
      <c r="F369" s="11"/>
      <c r="G369" s="11"/>
      <c r="H369" s="10" t="str">
        <f>IF(ISBLANK(F369),"",IF(G369&lt;&gt;"",UPPER(TRIM(G369)),IF(ISNUMBER(SEARCH(" ",TRIM(F369))),UPPER(LEFT(TRIM(RIGHT(SUBSTITUTE(TRIM(F369)," ",REPT(" ",100)),100)),Settings!$B$9)),UPPER(LEFT(TRIM(F369),Settings!$B$9)))))</f>
        <v/>
      </c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0" t="str">
        <f>IF(ISBLANK(D369),"",IF(COUNTIFS(Circulation!$B$2:$B$500,A369,Circulation!$H$2:$H$500,"Active")&gt;0,"On Loan","Available"))</f>
        <v/>
      </c>
      <c r="AA369" s="11"/>
      <c r="AB369" s="11"/>
      <c r="AC369" s="11"/>
      <c r="AD369" s="11"/>
      <c r="AE369" s="11"/>
      <c r="AF369" s="11"/>
      <c r="AG369" s="11"/>
    </row>
    <row r="370" spans="1:33" x14ac:dyDescent="0.25">
      <c r="A370" s="10" t="str">
        <f t="shared" si="10"/>
        <v/>
      </c>
      <c r="B370" s="11"/>
      <c r="C370" s="10" t="str">
        <f t="shared" si="11"/>
        <v/>
      </c>
      <c r="D370" s="11"/>
      <c r="E370" s="11"/>
      <c r="F370" s="11"/>
      <c r="G370" s="11"/>
      <c r="H370" s="10" t="str">
        <f>IF(ISBLANK(F370),"",IF(G370&lt;&gt;"",UPPER(TRIM(G370)),IF(ISNUMBER(SEARCH(" ",TRIM(F370))),UPPER(LEFT(TRIM(RIGHT(SUBSTITUTE(TRIM(F370)," ",REPT(" ",100)),100)),Settings!$B$9)),UPPER(LEFT(TRIM(F370),Settings!$B$9)))))</f>
        <v/>
      </c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0" t="str">
        <f>IF(ISBLANK(D370),"",IF(COUNTIFS(Circulation!$B$2:$B$500,A370,Circulation!$H$2:$H$500,"Active")&gt;0,"On Loan","Available"))</f>
        <v/>
      </c>
      <c r="AA370" s="11"/>
      <c r="AB370" s="11"/>
      <c r="AC370" s="11"/>
      <c r="AD370" s="11"/>
      <c r="AE370" s="11"/>
      <c r="AF370" s="11"/>
      <c r="AG370" s="11"/>
    </row>
    <row r="371" spans="1:33" x14ac:dyDescent="0.25">
      <c r="A371" s="10" t="str">
        <f t="shared" si="10"/>
        <v/>
      </c>
      <c r="B371" s="11"/>
      <c r="C371" s="10" t="str">
        <f t="shared" si="11"/>
        <v/>
      </c>
      <c r="D371" s="11"/>
      <c r="E371" s="11"/>
      <c r="F371" s="11"/>
      <c r="G371" s="11"/>
      <c r="H371" s="10" t="str">
        <f>IF(ISBLANK(F371),"",IF(G371&lt;&gt;"",UPPER(TRIM(G371)),IF(ISNUMBER(SEARCH(" ",TRIM(F371))),UPPER(LEFT(TRIM(RIGHT(SUBSTITUTE(TRIM(F371)," ",REPT(" ",100)),100)),Settings!$B$9)),UPPER(LEFT(TRIM(F371),Settings!$B$9)))))</f>
        <v/>
      </c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0" t="str">
        <f>IF(ISBLANK(D371),"",IF(COUNTIFS(Circulation!$B$2:$B$500,A371,Circulation!$H$2:$H$500,"Active")&gt;0,"On Loan","Available"))</f>
        <v/>
      </c>
      <c r="AA371" s="11"/>
      <c r="AB371" s="11"/>
      <c r="AC371" s="11"/>
      <c r="AD371" s="11"/>
      <c r="AE371" s="11"/>
      <c r="AF371" s="11"/>
      <c r="AG371" s="11"/>
    </row>
    <row r="372" spans="1:33" x14ac:dyDescent="0.25">
      <c r="A372" s="10" t="str">
        <f t="shared" si="10"/>
        <v/>
      </c>
      <c r="B372" s="11"/>
      <c r="C372" s="10" t="str">
        <f t="shared" si="11"/>
        <v/>
      </c>
      <c r="D372" s="11"/>
      <c r="E372" s="11"/>
      <c r="F372" s="11"/>
      <c r="G372" s="11"/>
      <c r="H372" s="10" t="str">
        <f>IF(ISBLANK(F372),"",IF(G372&lt;&gt;"",UPPER(TRIM(G372)),IF(ISNUMBER(SEARCH(" ",TRIM(F372))),UPPER(LEFT(TRIM(RIGHT(SUBSTITUTE(TRIM(F372)," ",REPT(" ",100)),100)),Settings!$B$9)),UPPER(LEFT(TRIM(F372),Settings!$B$9)))))</f>
        <v/>
      </c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0" t="str">
        <f>IF(ISBLANK(D372),"",IF(COUNTIFS(Circulation!$B$2:$B$500,A372,Circulation!$H$2:$H$500,"Active")&gt;0,"On Loan","Available"))</f>
        <v/>
      </c>
      <c r="AA372" s="11"/>
      <c r="AB372" s="11"/>
      <c r="AC372" s="11"/>
      <c r="AD372" s="11"/>
      <c r="AE372" s="11"/>
      <c r="AF372" s="11"/>
      <c r="AG372" s="11"/>
    </row>
    <row r="373" spans="1:33" x14ac:dyDescent="0.25">
      <c r="A373" s="10" t="str">
        <f t="shared" si="10"/>
        <v/>
      </c>
      <c r="B373" s="11"/>
      <c r="C373" s="10" t="str">
        <f t="shared" si="11"/>
        <v/>
      </c>
      <c r="D373" s="11"/>
      <c r="E373" s="11"/>
      <c r="F373" s="11"/>
      <c r="G373" s="11"/>
      <c r="H373" s="10" t="str">
        <f>IF(ISBLANK(F373),"",IF(G373&lt;&gt;"",UPPER(TRIM(G373)),IF(ISNUMBER(SEARCH(" ",TRIM(F373))),UPPER(LEFT(TRIM(RIGHT(SUBSTITUTE(TRIM(F373)," ",REPT(" ",100)),100)),Settings!$B$9)),UPPER(LEFT(TRIM(F373),Settings!$B$9)))))</f>
        <v/>
      </c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0" t="str">
        <f>IF(ISBLANK(D373),"",IF(COUNTIFS(Circulation!$B$2:$B$500,A373,Circulation!$H$2:$H$500,"Active")&gt;0,"On Loan","Available"))</f>
        <v/>
      </c>
      <c r="AA373" s="11"/>
      <c r="AB373" s="11"/>
      <c r="AC373" s="11"/>
      <c r="AD373" s="11"/>
      <c r="AE373" s="11"/>
      <c r="AF373" s="11"/>
      <c r="AG373" s="11"/>
    </row>
    <row r="374" spans="1:33" x14ac:dyDescent="0.25">
      <c r="A374" s="10" t="str">
        <f t="shared" si="10"/>
        <v/>
      </c>
      <c r="B374" s="11"/>
      <c r="C374" s="10" t="str">
        <f t="shared" si="11"/>
        <v/>
      </c>
      <c r="D374" s="11"/>
      <c r="E374" s="11"/>
      <c r="F374" s="11"/>
      <c r="G374" s="11"/>
      <c r="H374" s="10" t="str">
        <f>IF(ISBLANK(F374),"",IF(G374&lt;&gt;"",UPPER(TRIM(G374)),IF(ISNUMBER(SEARCH(" ",TRIM(F374))),UPPER(LEFT(TRIM(RIGHT(SUBSTITUTE(TRIM(F374)," ",REPT(" ",100)),100)),Settings!$B$9)),UPPER(LEFT(TRIM(F374),Settings!$B$9)))))</f>
        <v/>
      </c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0" t="str">
        <f>IF(ISBLANK(D374),"",IF(COUNTIFS(Circulation!$B$2:$B$500,A374,Circulation!$H$2:$H$500,"Active")&gt;0,"On Loan","Available"))</f>
        <v/>
      </c>
      <c r="AA374" s="11"/>
      <c r="AB374" s="11"/>
      <c r="AC374" s="11"/>
      <c r="AD374" s="11"/>
      <c r="AE374" s="11"/>
      <c r="AF374" s="11"/>
      <c r="AG374" s="11"/>
    </row>
    <row r="375" spans="1:33" x14ac:dyDescent="0.25">
      <c r="A375" s="10" t="str">
        <f t="shared" si="10"/>
        <v/>
      </c>
      <c r="B375" s="11"/>
      <c r="C375" s="10" t="str">
        <f t="shared" si="11"/>
        <v/>
      </c>
      <c r="D375" s="11"/>
      <c r="E375" s="11"/>
      <c r="F375" s="11"/>
      <c r="G375" s="11"/>
      <c r="H375" s="10" t="str">
        <f>IF(ISBLANK(F375),"",IF(G375&lt;&gt;"",UPPER(TRIM(G375)),IF(ISNUMBER(SEARCH(" ",TRIM(F375))),UPPER(LEFT(TRIM(RIGHT(SUBSTITUTE(TRIM(F375)," ",REPT(" ",100)),100)),Settings!$B$9)),UPPER(LEFT(TRIM(F375),Settings!$B$9)))))</f>
        <v/>
      </c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0" t="str">
        <f>IF(ISBLANK(D375),"",IF(COUNTIFS(Circulation!$B$2:$B$500,A375,Circulation!$H$2:$H$500,"Active")&gt;0,"On Loan","Available"))</f>
        <v/>
      </c>
      <c r="AA375" s="11"/>
      <c r="AB375" s="11"/>
      <c r="AC375" s="11"/>
      <c r="AD375" s="11"/>
      <c r="AE375" s="11"/>
      <c r="AF375" s="11"/>
      <c r="AG375" s="11"/>
    </row>
    <row r="376" spans="1:33" x14ac:dyDescent="0.25">
      <c r="A376" s="10" t="str">
        <f t="shared" si="10"/>
        <v/>
      </c>
      <c r="B376" s="11"/>
      <c r="C376" s="10" t="str">
        <f t="shared" si="11"/>
        <v/>
      </c>
      <c r="D376" s="11"/>
      <c r="E376" s="11"/>
      <c r="F376" s="11"/>
      <c r="G376" s="11"/>
      <c r="H376" s="10" t="str">
        <f>IF(ISBLANK(F376),"",IF(G376&lt;&gt;"",UPPER(TRIM(G376)),IF(ISNUMBER(SEARCH(" ",TRIM(F376))),UPPER(LEFT(TRIM(RIGHT(SUBSTITUTE(TRIM(F376)," ",REPT(" ",100)),100)),Settings!$B$9)),UPPER(LEFT(TRIM(F376),Settings!$B$9)))))</f>
        <v/>
      </c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0" t="str">
        <f>IF(ISBLANK(D376),"",IF(COUNTIFS(Circulation!$B$2:$B$500,A376,Circulation!$H$2:$H$500,"Active")&gt;0,"On Loan","Available"))</f>
        <v/>
      </c>
      <c r="AA376" s="11"/>
      <c r="AB376" s="11"/>
      <c r="AC376" s="11"/>
      <c r="AD376" s="11"/>
      <c r="AE376" s="11"/>
      <c r="AF376" s="11"/>
      <c r="AG376" s="11"/>
    </row>
    <row r="377" spans="1:33" x14ac:dyDescent="0.25">
      <c r="A377" s="10" t="str">
        <f t="shared" si="10"/>
        <v/>
      </c>
      <c r="B377" s="11"/>
      <c r="C377" s="10" t="str">
        <f t="shared" si="11"/>
        <v/>
      </c>
      <c r="D377" s="11"/>
      <c r="E377" s="11"/>
      <c r="F377" s="11"/>
      <c r="G377" s="11"/>
      <c r="H377" s="10" t="str">
        <f>IF(ISBLANK(F377),"",IF(G377&lt;&gt;"",UPPER(TRIM(G377)),IF(ISNUMBER(SEARCH(" ",TRIM(F377))),UPPER(LEFT(TRIM(RIGHT(SUBSTITUTE(TRIM(F377)," ",REPT(" ",100)),100)),Settings!$B$9)),UPPER(LEFT(TRIM(F377),Settings!$B$9)))))</f>
        <v/>
      </c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0" t="str">
        <f>IF(ISBLANK(D377),"",IF(COUNTIFS(Circulation!$B$2:$B$500,A377,Circulation!$H$2:$H$500,"Active")&gt;0,"On Loan","Available"))</f>
        <v/>
      </c>
      <c r="AA377" s="11"/>
      <c r="AB377" s="11"/>
      <c r="AC377" s="11"/>
      <c r="AD377" s="11"/>
      <c r="AE377" s="11"/>
      <c r="AF377" s="11"/>
      <c r="AG377" s="11"/>
    </row>
    <row r="378" spans="1:33" x14ac:dyDescent="0.25">
      <c r="A378" s="10" t="str">
        <f t="shared" si="10"/>
        <v/>
      </c>
      <c r="B378" s="11"/>
      <c r="C378" s="10" t="str">
        <f t="shared" si="11"/>
        <v/>
      </c>
      <c r="D378" s="11"/>
      <c r="E378" s="11"/>
      <c r="F378" s="11"/>
      <c r="G378" s="11"/>
      <c r="H378" s="10" t="str">
        <f>IF(ISBLANK(F378),"",IF(G378&lt;&gt;"",UPPER(TRIM(G378)),IF(ISNUMBER(SEARCH(" ",TRIM(F378))),UPPER(LEFT(TRIM(RIGHT(SUBSTITUTE(TRIM(F378)," ",REPT(" ",100)),100)),Settings!$B$9)),UPPER(LEFT(TRIM(F378),Settings!$B$9)))))</f>
        <v/>
      </c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0" t="str">
        <f>IF(ISBLANK(D378),"",IF(COUNTIFS(Circulation!$B$2:$B$500,A378,Circulation!$H$2:$H$500,"Active")&gt;0,"On Loan","Available"))</f>
        <v/>
      </c>
      <c r="AA378" s="11"/>
      <c r="AB378" s="11"/>
      <c r="AC378" s="11"/>
      <c r="AD378" s="11"/>
      <c r="AE378" s="11"/>
      <c r="AF378" s="11"/>
      <c r="AG378" s="11"/>
    </row>
    <row r="379" spans="1:33" x14ac:dyDescent="0.25">
      <c r="A379" s="10" t="str">
        <f t="shared" si="10"/>
        <v/>
      </c>
      <c r="B379" s="11"/>
      <c r="C379" s="10" t="str">
        <f t="shared" si="11"/>
        <v/>
      </c>
      <c r="D379" s="11"/>
      <c r="E379" s="11"/>
      <c r="F379" s="11"/>
      <c r="G379" s="11"/>
      <c r="H379" s="10" t="str">
        <f>IF(ISBLANK(F379),"",IF(G379&lt;&gt;"",UPPER(TRIM(G379)),IF(ISNUMBER(SEARCH(" ",TRIM(F379))),UPPER(LEFT(TRIM(RIGHT(SUBSTITUTE(TRIM(F379)," ",REPT(" ",100)),100)),Settings!$B$9)),UPPER(LEFT(TRIM(F379),Settings!$B$9)))))</f>
        <v/>
      </c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0" t="str">
        <f>IF(ISBLANK(D379),"",IF(COUNTIFS(Circulation!$B$2:$B$500,A379,Circulation!$H$2:$H$500,"Active")&gt;0,"On Loan","Available"))</f>
        <v/>
      </c>
      <c r="AA379" s="11"/>
      <c r="AB379" s="11"/>
      <c r="AC379" s="11"/>
      <c r="AD379" s="11"/>
      <c r="AE379" s="11"/>
      <c r="AF379" s="11"/>
      <c r="AG379" s="11"/>
    </row>
    <row r="380" spans="1:33" x14ac:dyDescent="0.25">
      <c r="A380" s="10" t="str">
        <f t="shared" si="10"/>
        <v/>
      </c>
      <c r="B380" s="11"/>
      <c r="C380" s="10" t="str">
        <f t="shared" si="11"/>
        <v/>
      </c>
      <c r="D380" s="11"/>
      <c r="E380" s="11"/>
      <c r="F380" s="11"/>
      <c r="G380" s="11"/>
      <c r="H380" s="10" t="str">
        <f>IF(ISBLANK(F380),"",IF(G380&lt;&gt;"",UPPER(TRIM(G380)),IF(ISNUMBER(SEARCH(" ",TRIM(F380))),UPPER(LEFT(TRIM(RIGHT(SUBSTITUTE(TRIM(F380)," ",REPT(" ",100)),100)),Settings!$B$9)),UPPER(LEFT(TRIM(F380),Settings!$B$9)))))</f>
        <v/>
      </c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0" t="str">
        <f>IF(ISBLANK(D380),"",IF(COUNTIFS(Circulation!$B$2:$B$500,A380,Circulation!$H$2:$H$500,"Active")&gt;0,"On Loan","Available"))</f>
        <v/>
      </c>
      <c r="AA380" s="11"/>
      <c r="AB380" s="11"/>
      <c r="AC380" s="11"/>
      <c r="AD380" s="11"/>
      <c r="AE380" s="11"/>
      <c r="AF380" s="11"/>
      <c r="AG380" s="11"/>
    </row>
    <row r="381" spans="1:33" x14ac:dyDescent="0.25">
      <c r="A381" s="10" t="str">
        <f t="shared" si="10"/>
        <v/>
      </c>
      <c r="B381" s="11"/>
      <c r="C381" s="10" t="str">
        <f t="shared" si="11"/>
        <v/>
      </c>
      <c r="D381" s="11"/>
      <c r="E381" s="11"/>
      <c r="F381" s="11"/>
      <c r="G381" s="11"/>
      <c r="H381" s="10" t="str">
        <f>IF(ISBLANK(F381),"",IF(G381&lt;&gt;"",UPPER(TRIM(G381)),IF(ISNUMBER(SEARCH(" ",TRIM(F381))),UPPER(LEFT(TRIM(RIGHT(SUBSTITUTE(TRIM(F381)," ",REPT(" ",100)),100)),Settings!$B$9)),UPPER(LEFT(TRIM(F381),Settings!$B$9)))))</f>
        <v/>
      </c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0" t="str">
        <f>IF(ISBLANK(D381),"",IF(COUNTIFS(Circulation!$B$2:$B$500,A381,Circulation!$H$2:$H$500,"Active")&gt;0,"On Loan","Available"))</f>
        <v/>
      </c>
      <c r="AA381" s="11"/>
      <c r="AB381" s="11"/>
      <c r="AC381" s="11"/>
      <c r="AD381" s="11"/>
      <c r="AE381" s="11"/>
      <c r="AF381" s="11"/>
      <c r="AG381" s="11"/>
    </row>
    <row r="382" spans="1:33" x14ac:dyDescent="0.25">
      <c r="A382" s="10" t="str">
        <f t="shared" si="10"/>
        <v/>
      </c>
      <c r="B382" s="11"/>
      <c r="C382" s="10" t="str">
        <f t="shared" si="11"/>
        <v/>
      </c>
      <c r="D382" s="11"/>
      <c r="E382" s="11"/>
      <c r="F382" s="11"/>
      <c r="G382" s="11"/>
      <c r="H382" s="10" t="str">
        <f>IF(ISBLANK(F382),"",IF(G382&lt;&gt;"",UPPER(TRIM(G382)),IF(ISNUMBER(SEARCH(" ",TRIM(F382))),UPPER(LEFT(TRIM(RIGHT(SUBSTITUTE(TRIM(F382)," ",REPT(" ",100)),100)),Settings!$B$9)),UPPER(LEFT(TRIM(F382),Settings!$B$9)))))</f>
        <v/>
      </c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0" t="str">
        <f>IF(ISBLANK(D382),"",IF(COUNTIFS(Circulation!$B$2:$B$500,A382,Circulation!$H$2:$H$500,"Active")&gt;0,"On Loan","Available"))</f>
        <v/>
      </c>
      <c r="AA382" s="11"/>
      <c r="AB382" s="11"/>
      <c r="AC382" s="11"/>
      <c r="AD382" s="11"/>
      <c r="AE382" s="11"/>
      <c r="AF382" s="11"/>
      <c r="AG382" s="11"/>
    </row>
    <row r="383" spans="1:33" x14ac:dyDescent="0.25">
      <c r="A383" s="10" t="str">
        <f t="shared" si="10"/>
        <v/>
      </c>
      <c r="B383" s="11"/>
      <c r="C383" s="10" t="str">
        <f t="shared" si="11"/>
        <v/>
      </c>
      <c r="D383" s="11"/>
      <c r="E383" s="11"/>
      <c r="F383" s="11"/>
      <c r="G383" s="11"/>
      <c r="H383" s="10" t="str">
        <f>IF(ISBLANK(F383),"",IF(G383&lt;&gt;"",UPPER(TRIM(G383)),IF(ISNUMBER(SEARCH(" ",TRIM(F383))),UPPER(LEFT(TRIM(RIGHT(SUBSTITUTE(TRIM(F383)," ",REPT(" ",100)),100)),Settings!$B$9)),UPPER(LEFT(TRIM(F383),Settings!$B$9)))))</f>
        <v/>
      </c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0" t="str">
        <f>IF(ISBLANK(D383),"",IF(COUNTIFS(Circulation!$B$2:$B$500,A383,Circulation!$H$2:$H$500,"Active")&gt;0,"On Loan","Available"))</f>
        <v/>
      </c>
      <c r="AA383" s="11"/>
      <c r="AB383" s="11"/>
      <c r="AC383" s="11"/>
      <c r="AD383" s="11"/>
      <c r="AE383" s="11"/>
      <c r="AF383" s="11"/>
      <c r="AG383" s="11"/>
    </row>
    <row r="384" spans="1:33" x14ac:dyDescent="0.25">
      <c r="A384" s="10" t="str">
        <f t="shared" si="10"/>
        <v/>
      </c>
      <c r="B384" s="11"/>
      <c r="C384" s="10" t="str">
        <f t="shared" si="11"/>
        <v/>
      </c>
      <c r="D384" s="11"/>
      <c r="E384" s="11"/>
      <c r="F384" s="11"/>
      <c r="G384" s="11"/>
      <c r="H384" s="10" t="str">
        <f>IF(ISBLANK(F384),"",IF(G384&lt;&gt;"",UPPER(TRIM(G384)),IF(ISNUMBER(SEARCH(" ",TRIM(F384))),UPPER(LEFT(TRIM(RIGHT(SUBSTITUTE(TRIM(F384)," ",REPT(" ",100)),100)),Settings!$B$9)),UPPER(LEFT(TRIM(F384),Settings!$B$9)))))</f>
        <v/>
      </c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0" t="str">
        <f>IF(ISBLANK(D384),"",IF(COUNTIFS(Circulation!$B$2:$B$500,A384,Circulation!$H$2:$H$500,"Active")&gt;0,"On Loan","Available"))</f>
        <v/>
      </c>
      <c r="AA384" s="11"/>
      <c r="AB384" s="11"/>
      <c r="AC384" s="11"/>
      <c r="AD384" s="11"/>
      <c r="AE384" s="11"/>
      <c r="AF384" s="11"/>
      <c r="AG384" s="11"/>
    </row>
    <row r="385" spans="1:33" x14ac:dyDescent="0.25">
      <c r="A385" s="10" t="str">
        <f t="shared" si="10"/>
        <v/>
      </c>
      <c r="B385" s="11"/>
      <c r="C385" s="10" t="str">
        <f t="shared" si="11"/>
        <v/>
      </c>
      <c r="D385" s="11"/>
      <c r="E385" s="11"/>
      <c r="F385" s="11"/>
      <c r="G385" s="11"/>
      <c r="H385" s="10" t="str">
        <f>IF(ISBLANK(F385),"",IF(G385&lt;&gt;"",UPPER(TRIM(G385)),IF(ISNUMBER(SEARCH(" ",TRIM(F385))),UPPER(LEFT(TRIM(RIGHT(SUBSTITUTE(TRIM(F385)," ",REPT(" ",100)),100)),Settings!$B$9)),UPPER(LEFT(TRIM(F385),Settings!$B$9)))))</f>
        <v/>
      </c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0" t="str">
        <f>IF(ISBLANK(D385),"",IF(COUNTIFS(Circulation!$B$2:$B$500,A385,Circulation!$H$2:$H$500,"Active")&gt;0,"On Loan","Available"))</f>
        <v/>
      </c>
      <c r="AA385" s="11"/>
      <c r="AB385" s="11"/>
      <c r="AC385" s="11"/>
      <c r="AD385" s="11"/>
      <c r="AE385" s="11"/>
      <c r="AF385" s="11"/>
      <c r="AG385" s="11"/>
    </row>
    <row r="386" spans="1:33" x14ac:dyDescent="0.25">
      <c r="A386" s="10" t="str">
        <f t="shared" ref="A386:A449" si="12">IF(ISBLANK(D386),"",ROW()-1)</f>
        <v/>
      </c>
      <c r="B386" s="11"/>
      <c r="C386" s="10" t="str">
        <f t="shared" ref="C386:C449" si="13">IF(ISBLANK(D386),"",MID(K386,SEARCH("(",K386)+1,SEARCH(")",K386)-SEARCH("(",K386)-1)&amp;"-"&amp;MID(L386,SEARCH("(",L386)+1,SEARCH(")",L386)-SEARCH("(",L386)-1)&amp;"-"&amp;H386&amp;"-"&amp;TEXT(A386,"000")&amp;IF(ISBLANK(N386),"","-"&amp;SUBSTITUTE(N386," ","")))</f>
        <v/>
      </c>
      <c r="D386" s="11"/>
      <c r="E386" s="11"/>
      <c r="F386" s="11"/>
      <c r="G386" s="11"/>
      <c r="H386" s="10" t="str">
        <f>IF(ISBLANK(F386),"",IF(G386&lt;&gt;"",UPPER(TRIM(G386)),IF(ISNUMBER(SEARCH(" ",TRIM(F386))),UPPER(LEFT(TRIM(RIGHT(SUBSTITUTE(TRIM(F386)," ",REPT(" ",100)),100)),Settings!$B$9)),UPPER(LEFT(TRIM(F386),Settings!$B$9)))))</f>
        <v/>
      </c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0" t="str">
        <f>IF(ISBLANK(D386),"",IF(COUNTIFS(Circulation!$B$2:$B$500,A386,Circulation!$H$2:$H$500,"Active")&gt;0,"On Loan","Available"))</f>
        <v/>
      </c>
      <c r="AA386" s="11"/>
      <c r="AB386" s="11"/>
      <c r="AC386" s="11"/>
      <c r="AD386" s="11"/>
      <c r="AE386" s="11"/>
      <c r="AF386" s="11"/>
      <c r="AG386" s="11"/>
    </row>
    <row r="387" spans="1:33" x14ac:dyDescent="0.25">
      <c r="A387" s="10" t="str">
        <f t="shared" si="12"/>
        <v/>
      </c>
      <c r="B387" s="11"/>
      <c r="C387" s="10" t="str">
        <f t="shared" si="13"/>
        <v/>
      </c>
      <c r="D387" s="11"/>
      <c r="E387" s="11"/>
      <c r="F387" s="11"/>
      <c r="G387" s="11"/>
      <c r="H387" s="10" t="str">
        <f>IF(ISBLANK(F387),"",IF(G387&lt;&gt;"",UPPER(TRIM(G387)),IF(ISNUMBER(SEARCH(" ",TRIM(F387))),UPPER(LEFT(TRIM(RIGHT(SUBSTITUTE(TRIM(F387)," ",REPT(" ",100)),100)),Settings!$B$9)),UPPER(LEFT(TRIM(F387),Settings!$B$9)))))</f>
        <v/>
      </c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0" t="str">
        <f>IF(ISBLANK(D387),"",IF(COUNTIFS(Circulation!$B$2:$B$500,A387,Circulation!$H$2:$H$500,"Active")&gt;0,"On Loan","Available"))</f>
        <v/>
      </c>
      <c r="AA387" s="11"/>
      <c r="AB387" s="11"/>
      <c r="AC387" s="11"/>
      <c r="AD387" s="11"/>
      <c r="AE387" s="11"/>
      <c r="AF387" s="11"/>
      <c r="AG387" s="11"/>
    </row>
    <row r="388" spans="1:33" x14ac:dyDescent="0.25">
      <c r="A388" s="10" t="str">
        <f t="shared" si="12"/>
        <v/>
      </c>
      <c r="B388" s="11"/>
      <c r="C388" s="10" t="str">
        <f t="shared" si="13"/>
        <v/>
      </c>
      <c r="D388" s="11"/>
      <c r="E388" s="11"/>
      <c r="F388" s="11"/>
      <c r="G388" s="11"/>
      <c r="H388" s="10" t="str">
        <f>IF(ISBLANK(F388),"",IF(G388&lt;&gt;"",UPPER(TRIM(G388)),IF(ISNUMBER(SEARCH(" ",TRIM(F388))),UPPER(LEFT(TRIM(RIGHT(SUBSTITUTE(TRIM(F388)," ",REPT(" ",100)),100)),Settings!$B$9)),UPPER(LEFT(TRIM(F388),Settings!$B$9)))))</f>
        <v/>
      </c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0" t="str">
        <f>IF(ISBLANK(D388),"",IF(COUNTIFS(Circulation!$B$2:$B$500,A388,Circulation!$H$2:$H$500,"Active")&gt;0,"On Loan","Available"))</f>
        <v/>
      </c>
      <c r="AA388" s="11"/>
      <c r="AB388" s="11"/>
      <c r="AC388" s="11"/>
      <c r="AD388" s="11"/>
      <c r="AE388" s="11"/>
      <c r="AF388" s="11"/>
      <c r="AG388" s="11"/>
    </row>
    <row r="389" spans="1:33" x14ac:dyDescent="0.25">
      <c r="A389" s="10" t="str">
        <f t="shared" si="12"/>
        <v/>
      </c>
      <c r="B389" s="11"/>
      <c r="C389" s="10" t="str">
        <f t="shared" si="13"/>
        <v/>
      </c>
      <c r="D389" s="11"/>
      <c r="E389" s="11"/>
      <c r="F389" s="11"/>
      <c r="G389" s="11"/>
      <c r="H389" s="10" t="str">
        <f>IF(ISBLANK(F389),"",IF(G389&lt;&gt;"",UPPER(TRIM(G389)),IF(ISNUMBER(SEARCH(" ",TRIM(F389))),UPPER(LEFT(TRIM(RIGHT(SUBSTITUTE(TRIM(F389)," ",REPT(" ",100)),100)),Settings!$B$9)),UPPER(LEFT(TRIM(F389),Settings!$B$9)))))</f>
        <v/>
      </c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0" t="str">
        <f>IF(ISBLANK(D389),"",IF(COUNTIFS(Circulation!$B$2:$B$500,A389,Circulation!$H$2:$H$500,"Active")&gt;0,"On Loan","Available"))</f>
        <v/>
      </c>
      <c r="AA389" s="11"/>
      <c r="AB389" s="11"/>
      <c r="AC389" s="11"/>
      <c r="AD389" s="11"/>
      <c r="AE389" s="11"/>
      <c r="AF389" s="11"/>
      <c r="AG389" s="11"/>
    </row>
    <row r="390" spans="1:33" x14ac:dyDescent="0.25">
      <c r="A390" s="10" t="str">
        <f t="shared" si="12"/>
        <v/>
      </c>
      <c r="B390" s="11"/>
      <c r="C390" s="10" t="str">
        <f t="shared" si="13"/>
        <v/>
      </c>
      <c r="D390" s="11"/>
      <c r="E390" s="11"/>
      <c r="F390" s="11"/>
      <c r="G390" s="11"/>
      <c r="H390" s="10" t="str">
        <f>IF(ISBLANK(F390),"",IF(G390&lt;&gt;"",UPPER(TRIM(G390)),IF(ISNUMBER(SEARCH(" ",TRIM(F390))),UPPER(LEFT(TRIM(RIGHT(SUBSTITUTE(TRIM(F390)," ",REPT(" ",100)),100)),Settings!$B$9)),UPPER(LEFT(TRIM(F390),Settings!$B$9)))))</f>
        <v/>
      </c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0" t="str">
        <f>IF(ISBLANK(D390),"",IF(COUNTIFS(Circulation!$B$2:$B$500,A390,Circulation!$H$2:$H$500,"Active")&gt;0,"On Loan","Available"))</f>
        <v/>
      </c>
      <c r="AA390" s="11"/>
      <c r="AB390" s="11"/>
      <c r="AC390" s="11"/>
      <c r="AD390" s="11"/>
      <c r="AE390" s="11"/>
      <c r="AF390" s="11"/>
      <c r="AG390" s="11"/>
    </row>
    <row r="391" spans="1:33" x14ac:dyDescent="0.25">
      <c r="A391" s="10" t="str">
        <f t="shared" si="12"/>
        <v/>
      </c>
      <c r="B391" s="11"/>
      <c r="C391" s="10" t="str">
        <f t="shared" si="13"/>
        <v/>
      </c>
      <c r="D391" s="11"/>
      <c r="E391" s="11"/>
      <c r="F391" s="11"/>
      <c r="G391" s="11"/>
      <c r="H391" s="10" t="str">
        <f>IF(ISBLANK(F391),"",IF(G391&lt;&gt;"",UPPER(TRIM(G391)),IF(ISNUMBER(SEARCH(" ",TRIM(F391))),UPPER(LEFT(TRIM(RIGHT(SUBSTITUTE(TRIM(F391)," ",REPT(" ",100)),100)),Settings!$B$9)),UPPER(LEFT(TRIM(F391),Settings!$B$9)))))</f>
        <v/>
      </c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0" t="str">
        <f>IF(ISBLANK(D391),"",IF(COUNTIFS(Circulation!$B$2:$B$500,A391,Circulation!$H$2:$H$500,"Active")&gt;0,"On Loan","Available"))</f>
        <v/>
      </c>
      <c r="AA391" s="11"/>
      <c r="AB391" s="11"/>
      <c r="AC391" s="11"/>
      <c r="AD391" s="11"/>
      <c r="AE391" s="11"/>
      <c r="AF391" s="11"/>
      <c r="AG391" s="11"/>
    </row>
    <row r="392" spans="1:33" x14ac:dyDescent="0.25">
      <c r="A392" s="10" t="str">
        <f t="shared" si="12"/>
        <v/>
      </c>
      <c r="B392" s="11"/>
      <c r="C392" s="10" t="str">
        <f t="shared" si="13"/>
        <v/>
      </c>
      <c r="D392" s="11"/>
      <c r="E392" s="11"/>
      <c r="F392" s="11"/>
      <c r="G392" s="11"/>
      <c r="H392" s="10" t="str">
        <f>IF(ISBLANK(F392),"",IF(G392&lt;&gt;"",UPPER(TRIM(G392)),IF(ISNUMBER(SEARCH(" ",TRIM(F392))),UPPER(LEFT(TRIM(RIGHT(SUBSTITUTE(TRIM(F392)," ",REPT(" ",100)),100)),Settings!$B$9)),UPPER(LEFT(TRIM(F392),Settings!$B$9)))))</f>
        <v/>
      </c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0" t="str">
        <f>IF(ISBLANK(D392),"",IF(COUNTIFS(Circulation!$B$2:$B$500,A392,Circulation!$H$2:$H$500,"Active")&gt;0,"On Loan","Available"))</f>
        <v/>
      </c>
      <c r="AA392" s="11"/>
      <c r="AB392" s="11"/>
      <c r="AC392" s="11"/>
      <c r="AD392" s="11"/>
      <c r="AE392" s="11"/>
      <c r="AF392" s="11"/>
      <c r="AG392" s="11"/>
    </row>
    <row r="393" spans="1:33" x14ac:dyDescent="0.25">
      <c r="A393" s="10" t="str">
        <f t="shared" si="12"/>
        <v/>
      </c>
      <c r="B393" s="11"/>
      <c r="C393" s="10" t="str">
        <f t="shared" si="13"/>
        <v/>
      </c>
      <c r="D393" s="11"/>
      <c r="E393" s="11"/>
      <c r="F393" s="11"/>
      <c r="G393" s="11"/>
      <c r="H393" s="10" t="str">
        <f>IF(ISBLANK(F393),"",IF(G393&lt;&gt;"",UPPER(TRIM(G393)),IF(ISNUMBER(SEARCH(" ",TRIM(F393))),UPPER(LEFT(TRIM(RIGHT(SUBSTITUTE(TRIM(F393)," ",REPT(" ",100)),100)),Settings!$B$9)),UPPER(LEFT(TRIM(F393),Settings!$B$9)))))</f>
        <v/>
      </c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0" t="str">
        <f>IF(ISBLANK(D393),"",IF(COUNTIFS(Circulation!$B$2:$B$500,A393,Circulation!$H$2:$H$500,"Active")&gt;0,"On Loan","Available"))</f>
        <v/>
      </c>
      <c r="AA393" s="11"/>
      <c r="AB393" s="11"/>
      <c r="AC393" s="11"/>
      <c r="AD393" s="11"/>
      <c r="AE393" s="11"/>
      <c r="AF393" s="11"/>
      <c r="AG393" s="11"/>
    </row>
    <row r="394" spans="1:33" x14ac:dyDescent="0.25">
      <c r="A394" s="10" t="str">
        <f t="shared" si="12"/>
        <v/>
      </c>
      <c r="B394" s="11"/>
      <c r="C394" s="10" t="str">
        <f t="shared" si="13"/>
        <v/>
      </c>
      <c r="D394" s="11"/>
      <c r="E394" s="11"/>
      <c r="F394" s="11"/>
      <c r="G394" s="11"/>
      <c r="H394" s="10" t="str">
        <f>IF(ISBLANK(F394),"",IF(G394&lt;&gt;"",UPPER(TRIM(G394)),IF(ISNUMBER(SEARCH(" ",TRIM(F394))),UPPER(LEFT(TRIM(RIGHT(SUBSTITUTE(TRIM(F394)," ",REPT(" ",100)),100)),Settings!$B$9)),UPPER(LEFT(TRIM(F394),Settings!$B$9)))))</f>
        <v/>
      </c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0" t="str">
        <f>IF(ISBLANK(D394),"",IF(COUNTIFS(Circulation!$B$2:$B$500,A394,Circulation!$H$2:$H$500,"Active")&gt;0,"On Loan","Available"))</f>
        <v/>
      </c>
      <c r="AA394" s="11"/>
      <c r="AB394" s="11"/>
      <c r="AC394" s="11"/>
      <c r="AD394" s="11"/>
      <c r="AE394" s="11"/>
      <c r="AF394" s="11"/>
      <c r="AG394" s="11"/>
    </row>
    <row r="395" spans="1:33" x14ac:dyDescent="0.25">
      <c r="A395" s="10" t="str">
        <f t="shared" si="12"/>
        <v/>
      </c>
      <c r="B395" s="11"/>
      <c r="C395" s="10" t="str">
        <f t="shared" si="13"/>
        <v/>
      </c>
      <c r="D395" s="11"/>
      <c r="E395" s="11"/>
      <c r="F395" s="11"/>
      <c r="G395" s="11"/>
      <c r="H395" s="10" t="str">
        <f>IF(ISBLANK(F395),"",IF(G395&lt;&gt;"",UPPER(TRIM(G395)),IF(ISNUMBER(SEARCH(" ",TRIM(F395))),UPPER(LEFT(TRIM(RIGHT(SUBSTITUTE(TRIM(F395)," ",REPT(" ",100)),100)),Settings!$B$9)),UPPER(LEFT(TRIM(F395),Settings!$B$9)))))</f>
        <v/>
      </c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0" t="str">
        <f>IF(ISBLANK(D395),"",IF(COUNTIFS(Circulation!$B$2:$B$500,A395,Circulation!$H$2:$H$500,"Active")&gt;0,"On Loan","Available"))</f>
        <v/>
      </c>
      <c r="AA395" s="11"/>
      <c r="AB395" s="11"/>
      <c r="AC395" s="11"/>
      <c r="AD395" s="11"/>
      <c r="AE395" s="11"/>
      <c r="AF395" s="11"/>
      <c r="AG395" s="11"/>
    </row>
    <row r="396" spans="1:33" x14ac:dyDescent="0.25">
      <c r="A396" s="10" t="str">
        <f t="shared" si="12"/>
        <v/>
      </c>
      <c r="B396" s="11"/>
      <c r="C396" s="10" t="str">
        <f t="shared" si="13"/>
        <v/>
      </c>
      <c r="D396" s="11"/>
      <c r="E396" s="11"/>
      <c r="F396" s="11"/>
      <c r="G396" s="11"/>
      <c r="H396" s="10" t="str">
        <f>IF(ISBLANK(F396),"",IF(G396&lt;&gt;"",UPPER(TRIM(G396)),IF(ISNUMBER(SEARCH(" ",TRIM(F396))),UPPER(LEFT(TRIM(RIGHT(SUBSTITUTE(TRIM(F396)," ",REPT(" ",100)),100)),Settings!$B$9)),UPPER(LEFT(TRIM(F396),Settings!$B$9)))))</f>
        <v/>
      </c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0" t="str">
        <f>IF(ISBLANK(D396),"",IF(COUNTIFS(Circulation!$B$2:$B$500,A396,Circulation!$H$2:$H$500,"Active")&gt;0,"On Loan","Available"))</f>
        <v/>
      </c>
      <c r="AA396" s="11"/>
      <c r="AB396" s="11"/>
      <c r="AC396" s="11"/>
      <c r="AD396" s="11"/>
      <c r="AE396" s="11"/>
      <c r="AF396" s="11"/>
      <c r="AG396" s="11"/>
    </row>
    <row r="397" spans="1:33" x14ac:dyDescent="0.25">
      <c r="A397" s="10" t="str">
        <f t="shared" si="12"/>
        <v/>
      </c>
      <c r="B397" s="11"/>
      <c r="C397" s="10" t="str">
        <f t="shared" si="13"/>
        <v/>
      </c>
      <c r="D397" s="11"/>
      <c r="E397" s="11"/>
      <c r="F397" s="11"/>
      <c r="G397" s="11"/>
      <c r="H397" s="10" t="str">
        <f>IF(ISBLANK(F397),"",IF(G397&lt;&gt;"",UPPER(TRIM(G397)),IF(ISNUMBER(SEARCH(" ",TRIM(F397))),UPPER(LEFT(TRIM(RIGHT(SUBSTITUTE(TRIM(F397)," ",REPT(" ",100)),100)),Settings!$B$9)),UPPER(LEFT(TRIM(F397),Settings!$B$9)))))</f>
        <v/>
      </c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0" t="str">
        <f>IF(ISBLANK(D397),"",IF(COUNTIFS(Circulation!$B$2:$B$500,A397,Circulation!$H$2:$H$500,"Active")&gt;0,"On Loan","Available"))</f>
        <v/>
      </c>
      <c r="AA397" s="11"/>
      <c r="AB397" s="11"/>
      <c r="AC397" s="11"/>
      <c r="AD397" s="11"/>
      <c r="AE397" s="11"/>
      <c r="AF397" s="11"/>
      <c r="AG397" s="11"/>
    </row>
    <row r="398" spans="1:33" x14ac:dyDescent="0.25">
      <c r="A398" s="10" t="str">
        <f t="shared" si="12"/>
        <v/>
      </c>
      <c r="B398" s="11"/>
      <c r="C398" s="10" t="str">
        <f t="shared" si="13"/>
        <v/>
      </c>
      <c r="D398" s="11"/>
      <c r="E398" s="11"/>
      <c r="F398" s="11"/>
      <c r="G398" s="11"/>
      <c r="H398" s="10" t="str">
        <f>IF(ISBLANK(F398),"",IF(G398&lt;&gt;"",UPPER(TRIM(G398)),IF(ISNUMBER(SEARCH(" ",TRIM(F398))),UPPER(LEFT(TRIM(RIGHT(SUBSTITUTE(TRIM(F398)," ",REPT(" ",100)),100)),Settings!$B$9)),UPPER(LEFT(TRIM(F398),Settings!$B$9)))))</f>
        <v/>
      </c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0" t="str">
        <f>IF(ISBLANK(D398),"",IF(COUNTIFS(Circulation!$B$2:$B$500,A398,Circulation!$H$2:$H$500,"Active")&gt;0,"On Loan","Available"))</f>
        <v/>
      </c>
      <c r="AA398" s="11"/>
      <c r="AB398" s="11"/>
      <c r="AC398" s="11"/>
      <c r="AD398" s="11"/>
      <c r="AE398" s="11"/>
      <c r="AF398" s="11"/>
      <c r="AG398" s="11"/>
    </row>
    <row r="399" spans="1:33" x14ac:dyDescent="0.25">
      <c r="A399" s="10" t="str">
        <f t="shared" si="12"/>
        <v/>
      </c>
      <c r="B399" s="11"/>
      <c r="C399" s="10" t="str">
        <f t="shared" si="13"/>
        <v/>
      </c>
      <c r="D399" s="11"/>
      <c r="E399" s="11"/>
      <c r="F399" s="11"/>
      <c r="G399" s="11"/>
      <c r="H399" s="10" t="str">
        <f>IF(ISBLANK(F399),"",IF(G399&lt;&gt;"",UPPER(TRIM(G399)),IF(ISNUMBER(SEARCH(" ",TRIM(F399))),UPPER(LEFT(TRIM(RIGHT(SUBSTITUTE(TRIM(F399)," ",REPT(" ",100)),100)),Settings!$B$9)),UPPER(LEFT(TRIM(F399),Settings!$B$9)))))</f>
        <v/>
      </c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0" t="str">
        <f>IF(ISBLANK(D399),"",IF(COUNTIFS(Circulation!$B$2:$B$500,A399,Circulation!$H$2:$H$500,"Active")&gt;0,"On Loan","Available"))</f>
        <v/>
      </c>
      <c r="AA399" s="11"/>
      <c r="AB399" s="11"/>
      <c r="AC399" s="11"/>
      <c r="AD399" s="11"/>
      <c r="AE399" s="11"/>
      <c r="AF399" s="11"/>
      <c r="AG399" s="11"/>
    </row>
    <row r="400" spans="1:33" x14ac:dyDescent="0.25">
      <c r="A400" s="10" t="str">
        <f t="shared" si="12"/>
        <v/>
      </c>
      <c r="B400" s="11"/>
      <c r="C400" s="10" t="str">
        <f t="shared" si="13"/>
        <v/>
      </c>
      <c r="D400" s="11"/>
      <c r="E400" s="11"/>
      <c r="F400" s="11"/>
      <c r="G400" s="11"/>
      <c r="H400" s="10" t="str">
        <f>IF(ISBLANK(F400),"",IF(G400&lt;&gt;"",UPPER(TRIM(G400)),IF(ISNUMBER(SEARCH(" ",TRIM(F400))),UPPER(LEFT(TRIM(RIGHT(SUBSTITUTE(TRIM(F400)," ",REPT(" ",100)),100)),Settings!$B$9)),UPPER(LEFT(TRIM(F400),Settings!$B$9)))))</f>
        <v/>
      </c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0" t="str">
        <f>IF(ISBLANK(D400),"",IF(COUNTIFS(Circulation!$B$2:$B$500,A400,Circulation!$H$2:$H$500,"Active")&gt;0,"On Loan","Available"))</f>
        <v/>
      </c>
      <c r="AA400" s="11"/>
      <c r="AB400" s="11"/>
      <c r="AC400" s="11"/>
      <c r="AD400" s="11"/>
      <c r="AE400" s="11"/>
      <c r="AF400" s="11"/>
      <c r="AG400" s="11"/>
    </row>
    <row r="401" spans="1:33" x14ac:dyDescent="0.25">
      <c r="A401" s="10" t="str">
        <f t="shared" si="12"/>
        <v/>
      </c>
      <c r="B401" s="11"/>
      <c r="C401" s="10" t="str">
        <f t="shared" si="13"/>
        <v/>
      </c>
      <c r="D401" s="11"/>
      <c r="E401" s="11"/>
      <c r="F401" s="11"/>
      <c r="G401" s="11"/>
      <c r="H401" s="10" t="str">
        <f>IF(ISBLANK(F401),"",IF(G401&lt;&gt;"",UPPER(TRIM(G401)),IF(ISNUMBER(SEARCH(" ",TRIM(F401))),UPPER(LEFT(TRIM(RIGHT(SUBSTITUTE(TRIM(F401)," ",REPT(" ",100)),100)),Settings!$B$9)),UPPER(LEFT(TRIM(F401),Settings!$B$9)))))</f>
        <v/>
      </c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0" t="str">
        <f>IF(ISBLANK(D401),"",IF(COUNTIFS(Circulation!$B$2:$B$500,A401,Circulation!$H$2:$H$500,"Active")&gt;0,"On Loan","Available"))</f>
        <v/>
      </c>
      <c r="AA401" s="11"/>
      <c r="AB401" s="11"/>
      <c r="AC401" s="11"/>
      <c r="AD401" s="11"/>
      <c r="AE401" s="11"/>
      <c r="AF401" s="11"/>
      <c r="AG401" s="11"/>
    </row>
    <row r="402" spans="1:33" x14ac:dyDescent="0.25">
      <c r="A402" s="10" t="str">
        <f t="shared" si="12"/>
        <v/>
      </c>
      <c r="B402" s="11"/>
      <c r="C402" s="10" t="str">
        <f t="shared" si="13"/>
        <v/>
      </c>
      <c r="D402" s="11"/>
      <c r="E402" s="11"/>
      <c r="F402" s="11"/>
      <c r="G402" s="11"/>
      <c r="H402" s="10" t="str">
        <f>IF(ISBLANK(F402),"",IF(G402&lt;&gt;"",UPPER(TRIM(G402)),IF(ISNUMBER(SEARCH(" ",TRIM(F402))),UPPER(LEFT(TRIM(RIGHT(SUBSTITUTE(TRIM(F402)," ",REPT(" ",100)),100)),Settings!$B$9)),UPPER(LEFT(TRIM(F402),Settings!$B$9)))))</f>
        <v/>
      </c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0" t="str">
        <f>IF(ISBLANK(D402),"",IF(COUNTIFS(Circulation!$B$2:$B$500,A402,Circulation!$H$2:$H$500,"Active")&gt;0,"On Loan","Available"))</f>
        <v/>
      </c>
      <c r="AA402" s="11"/>
      <c r="AB402" s="11"/>
      <c r="AC402" s="11"/>
      <c r="AD402" s="11"/>
      <c r="AE402" s="11"/>
      <c r="AF402" s="11"/>
      <c r="AG402" s="11"/>
    </row>
    <row r="403" spans="1:33" x14ac:dyDescent="0.25">
      <c r="A403" s="10" t="str">
        <f t="shared" si="12"/>
        <v/>
      </c>
      <c r="B403" s="11"/>
      <c r="C403" s="10" t="str">
        <f t="shared" si="13"/>
        <v/>
      </c>
      <c r="D403" s="11"/>
      <c r="E403" s="11"/>
      <c r="F403" s="11"/>
      <c r="G403" s="11"/>
      <c r="H403" s="10" t="str">
        <f>IF(ISBLANK(F403),"",IF(G403&lt;&gt;"",UPPER(TRIM(G403)),IF(ISNUMBER(SEARCH(" ",TRIM(F403))),UPPER(LEFT(TRIM(RIGHT(SUBSTITUTE(TRIM(F403)," ",REPT(" ",100)),100)),Settings!$B$9)),UPPER(LEFT(TRIM(F403),Settings!$B$9)))))</f>
        <v/>
      </c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0" t="str">
        <f>IF(ISBLANK(D403),"",IF(COUNTIFS(Circulation!$B$2:$B$500,A403,Circulation!$H$2:$H$500,"Active")&gt;0,"On Loan","Available"))</f>
        <v/>
      </c>
      <c r="AA403" s="11"/>
      <c r="AB403" s="11"/>
      <c r="AC403" s="11"/>
      <c r="AD403" s="11"/>
      <c r="AE403" s="11"/>
      <c r="AF403" s="11"/>
      <c r="AG403" s="11"/>
    </row>
    <row r="404" spans="1:33" x14ac:dyDescent="0.25">
      <c r="A404" s="10" t="str">
        <f t="shared" si="12"/>
        <v/>
      </c>
      <c r="B404" s="11"/>
      <c r="C404" s="10" t="str">
        <f t="shared" si="13"/>
        <v/>
      </c>
      <c r="D404" s="11"/>
      <c r="E404" s="11"/>
      <c r="F404" s="11"/>
      <c r="G404" s="11"/>
      <c r="H404" s="10" t="str">
        <f>IF(ISBLANK(F404),"",IF(G404&lt;&gt;"",UPPER(TRIM(G404)),IF(ISNUMBER(SEARCH(" ",TRIM(F404))),UPPER(LEFT(TRIM(RIGHT(SUBSTITUTE(TRIM(F404)," ",REPT(" ",100)),100)),Settings!$B$9)),UPPER(LEFT(TRIM(F404),Settings!$B$9)))))</f>
        <v/>
      </c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0" t="str">
        <f>IF(ISBLANK(D404),"",IF(COUNTIFS(Circulation!$B$2:$B$500,A404,Circulation!$H$2:$H$500,"Active")&gt;0,"On Loan","Available"))</f>
        <v/>
      </c>
      <c r="AA404" s="11"/>
      <c r="AB404" s="11"/>
      <c r="AC404" s="11"/>
      <c r="AD404" s="11"/>
      <c r="AE404" s="11"/>
      <c r="AF404" s="11"/>
      <c r="AG404" s="11"/>
    </row>
    <row r="405" spans="1:33" x14ac:dyDescent="0.25">
      <c r="A405" s="10" t="str">
        <f t="shared" si="12"/>
        <v/>
      </c>
      <c r="B405" s="11"/>
      <c r="C405" s="10" t="str">
        <f t="shared" si="13"/>
        <v/>
      </c>
      <c r="D405" s="11"/>
      <c r="E405" s="11"/>
      <c r="F405" s="11"/>
      <c r="G405" s="11"/>
      <c r="H405" s="10" t="str">
        <f>IF(ISBLANK(F405),"",IF(G405&lt;&gt;"",UPPER(TRIM(G405)),IF(ISNUMBER(SEARCH(" ",TRIM(F405))),UPPER(LEFT(TRIM(RIGHT(SUBSTITUTE(TRIM(F405)," ",REPT(" ",100)),100)),Settings!$B$9)),UPPER(LEFT(TRIM(F405),Settings!$B$9)))))</f>
        <v/>
      </c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0" t="str">
        <f>IF(ISBLANK(D405),"",IF(COUNTIFS(Circulation!$B$2:$B$500,A405,Circulation!$H$2:$H$500,"Active")&gt;0,"On Loan","Available"))</f>
        <v/>
      </c>
      <c r="AA405" s="11"/>
      <c r="AB405" s="11"/>
      <c r="AC405" s="11"/>
      <c r="AD405" s="11"/>
      <c r="AE405" s="11"/>
      <c r="AF405" s="11"/>
      <c r="AG405" s="11"/>
    </row>
    <row r="406" spans="1:33" x14ac:dyDescent="0.25">
      <c r="A406" s="10" t="str">
        <f t="shared" si="12"/>
        <v/>
      </c>
      <c r="B406" s="11"/>
      <c r="C406" s="10" t="str">
        <f t="shared" si="13"/>
        <v/>
      </c>
      <c r="D406" s="11"/>
      <c r="E406" s="11"/>
      <c r="F406" s="11"/>
      <c r="G406" s="11"/>
      <c r="H406" s="10" t="str">
        <f>IF(ISBLANK(F406),"",IF(G406&lt;&gt;"",UPPER(TRIM(G406)),IF(ISNUMBER(SEARCH(" ",TRIM(F406))),UPPER(LEFT(TRIM(RIGHT(SUBSTITUTE(TRIM(F406)," ",REPT(" ",100)),100)),Settings!$B$9)),UPPER(LEFT(TRIM(F406),Settings!$B$9)))))</f>
        <v/>
      </c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0" t="str">
        <f>IF(ISBLANK(D406),"",IF(COUNTIFS(Circulation!$B$2:$B$500,A406,Circulation!$H$2:$H$500,"Active")&gt;0,"On Loan","Available"))</f>
        <v/>
      </c>
      <c r="AA406" s="11"/>
      <c r="AB406" s="11"/>
      <c r="AC406" s="11"/>
      <c r="AD406" s="11"/>
      <c r="AE406" s="11"/>
      <c r="AF406" s="11"/>
      <c r="AG406" s="11"/>
    </row>
    <row r="407" spans="1:33" x14ac:dyDescent="0.25">
      <c r="A407" s="10" t="str">
        <f t="shared" si="12"/>
        <v/>
      </c>
      <c r="B407" s="11"/>
      <c r="C407" s="10" t="str">
        <f t="shared" si="13"/>
        <v/>
      </c>
      <c r="D407" s="11"/>
      <c r="E407" s="11"/>
      <c r="F407" s="11"/>
      <c r="G407" s="11"/>
      <c r="H407" s="10" t="str">
        <f>IF(ISBLANK(F407),"",IF(G407&lt;&gt;"",UPPER(TRIM(G407)),IF(ISNUMBER(SEARCH(" ",TRIM(F407))),UPPER(LEFT(TRIM(RIGHT(SUBSTITUTE(TRIM(F407)," ",REPT(" ",100)),100)),Settings!$B$9)),UPPER(LEFT(TRIM(F407),Settings!$B$9)))))</f>
        <v/>
      </c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0" t="str">
        <f>IF(ISBLANK(D407),"",IF(COUNTIFS(Circulation!$B$2:$B$500,A407,Circulation!$H$2:$H$500,"Active")&gt;0,"On Loan","Available"))</f>
        <v/>
      </c>
      <c r="AA407" s="11"/>
      <c r="AB407" s="11"/>
      <c r="AC407" s="11"/>
      <c r="AD407" s="11"/>
      <c r="AE407" s="11"/>
      <c r="AF407" s="11"/>
      <c r="AG407" s="11"/>
    </row>
    <row r="408" spans="1:33" x14ac:dyDescent="0.25">
      <c r="A408" s="10" t="str">
        <f t="shared" si="12"/>
        <v/>
      </c>
      <c r="B408" s="11"/>
      <c r="C408" s="10" t="str">
        <f t="shared" si="13"/>
        <v/>
      </c>
      <c r="D408" s="11"/>
      <c r="E408" s="11"/>
      <c r="F408" s="11"/>
      <c r="G408" s="11"/>
      <c r="H408" s="10" t="str">
        <f>IF(ISBLANK(F408),"",IF(G408&lt;&gt;"",UPPER(TRIM(G408)),IF(ISNUMBER(SEARCH(" ",TRIM(F408))),UPPER(LEFT(TRIM(RIGHT(SUBSTITUTE(TRIM(F408)," ",REPT(" ",100)),100)),Settings!$B$9)),UPPER(LEFT(TRIM(F408),Settings!$B$9)))))</f>
        <v/>
      </c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0" t="str">
        <f>IF(ISBLANK(D408),"",IF(COUNTIFS(Circulation!$B$2:$B$500,A408,Circulation!$H$2:$H$500,"Active")&gt;0,"On Loan","Available"))</f>
        <v/>
      </c>
      <c r="AA408" s="11"/>
      <c r="AB408" s="11"/>
      <c r="AC408" s="11"/>
      <c r="AD408" s="11"/>
      <c r="AE408" s="11"/>
      <c r="AF408" s="11"/>
      <c r="AG408" s="11"/>
    </row>
    <row r="409" spans="1:33" x14ac:dyDescent="0.25">
      <c r="A409" s="10" t="str">
        <f t="shared" si="12"/>
        <v/>
      </c>
      <c r="B409" s="11"/>
      <c r="C409" s="10" t="str">
        <f t="shared" si="13"/>
        <v/>
      </c>
      <c r="D409" s="11"/>
      <c r="E409" s="11"/>
      <c r="F409" s="11"/>
      <c r="G409" s="11"/>
      <c r="H409" s="10" t="str">
        <f>IF(ISBLANK(F409),"",IF(G409&lt;&gt;"",UPPER(TRIM(G409)),IF(ISNUMBER(SEARCH(" ",TRIM(F409))),UPPER(LEFT(TRIM(RIGHT(SUBSTITUTE(TRIM(F409)," ",REPT(" ",100)),100)),Settings!$B$9)),UPPER(LEFT(TRIM(F409),Settings!$B$9)))))</f>
        <v/>
      </c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0" t="str">
        <f>IF(ISBLANK(D409),"",IF(COUNTIFS(Circulation!$B$2:$B$500,A409,Circulation!$H$2:$H$500,"Active")&gt;0,"On Loan","Available"))</f>
        <v/>
      </c>
      <c r="AA409" s="11"/>
      <c r="AB409" s="11"/>
      <c r="AC409" s="11"/>
      <c r="AD409" s="11"/>
      <c r="AE409" s="11"/>
      <c r="AF409" s="11"/>
      <c r="AG409" s="11"/>
    </row>
    <row r="410" spans="1:33" x14ac:dyDescent="0.25">
      <c r="A410" s="10" t="str">
        <f t="shared" si="12"/>
        <v/>
      </c>
      <c r="B410" s="11"/>
      <c r="C410" s="10" t="str">
        <f t="shared" si="13"/>
        <v/>
      </c>
      <c r="D410" s="11"/>
      <c r="E410" s="11"/>
      <c r="F410" s="11"/>
      <c r="G410" s="11"/>
      <c r="H410" s="10" t="str">
        <f>IF(ISBLANK(F410),"",IF(G410&lt;&gt;"",UPPER(TRIM(G410)),IF(ISNUMBER(SEARCH(" ",TRIM(F410))),UPPER(LEFT(TRIM(RIGHT(SUBSTITUTE(TRIM(F410)," ",REPT(" ",100)),100)),Settings!$B$9)),UPPER(LEFT(TRIM(F410),Settings!$B$9)))))</f>
        <v/>
      </c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0" t="str">
        <f>IF(ISBLANK(D410),"",IF(COUNTIFS(Circulation!$B$2:$B$500,A410,Circulation!$H$2:$H$500,"Active")&gt;0,"On Loan","Available"))</f>
        <v/>
      </c>
      <c r="AA410" s="11"/>
      <c r="AB410" s="11"/>
      <c r="AC410" s="11"/>
      <c r="AD410" s="11"/>
      <c r="AE410" s="11"/>
      <c r="AF410" s="11"/>
      <c r="AG410" s="11"/>
    </row>
    <row r="411" spans="1:33" x14ac:dyDescent="0.25">
      <c r="A411" s="10" t="str">
        <f t="shared" si="12"/>
        <v/>
      </c>
      <c r="B411" s="11"/>
      <c r="C411" s="10" t="str">
        <f t="shared" si="13"/>
        <v/>
      </c>
      <c r="D411" s="11"/>
      <c r="E411" s="11"/>
      <c r="F411" s="11"/>
      <c r="G411" s="11"/>
      <c r="H411" s="10" t="str">
        <f>IF(ISBLANK(F411),"",IF(G411&lt;&gt;"",UPPER(TRIM(G411)),IF(ISNUMBER(SEARCH(" ",TRIM(F411))),UPPER(LEFT(TRIM(RIGHT(SUBSTITUTE(TRIM(F411)," ",REPT(" ",100)),100)),Settings!$B$9)),UPPER(LEFT(TRIM(F411),Settings!$B$9)))))</f>
        <v/>
      </c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0" t="str">
        <f>IF(ISBLANK(D411),"",IF(COUNTIFS(Circulation!$B$2:$B$500,A411,Circulation!$H$2:$H$500,"Active")&gt;0,"On Loan","Available"))</f>
        <v/>
      </c>
      <c r="AA411" s="11"/>
      <c r="AB411" s="11"/>
      <c r="AC411" s="11"/>
      <c r="AD411" s="11"/>
      <c r="AE411" s="11"/>
      <c r="AF411" s="11"/>
      <c r="AG411" s="11"/>
    </row>
    <row r="412" spans="1:33" x14ac:dyDescent="0.25">
      <c r="A412" s="10" t="str">
        <f t="shared" si="12"/>
        <v/>
      </c>
      <c r="B412" s="11"/>
      <c r="C412" s="10" t="str">
        <f t="shared" si="13"/>
        <v/>
      </c>
      <c r="D412" s="11"/>
      <c r="E412" s="11"/>
      <c r="F412" s="11"/>
      <c r="G412" s="11"/>
      <c r="H412" s="10" t="str">
        <f>IF(ISBLANK(F412),"",IF(G412&lt;&gt;"",UPPER(TRIM(G412)),IF(ISNUMBER(SEARCH(" ",TRIM(F412))),UPPER(LEFT(TRIM(RIGHT(SUBSTITUTE(TRIM(F412)," ",REPT(" ",100)),100)),Settings!$B$9)),UPPER(LEFT(TRIM(F412),Settings!$B$9)))))</f>
        <v/>
      </c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0" t="str">
        <f>IF(ISBLANK(D412),"",IF(COUNTIFS(Circulation!$B$2:$B$500,A412,Circulation!$H$2:$H$500,"Active")&gt;0,"On Loan","Available"))</f>
        <v/>
      </c>
      <c r="AA412" s="11"/>
      <c r="AB412" s="11"/>
      <c r="AC412" s="11"/>
      <c r="AD412" s="11"/>
      <c r="AE412" s="11"/>
      <c r="AF412" s="11"/>
      <c r="AG412" s="11"/>
    </row>
    <row r="413" spans="1:33" x14ac:dyDescent="0.25">
      <c r="A413" s="10" t="str">
        <f t="shared" si="12"/>
        <v/>
      </c>
      <c r="B413" s="11"/>
      <c r="C413" s="10" t="str">
        <f t="shared" si="13"/>
        <v/>
      </c>
      <c r="D413" s="11"/>
      <c r="E413" s="11"/>
      <c r="F413" s="11"/>
      <c r="G413" s="11"/>
      <c r="H413" s="10" t="str">
        <f>IF(ISBLANK(F413),"",IF(G413&lt;&gt;"",UPPER(TRIM(G413)),IF(ISNUMBER(SEARCH(" ",TRIM(F413))),UPPER(LEFT(TRIM(RIGHT(SUBSTITUTE(TRIM(F413)," ",REPT(" ",100)),100)),Settings!$B$9)),UPPER(LEFT(TRIM(F413),Settings!$B$9)))))</f>
        <v/>
      </c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0" t="str">
        <f>IF(ISBLANK(D413),"",IF(COUNTIFS(Circulation!$B$2:$B$500,A413,Circulation!$H$2:$H$500,"Active")&gt;0,"On Loan","Available"))</f>
        <v/>
      </c>
      <c r="AA413" s="11"/>
      <c r="AB413" s="11"/>
      <c r="AC413" s="11"/>
      <c r="AD413" s="11"/>
      <c r="AE413" s="11"/>
      <c r="AF413" s="11"/>
      <c r="AG413" s="11"/>
    </row>
    <row r="414" spans="1:33" x14ac:dyDescent="0.25">
      <c r="A414" s="10" t="str">
        <f t="shared" si="12"/>
        <v/>
      </c>
      <c r="B414" s="11"/>
      <c r="C414" s="10" t="str">
        <f t="shared" si="13"/>
        <v/>
      </c>
      <c r="D414" s="11"/>
      <c r="E414" s="11"/>
      <c r="F414" s="11"/>
      <c r="G414" s="11"/>
      <c r="H414" s="10" t="str">
        <f>IF(ISBLANK(F414),"",IF(G414&lt;&gt;"",UPPER(TRIM(G414)),IF(ISNUMBER(SEARCH(" ",TRIM(F414))),UPPER(LEFT(TRIM(RIGHT(SUBSTITUTE(TRIM(F414)," ",REPT(" ",100)),100)),Settings!$B$9)),UPPER(LEFT(TRIM(F414),Settings!$B$9)))))</f>
        <v/>
      </c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0" t="str">
        <f>IF(ISBLANK(D414),"",IF(COUNTIFS(Circulation!$B$2:$B$500,A414,Circulation!$H$2:$H$500,"Active")&gt;0,"On Loan","Available"))</f>
        <v/>
      </c>
      <c r="AA414" s="11"/>
      <c r="AB414" s="11"/>
      <c r="AC414" s="11"/>
      <c r="AD414" s="11"/>
      <c r="AE414" s="11"/>
      <c r="AF414" s="11"/>
      <c r="AG414" s="11"/>
    </row>
    <row r="415" spans="1:33" x14ac:dyDescent="0.25">
      <c r="A415" s="10" t="str">
        <f t="shared" si="12"/>
        <v/>
      </c>
      <c r="B415" s="11"/>
      <c r="C415" s="10" t="str">
        <f t="shared" si="13"/>
        <v/>
      </c>
      <c r="D415" s="11"/>
      <c r="E415" s="11"/>
      <c r="F415" s="11"/>
      <c r="G415" s="11"/>
      <c r="H415" s="10" t="str">
        <f>IF(ISBLANK(F415),"",IF(G415&lt;&gt;"",UPPER(TRIM(G415)),IF(ISNUMBER(SEARCH(" ",TRIM(F415))),UPPER(LEFT(TRIM(RIGHT(SUBSTITUTE(TRIM(F415)," ",REPT(" ",100)),100)),Settings!$B$9)),UPPER(LEFT(TRIM(F415),Settings!$B$9)))))</f>
        <v/>
      </c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0" t="str">
        <f>IF(ISBLANK(D415),"",IF(COUNTIFS(Circulation!$B$2:$B$500,A415,Circulation!$H$2:$H$500,"Active")&gt;0,"On Loan","Available"))</f>
        <v/>
      </c>
      <c r="AA415" s="11"/>
      <c r="AB415" s="11"/>
      <c r="AC415" s="11"/>
      <c r="AD415" s="11"/>
      <c r="AE415" s="11"/>
      <c r="AF415" s="11"/>
      <c r="AG415" s="11"/>
    </row>
    <row r="416" spans="1:33" x14ac:dyDescent="0.25">
      <c r="A416" s="10" t="str">
        <f t="shared" si="12"/>
        <v/>
      </c>
      <c r="B416" s="11"/>
      <c r="C416" s="10" t="str">
        <f t="shared" si="13"/>
        <v/>
      </c>
      <c r="D416" s="11"/>
      <c r="E416" s="11"/>
      <c r="F416" s="11"/>
      <c r="G416" s="11"/>
      <c r="H416" s="10" t="str">
        <f>IF(ISBLANK(F416),"",IF(G416&lt;&gt;"",UPPER(TRIM(G416)),IF(ISNUMBER(SEARCH(" ",TRIM(F416))),UPPER(LEFT(TRIM(RIGHT(SUBSTITUTE(TRIM(F416)," ",REPT(" ",100)),100)),Settings!$B$9)),UPPER(LEFT(TRIM(F416),Settings!$B$9)))))</f>
        <v/>
      </c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0" t="str">
        <f>IF(ISBLANK(D416),"",IF(COUNTIFS(Circulation!$B$2:$B$500,A416,Circulation!$H$2:$H$500,"Active")&gt;0,"On Loan","Available"))</f>
        <v/>
      </c>
      <c r="AA416" s="11"/>
      <c r="AB416" s="11"/>
      <c r="AC416" s="11"/>
      <c r="AD416" s="11"/>
      <c r="AE416" s="11"/>
      <c r="AF416" s="11"/>
      <c r="AG416" s="11"/>
    </row>
    <row r="417" spans="1:33" x14ac:dyDescent="0.25">
      <c r="A417" s="10" t="str">
        <f t="shared" si="12"/>
        <v/>
      </c>
      <c r="B417" s="11"/>
      <c r="C417" s="10" t="str">
        <f t="shared" si="13"/>
        <v/>
      </c>
      <c r="D417" s="11"/>
      <c r="E417" s="11"/>
      <c r="F417" s="11"/>
      <c r="G417" s="11"/>
      <c r="H417" s="10" t="str">
        <f>IF(ISBLANK(F417),"",IF(G417&lt;&gt;"",UPPER(TRIM(G417)),IF(ISNUMBER(SEARCH(" ",TRIM(F417))),UPPER(LEFT(TRIM(RIGHT(SUBSTITUTE(TRIM(F417)," ",REPT(" ",100)),100)),Settings!$B$9)),UPPER(LEFT(TRIM(F417),Settings!$B$9)))))</f>
        <v/>
      </c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0" t="str">
        <f>IF(ISBLANK(D417),"",IF(COUNTIFS(Circulation!$B$2:$B$500,A417,Circulation!$H$2:$H$500,"Active")&gt;0,"On Loan","Available"))</f>
        <v/>
      </c>
      <c r="AA417" s="11"/>
      <c r="AB417" s="11"/>
      <c r="AC417" s="11"/>
      <c r="AD417" s="11"/>
      <c r="AE417" s="11"/>
      <c r="AF417" s="11"/>
      <c r="AG417" s="11"/>
    </row>
    <row r="418" spans="1:33" x14ac:dyDescent="0.25">
      <c r="A418" s="10" t="str">
        <f t="shared" si="12"/>
        <v/>
      </c>
      <c r="B418" s="11"/>
      <c r="C418" s="10" t="str">
        <f t="shared" si="13"/>
        <v/>
      </c>
      <c r="D418" s="11"/>
      <c r="E418" s="11"/>
      <c r="F418" s="11"/>
      <c r="G418" s="11"/>
      <c r="H418" s="10" t="str">
        <f>IF(ISBLANK(F418),"",IF(G418&lt;&gt;"",UPPER(TRIM(G418)),IF(ISNUMBER(SEARCH(" ",TRIM(F418))),UPPER(LEFT(TRIM(RIGHT(SUBSTITUTE(TRIM(F418)," ",REPT(" ",100)),100)),Settings!$B$9)),UPPER(LEFT(TRIM(F418),Settings!$B$9)))))</f>
        <v/>
      </c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0" t="str">
        <f>IF(ISBLANK(D418),"",IF(COUNTIFS(Circulation!$B$2:$B$500,A418,Circulation!$H$2:$H$500,"Active")&gt;0,"On Loan","Available"))</f>
        <v/>
      </c>
      <c r="AA418" s="11"/>
      <c r="AB418" s="11"/>
      <c r="AC418" s="11"/>
      <c r="AD418" s="11"/>
      <c r="AE418" s="11"/>
      <c r="AF418" s="11"/>
      <c r="AG418" s="11"/>
    </row>
    <row r="419" spans="1:33" x14ac:dyDescent="0.25">
      <c r="A419" s="10" t="str">
        <f t="shared" si="12"/>
        <v/>
      </c>
      <c r="B419" s="11"/>
      <c r="C419" s="10" t="str">
        <f t="shared" si="13"/>
        <v/>
      </c>
      <c r="D419" s="11"/>
      <c r="E419" s="11"/>
      <c r="F419" s="11"/>
      <c r="G419" s="11"/>
      <c r="H419" s="10" t="str">
        <f>IF(ISBLANK(F419),"",IF(G419&lt;&gt;"",UPPER(TRIM(G419)),IF(ISNUMBER(SEARCH(" ",TRIM(F419))),UPPER(LEFT(TRIM(RIGHT(SUBSTITUTE(TRIM(F419)," ",REPT(" ",100)),100)),Settings!$B$9)),UPPER(LEFT(TRIM(F419),Settings!$B$9)))))</f>
        <v/>
      </c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0" t="str">
        <f>IF(ISBLANK(D419),"",IF(COUNTIFS(Circulation!$B$2:$B$500,A419,Circulation!$H$2:$H$500,"Active")&gt;0,"On Loan","Available"))</f>
        <v/>
      </c>
      <c r="AA419" s="11"/>
      <c r="AB419" s="11"/>
      <c r="AC419" s="11"/>
      <c r="AD419" s="11"/>
      <c r="AE419" s="11"/>
      <c r="AF419" s="11"/>
      <c r="AG419" s="11"/>
    </row>
    <row r="420" spans="1:33" x14ac:dyDescent="0.25">
      <c r="A420" s="10" t="str">
        <f t="shared" si="12"/>
        <v/>
      </c>
      <c r="B420" s="11"/>
      <c r="C420" s="10" t="str">
        <f t="shared" si="13"/>
        <v/>
      </c>
      <c r="D420" s="11"/>
      <c r="E420" s="11"/>
      <c r="F420" s="11"/>
      <c r="G420" s="11"/>
      <c r="H420" s="10" t="str">
        <f>IF(ISBLANK(F420),"",IF(G420&lt;&gt;"",UPPER(TRIM(G420)),IF(ISNUMBER(SEARCH(" ",TRIM(F420))),UPPER(LEFT(TRIM(RIGHT(SUBSTITUTE(TRIM(F420)," ",REPT(" ",100)),100)),Settings!$B$9)),UPPER(LEFT(TRIM(F420),Settings!$B$9)))))</f>
        <v/>
      </c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0" t="str">
        <f>IF(ISBLANK(D420),"",IF(COUNTIFS(Circulation!$B$2:$B$500,A420,Circulation!$H$2:$H$500,"Active")&gt;0,"On Loan","Available"))</f>
        <v/>
      </c>
      <c r="AA420" s="11"/>
      <c r="AB420" s="11"/>
      <c r="AC420" s="11"/>
      <c r="AD420" s="11"/>
      <c r="AE420" s="11"/>
      <c r="AF420" s="11"/>
      <c r="AG420" s="11"/>
    </row>
    <row r="421" spans="1:33" x14ac:dyDescent="0.25">
      <c r="A421" s="10" t="str">
        <f t="shared" si="12"/>
        <v/>
      </c>
      <c r="B421" s="11"/>
      <c r="C421" s="10" t="str">
        <f t="shared" si="13"/>
        <v/>
      </c>
      <c r="D421" s="11"/>
      <c r="E421" s="11"/>
      <c r="F421" s="11"/>
      <c r="G421" s="11"/>
      <c r="H421" s="10" t="str">
        <f>IF(ISBLANK(F421),"",IF(G421&lt;&gt;"",UPPER(TRIM(G421)),IF(ISNUMBER(SEARCH(" ",TRIM(F421))),UPPER(LEFT(TRIM(RIGHT(SUBSTITUTE(TRIM(F421)," ",REPT(" ",100)),100)),Settings!$B$9)),UPPER(LEFT(TRIM(F421),Settings!$B$9)))))</f>
        <v/>
      </c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0" t="str">
        <f>IF(ISBLANK(D421),"",IF(COUNTIFS(Circulation!$B$2:$B$500,A421,Circulation!$H$2:$H$500,"Active")&gt;0,"On Loan","Available"))</f>
        <v/>
      </c>
      <c r="AA421" s="11"/>
      <c r="AB421" s="11"/>
      <c r="AC421" s="11"/>
      <c r="AD421" s="11"/>
      <c r="AE421" s="11"/>
      <c r="AF421" s="11"/>
      <c r="AG421" s="11"/>
    </row>
    <row r="422" spans="1:33" x14ac:dyDescent="0.25">
      <c r="A422" s="10" t="str">
        <f t="shared" si="12"/>
        <v/>
      </c>
      <c r="B422" s="11"/>
      <c r="C422" s="10" t="str">
        <f t="shared" si="13"/>
        <v/>
      </c>
      <c r="D422" s="11"/>
      <c r="E422" s="11"/>
      <c r="F422" s="11"/>
      <c r="G422" s="11"/>
      <c r="H422" s="10" t="str">
        <f>IF(ISBLANK(F422),"",IF(G422&lt;&gt;"",UPPER(TRIM(G422)),IF(ISNUMBER(SEARCH(" ",TRIM(F422))),UPPER(LEFT(TRIM(RIGHT(SUBSTITUTE(TRIM(F422)," ",REPT(" ",100)),100)),Settings!$B$9)),UPPER(LEFT(TRIM(F422),Settings!$B$9)))))</f>
        <v/>
      </c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0" t="str">
        <f>IF(ISBLANK(D422),"",IF(COUNTIFS(Circulation!$B$2:$B$500,A422,Circulation!$H$2:$H$500,"Active")&gt;0,"On Loan","Available"))</f>
        <v/>
      </c>
      <c r="AA422" s="11"/>
      <c r="AB422" s="11"/>
      <c r="AC422" s="11"/>
      <c r="AD422" s="11"/>
      <c r="AE422" s="11"/>
      <c r="AF422" s="11"/>
      <c r="AG422" s="11"/>
    </row>
    <row r="423" spans="1:33" x14ac:dyDescent="0.25">
      <c r="A423" s="10" t="str">
        <f t="shared" si="12"/>
        <v/>
      </c>
      <c r="B423" s="11"/>
      <c r="C423" s="10" t="str">
        <f t="shared" si="13"/>
        <v/>
      </c>
      <c r="D423" s="11"/>
      <c r="E423" s="11"/>
      <c r="F423" s="11"/>
      <c r="G423" s="11"/>
      <c r="H423" s="10" t="str">
        <f>IF(ISBLANK(F423),"",IF(G423&lt;&gt;"",UPPER(TRIM(G423)),IF(ISNUMBER(SEARCH(" ",TRIM(F423))),UPPER(LEFT(TRIM(RIGHT(SUBSTITUTE(TRIM(F423)," ",REPT(" ",100)),100)),Settings!$B$9)),UPPER(LEFT(TRIM(F423),Settings!$B$9)))))</f>
        <v/>
      </c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0" t="str">
        <f>IF(ISBLANK(D423),"",IF(COUNTIFS(Circulation!$B$2:$B$500,A423,Circulation!$H$2:$H$500,"Active")&gt;0,"On Loan","Available"))</f>
        <v/>
      </c>
      <c r="AA423" s="11"/>
      <c r="AB423" s="11"/>
      <c r="AC423" s="11"/>
      <c r="AD423" s="11"/>
      <c r="AE423" s="11"/>
      <c r="AF423" s="11"/>
      <c r="AG423" s="11"/>
    </row>
    <row r="424" spans="1:33" x14ac:dyDescent="0.25">
      <c r="A424" s="10" t="str">
        <f t="shared" si="12"/>
        <v/>
      </c>
      <c r="B424" s="11"/>
      <c r="C424" s="10" t="str">
        <f t="shared" si="13"/>
        <v/>
      </c>
      <c r="D424" s="11"/>
      <c r="E424" s="11"/>
      <c r="F424" s="11"/>
      <c r="G424" s="11"/>
      <c r="H424" s="10" t="str">
        <f>IF(ISBLANK(F424),"",IF(G424&lt;&gt;"",UPPER(TRIM(G424)),IF(ISNUMBER(SEARCH(" ",TRIM(F424))),UPPER(LEFT(TRIM(RIGHT(SUBSTITUTE(TRIM(F424)," ",REPT(" ",100)),100)),Settings!$B$9)),UPPER(LEFT(TRIM(F424),Settings!$B$9)))))</f>
        <v/>
      </c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0" t="str">
        <f>IF(ISBLANK(D424),"",IF(COUNTIFS(Circulation!$B$2:$B$500,A424,Circulation!$H$2:$H$500,"Active")&gt;0,"On Loan","Available"))</f>
        <v/>
      </c>
      <c r="AA424" s="11"/>
      <c r="AB424" s="11"/>
      <c r="AC424" s="11"/>
      <c r="AD424" s="11"/>
      <c r="AE424" s="11"/>
      <c r="AF424" s="11"/>
      <c r="AG424" s="11"/>
    </row>
    <row r="425" spans="1:33" x14ac:dyDescent="0.25">
      <c r="A425" s="10" t="str">
        <f t="shared" si="12"/>
        <v/>
      </c>
      <c r="B425" s="11"/>
      <c r="C425" s="10" t="str">
        <f t="shared" si="13"/>
        <v/>
      </c>
      <c r="D425" s="11"/>
      <c r="E425" s="11"/>
      <c r="F425" s="11"/>
      <c r="G425" s="11"/>
      <c r="H425" s="10" t="str">
        <f>IF(ISBLANK(F425),"",IF(G425&lt;&gt;"",UPPER(TRIM(G425)),IF(ISNUMBER(SEARCH(" ",TRIM(F425))),UPPER(LEFT(TRIM(RIGHT(SUBSTITUTE(TRIM(F425)," ",REPT(" ",100)),100)),Settings!$B$9)),UPPER(LEFT(TRIM(F425),Settings!$B$9)))))</f>
        <v/>
      </c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0" t="str">
        <f>IF(ISBLANK(D425),"",IF(COUNTIFS(Circulation!$B$2:$B$500,A425,Circulation!$H$2:$H$500,"Active")&gt;0,"On Loan","Available"))</f>
        <v/>
      </c>
      <c r="AA425" s="11"/>
      <c r="AB425" s="11"/>
      <c r="AC425" s="11"/>
      <c r="AD425" s="11"/>
      <c r="AE425" s="11"/>
      <c r="AF425" s="11"/>
      <c r="AG425" s="11"/>
    </row>
    <row r="426" spans="1:33" x14ac:dyDescent="0.25">
      <c r="A426" s="10" t="str">
        <f t="shared" si="12"/>
        <v/>
      </c>
      <c r="B426" s="11"/>
      <c r="C426" s="10" t="str">
        <f t="shared" si="13"/>
        <v/>
      </c>
      <c r="D426" s="11"/>
      <c r="E426" s="11"/>
      <c r="F426" s="11"/>
      <c r="G426" s="11"/>
      <c r="H426" s="10" t="str">
        <f>IF(ISBLANK(F426),"",IF(G426&lt;&gt;"",UPPER(TRIM(G426)),IF(ISNUMBER(SEARCH(" ",TRIM(F426))),UPPER(LEFT(TRIM(RIGHT(SUBSTITUTE(TRIM(F426)," ",REPT(" ",100)),100)),Settings!$B$9)),UPPER(LEFT(TRIM(F426),Settings!$B$9)))))</f>
        <v/>
      </c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0" t="str">
        <f>IF(ISBLANK(D426),"",IF(COUNTIFS(Circulation!$B$2:$B$500,A426,Circulation!$H$2:$H$500,"Active")&gt;0,"On Loan","Available"))</f>
        <v/>
      </c>
      <c r="AA426" s="11"/>
      <c r="AB426" s="11"/>
      <c r="AC426" s="11"/>
      <c r="AD426" s="11"/>
      <c r="AE426" s="11"/>
      <c r="AF426" s="11"/>
      <c r="AG426" s="11"/>
    </row>
    <row r="427" spans="1:33" x14ac:dyDescent="0.25">
      <c r="A427" s="10" t="str">
        <f t="shared" si="12"/>
        <v/>
      </c>
      <c r="B427" s="11"/>
      <c r="C427" s="10" t="str">
        <f t="shared" si="13"/>
        <v/>
      </c>
      <c r="D427" s="11"/>
      <c r="E427" s="11"/>
      <c r="F427" s="11"/>
      <c r="G427" s="11"/>
      <c r="H427" s="10" t="str">
        <f>IF(ISBLANK(F427),"",IF(G427&lt;&gt;"",UPPER(TRIM(G427)),IF(ISNUMBER(SEARCH(" ",TRIM(F427))),UPPER(LEFT(TRIM(RIGHT(SUBSTITUTE(TRIM(F427)," ",REPT(" ",100)),100)),Settings!$B$9)),UPPER(LEFT(TRIM(F427),Settings!$B$9)))))</f>
        <v/>
      </c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0" t="str">
        <f>IF(ISBLANK(D427),"",IF(COUNTIFS(Circulation!$B$2:$B$500,A427,Circulation!$H$2:$H$500,"Active")&gt;0,"On Loan","Available"))</f>
        <v/>
      </c>
      <c r="AA427" s="11"/>
      <c r="AB427" s="11"/>
      <c r="AC427" s="11"/>
      <c r="AD427" s="11"/>
      <c r="AE427" s="11"/>
      <c r="AF427" s="11"/>
      <c r="AG427" s="11"/>
    </row>
    <row r="428" spans="1:33" x14ac:dyDescent="0.25">
      <c r="A428" s="10" t="str">
        <f t="shared" si="12"/>
        <v/>
      </c>
      <c r="B428" s="11"/>
      <c r="C428" s="10" t="str">
        <f t="shared" si="13"/>
        <v/>
      </c>
      <c r="D428" s="11"/>
      <c r="E428" s="11"/>
      <c r="F428" s="11"/>
      <c r="G428" s="11"/>
      <c r="H428" s="10" t="str">
        <f>IF(ISBLANK(F428),"",IF(G428&lt;&gt;"",UPPER(TRIM(G428)),IF(ISNUMBER(SEARCH(" ",TRIM(F428))),UPPER(LEFT(TRIM(RIGHT(SUBSTITUTE(TRIM(F428)," ",REPT(" ",100)),100)),Settings!$B$9)),UPPER(LEFT(TRIM(F428),Settings!$B$9)))))</f>
        <v/>
      </c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0" t="str">
        <f>IF(ISBLANK(D428),"",IF(COUNTIFS(Circulation!$B$2:$B$500,A428,Circulation!$H$2:$H$500,"Active")&gt;0,"On Loan","Available"))</f>
        <v/>
      </c>
      <c r="AA428" s="11"/>
      <c r="AB428" s="11"/>
      <c r="AC428" s="11"/>
      <c r="AD428" s="11"/>
      <c r="AE428" s="11"/>
      <c r="AF428" s="11"/>
      <c r="AG428" s="11"/>
    </row>
    <row r="429" spans="1:33" x14ac:dyDescent="0.25">
      <c r="A429" s="10" t="str">
        <f t="shared" si="12"/>
        <v/>
      </c>
      <c r="B429" s="11"/>
      <c r="C429" s="10" t="str">
        <f t="shared" si="13"/>
        <v/>
      </c>
      <c r="D429" s="11"/>
      <c r="E429" s="11"/>
      <c r="F429" s="11"/>
      <c r="G429" s="11"/>
      <c r="H429" s="10" t="str">
        <f>IF(ISBLANK(F429),"",IF(G429&lt;&gt;"",UPPER(TRIM(G429)),IF(ISNUMBER(SEARCH(" ",TRIM(F429))),UPPER(LEFT(TRIM(RIGHT(SUBSTITUTE(TRIM(F429)," ",REPT(" ",100)),100)),Settings!$B$9)),UPPER(LEFT(TRIM(F429),Settings!$B$9)))))</f>
        <v/>
      </c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0" t="str">
        <f>IF(ISBLANK(D429),"",IF(COUNTIFS(Circulation!$B$2:$B$500,A429,Circulation!$H$2:$H$500,"Active")&gt;0,"On Loan","Available"))</f>
        <v/>
      </c>
      <c r="AA429" s="11"/>
      <c r="AB429" s="11"/>
      <c r="AC429" s="11"/>
      <c r="AD429" s="11"/>
      <c r="AE429" s="11"/>
      <c r="AF429" s="11"/>
      <c r="AG429" s="11"/>
    </row>
    <row r="430" spans="1:33" x14ac:dyDescent="0.25">
      <c r="A430" s="10" t="str">
        <f t="shared" si="12"/>
        <v/>
      </c>
      <c r="B430" s="11"/>
      <c r="C430" s="10" t="str">
        <f t="shared" si="13"/>
        <v/>
      </c>
      <c r="D430" s="11"/>
      <c r="E430" s="11"/>
      <c r="F430" s="11"/>
      <c r="G430" s="11"/>
      <c r="H430" s="10" t="str">
        <f>IF(ISBLANK(F430),"",IF(G430&lt;&gt;"",UPPER(TRIM(G430)),IF(ISNUMBER(SEARCH(" ",TRIM(F430))),UPPER(LEFT(TRIM(RIGHT(SUBSTITUTE(TRIM(F430)," ",REPT(" ",100)),100)),Settings!$B$9)),UPPER(LEFT(TRIM(F430),Settings!$B$9)))))</f>
        <v/>
      </c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0" t="str">
        <f>IF(ISBLANK(D430),"",IF(COUNTIFS(Circulation!$B$2:$B$500,A430,Circulation!$H$2:$H$500,"Active")&gt;0,"On Loan","Available"))</f>
        <v/>
      </c>
      <c r="AA430" s="11"/>
      <c r="AB430" s="11"/>
      <c r="AC430" s="11"/>
      <c r="AD430" s="11"/>
      <c r="AE430" s="11"/>
      <c r="AF430" s="11"/>
      <c r="AG430" s="11"/>
    </row>
    <row r="431" spans="1:33" x14ac:dyDescent="0.25">
      <c r="A431" s="10" t="str">
        <f t="shared" si="12"/>
        <v/>
      </c>
      <c r="B431" s="11"/>
      <c r="C431" s="10" t="str">
        <f t="shared" si="13"/>
        <v/>
      </c>
      <c r="D431" s="11"/>
      <c r="E431" s="11"/>
      <c r="F431" s="11"/>
      <c r="G431" s="11"/>
      <c r="H431" s="10" t="str">
        <f>IF(ISBLANK(F431),"",IF(G431&lt;&gt;"",UPPER(TRIM(G431)),IF(ISNUMBER(SEARCH(" ",TRIM(F431))),UPPER(LEFT(TRIM(RIGHT(SUBSTITUTE(TRIM(F431)," ",REPT(" ",100)),100)),Settings!$B$9)),UPPER(LEFT(TRIM(F431),Settings!$B$9)))))</f>
        <v/>
      </c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0" t="str">
        <f>IF(ISBLANK(D431),"",IF(COUNTIFS(Circulation!$B$2:$B$500,A431,Circulation!$H$2:$H$500,"Active")&gt;0,"On Loan","Available"))</f>
        <v/>
      </c>
      <c r="AA431" s="11"/>
      <c r="AB431" s="11"/>
      <c r="AC431" s="11"/>
      <c r="AD431" s="11"/>
      <c r="AE431" s="11"/>
      <c r="AF431" s="11"/>
      <c r="AG431" s="11"/>
    </row>
    <row r="432" spans="1:33" x14ac:dyDescent="0.25">
      <c r="A432" s="10" t="str">
        <f t="shared" si="12"/>
        <v/>
      </c>
      <c r="B432" s="11"/>
      <c r="C432" s="10" t="str">
        <f t="shared" si="13"/>
        <v/>
      </c>
      <c r="D432" s="11"/>
      <c r="E432" s="11"/>
      <c r="F432" s="11"/>
      <c r="G432" s="11"/>
      <c r="H432" s="10" t="str">
        <f>IF(ISBLANK(F432),"",IF(G432&lt;&gt;"",UPPER(TRIM(G432)),IF(ISNUMBER(SEARCH(" ",TRIM(F432))),UPPER(LEFT(TRIM(RIGHT(SUBSTITUTE(TRIM(F432)," ",REPT(" ",100)),100)),Settings!$B$9)),UPPER(LEFT(TRIM(F432),Settings!$B$9)))))</f>
        <v/>
      </c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0" t="str">
        <f>IF(ISBLANK(D432),"",IF(COUNTIFS(Circulation!$B$2:$B$500,A432,Circulation!$H$2:$H$500,"Active")&gt;0,"On Loan","Available"))</f>
        <v/>
      </c>
      <c r="AA432" s="11"/>
      <c r="AB432" s="11"/>
      <c r="AC432" s="11"/>
      <c r="AD432" s="11"/>
      <c r="AE432" s="11"/>
      <c r="AF432" s="11"/>
      <c r="AG432" s="11"/>
    </row>
    <row r="433" spans="1:33" x14ac:dyDescent="0.25">
      <c r="A433" s="10" t="str">
        <f t="shared" si="12"/>
        <v/>
      </c>
      <c r="B433" s="11"/>
      <c r="C433" s="10" t="str">
        <f t="shared" si="13"/>
        <v/>
      </c>
      <c r="D433" s="11"/>
      <c r="E433" s="11"/>
      <c r="F433" s="11"/>
      <c r="G433" s="11"/>
      <c r="H433" s="10" t="str">
        <f>IF(ISBLANK(F433),"",IF(G433&lt;&gt;"",UPPER(TRIM(G433)),IF(ISNUMBER(SEARCH(" ",TRIM(F433))),UPPER(LEFT(TRIM(RIGHT(SUBSTITUTE(TRIM(F433)," ",REPT(" ",100)),100)),Settings!$B$9)),UPPER(LEFT(TRIM(F433),Settings!$B$9)))))</f>
        <v/>
      </c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0" t="str">
        <f>IF(ISBLANK(D433),"",IF(COUNTIFS(Circulation!$B$2:$B$500,A433,Circulation!$H$2:$H$500,"Active")&gt;0,"On Loan","Available"))</f>
        <v/>
      </c>
      <c r="AA433" s="11"/>
      <c r="AB433" s="11"/>
      <c r="AC433" s="11"/>
      <c r="AD433" s="11"/>
      <c r="AE433" s="11"/>
      <c r="AF433" s="11"/>
      <c r="AG433" s="11"/>
    </row>
    <row r="434" spans="1:33" x14ac:dyDescent="0.25">
      <c r="A434" s="10" t="str">
        <f t="shared" si="12"/>
        <v/>
      </c>
      <c r="B434" s="11"/>
      <c r="C434" s="10" t="str">
        <f t="shared" si="13"/>
        <v/>
      </c>
      <c r="D434" s="11"/>
      <c r="E434" s="11"/>
      <c r="F434" s="11"/>
      <c r="G434" s="11"/>
      <c r="H434" s="10" t="str">
        <f>IF(ISBLANK(F434),"",IF(G434&lt;&gt;"",UPPER(TRIM(G434)),IF(ISNUMBER(SEARCH(" ",TRIM(F434))),UPPER(LEFT(TRIM(RIGHT(SUBSTITUTE(TRIM(F434)," ",REPT(" ",100)),100)),Settings!$B$9)),UPPER(LEFT(TRIM(F434),Settings!$B$9)))))</f>
        <v/>
      </c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0" t="str">
        <f>IF(ISBLANK(D434),"",IF(COUNTIFS(Circulation!$B$2:$B$500,A434,Circulation!$H$2:$H$500,"Active")&gt;0,"On Loan","Available"))</f>
        <v/>
      </c>
      <c r="AA434" s="11"/>
      <c r="AB434" s="11"/>
      <c r="AC434" s="11"/>
      <c r="AD434" s="11"/>
      <c r="AE434" s="11"/>
      <c r="AF434" s="11"/>
      <c r="AG434" s="11"/>
    </row>
    <row r="435" spans="1:33" x14ac:dyDescent="0.25">
      <c r="A435" s="10" t="str">
        <f t="shared" si="12"/>
        <v/>
      </c>
      <c r="B435" s="11"/>
      <c r="C435" s="10" t="str">
        <f t="shared" si="13"/>
        <v/>
      </c>
      <c r="D435" s="11"/>
      <c r="E435" s="11"/>
      <c r="F435" s="11"/>
      <c r="G435" s="11"/>
      <c r="H435" s="10" t="str">
        <f>IF(ISBLANK(F435),"",IF(G435&lt;&gt;"",UPPER(TRIM(G435)),IF(ISNUMBER(SEARCH(" ",TRIM(F435))),UPPER(LEFT(TRIM(RIGHT(SUBSTITUTE(TRIM(F435)," ",REPT(" ",100)),100)),Settings!$B$9)),UPPER(LEFT(TRIM(F435),Settings!$B$9)))))</f>
        <v/>
      </c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0" t="str">
        <f>IF(ISBLANK(D435),"",IF(COUNTIFS(Circulation!$B$2:$B$500,A435,Circulation!$H$2:$H$500,"Active")&gt;0,"On Loan","Available"))</f>
        <v/>
      </c>
      <c r="AA435" s="11"/>
      <c r="AB435" s="11"/>
      <c r="AC435" s="11"/>
      <c r="AD435" s="11"/>
      <c r="AE435" s="11"/>
      <c r="AF435" s="11"/>
      <c r="AG435" s="11"/>
    </row>
    <row r="436" spans="1:33" x14ac:dyDescent="0.25">
      <c r="A436" s="10" t="str">
        <f t="shared" si="12"/>
        <v/>
      </c>
      <c r="B436" s="11"/>
      <c r="C436" s="10" t="str">
        <f t="shared" si="13"/>
        <v/>
      </c>
      <c r="D436" s="11"/>
      <c r="E436" s="11"/>
      <c r="F436" s="11"/>
      <c r="G436" s="11"/>
      <c r="H436" s="10" t="str">
        <f>IF(ISBLANK(F436),"",IF(G436&lt;&gt;"",UPPER(TRIM(G436)),IF(ISNUMBER(SEARCH(" ",TRIM(F436))),UPPER(LEFT(TRIM(RIGHT(SUBSTITUTE(TRIM(F436)," ",REPT(" ",100)),100)),Settings!$B$9)),UPPER(LEFT(TRIM(F436),Settings!$B$9)))))</f>
        <v/>
      </c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0" t="str">
        <f>IF(ISBLANK(D436),"",IF(COUNTIFS(Circulation!$B$2:$B$500,A436,Circulation!$H$2:$H$500,"Active")&gt;0,"On Loan","Available"))</f>
        <v/>
      </c>
      <c r="AA436" s="11"/>
      <c r="AB436" s="11"/>
      <c r="AC436" s="11"/>
      <c r="AD436" s="11"/>
      <c r="AE436" s="11"/>
      <c r="AF436" s="11"/>
      <c r="AG436" s="11"/>
    </row>
    <row r="437" spans="1:33" x14ac:dyDescent="0.25">
      <c r="A437" s="10" t="str">
        <f t="shared" si="12"/>
        <v/>
      </c>
      <c r="B437" s="11"/>
      <c r="C437" s="10" t="str">
        <f t="shared" si="13"/>
        <v/>
      </c>
      <c r="D437" s="11"/>
      <c r="E437" s="11"/>
      <c r="F437" s="11"/>
      <c r="G437" s="11"/>
      <c r="H437" s="10" t="str">
        <f>IF(ISBLANK(F437),"",IF(G437&lt;&gt;"",UPPER(TRIM(G437)),IF(ISNUMBER(SEARCH(" ",TRIM(F437))),UPPER(LEFT(TRIM(RIGHT(SUBSTITUTE(TRIM(F437)," ",REPT(" ",100)),100)),Settings!$B$9)),UPPER(LEFT(TRIM(F437),Settings!$B$9)))))</f>
        <v/>
      </c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0" t="str">
        <f>IF(ISBLANK(D437),"",IF(COUNTIFS(Circulation!$B$2:$B$500,A437,Circulation!$H$2:$H$500,"Active")&gt;0,"On Loan","Available"))</f>
        <v/>
      </c>
      <c r="AA437" s="11"/>
      <c r="AB437" s="11"/>
      <c r="AC437" s="11"/>
      <c r="AD437" s="11"/>
      <c r="AE437" s="11"/>
      <c r="AF437" s="11"/>
      <c r="AG437" s="11"/>
    </row>
    <row r="438" spans="1:33" x14ac:dyDescent="0.25">
      <c r="A438" s="10" t="str">
        <f t="shared" si="12"/>
        <v/>
      </c>
      <c r="B438" s="11"/>
      <c r="C438" s="10" t="str">
        <f t="shared" si="13"/>
        <v/>
      </c>
      <c r="D438" s="11"/>
      <c r="E438" s="11"/>
      <c r="F438" s="11"/>
      <c r="G438" s="11"/>
      <c r="H438" s="10" t="str">
        <f>IF(ISBLANK(F438),"",IF(G438&lt;&gt;"",UPPER(TRIM(G438)),IF(ISNUMBER(SEARCH(" ",TRIM(F438))),UPPER(LEFT(TRIM(RIGHT(SUBSTITUTE(TRIM(F438)," ",REPT(" ",100)),100)),Settings!$B$9)),UPPER(LEFT(TRIM(F438),Settings!$B$9)))))</f>
        <v/>
      </c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0" t="str">
        <f>IF(ISBLANK(D438),"",IF(COUNTIFS(Circulation!$B$2:$B$500,A438,Circulation!$H$2:$H$500,"Active")&gt;0,"On Loan","Available"))</f>
        <v/>
      </c>
      <c r="AA438" s="11"/>
      <c r="AB438" s="11"/>
      <c r="AC438" s="11"/>
      <c r="AD438" s="11"/>
      <c r="AE438" s="11"/>
      <c r="AF438" s="11"/>
      <c r="AG438" s="11"/>
    </row>
    <row r="439" spans="1:33" x14ac:dyDescent="0.25">
      <c r="A439" s="10" t="str">
        <f t="shared" si="12"/>
        <v/>
      </c>
      <c r="B439" s="11"/>
      <c r="C439" s="10" t="str">
        <f t="shared" si="13"/>
        <v/>
      </c>
      <c r="D439" s="11"/>
      <c r="E439" s="11"/>
      <c r="F439" s="11"/>
      <c r="G439" s="11"/>
      <c r="H439" s="10" t="str">
        <f>IF(ISBLANK(F439),"",IF(G439&lt;&gt;"",UPPER(TRIM(G439)),IF(ISNUMBER(SEARCH(" ",TRIM(F439))),UPPER(LEFT(TRIM(RIGHT(SUBSTITUTE(TRIM(F439)," ",REPT(" ",100)),100)),Settings!$B$9)),UPPER(LEFT(TRIM(F439),Settings!$B$9)))))</f>
        <v/>
      </c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0" t="str">
        <f>IF(ISBLANK(D439),"",IF(COUNTIFS(Circulation!$B$2:$B$500,A439,Circulation!$H$2:$H$500,"Active")&gt;0,"On Loan","Available"))</f>
        <v/>
      </c>
      <c r="AA439" s="11"/>
      <c r="AB439" s="11"/>
      <c r="AC439" s="11"/>
      <c r="AD439" s="11"/>
      <c r="AE439" s="11"/>
      <c r="AF439" s="11"/>
      <c r="AG439" s="11"/>
    </row>
    <row r="440" spans="1:33" x14ac:dyDescent="0.25">
      <c r="A440" s="10" t="str">
        <f t="shared" si="12"/>
        <v/>
      </c>
      <c r="B440" s="11"/>
      <c r="C440" s="10" t="str">
        <f t="shared" si="13"/>
        <v/>
      </c>
      <c r="D440" s="11"/>
      <c r="E440" s="11"/>
      <c r="F440" s="11"/>
      <c r="G440" s="11"/>
      <c r="H440" s="10" t="str">
        <f>IF(ISBLANK(F440),"",IF(G440&lt;&gt;"",UPPER(TRIM(G440)),IF(ISNUMBER(SEARCH(" ",TRIM(F440))),UPPER(LEFT(TRIM(RIGHT(SUBSTITUTE(TRIM(F440)," ",REPT(" ",100)),100)),Settings!$B$9)),UPPER(LEFT(TRIM(F440),Settings!$B$9)))))</f>
        <v/>
      </c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0" t="str">
        <f>IF(ISBLANK(D440),"",IF(COUNTIFS(Circulation!$B$2:$B$500,A440,Circulation!$H$2:$H$500,"Active")&gt;0,"On Loan","Available"))</f>
        <v/>
      </c>
      <c r="AA440" s="11"/>
      <c r="AB440" s="11"/>
      <c r="AC440" s="11"/>
      <c r="AD440" s="11"/>
      <c r="AE440" s="11"/>
      <c r="AF440" s="11"/>
      <c r="AG440" s="11"/>
    </row>
    <row r="441" spans="1:33" x14ac:dyDescent="0.25">
      <c r="A441" s="10" t="str">
        <f t="shared" si="12"/>
        <v/>
      </c>
      <c r="B441" s="11"/>
      <c r="C441" s="10" t="str">
        <f t="shared" si="13"/>
        <v/>
      </c>
      <c r="D441" s="11"/>
      <c r="E441" s="11"/>
      <c r="F441" s="11"/>
      <c r="G441" s="11"/>
      <c r="H441" s="10" t="str">
        <f>IF(ISBLANK(F441),"",IF(G441&lt;&gt;"",UPPER(TRIM(G441)),IF(ISNUMBER(SEARCH(" ",TRIM(F441))),UPPER(LEFT(TRIM(RIGHT(SUBSTITUTE(TRIM(F441)," ",REPT(" ",100)),100)),Settings!$B$9)),UPPER(LEFT(TRIM(F441),Settings!$B$9)))))</f>
        <v/>
      </c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0" t="str">
        <f>IF(ISBLANK(D441),"",IF(COUNTIFS(Circulation!$B$2:$B$500,A441,Circulation!$H$2:$H$500,"Active")&gt;0,"On Loan","Available"))</f>
        <v/>
      </c>
      <c r="AA441" s="11"/>
      <c r="AB441" s="11"/>
      <c r="AC441" s="11"/>
      <c r="AD441" s="11"/>
      <c r="AE441" s="11"/>
      <c r="AF441" s="11"/>
      <c r="AG441" s="11"/>
    </row>
    <row r="442" spans="1:33" x14ac:dyDescent="0.25">
      <c r="A442" s="10" t="str">
        <f t="shared" si="12"/>
        <v/>
      </c>
      <c r="B442" s="11"/>
      <c r="C442" s="10" t="str">
        <f t="shared" si="13"/>
        <v/>
      </c>
      <c r="D442" s="11"/>
      <c r="E442" s="11"/>
      <c r="F442" s="11"/>
      <c r="G442" s="11"/>
      <c r="H442" s="10" t="str">
        <f>IF(ISBLANK(F442),"",IF(G442&lt;&gt;"",UPPER(TRIM(G442)),IF(ISNUMBER(SEARCH(" ",TRIM(F442))),UPPER(LEFT(TRIM(RIGHT(SUBSTITUTE(TRIM(F442)," ",REPT(" ",100)),100)),Settings!$B$9)),UPPER(LEFT(TRIM(F442),Settings!$B$9)))))</f>
        <v/>
      </c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0" t="str">
        <f>IF(ISBLANK(D442),"",IF(COUNTIFS(Circulation!$B$2:$B$500,A442,Circulation!$H$2:$H$500,"Active")&gt;0,"On Loan","Available"))</f>
        <v/>
      </c>
      <c r="AA442" s="11"/>
      <c r="AB442" s="11"/>
      <c r="AC442" s="11"/>
      <c r="AD442" s="11"/>
      <c r="AE442" s="11"/>
      <c r="AF442" s="11"/>
      <c r="AG442" s="11"/>
    </row>
    <row r="443" spans="1:33" x14ac:dyDescent="0.25">
      <c r="A443" s="10" t="str">
        <f t="shared" si="12"/>
        <v/>
      </c>
      <c r="B443" s="11"/>
      <c r="C443" s="10" t="str">
        <f t="shared" si="13"/>
        <v/>
      </c>
      <c r="D443" s="11"/>
      <c r="E443" s="11"/>
      <c r="F443" s="11"/>
      <c r="G443" s="11"/>
      <c r="H443" s="10" t="str">
        <f>IF(ISBLANK(F443),"",IF(G443&lt;&gt;"",UPPER(TRIM(G443)),IF(ISNUMBER(SEARCH(" ",TRIM(F443))),UPPER(LEFT(TRIM(RIGHT(SUBSTITUTE(TRIM(F443)," ",REPT(" ",100)),100)),Settings!$B$9)),UPPER(LEFT(TRIM(F443),Settings!$B$9)))))</f>
        <v/>
      </c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0" t="str">
        <f>IF(ISBLANK(D443),"",IF(COUNTIFS(Circulation!$B$2:$B$500,A443,Circulation!$H$2:$H$500,"Active")&gt;0,"On Loan","Available"))</f>
        <v/>
      </c>
      <c r="AA443" s="11"/>
      <c r="AB443" s="11"/>
      <c r="AC443" s="11"/>
      <c r="AD443" s="11"/>
      <c r="AE443" s="11"/>
      <c r="AF443" s="11"/>
      <c r="AG443" s="11"/>
    </row>
    <row r="444" spans="1:33" x14ac:dyDescent="0.25">
      <c r="A444" s="10" t="str">
        <f t="shared" si="12"/>
        <v/>
      </c>
      <c r="B444" s="11"/>
      <c r="C444" s="10" t="str">
        <f t="shared" si="13"/>
        <v/>
      </c>
      <c r="D444" s="11"/>
      <c r="E444" s="11"/>
      <c r="F444" s="11"/>
      <c r="G444" s="11"/>
      <c r="H444" s="10" t="str">
        <f>IF(ISBLANK(F444),"",IF(G444&lt;&gt;"",UPPER(TRIM(G444)),IF(ISNUMBER(SEARCH(" ",TRIM(F444))),UPPER(LEFT(TRIM(RIGHT(SUBSTITUTE(TRIM(F444)," ",REPT(" ",100)),100)),Settings!$B$9)),UPPER(LEFT(TRIM(F444),Settings!$B$9)))))</f>
        <v/>
      </c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0" t="str">
        <f>IF(ISBLANK(D444),"",IF(COUNTIFS(Circulation!$B$2:$B$500,A444,Circulation!$H$2:$H$500,"Active")&gt;0,"On Loan","Available"))</f>
        <v/>
      </c>
      <c r="AA444" s="11"/>
      <c r="AB444" s="11"/>
      <c r="AC444" s="11"/>
      <c r="AD444" s="11"/>
      <c r="AE444" s="11"/>
      <c r="AF444" s="11"/>
      <c r="AG444" s="11"/>
    </row>
    <row r="445" spans="1:33" x14ac:dyDescent="0.25">
      <c r="A445" s="10" t="str">
        <f t="shared" si="12"/>
        <v/>
      </c>
      <c r="B445" s="11"/>
      <c r="C445" s="10" t="str">
        <f t="shared" si="13"/>
        <v/>
      </c>
      <c r="D445" s="11"/>
      <c r="E445" s="11"/>
      <c r="F445" s="11"/>
      <c r="G445" s="11"/>
      <c r="H445" s="10" t="str">
        <f>IF(ISBLANK(F445),"",IF(G445&lt;&gt;"",UPPER(TRIM(G445)),IF(ISNUMBER(SEARCH(" ",TRIM(F445))),UPPER(LEFT(TRIM(RIGHT(SUBSTITUTE(TRIM(F445)," ",REPT(" ",100)),100)),Settings!$B$9)),UPPER(LEFT(TRIM(F445),Settings!$B$9)))))</f>
        <v/>
      </c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0" t="str">
        <f>IF(ISBLANK(D445),"",IF(COUNTIFS(Circulation!$B$2:$B$500,A445,Circulation!$H$2:$H$500,"Active")&gt;0,"On Loan","Available"))</f>
        <v/>
      </c>
      <c r="AA445" s="11"/>
      <c r="AB445" s="11"/>
      <c r="AC445" s="11"/>
      <c r="AD445" s="11"/>
      <c r="AE445" s="11"/>
      <c r="AF445" s="11"/>
      <c r="AG445" s="11"/>
    </row>
    <row r="446" spans="1:33" x14ac:dyDescent="0.25">
      <c r="A446" s="10" t="str">
        <f t="shared" si="12"/>
        <v/>
      </c>
      <c r="B446" s="11"/>
      <c r="C446" s="10" t="str">
        <f t="shared" si="13"/>
        <v/>
      </c>
      <c r="D446" s="11"/>
      <c r="E446" s="11"/>
      <c r="F446" s="11"/>
      <c r="G446" s="11"/>
      <c r="H446" s="10" t="str">
        <f>IF(ISBLANK(F446),"",IF(G446&lt;&gt;"",UPPER(TRIM(G446)),IF(ISNUMBER(SEARCH(" ",TRIM(F446))),UPPER(LEFT(TRIM(RIGHT(SUBSTITUTE(TRIM(F446)," ",REPT(" ",100)),100)),Settings!$B$9)),UPPER(LEFT(TRIM(F446),Settings!$B$9)))))</f>
        <v/>
      </c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0" t="str">
        <f>IF(ISBLANK(D446),"",IF(COUNTIFS(Circulation!$B$2:$B$500,A446,Circulation!$H$2:$H$500,"Active")&gt;0,"On Loan","Available"))</f>
        <v/>
      </c>
      <c r="AA446" s="11"/>
      <c r="AB446" s="11"/>
      <c r="AC446" s="11"/>
      <c r="AD446" s="11"/>
      <c r="AE446" s="11"/>
      <c r="AF446" s="11"/>
      <c r="AG446" s="11"/>
    </row>
    <row r="447" spans="1:33" x14ac:dyDescent="0.25">
      <c r="A447" s="10" t="str">
        <f t="shared" si="12"/>
        <v/>
      </c>
      <c r="B447" s="11"/>
      <c r="C447" s="10" t="str">
        <f t="shared" si="13"/>
        <v/>
      </c>
      <c r="D447" s="11"/>
      <c r="E447" s="11"/>
      <c r="F447" s="11"/>
      <c r="G447" s="11"/>
      <c r="H447" s="10" t="str">
        <f>IF(ISBLANK(F447),"",IF(G447&lt;&gt;"",UPPER(TRIM(G447)),IF(ISNUMBER(SEARCH(" ",TRIM(F447))),UPPER(LEFT(TRIM(RIGHT(SUBSTITUTE(TRIM(F447)," ",REPT(" ",100)),100)),Settings!$B$9)),UPPER(LEFT(TRIM(F447),Settings!$B$9)))))</f>
        <v/>
      </c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0" t="str">
        <f>IF(ISBLANK(D447),"",IF(COUNTIFS(Circulation!$B$2:$B$500,A447,Circulation!$H$2:$H$500,"Active")&gt;0,"On Loan","Available"))</f>
        <v/>
      </c>
      <c r="AA447" s="11"/>
      <c r="AB447" s="11"/>
      <c r="AC447" s="11"/>
      <c r="AD447" s="11"/>
      <c r="AE447" s="11"/>
      <c r="AF447" s="11"/>
      <c r="AG447" s="11"/>
    </row>
    <row r="448" spans="1:33" x14ac:dyDescent="0.25">
      <c r="A448" s="10" t="str">
        <f t="shared" si="12"/>
        <v/>
      </c>
      <c r="B448" s="11"/>
      <c r="C448" s="10" t="str">
        <f t="shared" si="13"/>
        <v/>
      </c>
      <c r="D448" s="11"/>
      <c r="E448" s="11"/>
      <c r="F448" s="11"/>
      <c r="G448" s="11"/>
      <c r="H448" s="10" t="str">
        <f>IF(ISBLANK(F448),"",IF(G448&lt;&gt;"",UPPER(TRIM(G448)),IF(ISNUMBER(SEARCH(" ",TRIM(F448))),UPPER(LEFT(TRIM(RIGHT(SUBSTITUTE(TRIM(F448)," ",REPT(" ",100)),100)),Settings!$B$9)),UPPER(LEFT(TRIM(F448),Settings!$B$9)))))</f>
        <v/>
      </c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0" t="str">
        <f>IF(ISBLANK(D448),"",IF(COUNTIFS(Circulation!$B$2:$B$500,A448,Circulation!$H$2:$H$500,"Active")&gt;0,"On Loan","Available"))</f>
        <v/>
      </c>
      <c r="AA448" s="11"/>
      <c r="AB448" s="11"/>
      <c r="AC448" s="11"/>
      <c r="AD448" s="11"/>
      <c r="AE448" s="11"/>
      <c r="AF448" s="11"/>
      <c r="AG448" s="11"/>
    </row>
    <row r="449" spans="1:33" x14ac:dyDescent="0.25">
      <c r="A449" s="10" t="str">
        <f t="shared" si="12"/>
        <v/>
      </c>
      <c r="B449" s="11"/>
      <c r="C449" s="10" t="str">
        <f t="shared" si="13"/>
        <v/>
      </c>
      <c r="D449" s="11"/>
      <c r="E449" s="11"/>
      <c r="F449" s="11"/>
      <c r="G449" s="11"/>
      <c r="H449" s="10" t="str">
        <f>IF(ISBLANK(F449),"",IF(G449&lt;&gt;"",UPPER(TRIM(G449)),IF(ISNUMBER(SEARCH(" ",TRIM(F449))),UPPER(LEFT(TRIM(RIGHT(SUBSTITUTE(TRIM(F449)," ",REPT(" ",100)),100)),Settings!$B$9)),UPPER(LEFT(TRIM(F449),Settings!$B$9)))))</f>
        <v/>
      </c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0" t="str">
        <f>IF(ISBLANK(D449),"",IF(COUNTIFS(Circulation!$B$2:$B$500,A449,Circulation!$H$2:$H$500,"Active")&gt;0,"On Loan","Available"))</f>
        <v/>
      </c>
      <c r="AA449" s="11"/>
      <c r="AB449" s="11"/>
      <c r="AC449" s="11"/>
      <c r="AD449" s="11"/>
      <c r="AE449" s="11"/>
      <c r="AF449" s="11"/>
      <c r="AG449" s="11"/>
    </row>
    <row r="450" spans="1:33" x14ac:dyDescent="0.25">
      <c r="A450" s="10" t="str">
        <f t="shared" ref="A450:A501" si="14">IF(ISBLANK(D450),"",ROW()-1)</f>
        <v/>
      </c>
      <c r="B450" s="11"/>
      <c r="C450" s="10" t="str">
        <f t="shared" ref="C450:C501" si="15">IF(ISBLANK(D450),"",MID(K450,SEARCH("(",K450)+1,SEARCH(")",K450)-SEARCH("(",K450)-1)&amp;"-"&amp;MID(L450,SEARCH("(",L450)+1,SEARCH(")",L450)-SEARCH("(",L450)-1)&amp;"-"&amp;H450&amp;"-"&amp;TEXT(A450,"000")&amp;IF(ISBLANK(N450),"","-"&amp;SUBSTITUTE(N450," ","")))</f>
        <v/>
      </c>
      <c r="D450" s="11"/>
      <c r="E450" s="11"/>
      <c r="F450" s="11"/>
      <c r="G450" s="11"/>
      <c r="H450" s="10" t="str">
        <f>IF(ISBLANK(F450),"",IF(G450&lt;&gt;"",UPPER(TRIM(G450)),IF(ISNUMBER(SEARCH(" ",TRIM(F450))),UPPER(LEFT(TRIM(RIGHT(SUBSTITUTE(TRIM(F450)," ",REPT(" ",100)),100)),Settings!$B$9)),UPPER(LEFT(TRIM(F450),Settings!$B$9)))))</f>
        <v/>
      </c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0" t="str">
        <f>IF(ISBLANK(D450),"",IF(COUNTIFS(Circulation!$B$2:$B$500,A450,Circulation!$H$2:$H$500,"Active")&gt;0,"On Loan","Available"))</f>
        <v/>
      </c>
      <c r="AA450" s="11"/>
      <c r="AB450" s="11"/>
      <c r="AC450" s="11"/>
      <c r="AD450" s="11"/>
      <c r="AE450" s="11"/>
      <c r="AF450" s="11"/>
      <c r="AG450" s="11"/>
    </row>
    <row r="451" spans="1:33" x14ac:dyDescent="0.25">
      <c r="A451" s="10" t="str">
        <f t="shared" si="14"/>
        <v/>
      </c>
      <c r="B451" s="11"/>
      <c r="C451" s="10" t="str">
        <f t="shared" si="15"/>
        <v/>
      </c>
      <c r="D451" s="11"/>
      <c r="E451" s="11"/>
      <c r="F451" s="11"/>
      <c r="G451" s="11"/>
      <c r="H451" s="10" t="str">
        <f>IF(ISBLANK(F451),"",IF(G451&lt;&gt;"",UPPER(TRIM(G451)),IF(ISNUMBER(SEARCH(" ",TRIM(F451))),UPPER(LEFT(TRIM(RIGHT(SUBSTITUTE(TRIM(F451)," ",REPT(" ",100)),100)),Settings!$B$9)),UPPER(LEFT(TRIM(F451),Settings!$B$9)))))</f>
        <v/>
      </c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0" t="str">
        <f>IF(ISBLANK(D451),"",IF(COUNTIFS(Circulation!$B$2:$B$500,A451,Circulation!$H$2:$H$500,"Active")&gt;0,"On Loan","Available"))</f>
        <v/>
      </c>
      <c r="AA451" s="11"/>
      <c r="AB451" s="11"/>
      <c r="AC451" s="11"/>
      <c r="AD451" s="11"/>
      <c r="AE451" s="11"/>
      <c r="AF451" s="11"/>
      <c r="AG451" s="11"/>
    </row>
    <row r="452" spans="1:33" x14ac:dyDescent="0.25">
      <c r="A452" s="10" t="str">
        <f t="shared" si="14"/>
        <v/>
      </c>
      <c r="B452" s="11"/>
      <c r="C452" s="10" t="str">
        <f t="shared" si="15"/>
        <v/>
      </c>
      <c r="D452" s="11"/>
      <c r="E452" s="11"/>
      <c r="F452" s="11"/>
      <c r="G452" s="11"/>
      <c r="H452" s="10" t="str">
        <f>IF(ISBLANK(F452),"",IF(G452&lt;&gt;"",UPPER(TRIM(G452)),IF(ISNUMBER(SEARCH(" ",TRIM(F452))),UPPER(LEFT(TRIM(RIGHT(SUBSTITUTE(TRIM(F452)," ",REPT(" ",100)),100)),Settings!$B$9)),UPPER(LEFT(TRIM(F452),Settings!$B$9)))))</f>
        <v/>
      </c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0" t="str">
        <f>IF(ISBLANK(D452),"",IF(COUNTIFS(Circulation!$B$2:$B$500,A452,Circulation!$H$2:$H$500,"Active")&gt;0,"On Loan","Available"))</f>
        <v/>
      </c>
      <c r="AA452" s="11"/>
      <c r="AB452" s="11"/>
      <c r="AC452" s="11"/>
      <c r="AD452" s="11"/>
      <c r="AE452" s="11"/>
      <c r="AF452" s="11"/>
      <c r="AG452" s="11"/>
    </row>
    <row r="453" spans="1:33" x14ac:dyDescent="0.25">
      <c r="A453" s="10" t="str">
        <f t="shared" si="14"/>
        <v/>
      </c>
      <c r="B453" s="11"/>
      <c r="C453" s="10" t="str">
        <f t="shared" si="15"/>
        <v/>
      </c>
      <c r="D453" s="11"/>
      <c r="E453" s="11"/>
      <c r="F453" s="11"/>
      <c r="G453" s="11"/>
      <c r="H453" s="10" t="str">
        <f>IF(ISBLANK(F453),"",IF(G453&lt;&gt;"",UPPER(TRIM(G453)),IF(ISNUMBER(SEARCH(" ",TRIM(F453))),UPPER(LEFT(TRIM(RIGHT(SUBSTITUTE(TRIM(F453)," ",REPT(" ",100)),100)),Settings!$B$9)),UPPER(LEFT(TRIM(F453),Settings!$B$9)))))</f>
        <v/>
      </c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0" t="str">
        <f>IF(ISBLANK(D453),"",IF(COUNTIFS(Circulation!$B$2:$B$500,A453,Circulation!$H$2:$H$500,"Active")&gt;0,"On Loan","Available"))</f>
        <v/>
      </c>
      <c r="AA453" s="11"/>
      <c r="AB453" s="11"/>
      <c r="AC453" s="11"/>
      <c r="AD453" s="11"/>
      <c r="AE453" s="11"/>
      <c r="AF453" s="11"/>
      <c r="AG453" s="11"/>
    </row>
    <row r="454" spans="1:33" x14ac:dyDescent="0.25">
      <c r="A454" s="10" t="str">
        <f t="shared" si="14"/>
        <v/>
      </c>
      <c r="B454" s="11"/>
      <c r="C454" s="10" t="str">
        <f t="shared" si="15"/>
        <v/>
      </c>
      <c r="D454" s="11"/>
      <c r="E454" s="11"/>
      <c r="F454" s="11"/>
      <c r="G454" s="11"/>
      <c r="H454" s="10" t="str">
        <f>IF(ISBLANK(F454),"",IF(G454&lt;&gt;"",UPPER(TRIM(G454)),IF(ISNUMBER(SEARCH(" ",TRIM(F454))),UPPER(LEFT(TRIM(RIGHT(SUBSTITUTE(TRIM(F454)," ",REPT(" ",100)),100)),Settings!$B$9)),UPPER(LEFT(TRIM(F454),Settings!$B$9)))))</f>
        <v/>
      </c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0" t="str">
        <f>IF(ISBLANK(D454),"",IF(COUNTIFS(Circulation!$B$2:$B$500,A454,Circulation!$H$2:$H$500,"Active")&gt;0,"On Loan","Available"))</f>
        <v/>
      </c>
      <c r="AA454" s="11"/>
      <c r="AB454" s="11"/>
      <c r="AC454" s="11"/>
      <c r="AD454" s="11"/>
      <c r="AE454" s="11"/>
      <c r="AF454" s="11"/>
      <c r="AG454" s="11"/>
    </row>
    <row r="455" spans="1:33" x14ac:dyDescent="0.25">
      <c r="A455" s="10" t="str">
        <f t="shared" si="14"/>
        <v/>
      </c>
      <c r="B455" s="11"/>
      <c r="C455" s="10" t="str">
        <f t="shared" si="15"/>
        <v/>
      </c>
      <c r="D455" s="11"/>
      <c r="E455" s="11"/>
      <c r="F455" s="11"/>
      <c r="G455" s="11"/>
      <c r="H455" s="10" t="str">
        <f>IF(ISBLANK(F455),"",IF(G455&lt;&gt;"",UPPER(TRIM(G455)),IF(ISNUMBER(SEARCH(" ",TRIM(F455))),UPPER(LEFT(TRIM(RIGHT(SUBSTITUTE(TRIM(F455)," ",REPT(" ",100)),100)),Settings!$B$9)),UPPER(LEFT(TRIM(F455),Settings!$B$9)))))</f>
        <v/>
      </c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0" t="str">
        <f>IF(ISBLANK(D455),"",IF(COUNTIFS(Circulation!$B$2:$B$500,A455,Circulation!$H$2:$H$500,"Active")&gt;0,"On Loan","Available"))</f>
        <v/>
      </c>
      <c r="AA455" s="11"/>
      <c r="AB455" s="11"/>
      <c r="AC455" s="11"/>
      <c r="AD455" s="11"/>
      <c r="AE455" s="11"/>
      <c r="AF455" s="11"/>
      <c r="AG455" s="11"/>
    </row>
    <row r="456" spans="1:33" x14ac:dyDescent="0.25">
      <c r="A456" s="10" t="str">
        <f t="shared" si="14"/>
        <v/>
      </c>
      <c r="B456" s="11"/>
      <c r="C456" s="10" t="str">
        <f t="shared" si="15"/>
        <v/>
      </c>
      <c r="D456" s="11"/>
      <c r="E456" s="11"/>
      <c r="F456" s="11"/>
      <c r="G456" s="11"/>
      <c r="H456" s="10" t="str">
        <f>IF(ISBLANK(F456),"",IF(G456&lt;&gt;"",UPPER(TRIM(G456)),IF(ISNUMBER(SEARCH(" ",TRIM(F456))),UPPER(LEFT(TRIM(RIGHT(SUBSTITUTE(TRIM(F456)," ",REPT(" ",100)),100)),Settings!$B$9)),UPPER(LEFT(TRIM(F456),Settings!$B$9)))))</f>
        <v/>
      </c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0" t="str">
        <f>IF(ISBLANK(D456),"",IF(COUNTIFS(Circulation!$B$2:$B$500,A456,Circulation!$H$2:$H$500,"Active")&gt;0,"On Loan","Available"))</f>
        <v/>
      </c>
      <c r="AA456" s="11"/>
      <c r="AB456" s="11"/>
      <c r="AC456" s="11"/>
      <c r="AD456" s="11"/>
      <c r="AE456" s="11"/>
      <c r="AF456" s="11"/>
      <c r="AG456" s="11"/>
    </row>
    <row r="457" spans="1:33" x14ac:dyDescent="0.25">
      <c r="A457" s="10" t="str">
        <f t="shared" si="14"/>
        <v/>
      </c>
      <c r="B457" s="11"/>
      <c r="C457" s="10" t="str">
        <f t="shared" si="15"/>
        <v/>
      </c>
      <c r="D457" s="11"/>
      <c r="E457" s="11"/>
      <c r="F457" s="11"/>
      <c r="G457" s="11"/>
      <c r="H457" s="10" t="str">
        <f>IF(ISBLANK(F457),"",IF(G457&lt;&gt;"",UPPER(TRIM(G457)),IF(ISNUMBER(SEARCH(" ",TRIM(F457))),UPPER(LEFT(TRIM(RIGHT(SUBSTITUTE(TRIM(F457)," ",REPT(" ",100)),100)),Settings!$B$9)),UPPER(LEFT(TRIM(F457),Settings!$B$9)))))</f>
        <v/>
      </c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0" t="str">
        <f>IF(ISBLANK(D457),"",IF(COUNTIFS(Circulation!$B$2:$B$500,A457,Circulation!$H$2:$H$500,"Active")&gt;0,"On Loan","Available"))</f>
        <v/>
      </c>
      <c r="AA457" s="11"/>
      <c r="AB457" s="11"/>
      <c r="AC457" s="11"/>
      <c r="AD457" s="11"/>
      <c r="AE457" s="11"/>
      <c r="AF457" s="11"/>
      <c r="AG457" s="11"/>
    </row>
    <row r="458" spans="1:33" x14ac:dyDescent="0.25">
      <c r="A458" s="10" t="str">
        <f t="shared" si="14"/>
        <v/>
      </c>
      <c r="B458" s="11"/>
      <c r="C458" s="10" t="str">
        <f t="shared" si="15"/>
        <v/>
      </c>
      <c r="D458" s="11"/>
      <c r="E458" s="11"/>
      <c r="F458" s="11"/>
      <c r="G458" s="11"/>
      <c r="H458" s="10" t="str">
        <f>IF(ISBLANK(F458),"",IF(G458&lt;&gt;"",UPPER(TRIM(G458)),IF(ISNUMBER(SEARCH(" ",TRIM(F458))),UPPER(LEFT(TRIM(RIGHT(SUBSTITUTE(TRIM(F458)," ",REPT(" ",100)),100)),Settings!$B$9)),UPPER(LEFT(TRIM(F458),Settings!$B$9)))))</f>
        <v/>
      </c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0" t="str">
        <f>IF(ISBLANK(D458),"",IF(COUNTIFS(Circulation!$B$2:$B$500,A458,Circulation!$H$2:$H$500,"Active")&gt;0,"On Loan","Available"))</f>
        <v/>
      </c>
      <c r="AA458" s="11"/>
      <c r="AB458" s="11"/>
      <c r="AC458" s="11"/>
      <c r="AD458" s="11"/>
      <c r="AE458" s="11"/>
      <c r="AF458" s="11"/>
      <c r="AG458" s="11"/>
    </row>
    <row r="459" spans="1:33" x14ac:dyDescent="0.25">
      <c r="A459" s="10" t="str">
        <f t="shared" si="14"/>
        <v/>
      </c>
      <c r="B459" s="11"/>
      <c r="C459" s="10" t="str">
        <f t="shared" si="15"/>
        <v/>
      </c>
      <c r="D459" s="11"/>
      <c r="E459" s="11"/>
      <c r="F459" s="11"/>
      <c r="G459" s="11"/>
      <c r="H459" s="10" t="str">
        <f>IF(ISBLANK(F459),"",IF(G459&lt;&gt;"",UPPER(TRIM(G459)),IF(ISNUMBER(SEARCH(" ",TRIM(F459))),UPPER(LEFT(TRIM(RIGHT(SUBSTITUTE(TRIM(F459)," ",REPT(" ",100)),100)),Settings!$B$9)),UPPER(LEFT(TRIM(F459),Settings!$B$9)))))</f>
        <v/>
      </c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0" t="str">
        <f>IF(ISBLANK(D459),"",IF(COUNTIFS(Circulation!$B$2:$B$500,A459,Circulation!$H$2:$H$500,"Active")&gt;0,"On Loan","Available"))</f>
        <v/>
      </c>
      <c r="AA459" s="11"/>
      <c r="AB459" s="11"/>
      <c r="AC459" s="11"/>
      <c r="AD459" s="11"/>
      <c r="AE459" s="11"/>
      <c r="AF459" s="11"/>
      <c r="AG459" s="11"/>
    </row>
    <row r="460" spans="1:33" x14ac:dyDescent="0.25">
      <c r="A460" s="10" t="str">
        <f t="shared" si="14"/>
        <v/>
      </c>
      <c r="B460" s="11"/>
      <c r="C460" s="10" t="str">
        <f t="shared" si="15"/>
        <v/>
      </c>
      <c r="D460" s="11"/>
      <c r="E460" s="11"/>
      <c r="F460" s="11"/>
      <c r="G460" s="11"/>
      <c r="H460" s="10" t="str">
        <f>IF(ISBLANK(F460),"",IF(G460&lt;&gt;"",UPPER(TRIM(G460)),IF(ISNUMBER(SEARCH(" ",TRIM(F460))),UPPER(LEFT(TRIM(RIGHT(SUBSTITUTE(TRIM(F460)," ",REPT(" ",100)),100)),Settings!$B$9)),UPPER(LEFT(TRIM(F460),Settings!$B$9)))))</f>
        <v/>
      </c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0" t="str">
        <f>IF(ISBLANK(D460),"",IF(COUNTIFS(Circulation!$B$2:$B$500,A460,Circulation!$H$2:$H$500,"Active")&gt;0,"On Loan","Available"))</f>
        <v/>
      </c>
      <c r="AA460" s="11"/>
      <c r="AB460" s="11"/>
      <c r="AC460" s="11"/>
      <c r="AD460" s="11"/>
      <c r="AE460" s="11"/>
      <c r="AF460" s="11"/>
      <c r="AG460" s="11"/>
    </row>
    <row r="461" spans="1:33" x14ac:dyDescent="0.25">
      <c r="A461" s="10" t="str">
        <f t="shared" si="14"/>
        <v/>
      </c>
      <c r="B461" s="11"/>
      <c r="C461" s="10" t="str">
        <f t="shared" si="15"/>
        <v/>
      </c>
      <c r="D461" s="11"/>
      <c r="E461" s="11"/>
      <c r="F461" s="11"/>
      <c r="G461" s="11"/>
      <c r="H461" s="10" t="str">
        <f>IF(ISBLANK(F461),"",IF(G461&lt;&gt;"",UPPER(TRIM(G461)),IF(ISNUMBER(SEARCH(" ",TRIM(F461))),UPPER(LEFT(TRIM(RIGHT(SUBSTITUTE(TRIM(F461)," ",REPT(" ",100)),100)),Settings!$B$9)),UPPER(LEFT(TRIM(F461),Settings!$B$9)))))</f>
        <v/>
      </c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0" t="str">
        <f>IF(ISBLANK(D461),"",IF(COUNTIFS(Circulation!$B$2:$B$500,A461,Circulation!$H$2:$H$500,"Active")&gt;0,"On Loan","Available"))</f>
        <v/>
      </c>
      <c r="AA461" s="11"/>
      <c r="AB461" s="11"/>
      <c r="AC461" s="11"/>
      <c r="AD461" s="11"/>
      <c r="AE461" s="11"/>
      <c r="AF461" s="11"/>
      <c r="AG461" s="11"/>
    </row>
    <row r="462" spans="1:33" x14ac:dyDescent="0.25">
      <c r="A462" s="10" t="str">
        <f t="shared" si="14"/>
        <v/>
      </c>
      <c r="B462" s="11"/>
      <c r="C462" s="10" t="str">
        <f t="shared" si="15"/>
        <v/>
      </c>
      <c r="D462" s="11"/>
      <c r="E462" s="11"/>
      <c r="F462" s="11"/>
      <c r="G462" s="11"/>
      <c r="H462" s="10" t="str">
        <f>IF(ISBLANK(F462),"",IF(G462&lt;&gt;"",UPPER(TRIM(G462)),IF(ISNUMBER(SEARCH(" ",TRIM(F462))),UPPER(LEFT(TRIM(RIGHT(SUBSTITUTE(TRIM(F462)," ",REPT(" ",100)),100)),Settings!$B$9)),UPPER(LEFT(TRIM(F462),Settings!$B$9)))))</f>
        <v/>
      </c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0" t="str">
        <f>IF(ISBLANK(D462),"",IF(COUNTIFS(Circulation!$B$2:$B$500,A462,Circulation!$H$2:$H$500,"Active")&gt;0,"On Loan","Available"))</f>
        <v/>
      </c>
      <c r="AA462" s="11"/>
      <c r="AB462" s="11"/>
      <c r="AC462" s="11"/>
      <c r="AD462" s="11"/>
      <c r="AE462" s="11"/>
      <c r="AF462" s="11"/>
      <c r="AG462" s="11"/>
    </row>
    <row r="463" spans="1:33" x14ac:dyDescent="0.25">
      <c r="A463" s="10" t="str">
        <f t="shared" si="14"/>
        <v/>
      </c>
      <c r="B463" s="11"/>
      <c r="C463" s="10" t="str">
        <f t="shared" si="15"/>
        <v/>
      </c>
      <c r="D463" s="11"/>
      <c r="E463" s="11"/>
      <c r="F463" s="11"/>
      <c r="G463" s="11"/>
      <c r="H463" s="10" t="str">
        <f>IF(ISBLANK(F463),"",IF(G463&lt;&gt;"",UPPER(TRIM(G463)),IF(ISNUMBER(SEARCH(" ",TRIM(F463))),UPPER(LEFT(TRIM(RIGHT(SUBSTITUTE(TRIM(F463)," ",REPT(" ",100)),100)),Settings!$B$9)),UPPER(LEFT(TRIM(F463),Settings!$B$9)))))</f>
        <v/>
      </c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0" t="str">
        <f>IF(ISBLANK(D463),"",IF(COUNTIFS(Circulation!$B$2:$B$500,A463,Circulation!$H$2:$H$500,"Active")&gt;0,"On Loan","Available"))</f>
        <v/>
      </c>
      <c r="AA463" s="11"/>
      <c r="AB463" s="11"/>
      <c r="AC463" s="11"/>
      <c r="AD463" s="11"/>
      <c r="AE463" s="11"/>
      <c r="AF463" s="11"/>
      <c r="AG463" s="11"/>
    </row>
    <row r="464" spans="1:33" x14ac:dyDescent="0.25">
      <c r="A464" s="10" t="str">
        <f t="shared" si="14"/>
        <v/>
      </c>
      <c r="B464" s="11"/>
      <c r="C464" s="10" t="str">
        <f t="shared" si="15"/>
        <v/>
      </c>
      <c r="D464" s="11"/>
      <c r="E464" s="11"/>
      <c r="F464" s="11"/>
      <c r="G464" s="11"/>
      <c r="H464" s="10" t="str">
        <f>IF(ISBLANK(F464),"",IF(G464&lt;&gt;"",UPPER(TRIM(G464)),IF(ISNUMBER(SEARCH(" ",TRIM(F464))),UPPER(LEFT(TRIM(RIGHT(SUBSTITUTE(TRIM(F464)," ",REPT(" ",100)),100)),Settings!$B$9)),UPPER(LEFT(TRIM(F464),Settings!$B$9)))))</f>
        <v/>
      </c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0" t="str">
        <f>IF(ISBLANK(D464),"",IF(COUNTIFS(Circulation!$B$2:$B$500,A464,Circulation!$H$2:$H$500,"Active")&gt;0,"On Loan","Available"))</f>
        <v/>
      </c>
      <c r="AA464" s="11"/>
      <c r="AB464" s="11"/>
      <c r="AC464" s="11"/>
      <c r="AD464" s="11"/>
      <c r="AE464" s="11"/>
      <c r="AF464" s="11"/>
      <c r="AG464" s="11"/>
    </row>
    <row r="465" spans="1:33" x14ac:dyDescent="0.25">
      <c r="A465" s="10" t="str">
        <f t="shared" si="14"/>
        <v/>
      </c>
      <c r="B465" s="11"/>
      <c r="C465" s="10" t="str">
        <f t="shared" si="15"/>
        <v/>
      </c>
      <c r="D465" s="11"/>
      <c r="E465" s="11"/>
      <c r="F465" s="11"/>
      <c r="G465" s="11"/>
      <c r="H465" s="10" t="str">
        <f>IF(ISBLANK(F465),"",IF(G465&lt;&gt;"",UPPER(TRIM(G465)),IF(ISNUMBER(SEARCH(" ",TRIM(F465))),UPPER(LEFT(TRIM(RIGHT(SUBSTITUTE(TRIM(F465)," ",REPT(" ",100)),100)),Settings!$B$9)),UPPER(LEFT(TRIM(F465),Settings!$B$9)))))</f>
        <v/>
      </c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0" t="str">
        <f>IF(ISBLANK(D465),"",IF(COUNTIFS(Circulation!$B$2:$B$500,A465,Circulation!$H$2:$H$500,"Active")&gt;0,"On Loan","Available"))</f>
        <v/>
      </c>
      <c r="AA465" s="11"/>
      <c r="AB465" s="11"/>
      <c r="AC465" s="11"/>
      <c r="AD465" s="11"/>
      <c r="AE465" s="11"/>
      <c r="AF465" s="11"/>
      <c r="AG465" s="11"/>
    </row>
    <row r="466" spans="1:33" x14ac:dyDescent="0.25">
      <c r="A466" s="10" t="str">
        <f t="shared" si="14"/>
        <v/>
      </c>
      <c r="B466" s="11"/>
      <c r="C466" s="10" t="str">
        <f t="shared" si="15"/>
        <v/>
      </c>
      <c r="D466" s="11"/>
      <c r="E466" s="11"/>
      <c r="F466" s="11"/>
      <c r="G466" s="11"/>
      <c r="H466" s="10" t="str">
        <f>IF(ISBLANK(F466),"",IF(G466&lt;&gt;"",UPPER(TRIM(G466)),IF(ISNUMBER(SEARCH(" ",TRIM(F466))),UPPER(LEFT(TRIM(RIGHT(SUBSTITUTE(TRIM(F466)," ",REPT(" ",100)),100)),Settings!$B$9)),UPPER(LEFT(TRIM(F466),Settings!$B$9)))))</f>
        <v/>
      </c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0" t="str">
        <f>IF(ISBLANK(D466),"",IF(COUNTIFS(Circulation!$B$2:$B$500,A466,Circulation!$H$2:$H$500,"Active")&gt;0,"On Loan","Available"))</f>
        <v/>
      </c>
      <c r="AA466" s="11"/>
      <c r="AB466" s="11"/>
      <c r="AC466" s="11"/>
      <c r="AD466" s="11"/>
      <c r="AE466" s="11"/>
      <c r="AF466" s="11"/>
      <c r="AG466" s="11"/>
    </row>
    <row r="467" spans="1:33" x14ac:dyDescent="0.25">
      <c r="A467" s="10" t="str">
        <f t="shared" si="14"/>
        <v/>
      </c>
      <c r="B467" s="11"/>
      <c r="C467" s="10" t="str">
        <f t="shared" si="15"/>
        <v/>
      </c>
      <c r="D467" s="11"/>
      <c r="E467" s="11"/>
      <c r="F467" s="11"/>
      <c r="G467" s="11"/>
      <c r="H467" s="10" t="str">
        <f>IF(ISBLANK(F467),"",IF(G467&lt;&gt;"",UPPER(TRIM(G467)),IF(ISNUMBER(SEARCH(" ",TRIM(F467))),UPPER(LEFT(TRIM(RIGHT(SUBSTITUTE(TRIM(F467)," ",REPT(" ",100)),100)),Settings!$B$9)),UPPER(LEFT(TRIM(F467),Settings!$B$9)))))</f>
        <v/>
      </c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0" t="str">
        <f>IF(ISBLANK(D467),"",IF(COUNTIFS(Circulation!$B$2:$B$500,A467,Circulation!$H$2:$H$500,"Active")&gt;0,"On Loan","Available"))</f>
        <v/>
      </c>
      <c r="AA467" s="11"/>
      <c r="AB467" s="11"/>
      <c r="AC467" s="11"/>
      <c r="AD467" s="11"/>
      <c r="AE467" s="11"/>
      <c r="AF467" s="11"/>
      <c r="AG467" s="11"/>
    </row>
    <row r="468" spans="1:33" x14ac:dyDescent="0.25">
      <c r="A468" s="10" t="str">
        <f t="shared" si="14"/>
        <v/>
      </c>
      <c r="B468" s="11"/>
      <c r="C468" s="10" t="str">
        <f t="shared" si="15"/>
        <v/>
      </c>
      <c r="D468" s="11"/>
      <c r="E468" s="11"/>
      <c r="F468" s="11"/>
      <c r="G468" s="11"/>
      <c r="H468" s="10" t="str">
        <f>IF(ISBLANK(F468),"",IF(G468&lt;&gt;"",UPPER(TRIM(G468)),IF(ISNUMBER(SEARCH(" ",TRIM(F468))),UPPER(LEFT(TRIM(RIGHT(SUBSTITUTE(TRIM(F468)," ",REPT(" ",100)),100)),Settings!$B$9)),UPPER(LEFT(TRIM(F468),Settings!$B$9)))))</f>
        <v/>
      </c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0" t="str">
        <f>IF(ISBLANK(D468),"",IF(COUNTIFS(Circulation!$B$2:$B$500,A468,Circulation!$H$2:$H$500,"Active")&gt;0,"On Loan","Available"))</f>
        <v/>
      </c>
      <c r="AA468" s="11"/>
      <c r="AB468" s="11"/>
      <c r="AC468" s="11"/>
      <c r="AD468" s="11"/>
      <c r="AE468" s="11"/>
      <c r="AF468" s="11"/>
      <c r="AG468" s="11"/>
    </row>
    <row r="469" spans="1:33" x14ac:dyDescent="0.25">
      <c r="A469" s="10" t="str">
        <f t="shared" si="14"/>
        <v/>
      </c>
      <c r="B469" s="11"/>
      <c r="C469" s="10" t="str">
        <f t="shared" si="15"/>
        <v/>
      </c>
      <c r="D469" s="11"/>
      <c r="E469" s="11"/>
      <c r="F469" s="11"/>
      <c r="G469" s="11"/>
      <c r="H469" s="10" t="str">
        <f>IF(ISBLANK(F469),"",IF(G469&lt;&gt;"",UPPER(TRIM(G469)),IF(ISNUMBER(SEARCH(" ",TRIM(F469))),UPPER(LEFT(TRIM(RIGHT(SUBSTITUTE(TRIM(F469)," ",REPT(" ",100)),100)),Settings!$B$9)),UPPER(LEFT(TRIM(F469),Settings!$B$9)))))</f>
        <v/>
      </c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0" t="str">
        <f>IF(ISBLANK(D469),"",IF(COUNTIFS(Circulation!$B$2:$B$500,A469,Circulation!$H$2:$H$500,"Active")&gt;0,"On Loan","Available"))</f>
        <v/>
      </c>
      <c r="AA469" s="11"/>
      <c r="AB469" s="11"/>
      <c r="AC469" s="11"/>
      <c r="AD469" s="11"/>
      <c r="AE469" s="11"/>
      <c r="AF469" s="11"/>
      <c r="AG469" s="11"/>
    </row>
    <row r="470" spans="1:33" x14ac:dyDescent="0.25">
      <c r="A470" s="10" t="str">
        <f t="shared" si="14"/>
        <v/>
      </c>
      <c r="B470" s="11"/>
      <c r="C470" s="10" t="str">
        <f t="shared" si="15"/>
        <v/>
      </c>
      <c r="D470" s="11"/>
      <c r="E470" s="11"/>
      <c r="F470" s="11"/>
      <c r="G470" s="11"/>
      <c r="H470" s="10" t="str">
        <f>IF(ISBLANK(F470),"",IF(G470&lt;&gt;"",UPPER(TRIM(G470)),IF(ISNUMBER(SEARCH(" ",TRIM(F470))),UPPER(LEFT(TRIM(RIGHT(SUBSTITUTE(TRIM(F470)," ",REPT(" ",100)),100)),Settings!$B$9)),UPPER(LEFT(TRIM(F470),Settings!$B$9)))))</f>
        <v/>
      </c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0" t="str">
        <f>IF(ISBLANK(D470),"",IF(COUNTIFS(Circulation!$B$2:$B$500,A470,Circulation!$H$2:$H$500,"Active")&gt;0,"On Loan","Available"))</f>
        <v/>
      </c>
      <c r="AA470" s="11"/>
      <c r="AB470" s="11"/>
      <c r="AC470" s="11"/>
      <c r="AD470" s="11"/>
      <c r="AE470" s="11"/>
      <c r="AF470" s="11"/>
      <c r="AG470" s="11"/>
    </row>
    <row r="471" spans="1:33" x14ac:dyDescent="0.25">
      <c r="A471" s="10" t="str">
        <f t="shared" si="14"/>
        <v/>
      </c>
      <c r="B471" s="11"/>
      <c r="C471" s="10" t="str">
        <f t="shared" si="15"/>
        <v/>
      </c>
      <c r="D471" s="11"/>
      <c r="E471" s="11"/>
      <c r="F471" s="11"/>
      <c r="G471" s="11"/>
      <c r="H471" s="10" t="str">
        <f>IF(ISBLANK(F471),"",IF(G471&lt;&gt;"",UPPER(TRIM(G471)),IF(ISNUMBER(SEARCH(" ",TRIM(F471))),UPPER(LEFT(TRIM(RIGHT(SUBSTITUTE(TRIM(F471)," ",REPT(" ",100)),100)),Settings!$B$9)),UPPER(LEFT(TRIM(F471),Settings!$B$9)))))</f>
        <v/>
      </c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0" t="str">
        <f>IF(ISBLANK(D471),"",IF(COUNTIFS(Circulation!$B$2:$B$500,A471,Circulation!$H$2:$H$500,"Active")&gt;0,"On Loan","Available"))</f>
        <v/>
      </c>
      <c r="AA471" s="11"/>
      <c r="AB471" s="11"/>
      <c r="AC471" s="11"/>
      <c r="AD471" s="11"/>
      <c r="AE471" s="11"/>
      <c r="AF471" s="11"/>
      <c r="AG471" s="11"/>
    </row>
    <row r="472" spans="1:33" x14ac:dyDescent="0.25">
      <c r="A472" s="10" t="str">
        <f t="shared" si="14"/>
        <v/>
      </c>
      <c r="B472" s="11"/>
      <c r="C472" s="10" t="str">
        <f t="shared" si="15"/>
        <v/>
      </c>
      <c r="D472" s="11"/>
      <c r="E472" s="11"/>
      <c r="F472" s="11"/>
      <c r="G472" s="11"/>
      <c r="H472" s="10" t="str">
        <f>IF(ISBLANK(F472),"",IF(G472&lt;&gt;"",UPPER(TRIM(G472)),IF(ISNUMBER(SEARCH(" ",TRIM(F472))),UPPER(LEFT(TRIM(RIGHT(SUBSTITUTE(TRIM(F472)," ",REPT(" ",100)),100)),Settings!$B$9)),UPPER(LEFT(TRIM(F472),Settings!$B$9)))))</f>
        <v/>
      </c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0" t="str">
        <f>IF(ISBLANK(D472),"",IF(COUNTIFS(Circulation!$B$2:$B$500,A472,Circulation!$H$2:$H$500,"Active")&gt;0,"On Loan","Available"))</f>
        <v/>
      </c>
      <c r="AA472" s="11"/>
      <c r="AB472" s="11"/>
      <c r="AC472" s="11"/>
      <c r="AD472" s="11"/>
      <c r="AE472" s="11"/>
      <c r="AF472" s="11"/>
      <c r="AG472" s="11"/>
    </row>
    <row r="473" spans="1:33" x14ac:dyDescent="0.25">
      <c r="A473" s="10" t="str">
        <f t="shared" si="14"/>
        <v/>
      </c>
      <c r="B473" s="11"/>
      <c r="C473" s="10" t="str">
        <f t="shared" si="15"/>
        <v/>
      </c>
      <c r="D473" s="11"/>
      <c r="E473" s="11"/>
      <c r="F473" s="11"/>
      <c r="G473" s="11"/>
      <c r="H473" s="10" t="str">
        <f>IF(ISBLANK(F473),"",IF(G473&lt;&gt;"",UPPER(TRIM(G473)),IF(ISNUMBER(SEARCH(" ",TRIM(F473))),UPPER(LEFT(TRIM(RIGHT(SUBSTITUTE(TRIM(F473)," ",REPT(" ",100)),100)),Settings!$B$9)),UPPER(LEFT(TRIM(F473),Settings!$B$9)))))</f>
        <v/>
      </c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0" t="str">
        <f>IF(ISBLANK(D473),"",IF(COUNTIFS(Circulation!$B$2:$B$500,A473,Circulation!$H$2:$H$500,"Active")&gt;0,"On Loan","Available"))</f>
        <v/>
      </c>
      <c r="AA473" s="11"/>
      <c r="AB473" s="11"/>
      <c r="AC473" s="11"/>
      <c r="AD473" s="11"/>
      <c r="AE473" s="11"/>
      <c r="AF473" s="11"/>
      <c r="AG473" s="11"/>
    </row>
    <row r="474" spans="1:33" x14ac:dyDescent="0.25">
      <c r="A474" s="10" t="str">
        <f t="shared" si="14"/>
        <v/>
      </c>
      <c r="B474" s="11"/>
      <c r="C474" s="10" t="str">
        <f t="shared" si="15"/>
        <v/>
      </c>
      <c r="D474" s="11"/>
      <c r="E474" s="11"/>
      <c r="F474" s="11"/>
      <c r="G474" s="11"/>
      <c r="H474" s="10" t="str">
        <f>IF(ISBLANK(F474),"",IF(G474&lt;&gt;"",UPPER(TRIM(G474)),IF(ISNUMBER(SEARCH(" ",TRIM(F474))),UPPER(LEFT(TRIM(RIGHT(SUBSTITUTE(TRIM(F474)," ",REPT(" ",100)),100)),Settings!$B$9)),UPPER(LEFT(TRIM(F474),Settings!$B$9)))))</f>
        <v/>
      </c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0" t="str">
        <f>IF(ISBLANK(D474),"",IF(COUNTIFS(Circulation!$B$2:$B$500,A474,Circulation!$H$2:$H$500,"Active")&gt;0,"On Loan","Available"))</f>
        <v/>
      </c>
      <c r="AA474" s="11"/>
      <c r="AB474" s="11"/>
      <c r="AC474" s="11"/>
      <c r="AD474" s="11"/>
      <c r="AE474" s="11"/>
      <c r="AF474" s="11"/>
      <c r="AG474" s="11"/>
    </row>
    <row r="475" spans="1:33" x14ac:dyDescent="0.25">
      <c r="A475" s="10" t="str">
        <f t="shared" si="14"/>
        <v/>
      </c>
      <c r="B475" s="11"/>
      <c r="C475" s="10" t="str">
        <f t="shared" si="15"/>
        <v/>
      </c>
      <c r="D475" s="11"/>
      <c r="E475" s="11"/>
      <c r="F475" s="11"/>
      <c r="G475" s="11"/>
      <c r="H475" s="10" t="str">
        <f>IF(ISBLANK(F475),"",IF(G475&lt;&gt;"",UPPER(TRIM(G475)),IF(ISNUMBER(SEARCH(" ",TRIM(F475))),UPPER(LEFT(TRIM(RIGHT(SUBSTITUTE(TRIM(F475)," ",REPT(" ",100)),100)),Settings!$B$9)),UPPER(LEFT(TRIM(F475),Settings!$B$9)))))</f>
        <v/>
      </c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0" t="str">
        <f>IF(ISBLANK(D475),"",IF(COUNTIFS(Circulation!$B$2:$B$500,A475,Circulation!$H$2:$H$500,"Active")&gt;0,"On Loan","Available"))</f>
        <v/>
      </c>
      <c r="AA475" s="11"/>
      <c r="AB475" s="11"/>
      <c r="AC475" s="11"/>
      <c r="AD475" s="11"/>
      <c r="AE475" s="11"/>
      <c r="AF475" s="11"/>
      <c r="AG475" s="11"/>
    </row>
    <row r="476" spans="1:33" x14ac:dyDescent="0.25">
      <c r="A476" s="10" t="str">
        <f t="shared" si="14"/>
        <v/>
      </c>
      <c r="B476" s="11"/>
      <c r="C476" s="10" t="str">
        <f t="shared" si="15"/>
        <v/>
      </c>
      <c r="D476" s="11"/>
      <c r="E476" s="11"/>
      <c r="F476" s="11"/>
      <c r="G476" s="11"/>
      <c r="H476" s="10" t="str">
        <f>IF(ISBLANK(F476),"",IF(G476&lt;&gt;"",UPPER(TRIM(G476)),IF(ISNUMBER(SEARCH(" ",TRIM(F476))),UPPER(LEFT(TRIM(RIGHT(SUBSTITUTE(TRIM(F476)," ",REPT(" ",100)),100)),Settings!$B$9)),UPPER(LEFT(TRIM(F476),Settings!$B$9)))))</f>
        <v/>
      </c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0" t="str">
        <f>IF(ISBLANK(D476),"",IF(COUNTIFS(Circulation!$B$2:$B$500,A476,Circulation!$H$2:$H$500,"Active")&gt;0,"On Loan","Available"))</f>
        <v/>
      </c>
      <c r="AA476" s="11"/>
      <c r="AB476" s="11"/>
      <c r="AC476" s="11"/>
      <c r="AD476" s="11"/>
      <c r="AE476" s="11"/>
      <c r="AF476" s="11"/>
      <c r="AG476" s="11"/>
    </row>
    <row r="477" spans="1:33" x14ac:dyDescent="0.25">
      <c r="A477" s="10" t="str">
        <f t="shared" si="14"/>
        <v/>
      </c>
      <c r="B477" s="11"/>
      <c r="C477" s="10" t="str">
        <f t="shared" si="15"/>
        <v/>
      </c>
      <c r="D477" s="11"/>
      <c r="E477" s="11"/>
      <c r="F477" s="11"/>
      <c r="G477" s="11"/>
      <c r="H477" s="10" t="str">
        <f>IF(ISBLANK(F477),"",IF(G477&lt;&gt;"",UPPER(TRIM(G477)),IF(ISNUMBER(SEARCH(" ",TRIM(F477))),UPPER(LEFT(TRIM(RIGHT(SUBSTITUTE(TRIM(F477)," ",REPT(" ",100)),100)),Settings!$B$9)),UPPER(LEFT(TRIM(F477),Settings!$B$9)))))</f>
        <v/>
      </c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0" t="str">
        <f>IF(ISBLANK(D477),"",IF(COUNTIFS(Circulation!$B$2:$B$500,A477,Circulation!$H$2:$H$500,"Active")&gt;0,"On Loan","Available"))</f>
        <v/>
      </c>
      <c r="AA477" s="11"/>
      <c r="AB477" s="11"/>
      <c r="AC477" s="11"/>
      <c r="AD477" s="11"/>
      <c r="AE477" s="11"/>
      <c r="AF477" s="11"/>
      <c r="AG477" s="11"/>
    </row>
    <row r="478" spans="1:33" x14ac:dyDescent="0.25">
      <c r="A478" s="10" t="str">
        <f t="shared" si="14"/>
        <v/>
      </c>
      <c r="B478" s="11"/>
      <c r="C478" s="10" t="str">
        <f t="shared" si="15"/>
        <v/>
      </c>
      <c r="D478" s="11"/>
      <c r="E478" s="11"/>
      <c r="F478" s="11"/>
      <c r="G478" s="11"/>
      <c r="H478" s="10" t="str">
        <f>IF(ISBLANK(F478),"",IF(G478&lt;&gt;"",UPPER(TRIM(G478)),IF(ISNUMBER(SEARCH(" ",TRIM(F478))),UPPER(LEFT(TRIM(RIGHT(SUBSTITUTE(TRIM(F478)," ",REPT(" ",100)),100)),Settings!$B$9)),UPPER(LEFT(TRIM(F478),Settings!$B$9)))))</f>
        <v/>
      </c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0" t="str">
        <f>IF(ISBLANK(D478),"",IF(COUNTIFS(Circulation!$B$2:$B$500,A478,Circulation!$H$2:$H$500,"Active")&gt;0,"On Loan","Available"))</f>
        <v/>
      </c>
      <c r="AA478" s="11"/>
      <c r="AB478" s="11"/>
      <c r="AC478" s="11"/>
      <c r="AD478" s="11"/>
      <c r="AE478" s="11"/>
      <c r="AF478" s="11"/>
      <c r="AG478" s="11"/>
    </row>
    <row r="479" spans="1:33" x14ac:dyDescent="0.25">
      <c r="A479" s="10" t="str">
        <f t="shared" si="14"/>
        <v/>
      </c>
      <c r="B479" s="11"/>
      <c r="C479" s="10" t="str">
        <f t="shared" si="15"/>
        <v/>
      </c>
      <c r="D479" s="11"/>
      <c r="E479" s="11"/>
      <c r="F479" s="11"/>
      <c r="G479" s="11"/>
      <c r="H479" s="10" t="str">
        <f>IF(ISBLANK(F479),"",IF(G479&lt;&gt;"",UPPER(TRIM(G479)),IF(ISNUMBER(SEARCH(" ",TRIM(F479))),UPPER(LEFT(TRIM(RIGHT(SUBSTITUTE(TRIM(F479)," ",REPT(" ",100)),100)),Settings!$B$9)),UPPER(LEFT(TRIM(F479),Settings!$B$9)))))</f>
        <v/>
      </c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0" t="str">
        <f>IF(ISBLANK(D479),"",IF(COUNTIFS(Circulation!$B$2:$B$500,A479,Circulation!$H$2:$H$500,"Active")&gt;0,"On Loan","Available"))</f>
        <v/>
      </c>
      <c r="AA479" s="11"/>
      <c r="AB479" s="11"/>
      <c r="AC479" s="11"/>
      <c r="AD479" s="11"/>
      <c r="AE479" s="11"/>
      <c r="AF479" s="11"/>
      <c r="AG479" s="11"/>
    </row>
    <row r="480" spans="1:33" x14ac:dyDescent="0.25">
      <c r="A480" s="10" t="str">
        <f t="shared" si="14"/>
        <v/>
      </c>
      <c r="B480" s="11"/>
      <c r="C480" s="10" t="str">
        <f t="shared" si="15"/>
        <v/>
      </c>
      <c r="D480" s="11"/>
      <c r="E480" s="11"/>
      <c r="F480" s="11"/>
      <c r="G480" s="11"/>
      <c r="H480" s="10" t="str">
        <f>IF(ISBLANK(F480),"",IF(G480&lt;&gt;"",UPPER(TRIM(G480)),IF(ISNUMBER(SEARCH(" ",TRIM(F480))),UPPER(LEFT(TRIM(RIGHT(SUBSTITUTE(TRIM(F480)," ",REPT(" ",100)),100)),Settings!$B$9)),UPPER(LEFT(TRIM(F480),Settings!$B$9)))))</f>
        <v/>
      </c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0" t="str">
        <f>IF(ISBLANK(D480),"",IF(COUNTIFS(Circulation!$B$2:$B$500,A480,Circulation!$H$2:$H$500,"Active")&gt;0,"On Loan","Available"))</f>
        <v/>
      </c>
      <c r="AA480" s="11"/>
      <c r="AB480" s="11"/>
      <c r="AC480" s="11"/>
      <c r="AD480" s="11"/>
      <c r="AE480" s="11"/>
      <c r="AF480" s="11"/>
      <c r="AG480" s="11"/>
    </row>
    <row r="481" spans="1:33" x14ac:dyDescent="0.25">
      <c r="A481" s="10" t="str">
        <f t="shared" si="14"/>
        <v/>
      </c>
      <c r="B481" s="11"/>
      <c r="C481" s="10" t="str">
        <f t="shared" si="15"/>
        <v/>
      </c>
      <c r="D481" s="11"/>
      <c r="E481" s="11"/>
      <c r="F481" s="11"/>
      <c r="G481" s="11"/>
      <c r="H481" s="10" t="str">
        <f>IF(ISBLANK(F481),"",IF(G481&lt;&gt;"",UPPER(TRIM(G481)),IF(ISNUMBER(SEARCH(" ",TRIM(F481))),UPPER(LEFT(TRIM(RIGHT(SUBSTITUTE(TRIM(F481)," ",REPT(" ",100)),100)),Settings!$B$9)),UPPER(LEFT(TRIM(F481),Settings!$B$9)))))</f>
        <v/>
      </c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0" t="str">
        <f>IF(ISBLANK(D481),"",IF(COUNTIFS(Circulation!$B$2:$B$500,A481,Circulation!$H$2:$H$500,"Active")&gt;0,"On Loan","Available"))</f>
        <v/>
      </c>
      <c r="AA481" s="11"/>
      <c r="AB481" s="11"/>
      <c r="AC481" s="11"/>
      <c r="AD481" s="11"/>
      <c r="AE481" s="11"/>
      <c r="AF481" s="11"/>
      <c r="AG481" s="11"/>
    </row>
    <row r="482" spans="1:33" x14ac:dyDescent="0.25">
      <c r="A482" s="10" t="str">
        <f t="shared" si="14"/>
        <v/>
      </c>
      <c r="B482" s="11"/>
      <c r="C482" s="10" t="str">
        <f t="shared" si="15"/>
        <v/>
      </c>
      <c r="D482" s="11"/>
      <c r="E482" s="11"/>
      <c r="F482" s="11"/>
      <c r="G482" s="11"/>
      <c r="H482" s="10" t="str">
        <f>IF(ISBLANK(F482),"",IF(G482&lt;&gt;"",UPPER(TRIM(G482)),IF(ISNUMBER(SEARCH(" ",TRIM(F482))),UPPER(LEFT(TRIM(RIGHT(SUBSTITUTE(TRIM(F482)," ",REPT(" ",100)),100)),Settings!$B$9)),UPPER(LEFT(TRIM(F482),Settings!$B$9)))))</f>
        <v/>
      </c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0" t="str">
        <f>IF(ISBLANK(D482),"",IF(COUNTIFS(Circulation!$B$2:$B$500,A482,Circulation!$H$2:$H$500,"Active")&gt;0,"On Loan","Available"))</f>
        <v/>
      </c>
      <c r="AA482" s="11"/>
      <c r="AB482" s="11"/>
      <c r="AC482" s="11"/>
      <c r="AD482" s="11"/>
      <c r="AE482" s="11"/>
      <c r="AF482" s="11"/>
      <c r="AG482" s="11"/>
    </row>
    <row r="483" spans="1:33" x14ac:dyDescent="0.25">
      <c r="A483" s="10" t="str">
        <f t="shared" si="14"/>
        <v/>
      </c>
      <c r="B483" s="11"/>
      <c r="C483" s="10" t="str">
        <f t="shared" si="15"/>
        <v/>
      </c>
      <c r="D483" s="11"/>
      <c r="E483" s="11"/>
      <c r="F483" s="11"/>
      <c r="G483" s="11"/>
      <c r="H483" s="10" t="str">
        <f>IF(ISBLANK(F483),"",IF(G483&lt;&gt;"",UPPER(TRIM(G483)),IF(ISNUMBER(SEARCH(" ",TRIM(F483))),UPPER(LEFT(TRIM(RIGHT(SUBSTITUTE(TRIM(F483)," ",REPT(" ",100)),100)),Settings!$B$9)),UPPER(LEFT(TRIM(F483),Settings!$B$9)))))</f>
        <v/>
      </c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0" t="str">
        <f>IF(ISBLANK(D483),"",IF(COUNTIFS(Circulation!$B$2:$B$500,A483,Circulation!$H$2:$H$500,"Active")&gt;0,"On Loan","Available"))</f>
        <v/>
      </c>
      <c r="AA483" s="11"/>
      <c r="AB483" s="11"/>
      <c r="AC483" s="11"/>
      <c r="AD483" s="11"/>
      <c r="AE483" s="11"/>
      <c r="AF483" s="11"/>
      <c r="AG483" s="11"/>
    </row>
    <row r="484" spans="1:33" x14ac:dyDescent="0.25">
      <c r="A484" s="10" t="str">
        <f t="shared" si="14"/>
        <v/>
      </c>
      <c r="B484" s="11"/>
      <c r="C484" s="10" t="str">
        <f t="shared" si="15"/>
        <v/>
      </c>
      <c r="D484" s="11"/>
      <c r="E484" s="11"/>
      <c r="F484" s="11"/>
      <c r="G484" s="11"/>
      <c r="H484" s="10" t="str">
        <f>IF(ISBLANK(F484),"",IF(G484&lt;&gt;"",UPPER(TRIM(G484)),IF(ISNUMBER(SEARCH(" ",TRIM(F484))),UPPER(LEFT(TRIM(RIGHT(SUBSTITUTE(TRIM(F484)," ",REPT(" ",100)),100)),Settings!$B$9)),UPPER(LEFT(TRIM(F484),Settings!$B$9)))))</f>
        <v/>
      </c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0" t="str">
        <f>IF(ISBLANK(D484),"",IF(COUNTIFS(Circulation!$B$2:$B$500,A484,Circulation!$H$2:$H$500,"Active")&gt;0,"On Loan","Available"))</f>
        <v/>
      </c>
      <c r="AA484" s="11"/>
      <c r="AB484" s="11"/>
      <c r="AC484" s="11"/>
      <c r="AD484" s="11"/>
      <c r="AE484" s="11"/>
      <c r="AF484" s="11"/>
      <c r="AG484" s="11"/>
    </row>
    <row r="485" spans="1:33" x14ac:dyDescent="0.25">
      <c r="A485" s="10" t="str">
        <f t="shared" si="14"/>
        <v/>
      </c>
      <c r="B485" s="11"/>
      <c r="C485" s="10" t="str">
        <f t="shared" si="15"/>
        <v/>
      </c>
      <c r="D485" s="11"/>
      <c r="E485" s="11"/>
      <c r="F485" s="11"/>
      <c r="G485" s="11"/>
      <c r="H485" s="10" t="str">
        <f>IF(ISBLANK(F485),"",IF(G485&lt;&gt;"",UPPER(TRIM(G485)),IF(ISNUMBER(SEARCH(" ",TRIM(F485))),UPPER(LEFT(TRIM(RIGHT(SUBSTITUTE(TRIM(F485)," ",REPT(" ",100)),100)),Settings!$B$9)),UPPER(LEFT(TRIM(F485),Settings!$B$9)))))</f>
        <v/>
      </c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0" t="str">
        <f>IF(ISBLANK(D485),"",IF(COUNTIFS(Circulation!$B$2:$B$500,A485,Circulation!$H$2:$H$500,"Active")&gt;0,"On Loan","Available"))</f>
        <v/>
      </c>
      <c r="AA485" s="11"/>
      <c r="AB485" s="11"/>
      <c r="AC485" s="11"/>
      <c r="AD485" s="11"/>
      <c r="AE485" s="11"/>
      <c r="AF485" s="11"/>
      <c r="AG485" s="11"/>
    </row>
    <row r="486" spans="1:33" x14ac:dyDescent="0.25">
      <c r="A486" s="10" t="str">
        <f t="shared" si="14"/>
        <v/>
      </c>
      <c r="B486" s="11"/>
      <c r="C486" s="10" t="str">
        <f t="shared" si="15"/>
        <v/>
      </c>
      <c r="D486" s="11"/>
      <c r="E486" s="11"/>
      <c r="F486" s="11"/>
      <c r="G486" s="11"/>
      <c r="H486" s="10" t="str">
        <f>IF(ISBLANK(F486),"",IF(G486&lt;&gt;"",UPPER(TRIM(G486)),IF(ISNUMBER(SEARCH(" ",TRIM(F486))),UPPER(LEFT(TRIM(RIGHT(SUBSTITUTE(TRIM(F486)," ",REPT(" ",100)),100)),Settings!$B$9)),UPPER(LEFT(TRIM(F486),Settings!$B$9)))))</f>
        <v/>
      </c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0" t="str">
        <f>IF(ISBLANK(D486),"",IF(COUNTIFS(Circulation!$B$2:$B$500,A486,Circulation!$H$2:$H$500,"Active")&gt;0,"On Loan","Available"))</f>
        <v/>
      </c>
      <c r="AA486" s="11"/>
      <c r="AB486" s="11"/>
      <c r="AC486" s="11"/>
      <c r="AD486" s="11"/>
      <c r="AE486" s="11"/>
      <c r="AF486" s="11"/>
      <c r="AG486" s="11"/>
    </row>
    <row r="487" spans="1:33" x14ac:dyDescent="0.25">
      <c r="A487" s="10" t="str">
        <f t="shared" si="14"/>
        <v/>
      </c>
      <c r="B487" s="11"/>
      <c r="C487" s="10" t="str">
        <f t="shared" si="15"/>
        <v/>
      </c>
      <c r="D487" s="11"/>
      <c r="E487" s="11"/>
      <c r="F487" s="11"/>
      <c r="G487" s="11"/>
      <c r="H487" s="10" t="str">
        <f>IF(ISBLANK(F487),"",IF(G487&lt;&gt;"",UPPER(TRIM(G487)),IF(ISNUMBER(SEARCH(" ",TRIM(F487))),UPPER(LEFT(TRIM(RIGHT(SUBSTITUTE(TRIM(F487)," ",REPT(" ",100)),100)),Settings!$B$9)),UPPER(LEFT(TRIM(F487),Settings!$B$9)))))</f>
        <v/>
      </c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0" t="str">
        <f>IF(ISBLANK(D487),"",IF(COUNTIFS(Circulation!$B$2:$B$500,A487,Circulation!$H$2:$H$500,"Active")&gt;0,"On Loan","Available"))</f>
        <v/>
      </c>
      <c r="AA487" s="11"/>
      <c r="AB487" s="11"/>
      <c r="AC487" s="11"/>
      <c r="AD487" s="11"/>
      <c r="AE487" s="11"/>
      <c r="AF487" s="11"/>
      <c r="AG487" s="11"/>
    </row>
    <row r="488" spans="1:33" x14ac:dyDescent="0.25">
      <c r="A488" s="10" t="str">
        <f t="shared" si="14"/>
        <v/>
      </c>
      <c r="B488" s="11"/>
      <c r="C488" s="10" t="str">
        <f t="shared" si="15"/>
        <v/>
      </c>
      <c r="D488" s="11"/>
      <c r="E488" s="11"/>
      <c r="F488" s="11"/>
      <c r="G488" s="11"/>
      <c r="H488" s="10" t="str">
        <f>IF(ISBLANK(F488),"",IF(G488&lt;&gt;"",UPPER(TRIM(G488)),IF(ISNUMBER(SEARCH(" ",TRIM(F488))),UPPER(LEFT(TRIM(RIGHT(SUBSTITUTE(TRIM(F488)," ",REPT(" ",100)),100)),Settings!$B$9)),UPPER(LEFT(TRIM(F488),Settings!$B$9)))))</f>
        <v/>
      </c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0" t="str">
        <f>IF(ISBLANK(D488),"",IF(COUNTIFS(Circulation!$B$2:$B$500,A488,Circulation!$H$2:$H$500,"Active")&gt;0,"On Loan","Available"))</f>
        <v/>
      </c>
      <c r="AA488" s="11"/>
      <c r="AB488" s="11"/>
      <c r="AC488" s="11"/>
      <c r="AD488" s="11"/>
      <c r="AE488" s="11"/>
      <c r="AF488" s="11"/>
      <c r="AG488" s="11"/>
    </row>
    <row r="489" spans="1:33" x14ac:dyDescent="0.25">
      <c r="A489" s="10" t="str">
        <f t="shared" si="14"/>
        <v/>
      </c>
      <c r="B489" s="11"/>
      <c r="C489" s="10" t="str">
        <f t="shared" si="15"/>
        <v/>
      </c>
      <c r="D489" s="11"/>
      <c r="E489" s="11"/>
      <c r="F489" s="11"/>
      <c r="G489" s="11"/>
      <c r="H489" s="10" t="str">
        <f>IF(ISBLANK(F489),"",IF(G489&lt;&gt;"",UPPER(TRIM(G489)),IF(ISNUMBER(SEARCH(" ",TRIM(F489))),UPPER(LEFT(TRIM(RIGHT(SUBSTITUTE(TRIM(F489)," ",REPT(" ",100)),100)),Settings!$B$9)),UPPER(LEFT(TRIM(F489),Settings!$B$9)))))</f>
        <v/>
      </c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0" t="str">
        <f>IF(ISBLANK(D489),"",IF(COUNTIFS(Circulation!$B$2:$B$500,A489,Circulation!$H$2:$H$500,"Active")&gt;0,"On Loan","Available"))</f>
        <v/>
      </c>
      <c r="AA489" s="11"/>
      <c r="AB489" s="11"/>
      <c r="AC489" s="11"/>
      <c r="AD489" s="11"/>
      <c r="AE489" s="11"/>
      <c r="AF489" s="11"/>
      <c r="AG489" s="11"/>
    </row>
    <row r="490" spans="1:33" x14ac:dyDescent="0.25">
      <c r="A490" s="10" t="str">
        <f t="shared" si="14"/>
        <v/>
      </c>
      <c r="B490" s="11"/>
      <c r="C490" s="10" t="str">
        <f t="shared" si="15"/>
        <v/>
      </c>
      <c r="D490" s="11"/>
      <c r="E490" s="11"/>
      <c r="F490" s="11"/>
      <c r="G490" s="11"/>
      <c r="H490" s="10" t="str">
        <f>IF(ISBLANK(F490),"",IF(G490&lt;&gt;"",UPPER(TRIM(G490)),IF(ISNUMBER(SEARCH(" ",TRIM(F490))),UPPER(LEFT(TRIM(RIGHT(SUBSTITUTE(TRIM(F490)," ",REPT(" ",100)),100)),Settings!$B$9)),UPPER(LEFT(TRIM(F490),Settings!$B$9)))))</f>
        <v/>
      </c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0" t="str">
        <f>IF(ISBLANK(D490),"",IF(COUNTIFS(Circulation!$B$2:$B$500,A490,Circulation!$H$2:$H$500,"Active")&gt;0,"On Loan","Available"))</f>
        <v/>
      </c>
      <c r="AA490" s="11"/>
      <c r="AB490" s="11"/>
      <c r="AC490" s="11"/>
      <c r="AD490" s="11"/>
      <c r="AE490" s="11"/>
      <c r="AF490" s="11"/>
      <c r="AG490" s="11"/>
    </row>
    <row r="491" spans="1:33" x14ac:dyDescent="0.25">
      <c r="A491" s="10" t="str">
        <f t="shared" si="14"/>
        <v/>
      </c>
      <c r="B491" s="11"/>
      <c r="C491" s="10" t="str">
        <f t="shared" si="15"/>
        <v/>
      </c>
      <c r="D491" s="11"/>
      <c r="E491" s="11"/>
      <c r="F491" s="11"/>
      <c r="G491" s="11"/>
      <c r="H491" s="10" t="str">
        <f>IF(ISBLANK(F491),"",IF(G491&lt;&gt;"",UPPER(TRIM(G491)),IF(ISNUMBER(SEARCH(" ",TRIM(F491))),UPPER(LEFT(TRIM(RIGHT(SUBSTITUTE(TRIM(F491)," ",REPT(" ",100)),100)),Settings!$B$9)),UPPER(LEFT(TRIM(F491),Settings!$B$9)))))</f>
        <v/>
      </c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0" t="str">
        <f>IF(ISBLANK(D491),"",IF(COUNTIFS(Circulation!$B$2:$B$500,A491,Circulation!$H$2:$H$500,"Active")&gt;0,"On Loan","Available"))</f>
        <v/>
      </c>
      <c r="AA491" s="11"/>
      <c r="AB491" s="11"/>
      <c r="AC491" s="11"/>
      <c r="AD491" s="11"/>
      <c r="AE491" s="11"/>
      <c r="AF491" s="11"/>
      <c r="AG491" s="11"/>
    </row>
    <row r="492" spans="1:33" x14ac:dyDescent="0.25">
      <c r="A492" s="10" t="str">
        <f t="shared" si="14"/>
        <v/>
      </c>
      <c r="B492" s="11"/>
      <c r="C492" s="10" t="str">
        <f t="shared" si="15"/>
        <v/>
      </c>
      <c r="D492" s="11"/>
      <c r="E492" s="11"/>
      <c r="F492" s="11"/>
      <c r="G492" s="11"/>
      <c r="H492" s="10" t="str">
        <f>IF(ISBLANK(F492),"",IF(G492&lt;&gt;"",UPPER(TRIM(G492)),IF(ISNUMBER(SEARCH(" ",TRIM(F492))),UPPER(LEFT(TRIM(RIGHT(SUBSTITUTE(TRIM(F492)," ",REPT(" ",100)),100)),Settings!$B$9)),UPPER(LEFT(TRIM(F492),Settings!$B$9)))))</f>
        <v/>
      </c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0" t="str">
        <f>IF(ISBLANK(D492),"",IF(COUNTIFS(Circulation!$B$2:$B$500,A492,Circulation!$H$2:$H$500,"Active")&gt;0,"On Loan","Available"))</f>
        <v/>
      </c>
      <c r="AA492" s="11"/>
      <c r="AB492" s="11"/>
      <c r="AC492" s="11"/>
      <c r="AD492" s="11"/>
      <c r="AE492" s="11"/>
      <c r="AF492" s="11"/>
      <c r="AG492" s="11"/>
    </row>
    <row r="493" spans="1:33" x14ac:dyDescent="0.25">
      <c r="A493" s="10" t="str">
        <f t="shared" si="14"/>
        <v/>
      </c>
      <c r="B493" s="11"/>
      <c r="C493" s="10" t="str">
        <f t="shared" si="15"/>
        <v/>
      </c>
      <c r="D493" s="11"/>
      <c r="E493" s="11"/>
      <c r="F493" s="11"/>
      <c r="G493" s="11"/>
      <c r="H493" s="10" t="str">
        <f>IF(ISBLANK(F493),"",IF(G493&lt;&gt;"",UPPER(TRIM(G493)),IF(ISNUMBER(SEARCH(" ",TRIM(F493))),UPPER(LEFT(TRIM(RIGHT(SUBSTITUTE(TRIM(F493)," ",REPT(" ",100)),100)),Settings!$B$9)),UPPER(LEFT(TRIM(F493),Settings!$B$9)))))</f>
        <v/>
      </c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0" t="str">
        <f>IF(ISBLANK(D493),"",IF(COUNTIFS(Circulation!$B$2:$B$500,A493,Circulation!$H$2:$H$500,"Active")&gt;0,"On Loan","Available"))</f>
        <v/>
      </c>
      <c r="AA493" s="11"/>
      <c r="AB493" s="11"/>
      <c r="AC493" s="11"/>
      <c r="AD493" s="11"/>
      <c r="AE493" s="11"/>
      <c r="AF493" s="11"/>
      <c r="AG493" s="11"/>
    </row>
    <row r="494" spans="1:33" x14ac:dyDescent="0.25">
      <c r="A494" s="10" t="str">
        <f t="shared" si="14"/>
        <v/>
      </c>
      <c r="B494" s="11"/>
      <c r="C494" s="10" t="str">
        <f t="shared" si="15"/>
        <v/>
      </c>
      <c r="D494" s="11"/>
      <c r="E494" s="11"/>
      <c r="F494" s="11"/>
      <c r="G494" s="11"/>
      <c r="H494" s="10" t="str">
        <f>IF(ISBLANK(F494),"",IF(G494&lt;&gt;"",UPPER(TRIM(G494)),IF(ISNUMBER(SEARCH(" ",TRIM(F494))),UPPER(LEFT(TRIM(RIGHT(SUBSTITUTE(TRIM(F494)," ",REPT(" ",100)),100)),Settings!$B$9)),UPPER(LEFT(TRIM(F494),Settings!$B$9)))))</f>
        <v/>
      </c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0" t="str">
        <f>IF(ISBLANK(D494),"",IF(COUNTIFS(Circulation!$B$2:$B$500,A494,Circulation!$H$2:$H$500,"Active")&gt;0,"On Loan","Available"))</f>
        <v/>
      </c>
      <c r="AA494" s="11"/>
      <c r="AB494" s="11"/>
      <c r="AC494" s="11"/>
      <c r="AD494" s="11"/>
      <c r="AE494" s="11"/>
      <c r="AF494" s="11"/>
      <c r="AG494" s="11"/>
    </row>
    <row r="495" spans="1:33" x14ac:dyDescent="0.25">
      <c r="A495" s="10" t="str">
        <f t="shared" si="14"/>
        <v/>
      </c>
      <c r="B495" s="11"/>
      <c r="C495" s="10" t="str">
        <f t="shared" si="15"/>
        <v/>
      </c>
      <c r="D495" s="11"/>
      <c r="E495" s="11"/>
      <c r="F495" s="11"/>
      <c r="G495" s="11"/>
      <c r="H495" s="10" t="str">
        <f>IF(ISBLANK(F495),"",IF(G495&lt;&gt;"",UPPER(TRIM(G495)),IF(ISNUMBER(SEARCH(" ",TRIM(F495))),UPPER(LEFT(TRIM(RIGHT(SUBSTITUTE(TRIM(F495)," ",REPT(" ",100)),100)),Settings!$B$9)),UPPER(LEFT(TRIM(F495),Settings!$B$9)))))</f>
        <v/>
      </c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0" t="str">
        <f>IF(ISBLANK(D495),"",IF(COUNTIFS(Circulation!$B$2:$B$500,A495,Circulation!$H$2:$H$500,"Active")&gt;0,"On Loan","Available"))</f>
        <v/>
      </c>
      <c r="AA495" s="11"/>
      <c r="AB495" s="11"/>
      <c r="AC495" s="11"/>
      <c r="AD495" s="11"/>
      <c r="AE495" s="11"/>
      <c r="AF495" s="11"/>
      <c r="AG495" s="11"/>
    </row>
    <row r="496" spans="1:33" x14ac:dyDescent="0.25">
      <c r="A496" s="10" t="str">
        <f t="shared" si="14"/>
        <v/>
      </c>
      <c r="B496" s="11"/>
      <c r="C496" s="10" t="str">
        <f t="shared" si="15"/>
        <v/>
      </c>
      <c r="D496" s="11"/>
      <c r="E496" s="11"/>
      <c r="F496" s="11"/>
      <c r="G496" s="11"/>
      <c r="H496" s="10" t="str">
        <f>IF(ISBLANK(F496),"",IF(G496&lt;&gt;"",UPPER(TRIM(G496)),IF(ISNUMBER(SEARCH(" ",TRIM(F496))),UPPER(LEFT(TRIM(RIGHT(SUBSTITUTE(TRIM(F496)," ",REPT(" ",100)),100)),Settings!$B$9)),UPPER(LEFT(TRIM(F496),Settings!$B$9)))))</f>
        <v/>
      </c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0" t="str">
        <f>IF(ISBLANK(D496),"",IF(COUNTIFS(Circulation!$B$2:$B$500,A496,Circulation!$H$2:$H$500,"Active")&gt;0,"On Loan","Available"))</f>
        <v/>
      </c>
      <c r="AA496" s="11"/>
      <c r="AB496" s="11"/>
      <c r="AC496" s="11"/>
      <c r="AD496" s="11"/>
      <c r="AE496" s="11"/>
      <c r="AF496" s="11"/>
      <c r="AG496" s="11"/>
    </row>
    <row r="497" spans="1:33" x14ac:dyDescent="0.25">
      <c r="A497" s="10" t="str">
        <f t="shared" si="14"/>
        <v/>
      </c>
      <c r="B497" s="11"/>
      <c r="C497" s="10" t="str">
        <f t="shared" si="15"/>
        <v/>
      </c>
      <c r="D497" s="11"/>
      <c r="E497" s="11"/>
      <c r="F497" s="11"/>
      <c r="G497" s="11"/>
      <c r="H497" s="10" t="str">
        <f>IF(ISBLANK(F497),"",IF(G497&lt;&gt;"",UPPER(TRIM(G497)),IF(ISNUMBER(SEARCH(" ",TRIM(F497))),UPPER(LEFT(TRIM(RIGHT(SUBSTITUTE(TRIM(F497)," ",REPT(" ",100)),100)),Settings!$B$9)),UPPER(LEFT(TRIM(F497),Settings!$B$9)))))</f>
        <v/>
      </c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0" t="str">
        <f>IF(ISBLANK(D497),"",IF(COUNTIFS(Circulation!$B$2:$B$500,A497,Circulation!$H$2:$H$500,"Active")&gt;0,"On Loan","Available"))</f>
        <v/>
      </c>
      <c r="AA497" s="11"/>
      <c r="AB497" s="11"/>
      <c r="AC497" s="11"/>
      <c r="AD497" s="11"/>
      <c r="AE497" s="11"/>
      <c r="AF497" s="11"/>
      <c r="AG497" s="11"/>
    </row>
    <row r="498" spans="1:33" x14ac:dyDescent="0.25">
      <c r="A498" s="10" t="str">
        <f t="shared" si="14"/>
        <v/>
      </c>
      <c r="B498" s="11"/>
      <c r="C498" s="10" t="str">
        <f t="shared" si="15"/>
        <v/>
      </c>
      <c r="D498" s="11"/>
      <c r="E498" s="11"/>
      <c r="F498" s="11"/>
      <c r="G498" s="11"/>
      <c r="H498" s="10" t="str">
        <f>IF(ISBLANK(F498),"",IF(G498&lt;&gt;"",UPPER(TRIM(G498)),IF(ISNUMBER(SEARCH(" ",TRIM(F498))),UPPER(LEFT(TRIM(RIGHT(SUBSTITUTE(TRIM(F498)," ",REPT(" ",100)),100)),Settings!$B$9)),UPPER(LEFT(TRIM(F498),Settings!$B$9)))))</f>
        <v/>
      </c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0" t="str">
        <f>IF(ISBLANK(D498),"",IF(COUNTIFS(Circulation!$B$2:$B$500,A498,Circulation!$H$2:$H$500,"Active")&gt;0,"On Loan","Available"))</f>
        <v/>
      </c>
      <c r="AA498" s="11"/>
      <c r="AB498" s="11"/>
      <c r="AC498" s="11"/>
      <c r="AD498" s="11"/>
      <c r="AE498" s="11"/>
      <c r="AF498" s="11"/>
      <c r="AG498" s="11"/>
    </row>
    <row r="499" spans="1:33" x14ac:dyDescent="0.25">
      <c r="A499" s="10" t="str">
        <f t="shared" si="14"/>
        <v/>
      </c>
      <c r="B499" s="11"/>
      <c r="C499" s="10" t="str">
        <f t="shared" si="15"/>
        <v/>
      </c>
      <c r="D499" s="11"/>
      <c r="E499" s="11"/>
      <c r="F499" s="11"/>
      <c r="G499" s="11"/>
      <c r="H499" s="10" t="str">
        <f>IF(ISBLANK(F499),"",IF(G499&lt;&gt;"",UPPER(TRIM(G499)),IF(ISNUMBER(SEARCH(" ",TRIM(F499))),UPPER(LEFT(TRIM(RIGHT(SUBSTITUTE(TRIM(F499)," ",REPT(" ",100)),100)),Settings!$B$9)),UPPER(LEFT(TRIM(F499),Settings!$B$9)))))</f>
        <v/>
      </c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0" t="str">
        <f>IF(ISBLANK(D499),"",IF(COUNTIFS(Circulation!$B$2:$B$500,A499,Circulation!$H$2:$H$500,"Active")&gt;0,"On Loan","Available"))</f>
        <v/>
      </c>
      <c r="AA499" s="11"/>
      <c r="AB499" s="11"/>
      <c r="AC499" s="11"/>
      <c r="AD499" s="11"/>
      <c r="AE499" s="11"/>
      <c r="AF499" s="11"/>
      <c r="AG499" s="11"/>
    </row>
    <row r="500" spans="1:33" x14ac:dyDescent="0.25">
      <c r="A500" s="10" t="str">
        <f t="shared" si="14"/>
        <v/>
      </c>
      <c r="B500" s="11"/>
      <c r="C500" s="10" t="str">
        <f t="shared" si="15"/>
        <v/>
      </c>
      <c r="D500" s="11"/>
      <c r="E500" s="11"/>
      <c r="F500" s="11"/>
      <c r="G500" s="11"/>
      <c r="H500" s="10" t="str">
        <f>IF(ISBLANK(F500),"",IF(G500&lt;&gt;"",UPPER(TRIM(G500)),IF(ISNUMBER(SEARCH(" ",TRIM(F500))),UPPER(LEFT(TRIM(RIGHT(SUBSTITUTE(TRIM(F500)," ",REPT(" ",100)),100)),Settings!$B$9)),UPPER(LEFT(TRIM(F500),Settings!$B$9)))))</f>
        <v/>
      </c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0" t="str">
        <f>IF(ISBLANK(D500),"",IF(COUNTIFS(Circulation!$B$2:$B$500,A500,Circulation!$H$2:$H$500,"Active")&gt;0,"On Loan","Available"))</f>
        <v/>
      </c>
      <c r="AA500" s="11"/>
      <c r="AB500" s="11"/>
      <c r="AC500" s="11"/>
      <c r="AD500" s="11"/>
      <c r="AE500" s="11"/>
      <c r="AF500" s="11"/>
      <c r="AG500" s="11"/>
    </row>
    <row r="501" spans="1:33" x14ac:dyDescent="0.25">
      <c r="A501" s="10" t="str">
        <f t="shared" si="14"/>
        <v/>
      </c>
      <c r="B501" s="11"/>
      <c r="C501" s="10" t="str">
        <f t="shared" si="15"/>
        <v/>
      </c>
      <c r="D501" s="11"/>
      <c r="E501" s="11"/>
      <c r="F501" s="11"/>
      <c r="G501" s="11"/>
      <c r="H501" s="10" t="str">
        <f>IF(ISBLANK(F501),"",IF(G501&lt;&gt;"",UPPER(TRIM(G501)),IF(ISNUMBER(SEARCH(" ",TRIM(F501))),UPPER(LEFT(TRIM(RIGHT(SUBSTITUTE(TRIM(F501)," ",REPT(" ",100)),100)),Settings!$B$9)),UPPER(LEFT(TRIM(F501),Settings!$B$9)))))</f>
        <v/>
      </c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0" t="str">
        <f>IF(ISBLANK(D501),"",IF(COUNTIFS(Circulation!$B$2:$B$500,A501,Circulation!$H$2:$H$500,"Active")&gt;0,"On Loan","Available"))</f>
        <v/>
      </c>
      <c r="AA501" s="11"/>
      <c r="AB501" s="11"/>
      <c r="AC501" s="11"/>
      <c r="AD501" s="11"/>
      <c r="AE501" s="11"/>
      <c r="AF501" s="11"/>
      <c r="AG501" s="11"/>
    </row>
  </sheetData>
  <sheetProtection password="E720" sheet="1"/>
  <autoFilter ref="A1:AG501" xr:uid="{00000000-0009-0000-0000-000003000000}"/>
  <conditionalFormatting sqref="D2:D501">
    <cfRule type="expression" dxfId="2" priority="1">
      <formula>ISBLANK($D2)</formula>
    </cfRule>
  </conditionalFormatting>
  <conditionalFormatting sqref="F2:F501">
    <cfRule type="expression" dxfId="1" priority="2">
      <formula>AND($D2&lt;&gt;"",ISBLANK($F2))</formula>
    </cfRule>
  </conditionalFormatting>
  <conditionalFormatting sqref="Z2:Z501">
    <cfRule type="expression" dxfId="0" priority="3">
      <formula>$Z2="On Loan"</formula>
    </cfRule>
  </conditionalFormatting>
  <dataValidations count="7">
    <dataValidation type="list" allowBlank="1" sqref="K2:K501" xr:uid="{00000000-0002-0000-0300-000000000000}">
      <formula1>ResourceTypeList</formula1>
    </dataValidation>
    <dataValidation type="list" allowBlank="1" sqref="L2:L501" xr:uid="{00000000-0002-0000-0300-000001000000}">
      <formula1>GenreList</formula1>
    </dataValidation>
    <dataValidation type="list" allowBlank="1" sqref="M2:M501" xr:uid="{00000000-0002-0000-0300-000002000000}">
      <formula1>LanguageList</formula1>
    </dataValidation>
    <dataValidation type="list" allowBlank="1" sqref="W2:W501" xr:uid="{00000000-0002-0000-0300-000003000000}">
      <formula1>LocationTypeList</formula1>
    </dataValidation>
    <dataValidation type="list" allowBlank="1" sqref="Y2:Y501" xr:uid="{00000000-0002-0000-0300-000004000000}">
      <formula1>ConditionList</formula1>
    </dataValidation>
    <dataValidation type="list" allowBlank="1" sqref="AB2:AB501" xr:uid="{00000000-0002-0000-0300-000005000000}">
      <formula1>AcqTypeList</formula1>
    </dataValidation>
    <dataValidation type="list" allowBlank="1" sqref="AF2:AF501" xr:uid="{00000000-0002-0000-0300-000006000000}">
      <formula1>RightsList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6" customWidth="1"/>
    <col min="3" max="3" width="32" customWidth="1"/>
    <col min="4" max="4" width="26" customWidth="1"/>
    <col min="5" max="5" width="22" customWidth="1"/>
    <col min="6" max="7" width="18" customWidth="1"/>
    <col min="8" max="9" width="12" customWidth="1"/>
    <col min="10" max="10" width="20" customWidth="1"/>
    <col min="11" max="11" width="12" customWidth="1"/>
    <col min="12" max="12" width="14" customWidth="1"/>
    <col min="13" max="13" width="32" customWidth="1"/>
    <col min="14" max="14" width="30" customWidth="1"/>
    <col min="15" max="15" width="20" customWidth="1"/>
    <col min="16" max="16" width="10" customWidth="1"/>
    <col min="17" max="18" width="14" customWidth="1"/>
    <col min="19" max="20" width="16" customWidth="1"/>
    <col min="21" max="21" width="30" customWidth="1"/>
    <col min="22" max="22" width="14" customWidth="1"/>
    <col min="23" max="24" width="12" customWidth="1"/>
    <col min="25" max="25" width="24" customWidth="1"/>
    <col min="26" max="27" width="14" customWidth="1"/>
  </cols>
  <sheetData>
    <row r="1" spans="1:27" ht="30" x14ac:dyDescent="0.25">
      <c r="A1" s="5" t="s">
        <v>300</v>
      </c>
      <c r="B1" s="5" t="s">
        <v>301</v>
      </c>
      <c r="C1" s="5" t="s">
        <v>228</v>
      </c>
      <c r="D1" s="5" t="s">
        <v>230</v>
      </c>
      <c r="E1" s="5" t="s">
        <v>302</v>
      </c>
      <c r="F1" s="5" t="s">
        <v>80</v>
      </c>
      <c r="G1" s="5" t="s">
        <v>81</v>
      </c>
      <c r="H1" s="5" t="s">
        <v>82</v>
      </c>
      <c r="I1" s="5" t="s">
        <v>83</v>
      </c>
      <c r="J1" s="5" t="s">
        <v>303</v>
      </c>
      <c r="K1" s="5" t="s">
        <v>304</v>
      </c>
      <c r="L1" s="5" t="s">
        <v>305</v>
      </c>
      <c r="M1" s="5" t="s">
        <v>306</v>
      </c>
      <c r="N1" s="5" t="s">
        <v>307</v>
      </c>
      <c r="O1" s="5" t="s">
        <v>84</v>
      </c>
      <c r="P1" s="5" t="s">
        <v>308</v>
      </c>
      <c r="Q1" s="5" t="s">
        <v>309</v>
      </c>
      <c r="R1" s="5" t="s">
        <v>310</v>
      </c>
      <c r="S1" s="5" t="s">
        <v>89</v>
      </c>
      <c r="T1" s="5" t="s">
        <v>88</v>
      </c>
      <c r="U1" s="5" t="s">
        <v>250</v>
      </c>
      <c r="V1" s="5" t="s">
        <v>311</v>
      </c>
      <c r="W1" s="5" t="s">
        <v>312</v>
      </c>
      <c r="X1" s="5" t="s">
        <v>313</v>
      </c>
      <c r="Y1" s="5" t="s">
        <v>314</v>
      </c>
      <c r="Z1" s="5" t="s">
        <v>96</v>
      </c>
      <c r="AA1" s="5" t="s">
        <v>97</v>
      </c>
    </row>
    <row r="2" spans="1:27" ht="30" x14ac:dyDescent="0.25">
      <c r="A2" s="10">
        <f t="shared" ref="A2:A65" si="0">IF(ISBLANK(C2),"",ROW()-1)</f>
        <v>1</v>
      </c>
      <c r="B2" s="10" t="e">
        <f t="shared" ref="B2:B65" si="1">IF(ISBLANK(C2),"","DIG-"&amp;MID(F2,SEARCH("(",F2)+1,3)&amp;"-"&amp;MID(G2,SEARCH("(",G2)+1,3)&amp;"-"&amp;UPPER(LEFT(TRIM(RIGHT(SUBSTITUTE(TRIM(D2)," ",REPT(" ",100)),100)),3))&amp;"-"&amp;TEXT(A2,"000"))</f>
        <v>#VALUE!</v>
      </c>
      <c r="C2" s="11" t="s">
        <v>315</v>
      </c>
      <c r="D2" s="11" t="s">
        <v>316</v>
      </c>
      <c r="E2" s="11"/>
      <c r="F2" s="11" t="s">
        <v>72</v>
      </c>
      <c r="G2" s="11" t="s">
        <v>132</v>
      </c>
      <c r="H2" s="11" t="s">
        <v>59</v>
      </c>
      <c r="I2" s="11" t="s">
        <v>99</v>
      </c>
      <c r="J2" s="11" t="s">
        <v>317</v>
      </c>
      <c r="K2" s="11" t="s">
        <v>318</v>
      </c>
      <c r="L2" s="11"/>
      <c r="M2" s="11" t="s">
        <v>319</v>
      </c>
      <c r="N2" s="11"/>
      <c r="O2" s="11" t="s">
        <v>177</v>
      </c>
      <c r="P2" s="11" t="s">
        <v>320</v>
      </c>
      <c r="Q2" s="11" t="s">
        <v>321</v>
      </c>
      <c r="R2" s="10"/>
      <c r="S2" s="11" t="s">
        <v>105</v>
      </c>
      <c r="T2" s="11" t="s">
        <v>121</v>
      </c>
      <c r="U2" s="11" t="s">
        <v>322</v>
      </c>
      <c r="V2" s="11"/>
      <c r="W2" s="11"/>
      <c r="X2" s="11"/>
      <c r="Y2" s="11"/>
      <c r="Z2" s="11" t="s">
        <v>146</v>
      </c>
      <c r="AA2" s="11" t="s">
        <v>113</v>
      </c>
    </row>
    <row r="3" spans="1:27" x14ac:dyDescent="0.25">
      <c r="A3" s="10">
        <f t="shared" si="0"/>
        <v>2</v>
      </c>
      <c r="B3" s="10" t="e">
        <f t="shared" si="1"/>
        <v>#VALUE!</v>
      </c>
      <c r="C3" s="11" t="s">
        <v>293</v>
      </c>
      <c r="D3" s="11" t="s">
        <v>294</v>
      </c>
      <c r="E3" s="11"/>
      <c r="F3" s="11" t="s">
        <v>72</v>
      </c>
      <c r="G3" s="11" t="s">
        <v>98</v>
      </c>
      <c r="H3" s="11" t="s">
        <v>116</v>
      </c>
      <c r="I3" s="11" t="s">
        <v>99</v>
      </c>
      <c r="J3" s="11" t="s">
        <v>317</v>
      </c>
      <c r="K3" s="11" t="s">
        <v>318</v>
      </c>
      <c r="L3" s="11"/>
      <c r="M3" s="11" t="s">
        <v>323</v>
      </c>
      <c r="N3" s="11"/>
      <c r="O3" s="11" t="s">
        <v>135</v>
      </c>
      <c r="P3" s="11" t="s">
        <v>324</v>
      </c>
      <c r="Q3" s="11" t="s">
        <v>325</v>
      </c>
      <c r="R3" s="10"/>
      <c r="S3" s="11" t="s">
        <v>105</v>
      </c>
      <c r="T3" s="11" t="s">
        <v>121</v>
      </c>
      <c r="U3" s="11" t="s">
        <v>326</v>
      </c>
      <c r="V3" s="11"/>
      <c r="W3" s="11"/>
      <c r="X3" s="11"/>
      <c r="Y3" s="11"/>
      <c r="Z3" s="11" t="s">
        <v>146</v>
      </c>
      <c r="AA3" s="11" t="s">
        <v>113</v>
      </c>
    </row>
    <row r="4" spans="1:27" ht="30" x14ac:dyDescent="0.25">
      <c r="A4" s="10">
        <f t="shared" si="0"/>
        <v>3</v>
      </c>
      <c r="B4" s="10" t="e">
        <f t="shared" si="1"/>
        <v>#VALUE!</v>
      </c>
      <c r="C4" s="11" t="s">
        <v>327</v>
      </c>
      <c r="D4" s="11" t="s">
        <v>328</v>
      </c>
      <c r="E4" s="11"/>
      <c r="F4" s="11" t="s">
        <v>72</v>
      </c>
      <c r="G4" s="11" t="s">
        <v>175</v>
      </c>
      <c r="H4" s="11" t="s">
        <v>59</v>
      </c>
      <c r="I4" s="11" t="s">
        <v>117</v>
      </c>
      <c r="J4" s="11" t="s">
        <v>329</v>
      </c>
      <c r="K4" s="11" t="s">
        <v>330</v>
      </c>
      <c r="L4" s="11"/>
      <c r="M4" s="11" t="s">
        <v>331</v>
      </c>
      <c r="N4" s="11"/>
      <c r="O4" s="11" t="s">
        <v>177</v>
      </c>
      <c r="P4" s="11" t="s">
        <v>320</v>
      </c>
      <c r="Q4" s="11" t="s">
        <v>332</v>
      </c>
      <c r="R4" s="10"/>
      <c r="S4" s="11" t="s">
        <v>105</v>
      </c>
      <c r="T4" s="11" t="s">
        <v>121</v>
      </c>
      <c r="U4" s="11" t="s">
        <v>333</v>
      </c>
      <c r="V4" s="11"/>
      <c r="W4" s="11"/>
      <c r="X4" s="11"/>
      <c r="Y4" s="11"/>
      <c r="Z4" s="11" t="s">
        <v>112</v>
      </c>
      <c r="AA4" s="11" t="s">
        <v>113</v>
      </c>
    </row>
    <row r="5" spans="1:27" x14ac:dyDescent="0.25">
      <c r="A5" s="10">
        <f t="shared" si="0"/>
        <v>4</v>
      </c>
      <c r="B5" s="10" t="e">
        <f t="shared" si="1"/>
        <v>#VALUE!</v>
      </c>
      <c r="C5" s="11" t="s">
        <v>334</v>
      </c>
      <c r="D5" s="11"/>
      <c r="E5" s="11"/>
      <c r="F5" s="11" t="s">
        <v>194</v>
      </c>
      <c r="G5" s="11" t="s">
        <v>98</v>
      </c>
      <c r="H5" s="11" t="s">
        <v>116</v>
      </c>
      <c r="I5" s="11" t="s">
        <v>214</v>
      </c>
      <c r="J5" s="11" t="s">
        <v>335</v>
      </c>
      <c r="K5" s="11" t="s">
        <v>336</v>
      </c>
      <c r="L5" s="11"/>
      <c r="M5" s="11" t="s">
        <v>337</v>
      </c>
      <c r="N5" s="11"/>
      <c r="O5" s="11" t="s">
        <v>100</v>
      </c>
      <c r="P5" s="11" t="s">
        <v>324</v>
      </c>
      <c r="Q5" s="11" t="s">
        <v>338</v>
      </c>
      <c r="R5" s="10"/>
      <c r="S5" s="11" t="s">
        <v>171</v>
      </c>
      <c r="T5" s="11" t="s">
        <v>121</v>
      </c>
      <c r="U5" s="11" t="s">
        <v>339</v>
      </c>
      <c r="V5" s="11"/>
      <c r="W5" s="11"/>
      <c r="X5" s="11"/>
      <c r="Y5" s="11"/>
      <c r="Z5" s="11" t="s">
        <v>161</v>
      </c>
      <c r="AA5" s="11" t="s">
        <v>113</v>
      </c>
    </row>
    <row r="6" spans="1:27" x14ac:dyDescent="0.25">
      <c r="A6" s="10">
        <f t="shared" si="0"/>
        <v>5</v>
      </c>
      <c r="B6" s="10" t="e">
        <f t="shared" si="1"/>
        <v>#VALUE!</v>
      </c>
      <c r="C6" s="11" t="s">
        <v>340</v>
      </c>
      <c r="D6" s="11"/>
      <c r="E6" s="11"/>
      <c r="F6" s="11" t="s">
        <v>197</v>
      </c>
      <c r="G6" s="11" t="s">
        <v>98</v>
      </c>
      <c r="H6" s="11" t="s">
        <v>116</v>
      </c>
      <c r="I6" s="11" t="s">
        <v>218</v>
      </c>
      <c r="J6" s="11" t="s">
        <v>341</v>
      </c>
      <c r="K6" s="11" t="s">
        <v>342</v>
      </c>
      <c r="L6" s="11"/>
      <c r="M6" s="11" t="s">
        <v>343</v>
      </c>
      <c r="N6" s="11"/>
      <c r="O6" s="11" t="s">
        <v>100</v>
      </c>
      <c r="P6" s="11" t="s">
        <v>324</v>
      </c>
      <c r="Q6" s="11" t="s">
        <v>344</v>
      </c>
      <c r="R6" s="10"/>
      <c r="S6" s="11" t="s">
        <v>171</v>
      </c>
      <c r="T6" s="11" t="s">
        <v>139</v>
      </c>
      <c r="U6" s="11" t="s">
        <v>345</v>
      </c>
      <c r="V6" s="11"/>
      <c r="W6" s="11"/>
      <c r="X6" s="11"/>
      <c r="Y6" s="11"/>
      <c r="Z6" s="11" t="s">
        <v>161</v>
      </c>
      <c r="AA6" s="11" t="s">
        <v>113</v>
      </c>
    </row>
    <row r="7" spans="1:27" ht="30" x14ac:dyDescent="0.25">
      <c r="A7" s="10">
        <f t="shared" si="0"/>
        <v>6</v>
      </c>
      <c r="B7" s="10" t="e">
        <f t="shared" si="1"/>
        <v>#VALUE!</v>
      </c>
      <c r="C7" s="11" t="s">
        <v>346</v>
      </c>
      <c r="D7" s="11"/>
      <c r="E7" s="11"/>
      <c r="F7" s="11" t="s">
        <v>203</v>
      </c>
      <c r="G7" s="11" t="s">
        <v>98</v>
      </c>
      <c r="H7" s="11" t="s">
        <v>116</v>
      </c>
      <c r="I7" s="11" t="s">
        <v>206</v>
      </c>
      <c r="J7" s="11" t="s">
        <v>347</v>
      </c>
      <c r="K7" s="11" t="s">
        <v>348</v>
      </c>
      <c r="L7" s="11"/>
      <c r="M7" s="11" t="s">
        <v>349</v>
      </c>
      <c r="N7" s="11"/>
      <c r="O7" s="11" t="s">
        <v>135</v>
      </c>
      <c r="P7" s="11" t="s">
        <v>324</v>
      </c>
      <c r="Q7" s="11" t="s">
        <v>350</v>
      </c>
      <c r="R7" s="10"/>
      <c r="S7" s="11" t="s">
        <v>122</v>
      </c>
      <c r="T7" s="11" t="s">
        <v>156</v>
      </c>
      <c r="U7" s="11" t="s">
        <v>351</v>
      </c>
      <c r="V7" s="11"/>
      <c r="W7" s="11"/>
      <c r="X7" s="11" t="s">
        <v>352</v>
      </c>
      <c r="Y7" s="11"/>
      <c r="Z7" s="11" t="s">
        <v>161</v>
      </c>
      <c r="AA7" s="11" t="s">
        <v>113</v>
      </c>
    </row>
    <row r="8" spans="1:27" x14ac:dyDescent="0.25">
      <c r="A8" s="10" t="str">
        <f t="shared" si="0"/>
        <v/>
      </c>
      <c r="B8" s="10" t="str">
        <f t="shared" si="1"/>
        <v/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0"/>
      <c r="S8" s="11"/>
      <c r="T8" s="11"/>
      <c r="U8" s="11"/>
      <c r="V8" s="11"/>
      <c r="W8" s="11"/>
      <c r="X8" s="11"/>
      <c r="Y8" s="11"/>
      <c r="Z8" s="11"/>
      <c r="AA8" s="11"/>
    </row>
    <row r="9" spans="1:27" x14ac:dyDescent="0.25">
      <c r="A9" s="10" t="str">
        <f t="shared" si="0"/>
        <v/>
      </c>
      <c r="B9" s="10" t="str">
        <f t="shared" si="1"/>
        <v/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0"/>
      <c r="S9" s="11"/>
      <c r="T9" s="11"/>
      <c r="U9" s="11"/>
      <c r="V9" s="11"/>
      <c r="W9" s="11"/>
      <c r="X9" s="11"/>
      <c r="Y9" s="11"/>
      <c r="Z9" s="11"/>
      <c r="AA9" s="11"/>
    </row>
    <row r="10" spans="1:27" x14ac:dyDescent="0.25">
      <c r="A10" s="10" t="str">
        <f t="shared" si="0"/>
        <v/>
      </c>
      <c r="B10" s="10" t="str">
        <f t="shared" si="1"/>
        <v/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0"/>
      <c r="S10" s="11"/>
      <c r="T10" s="11"/>
      <c r="U10" s="11"/>
      <c r="V10" s="11"/>
      <c r="W10" s="11"/>
      <c r="X10" s="11"/>
      <c r="Y10" s="11"/>
      <c r="Z10" s="11"/>
      <c r="AA10" s="11"/>
    </row>
    <row r="11" spans="1:27" x14ac:dyDescent="0.25">
      <c r="A11" s="10" t="str">
        <f t="shared" si="0"/>
        <v/>
      </c>
      <c r="B11" s="10" t="str">
        <f t="shared" si="1"/>
        <v/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0"/>
      <c r="S11" s="11"/>
      <c r="T11" s="11"/>
      <c r="U11" s="11"/>
      <c r="V11" s="11"/>
      <c r="W11" s="11"/>
      <c r="X11" s="11"/>
      <c r="Y11" s="11"/>
      <c r="Z11" s="11"/>
      <c r="AA11" s="11"/>
    </row>
    <row r="12" spans="1:27" x14ac:dyDescent="0.25">
      <c r="A12" s="10" t="str">
        <f t="shared" si="0"/>
        <v/>
      </c>
      <c r="B12" s="10" t="str">
        <f t="shared" si="1"/>
        <v/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0"/>
      <c r="S12" s="11"/>
      <c r="T12" s="11"/>
      <c r="U12" s="11"/>
      <c r="V12" s="11"/>
      <c r="W12" s="11"/>
      <c r="X12" s="11"/>
      <c r="Y12" s="11"/>
      <c r="Z12" s="11"/>
      <c r="AA12" s="11"/>
    </row>
    <row r="13" spans="1:27" x14ac:dyDescent="0.25">
      <c r="A13" s="10" t="str">
        <f t="shared" si="0"/>
        <v/>
      </c>
      <c r="B13" s="10" t="str">
        <f t="shared" si="1"/>
        <v/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0"/>
      <c r="S13" s="11"/>
      <c r="T13" s="11"/>
      <c r="U13" s="11"/>
      <c r="V13" s="11"/>
      <c r="W13" s="11"/>
      <c r="X13" s="11"/>
      <c r="Y13" s="11"/>
      <c r="Z13" s="11"/>
      <c r="AA13" s="11"/>
    </row>
    <row r="14" spans="1:27" x14ac:dyDescent="0.25">
      <c r="A14" s="10" t="str">
        <f t="shared" si="0"/>
        <v/>
      </c>
      <c r="B14" s="10" t="str">
        <f t="shared" si="1"/>
        <v/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0"/>
      <c r="S14" s="11"/>
      <c r="T14" s="11"/>
      <c r="U14" s="11"/>
      <c r="V14" s="11"/>
      <c r="W14" s="11"/>
      <c r="X14" s="11"/>
      <c r="Y14" s="11"/>
      <c r="Z14" s="11"/>
      <c r="AA14" s="11"/>
    </row>
    <row r="15" spans="1:27" x14ac:dyDescent="0.25">
      <c r="A15" s="10" t="str">
        <f t="shared" si="0"/>
        <v/>
      </c>
      <c r="B15" s="10" t="str">
        <f t="shared" si="1"/>
        <v/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0"/>
      <c r="S15" s="11"/>
      <c r="T15" s="11"/>
      <c r="U15" s="11"/>
      <c r="V15" s="11"/>
      <c r="W15" s="11"/>
      <c r="X15" s="11"/>
      <c r="Y15" s="11"/>
      <c r="Z15" s="11"/>
      <c r="AA15" s="11"/>
    </row>
    <row r="16" spans="1:27" x14ac:dyDescent="0.25">
      <c r="A16" s="10" t="str">
        <f t="shared" si="0"/>
        <v/>
      </c>
      <c r="B16" s="10" t="str">
        <f t="shared" si="1"/>
        <v/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0"/>
      <c r="S16" s="11"/>
      <c r="T16" s="11"/>
      <c r="U16" s="11"/>
      <c r="V16" s="11"/>
      <c r="W16" s="11"/>
      <c r="X16" s="11"/>
      <c r="Y16" s="11"/>
      <c r="Z16" s="11"/>
      <c r="AA16" s="11"/>
    </row>
    <row r="17" spans="1:27" x14ac:dyDescent="0.25">
      <c r="A17" s="10" t="str">
        <f t="shared" si="0"/>
        <v/>
      </c>
      <c r="B17" s="10" t="str">
        <f t="shared" si="1"/>
        <v/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0"/>
      <c r="S17" s="11"/>
      <c r="T17" s="11"/>
      <c r="U17" s="11"/>
      <c r="V17" s="11"/>
      <c r="W17" s="11"/>
      <c r="X17" s="11"/>
      <c r="Y17" s="11"/>
      <c r="Z17" s="11"/>
      <c r="AA17" s="11"/>
    </row>
    <row r="18" spans="1:27" x14ac:dyDescent="0.25">
      <c r="A18" s="10" t="str">
        <f t="shared" si="0"/>
        <v/>
      </c>
      <c r="B18" s="10" t="str">
        <f t="shared" si="1"/>
        <v/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0"/>
      <c r="S18" s="11"/>
      <c r="T18" s="11"/>
      <c r="U18" s="11"/>
      <c r="V18" s="11"/>
      <c r="W18" s="11"/>
      <c r="X18" s="11"/>
      <c r="Y18" s="11"/>
      <c r="Z18" s="11"/>
      <c r="AA18" s="11"/>
    </row>
    <row r="19" spans="1:27" x14ac:dyDescent="0.25">
      <c r="A19" s="10" t="str">
        <f t="shared" si="0"/>
        <v/>
      </c>
      <c r="B19" s="10" t="str">
        <f t="shared" si="1"/>
        <v/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0"/>
      <c r="S19" s="11"/>
      <c r="T19" s="11"/>
      <c r="U19" s="11"/>
      <c r="V19" s="11"/>
      <c r="W19" s="11"/>
      <c r="X19" s="11"/>
      <c r="Y19" s="11"/>
      <c r="Z19" s="11"/>
      <c r="AA19" s="11"/>
    </row>
    <row r="20" spans="1:27" x14ac:dyDescent="0.25">
      <c r="A20" s="10" t="str">
        <f t="shared" si="0"/>
        <v/>
      </c>
      <c r="B20" s="10" t="str">
        <f t="shared" si="1"/>
        <v/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0"/>
      <c r="S20" s="11"/>
      <c r="T20" s="11"/>
      <c r="U20" s="11"/>
      <c r="V20" s="11"/>
      <c r="W20" s="11"/>
      <c r="X20" s="11"/>
      <c r="Y20" s="11"/>
      <c r="Z20" s="11"/>
      <c r="AA20" s="11"/>
    </row>
    <row r="21" spans="1:27" x14ac:dyDescent="0.25">
      <c r="A21" s="10" t="str">
        <f t="shared" si="0"/>
        <v/>
      </c>
      <c r="B21" s="10" t="str">
        <f t="shared" si="1"/>
        <v/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0"/>
      <c r="S21" s="11"/>
      <c r="T21" s="11"/>
      <c r="U21" s="11"/>
      <c r="V21" s="11"/>
      <c r="W21" s="11"/>
      <c r="X21" s="11"/>
      <c r="Y21" s="11"/>
      <c r="Z21" s="11"/>
      <c r="AA21" s="11"/>
    </row>
    <row r="22" spans="1:27" x14ac:dyDescent="0.25">
      <c r="A22" s="10" t="str">
        <f t="shared" si="0"/>
        <v/>
      </c>
      <c r="B22" s="10" t="str">
        <f t="shared" si="1"/>
        <v/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0"/>
      <c r="S22" s="11"/>
      <c r="T22" s="11"/>
      <c r="U22" s="11"/>
      <c r="V22" s="11"/>
      <c r="W22" s="11"/>
      <c r="X22" s="11"/>
      <c r="Y22" s="11"/>
      <c r="Z22" s="11"/>
      <c r="AA22" s="11"/>
    </row>
    <row r="23" spans="1:27" x14ac:dyDescent="0.25">
      <c r="A23" s="10" t="str">
        <f t="shared" si="0"/>
        <v/>
      </c>
      <c r="B23" s="10" t="str">
        <f t="shared" si="1"/>
        <v/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0"/>
      <c r="S23" s="11"/>
      <c r="T23" s="11"/>
      <c r="U23" s="11"/>
      <c r="V23" s="11"/>
      <c r="W23" s="11"/>
      <c r="X23" s="11"/>
      <c r="Y23" s="11"/>
      <c r="Z23" s="11"/>
      <c r="AA23" s="11"/>
    </row>
    <row r="24" spans="1:27" x14ac:dyDescent="0.25">
      <c r="A24" s="10" t="str">
        <f t="shared" si="0"/>
        <v/>
      </c>
      <c r="B24" s="10" t="str">
        <f t="shared" si="1"/>
        <v/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0"/>
      <c r="S24" s="11"/>
      <c r="T24" s="11"/>
      <c r="U24" s="11"/>
      <c r="V24" s="11"/>
      <c r="W24" s="11"/>
      <c r="X24" s="11"/>
      <c r="Y24" s="11"/>
      <c r="Z24" s="11"/>
      <c r="AA24" s="11"/>
    </row>
    <row r="25" spans="1:27" x14ac:dyDescent="0.25">
      <c r="A25" s="10" t="str">
        <f t="shared" si="0"/>
        <v/>
      </c>
      <c r="B25" s="10" t="str">
        <f t="shared" si="1"/>
        <v/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0"/>
      <c r="S25" s="11"/>
      <c r="T25" s="11"/>
      <c r="U25" s="11"/>
      <c r="V25" s="11"/>
      <c r="W25" s="11"/>
      <c r="X25" s="11"/>
      <c r="Y25" s="11"/>
      <c r="Z25" s="11"/>
      <c r="AA25" s="11"/>
    </row>
    <row r="26" spans="1:27" x14ac:dyDescent="0.25">
      <c r="A26" s="10" t="str">
        <f t="shared" si="0"/>
        <v/>
      </c>
      <c r="B26" s="10" t="str">
        <f t="shared" si="1"/>
        <v/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0"/>
      <c r="S26" s="11"/>
      <c r="T26" s="11"/>
      <c r="U26" s="11"/>
      <c r="V26" s="11"/>
      <c r="W26" s="11"/>
      <c r="X26" s="11"/>
      <c r="Y26" s="11"/>
      <c r="Z26" s="11"/>
      <c r="AA26" s="11"/>
    </row>
    <row r="27" spans="1:27" x14ac:dyDescent="0.25">
      <c r="A27" s="10" t="str">
        <f t="shared" si="0"/>
        <v/>
      </c>
      <c r="B27" s="10" t="str">
        <f t="shared" si="1"/>
        <v/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0"/>
      <c r="S27" s="11"/>
      <c r="T27" s="11"/>
      <c r="U27" s="11"/>
      <c r="V27" s="11"/>
      <c r="W27" s="11"/>
      <c r="X27" s="11"/>
      <c r="Y27" s="11"/>
      <c r="Z27" s="11"/>
      <c r="AA27" s="11"/>
    </row>
    <row r="28" spans="1:27" x14ac:dyDescent="0.25">
      <c r="A28" s="10" t="str">
        <f t="shared" si="0"/>
        <v/>
      </c>
      <c r="B28" s="10" t="str">
        <f t="shared" si="1"/>
        <v/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0"/>
      <c r="S28" s="11"/>
      <c r="T28" s="11"/>
      <c r="U28" s="11"/>
      <c r="V28" s="11"/>
      <c r="W28" s="11"/>
      <c r="X28" s="11"/>
      <c r="Y28" s="11"/>
      <c r="Z28" s="11"/>
      <c r="AA28" s="11"/>
    </row>
    <row r="29" spans="1:27" x14ac:dyDescent="0.25">
      <c r="A29" s="10" t="str">
        <f t="shared" si="0"/>
        <v/>
      </c>
      <c r="B29" s="10" t="str">
        <f t="shared" si="1"/>
        <v/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0"/>
      <c r="S29" s="11"/>
      <c r="T29" s="11"/>
      <c r="U29" s="11"/>
      <c r="V29" s="11"/>
      <c r="W29" s="11"/>
      <c r="X29" s="11"/>
      <c r="Y29" s="11"/>
      <c r="Z29" s="11"/>
      <c r="AA29" s="11"/>
    </row>
    <row r="30" spans="1:27" x14ac:dyDescent="0.25">
      <c r="A30" s="10" t="str">
        <f t="shared" si="0"/>
        <v/>
      </c>
      <c r="B30" s="10" t="str">
        <f t="shared" si="1"/>
        <v/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0"/>
      <c r="S30" s="11"/>
      <c r="T30" s="11"/>
      <c r="U30" s="11"/>
      <c r="V30" s="11"/>
      <c r="W30" s="11"/>
      <c r="X30" s="11"/>
      <c r="Y30" s="11"/>
      <c r="Z30" s="11"/>
      <c r="AA30" s="11"/>
    </row>
    <row r="31" spans="1:27" x14ac:dyDescent="0.25">
      <c r="A31" s="10" t="str">
        <f t="shared" si="0"/>
        <v/>
      </c>
      <c r="B31" s="10" t="str">
        <f t="shared" si="1"/>
        <v/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0"/>
      <c r="S31" s="11"/>
      <c r="T31" s="11"/>
      <c r="U31" s="11"/>
      <c r="V31" s="11"/>
      <c r="W31" s="11"/>
      <c r="X31" s="11"/>
      <c r="Y31" s="11"/>
      <c r="Z31" s="11"/>
      <c r="AA31" s="11"/>
    </row>
    <row r="32" spans="1:27" x14ac:dyDescent="0.25">
      <c r="A32" s="10" t="str">
        <f t="shared" si="0"/>
        <v/>
      </c>
      <c r="B32" s="10" t="str">
        <f t="shared" si="1"/>
        <v/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0"/>
      <c r="S32" s="11"/>
      <c r="T32" s="11"/>
      <c r="U32" s="11"/>
      <c r="V32" s="11"/>
      <c r="W32" s="11"/>
      <c r="X32" s="11"/>
      <c r="Y32" s="11"/>
      <c r="Z32" s="11"/>
      <c r="AA32" s="11"/>
    </row>
    <row r="33" spans="1:27" x14ac:dyDescent="0.25">
      <c r="A33" s="10" t="str">
        <f t="shared" si="0"/>
        <v/>
      </c>
      <c r="B33" s="10" t="str">
        <f t="shared" si="1"/>
        <v/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0"/>
      <c r="S33" s="11"/>
      <c r="T33" s="11"/>
      <c r="U33" s="11"/>
      <c r="V33" s="11"/>
      <c r="W33" s="11"/>
      <c r="X33" s="11"/>
      <c r="Y33" s="11"/>
      <c r="Z33" s="11"/>
      <c r="AA33" s="11"/>
    </row>
    <row r="34" spans="1:27" x14ac:dyDescent="0.25">
      <c r="A34" s="10" t="str">
        <f t="shared" si="0"/>
        <v/>
      </c>
      <c r="B34" s="10" t="str">
        <f t="shared" si="1"/>
        <v/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0"/>
      <c r="S34" s="11"/>
      <c r="T34" s="11"/>
      <c r="U34" s="11"/>
      <c r="V34" s="11"/>
      <c r="W34" s="11"/>
      <c r="X34" s="11"/>
      <c r="Y34" s="11"/>
      <c r="Z34" s="11"/>
      <c r="AA34" s="11"/>
    </row>
    <row r="35" spans="1:27" x14ac:dyDescent="0.25">
      <c r="A35" s="10" t="str">
        <f t="shared" si="0"/>
        <v/>
      </c>
      <c r="B35" s="10" t="str">
        <f t="shared" si="1"/>
        <v/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0"/>
      <c r="S35" s="11"/>
      <c r="T35" s="11"/>
      <c r="U35" s="11"/>
      <c r="V35" s="11"/>
      <c r="W35" s="11"/>
      <c r="X35" s="11"/>
      <c r="Y35" s="11"/>
      <c r="Z35" s="11"/>
      <c r="AA35" s="11"/>
    </row>
    <row r="36" spans="1:27" x14ac:dyDescent="0.25">
      <c r="A36" s="10" t="str">
        <f t="shared" si="0"/>
        <v/>
      </c>
      <c r="B36" s="10" t="str">
        <f t="shared" si="1"/>
        <v/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0"/>
      <c r="S36" s="11"/>
      <c r="T36" s="11"/>
      <c r="U36" s="11"/>
      <c r="V36" s="11"/>
      <c r="W36" s="11"/>
      <c r="X36" s="11"/>
      <c r="Y36" s="11"/>
      <c r="Z36" s="11"/>
      <c r="AA36" s="11"/>
    </row>
    <row r="37" spans="1:27" x14ac:dyDescent="0.25">
      <c r="A37" s="10" t="str">
        <f t="shared" si="0"/>
        <v/>
      </c>
      <c r="B37" s="10" t="str">
        <f t="shared" si="1"/>
        <v/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0"/>
      <c r="S37" s="11"/>
      <c r="T37" s="11"/>
      <c r="U37" s="11"/>
      <c r="V37" s="11"/>
      <c r="W37" s="11"/>
      <c r="X37" s="11"/>
      <c r="Y37" s="11"/>
      <c r="Z37" s="11"/>
      <c r="AA37" s="11"/>
    </row>
    <row r="38" spans="1:27" x14ac:dyDescent="0.25">
      <c r="A38" s="10" t="str">
        <f t="shared" si="0"/>
        <v/>
      </c>
      <c r="B38" s="10" t="str">
        <f t="shared" si="1"/>
        <v/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0"/>
      <c r="S38" s="11"/>
      <c r="T38" s="11"/>
      <c r="U38" s="11"/>
      <c r="V38" s="11"/>
      <c r="W38" s="11"/>
      <c r="X38" s="11"/>
      <c r="Y38" s="11"/>
      <c r="Z38" s="11"/>
      <c r="AA38" s="11"/>
    </row>
    <row r="39" spans="1:27" x14ac:dyDescent="0.25">
      <c r="A39" s="10" t="str">
        <f t="shared" si="0"/>
        <v/>
      </c>
      <c r="B39" s="10" t="str">
        <f t="shared" si="1"/>
        <v/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0"/>
      <c r="S39" s="11"/>
      <c r="T39" s="11"/>
      <c r="U39" s="11"/>
      <c r="V39" s="11"/>
      <c r="W39" s="11"/>
      <c r="X39" s="11"/>
      <c r="Y39" s="11"/>
      <c r="Z39" s="11"/>
      <c r="AA39" s="11"/>
    </row>
    <row r="40" spans="1:27" x14ac:dyDescent="0.25">
      <c r="A40" s="10" t="str">
        <f t="shared" si="0"/>
        <v/>
      </c>
      <c r="B40" s="10" t="str">
        <f t="shared" si="1"/>
        <v/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0"/>
      <c r="S40" s="11"/>
      <c r="T40" s="11"/>
      <c r="U40" s="11"/>
      <c r="V40" s="11"/>
      <c r="W40" s="11"/>
      <c r="X40" s="11"/>
      <c r="Y40" s="11"/>
      <c r="Z40" s="11"/>
      <c r="AA40" s="11"/>
    </row>
    <row r="41" spans="1:27" x14ac:dyDescent="0.25">
      <c r="A41" s="10" t="str">
        <f t="shared" si="0"/>
        <v/>
      </c>
      <c r="B41" s="10" t="str">
        <f t="shared" si="1"/>
        <v/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0"/>
      <c r="S41" s="11"/>
      <c r="T41" s="11"/>
      <c r="U41" s="11"/>
      <c r="V41" s="11"/>
      <c r="W41" s="11"/>
      <c r="X41" s="11"/>
      <c r="Y41" s="11"/>
      <c r="Z41" s="11"/>
      <c r="AA41" s="11"/>
    </row>
    <row r="42" spans="1:27" x14ac:dyDescent="0.25">
      <c r="A42" s="10" t="str">
        <f t="shared" si="0"/>
        <v/>
      </c>
      <c r="B42" s="10" t="str">
        <f t="shared" si="1"/>
        <v/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0"/>
      <c r="S42" s="11"/>
      <c r="T42" s="11"/>
      <c r="U42" s="11"/>
      <c r="V42" s="11"/>
      <c r="W42" s="11"/>
      <c r="X42" s="11"/>
      <c r="Y42" s="11"/>
      <c r="Z42" s="11"/>
      <c r="AA42" s="11"/>
    </row>
    <row r="43" spans="1:27" x14ac:dyDescent="0.25">
      <c r="A43" s="10" t="str">
        <f t="shared" si="0"/>
        <v/>
      </c>
      <c r="B43" s="10" t="str">
        <f t="shared" si="1"/>
        <v/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0"/>
      <c r="S43" s="11"/>
      <c r="T43" s="11"/>
      <c r="U43" s="11"/>
      <c r="V43" s="11"/>
      <c r="W43" s="11"/>
      <c r="X43" s="11"/>
      <c r="Y43" s="11"/>
      <c r="Z43" s="11"/>
      <c r="AA43" s="11"/>
    </row>
    <row r="44" spans="1:27" x14ac:dyDescent="0.25">
      <c r="A44" s="10" t="str">
        <f t="shared" si="0"/>
        <v/>
      </c>
      <c r="B44" s="10" t="str">
        <f t="shared" si="1"/>
        <v/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0"/>
      <c r="S44" s="11"/>
      <c r="T44" s="11"/>
      <c r="U44" s="11"/>
      <c r="V44" s="11"/>
      <c r="W44" s="11"/>
      <c r="X44" s="11"/>
      <c r="Y44" s="11"/>
      <c r="Z44" s="11"/>
      <c r="AA44" s="11"/>
    </row>
    <row r="45" spans="1:27" x14ac:dyDescent="0.25">
      <c r="A45" s="10" t="str">
        <f t="shared" si="0"/>
        <v/>
      </c>
      <c r="B45" s="10" t="str">
        <f t="shared" si="1"/>
        <v/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0"/>
      <c r="S45" s="11"/>
      <c r="T45" s="11"/>
      <c r="U45" s="11"/>
      <c r="V45" s="11"/>
      <c r="W45" s="11"/>
      <c r="X45" s="11"/>
      <c r="Y45" s="11"/>
      <c r="Z45" s="11"/>
      <c r="AA45" s="11"/>
    </row>
    <row r="46" spans="1:27" x14ac:dyDescent="0.25">
      <c r="A46" s="10" t="str">
        <f t="shared" si="0"/>
        <v/>
      </c>
      <c r="B46" s="10" t="str">
        <f t="shared" si="1"/>
        <v/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0"/>
      <c r="S46" s="11"/>
      <c r="T46" s="11"/>
      <c r="U46" s="11"/>
      <c r="V46" s="11"/>
      <c r="W46" s="11"/>
      <c r="X46" s="11"/>
      <c r="Y46" s="11"/>
      <c r="Z46" s="11"/>
      <c r="AA46" s="11"/>
    </row>
    <row r="47" spans="1:27" x14ac:dyDescent="0.25">
      <c r="A47" s="10" t="str">
        <f t="shared" si="0"/>
        <v/>
      </c>
      <c r="B47" s="10" t="str">
        <f t="shared" si="1"/>
        <v/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0"/>
      <c r="S47" s="11"/>
      <c r="T47" s="11"/>
      <c r="U47" s="11"/>
      <c r="V47" s="11"/>
      <c r="W47" s="11"/>
      <c r="X47" s="11"/>
      <c r="Y47" s="11"/>
      <c r="Z47" s="11"/>
      <c r="AA47" s="11"/>
    </row>
    <row r="48" spans="1:27" x14ac:dyDescent="0.25">
      <c r="A48" s="10" t="str">
        <f t="shared" si="0"/>
        <v/>
      </c>
      <c r="B48" s="10" t="str">
        <f t="shared" si="1"/>
        <v/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0"/>
      <c r="S48" s="11"/>
      <c r="T48" s="11"/>
      <c r="U48" s="11"/>
      <c r="V48" s="11"/>
      <c r="W48" s="11"/>
      <c r="X48" s="11"/>
      <c r="Y48" s="11"/>
      <c r="Z48" s="11"/>
      <c r="AA48" s="11"/>
    </row>
    <row r="49" spans="1:27" x14ac:dyDescent="0.25">
      <c r="A49" s="10" t="str">
        <f t="shared" si="0"/>
        <v/>
      </c>
      <c r="B49" s="10" t="str">
        <f t="shared" si="1"/>
        <v/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0"/>
      <c r="S49" s="11"/>
      <c r="T49" s="11"/>
      <c r="U49" s="11"/>
      <c r="V49" s="11"/>
      <c r="W49" s="11"/>
      <c r="X49" s="11"/>
      <c r="Y49" s="11"/>
      <c r="Z49" s="11"/>
      <c r="AA49" s="11"/>
    </row>
    <row r="50" spans="1:27" x14ac:dyDescent="0.25">
      <c r="A50" s="10" t="str">
        <f t="shared" si="0"/>
        <v/>
      </c>
      <c r="B50" s="10" t="str">
        <f t="shared" si="1"/>
        <v/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/>
      <c r="S50" s="11"/>
      <c r="T50" s="11"/>
      <c r="U50" s="11"/>
      <c r="V50" s="11"/>
      <c r="W50" s="11"/>
      <c r="X50" s="11"/>
      <c r="Y50" s="11"/>
      <c r="Z50" s="11"/>
      <c r="AA50" s="11"/>
    </row>
    <row r="51" spans="1:27" x14ac:dyDescent="0.25">
      <c r="A51" s="10" t="str">
        <f t="shared" si="0"/>
        <v/>
      </c>
      <c r="B51" s="10" t="str">
        <f t="shared" si="1"/>
        <v/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0"/>
      <c r="S51" s="11"/>
      <c r="T51" s="11"/>
      <c r="U51" s="11"/>
      <c r="V51" s="11"/>
      <c r="W51" s="11"/>
      <c r="X51" s="11"/>
      <c r="Y51" s="11"/>
      <c r="Z51" s="11"/>
      <c r="AA51" s="11"/>
    </row>
    <row r="52" spans="1:27" x14ac:dyDescent="0.25">
      <c r="A52" s="10" t="str">
        <f t="shared" si="0"/>
        <v/>
      </c>
      <c r="B52" s="10" t="str">
        <f t="shared" si="1"/>
        <v/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0"/>
      <c r="S52" s="11"/>
      <c r="T52" s="11"/>
      <c r="U52" s="11"/>
      <c r="V52" s="11"/>
      <c r="W52" s="11"/>
      <c r="X52" s="11"/>
      <c r="Y52" s="11"/>
      <c r="Z52" s="11"/>
      <c r="AA52" s="11"/>
    </row>
    <row r="53" spans="1:27" x14ac:dyDescent="0.25">
      <c r="A53" s="10" t="str">
        <f t="shared" si="0"/>
        <v/>
      </c>
      <c r="B53" s="10" t="str">
        <f t="shared" si="1"/>
        <v/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0"/>
      <c r="S53" s="11"/>
      <c r="T53" s="11"/>
      <c r="U53" s="11"/>
      <c r="V53" s="11"/>
      <c r="W53" s="11"/>
      <c r="X53" s="11"/>
      <c r="Y53" s="11"/>
      <c r="Z53" s="11"/>
      <c r="AA53" s="11"/>
    </row>
    <row r="54" spans="1:27" x14ac:dyDescent="0.25">
      <c r="A54" s="10" t="str">
        <f t="shared" si="0"/>
        <v/>
      </c>
      <c r="B54" s="10" t="str">
        <f t="shared" si="1"/>
        <v/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0"/>
      <c r="S54" s="11"/>
      <c r="T54" s="11"/>
      <c r="U54" s="11"/>
      <c r="V54" s="11"/>
      <c r="W54" s="11"/>
      <c r="X54" s="11"/>
      <c r="Y54" s="11"/>
      <c r="Z54" s="11"/>
      <c r="AA54" s="11"/>
    </row>
    <row r="55" spans="1:27" x14ac:dyDescent="0.25">
      <c r="A55" s="10" t="str">
        <f t="shared" si="0"/>
        <v/>
      </c>
      <c r="B55" s="10" t="str">
        <f t="shared" si="1"/>
        <v/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0"/>
      <c r="S55" s="11"/>
      <c r="T55" s="11"/>
      <c r="U55" s="11"/>
      <c r="V55" s="11"/>
      <c r="W55" s="11"/>
      <c r="X55" s="11"/>
      <c r="Y55" s="11"/>
      <c r="Z55" s="11"/>
      <c r="AA55" s="11"/>
    </row>
    <row r="56" spans="1:27" x14ac:dyDescent="0.25">
      <c r="A56" s="10" t="str">
        <f t="shared" si="0"/>
        <v/>
      </c>
      <c r="B56" s="10" t="str">
        <f t="shared" si="1"/>
        <v/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0"/>
      <c r="S56" s="11"/>
      <c r="T56" s="11"/>
      <c r="U56" s="11"/>
      <c r="V56" s="11"/>
      <c r="W56" s="11"/>
      <c r="X56" s="11"/>
      <c r="Y56" s="11"/>
      <c r="Z56" s="11"/>
      <c r="AA56" s="11"/>
    </row>
    <row r="57" spans="1:27" x14ac:dyDescent="0.25">
      <c r="A57" s="10" t="str">
        <f t="shared" si="0"/>
        <v/>
      </c>
      <c r="B57" s="10" t="str">
        <f t="shared" si="1"/>
        <v/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0"/>
      <c r="S57" s="11"/>
      <c r="T57" s="11"/>
      <c r="U57" s="11"/>
      <c r="V57" s="11"/>
      <c r="W57" s="11"/>
      <c r="X57" s="11"/>
      <c r="Y57" s="11"/>
      <c r="Z57" s="11"/>
      <c r="AA57" s="11"/>
    </row>
    <row r="58" spans="1:27" x14ac:dyDescent="0.25">
      <c r="A58" s="10" t="str">
        <f t="shared" si="0"/>
        <v/>
      </c>
      <c r="B58" s="10" t="str">
        <f t="shared" si="1"/>
        <v/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0"/>
      <c r="S58" s="11"/>
      <c r="T58" s="11"/>
      <c r="U58" s="11"/>
      <c r="V58" s="11"/>
      <c r="W58" s="11"/>
      <c r="X58" s="11"/>
      <c r="Y58" s="11"/>
      <c r="Z58" s="11"/>
      <c r="AA58" s="11"/>
    </row>
    <row r="59" spans="1:27" x14ac:dyDescent="0.25">
      <c r="A59" s="10" t="str">
        <f t="shared" si="0"/>
        <v/>
      </c>
      <c r="B59" s="10" t="str">
        <f t="shared" si="1"/>
        <v/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0"/>
      <c r="S59" s="11"/>
      <c r="T59" s="11"/>
      <c r="U59" s="11"/>
      <c r="V59" s="11"/>
      <c r="W59" s="11"/>
      <c r="X59" s="11"/>
      <c r="Y59" s="11"/>
      <c r="Z59" s="11"/>
      <c r="AA59" s="11"/>
    </row>
    <row r="60" spans="1:27" x14ac:dyDescent="0.25">
      <c r="A60" s="10" t="str">
        <f t="shared" si="0"/>
        <v/>
      </c>
      <c r="B60" s="10" t="str">
        <f t="shared" si="1"/>
        <v/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0"/>
      <c r="S60" s="11"/>
      <c r="T60" s="11"/>
      <c r="U60" s="11"/>
      <c r="V60" s="11"/>
      <c r="W60" s="11"/>
      <c r="X60" s="11"/>
      <c r="Y60" s="11"/>
      <c r="Z60" s="11"/>
      <c r="AA60" s="11"/>
    </row>
    <row r="61" spans="1:27" x14ac:dyDescent="0.25">
      <c r="A61" s="10" t="str">
        <f t="shared" si="0"/>
        <v/>
      </c>
      <c r="B61" s="10" t="str">
        <f t="shared" si="1"/>
        <v/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0"/>
      <c r="S61" s="11"/>
      <c r="T61" s="11"/>
      <c r="U61" s="11"/>
      <c r="V61" s="11"/>
      <c r="W61" s="11"/>
      <c r="X61" s="11"/>
      <c r="Y61" s="11"/>
      <c r="Z61" s="11"/>
      <c r="AA61" s="11"/>
    </row>
    <row r="62" spans="1:27" x14ac:dyDescent="0.25">
      <c r="A62" s="10" t="str">
        <f t="shared" si="0"/>
        <v/>
      </c>
      <c r="B62" s="10" t="str">
        <f t="shared" si="1"/>
        <v/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0"/>
      <c r="S62" s="11"/>
      <c r="T62" s="11"/>
      <c r="U62" s="11"/>
      <c r="V62" s="11"/>
      <c r="W62" s="11"/>
      <c r="X62" s="11"/>
      <c r="Y62" s="11"/>
      <c r="Z62" s="11"/>
      <c r="AA62" s="11"/>
    </row>
    <row r="63" spans="1:27" x14ac:dyDescent="0.25">
      <c r="A63" s="10" t="str">
        <f t="shared" si="0"/>
        <v/>
      </c>
      <c r="B63" s="10" t="str">
        <f t="shared" si="1"/>
        <v/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0"/>
      <c r="S63" s="11"/>
      <c r="T63" s="11"/>
      <c r="U63" s="11"/>
      <c r="V63" s="11"/>
      <c r="W63" s="11"/>
      <c r="X63" s="11"/>
      <c r="Y63" s="11"/>
      <c r="Z63" s="11"/>
      <c r="AA63" s="11"/>
    </row>
    <row r="64" spans="1:27" x14ac:dyDescent="0.25">
      <c r="A64" s="10" t="str">
        <f t="shared" si="0"/>
        <v/>
      </c>
      <c r="B64" s="10" t="str">
        <f t="shared" si="1"/>
        <v/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0"/>
      <c r="S64" s="11"/>
      <c r="T64" s="11"/>
      <c r="U64" s="11"/>
      <c r="V64" s="11"/>
      <c r="W64" s="11"/>
      <c r="X64" s="11"/>
      <c r="Y64" s="11"/>
      <c r="Z64" s="11"/>
      <c r="AA64" s="11"/>
    </row>
    <row r="65" spans="1:27" x14ac:dyDescent="0.25">
      <c r="A65" s="10" t="str">
        <f t="shared" si="0"/>
        <v/>
      </c>
      <c r="B65" s="10" t="str">
        <f t="shared" si="1"/>
        <v/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0"/>
      <c r="S65" s="11"/>
      <c r="T65" s="11"/>
      <c r="U65" s="11"/>
      <c r="V65" s="11"/>
      <c r="W65" s="11"/>
      <c r="X65" s="11"/>
      <c r="Y65" s="11"/>
      <c r="Z65" s="11"/>
      <c r="AA65" s="11"/>
    </row>
    <row r="66" spans="1:27" x14ac:dyDescent="0.25">
      <c r="A66" s="10" t="str">
        <f t="shared" ref="A66:A129" si="2">IF(ISBLANK(C66),"",ROW()-1)</f>
        <v/>
      </c>
      <c r="B66" s="10" t="str">
        <f t="shared" ref="B66:B129" si="3">IF(ISBLANK(C66),"","DIG-"&amp;MID(F66,SEARCH("(",F66)+1,3)&amp;"-"&amp;MID(G66,SEARCH("(",G66)+1,3)&amp;"-"&amp;UPPER(LEFT(TRIM(RIGHT(SUBSTITUTE(TRIM(D66)," ",REPT(" ",100)),100)),3))&amp;"-"&amp;TEXT(A66,"000"))</f>
        <v/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0"/>
      <c r="S66" s="11"/>
      <c r="T66" s="11"/>
      <c r="U66" s="11"/>
      <c r="V66" s="11"/>
      <c r="W66" s="11"/>
      <c r="X66" s="11"/>
      <c r="Y66" s="11"/>
      <c r="Z66" s="11"/>
      <c r="AA66" s="11"/>
    </row>
    <row r="67" spans="1:27" x14ac:dyDescent="0.25">
      <c r="A67" s="10" t="str">
        <f t="shared" si="2"/>
        <v/>
      </c>
      <c r="B67" s="10" t="str">
        <f t="shared" si="3"/>
        <v/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0"/>
      <c r="S67" s="11"/>
      <c r="T67" s="11"/>
      <c r="U67" s="11"/>
      <c r="V67" s="11"/>
      <c r="W67" s="11"/>
      <c r="X67" s="11"/>
      <c r="Y67" s="11"/>
      <c r="Z67" s="11"/>
      <c r="AA67" s="11"/>
    </row>
    <row r="68" spans="1:27" x14ac:dyDescent="0.25">
      <c r="A68" s="10" t="str">
        <f t="shared" si="2"/>
        <v/>
      </c>
      <c r="B68" s="10" t="str">
        <f t="shared" si="3"/>
        <v/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0"/>
      <c r="S68" s="11"/>
      <c r="T68" s="11"/>
      <c r="U68" s="11"/>
      <c r="V68" s="11"/>
      <c r="W68" s="11"/>
      <c r="X68" s="11"/>
      <c r="Y68" s="11"/>
      <c r="Z68" s="11"/>
      <c r="AA68" s="11"/>
    </row>
    <row r="69" spans="1:27" x14ac:dyDescent="0.25">
      <c r="A69" s="10" t="str">
        <f t="shared" si="2"/>
        <v/>
      </c>
      <c r="B69" s="10" t="str">
        <f t="shared" si="3"/>
        <v/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0"/>
      <c r="S69" s="11"/>
      <c r="T69" s="11"/>
      <c r="U69" s="11"/>
      <c r="V69" s="11"/>
      <c r="W69" s="11"/>
      <c r="X69" s="11"/>
      <c r="Y69" s="11"/>
      <c r="Z69" s="11"/>
      <c r="AA69" s="11"/>
    </row>
    <row r="70" spans="1:27" x14ac:dyDescent="0.25">
      <c r="A70" s="10" t="str">
        <f t="shared" si="2"/>
        <v/>
      </c>
      <c r="B70" s="10" t="str">
        <f t="shared" si="3"/>
        <v/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0"/>
      <c r="S70" s="11"/>
      <c r="T70" s="11"/>
      <c r="U70" s="11"/>
      <c r="V70" s="11"/>
      <c r="W70" s="11"/>
      <c r="X70" s="11"/>
      <c r="Y70" s="11"/>
      <c r="Z70" s="11"/>
      <c r="AA70" s="11"/>
    </row>
    <row r="71" spans="1:27" x14ac:dyDescent="0.25">
      <c r="A71" s="10" t="str">
        <f t="shared" si="2"/>
        <v/>
      </c>
      <c r="B71" s="10" t="str">
        <f t="shared" si="3"/>
        <v/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0"/>
      <c r="S71" s="11"/>
      <c r="T71" s="11"/>
      <c r="U71" s="11"/>
      <c r="V71" s="11"/>
      <c r="W71" s="11"/>
      <c r="X71" s="11"/>
      <c r="Y71" s="11"/>
      <c r="Z71" s="11"/>
      <c r="AA71" s="11"/>
    </row>
    <row r="72" spans="1:27" x14ac:dyDescent="0.25">
      <c r="A72" s="10" t="str">
        <f t="shared" si="2"/>
        <v/>
      </c>
      <c r="B72" s="10" t="str">
        <f t="shared" si="3"/>
        <v/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0"/>
      <c r="S72" s="11"/>
      <c r="T72" s="11"/>
      <c r="U72" s="11"/>
      <c r="V72" s="11"/>
      <c r="W72" s="11"/>
      <c r="X72" s="11"/>
      <c r="Y72" s="11"/>
      <c r="Z72" s="11"/>
      <c r="AA72" s="11"/>
    </row>
    <row r="73" spans="1:27" x14ac:dyDescent="0.25">
      <c r="A73" s="10" t="str">
        <f t="shared" si="2"/>
        <v/>
      </c>
      <c r="B73" s="10" t="str">
        <f t="shared" si="3"/>
        <v/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0"/>
      <c r="S73" s="11"/>
      <c r="T73" s="11"/>
      <c r="U73" s="11"/>
      <c r="V73" s="11"/>
      <c r="W73" s="11"/>
      <c r="X73" s="11"/>
      <c r="Y73" s="11"/>
      <c r="Z73" s="11"/>
      <c r="AA73" s="11"/>
    </row>
    <row r="74" spans="1:27" x14ac:dyDescent="0.25">
      <c r="A74" s="10" t="str">
        <f t="shared" si="2"/>
        <v/>
      </c>
      <c r="B74" s="10" t="str">
        <f t="shared" si="3"/>
        <v/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0"/>
      <c r="S74" s="11"/>
      <c r="T74" s="11"/>
      <c r="U74" s="11"/>
      <c r="V74" s="11"/>
      <c r="W74" s="11"/>
      <c r="X74" s="11"/>
      <c r="Y74" s="11"/>
      <c r="Z74" s="11"/>
      <c r="AA74" s="11"/>
    </row>
    <row r="75" spans="1:27" x14ac:dyDescent="0.25">
      <c r="A75" s="10" t="str">
        <f t="shared" si="2"/>
        <v/>
      </c>
      <c r="B75" s="10" t="str">
        <f t="shared" si="3"/>
        <v/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0"/>
      <c r="S75" s="11"/>
      <c r="T75" s="11"/>
      <c r="U75" s="11"/>
      <c r="V75" s="11"/>
      <c r="W75" s="11"/>
      <c r="X75" s="11"/>
      <c r="Y75" s="11"/>
      <c r="Z75" s="11"/>
      <c r="AA75" s="11"/>
    </row>
    <row r="76" spans="1:27" x14ac:dyDescent="0.25">
      <c r="A76" s="10" t="str">
        <f t="shared" si="2"/>
        <v/>
      </c>
      <c r="B76" s="10" t="str">
        <f t="shared" si="3"/>
        <v/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/>
      <c r="S76" s="11"/>
      <c r="T76" s="11"/>
      <c r="U76" s="11"/>
      <c r="V76" s="11"/>
      <c r="W76" s="11"/>
      <c r="X76" s="11"/>
      <c r="Y76" s="11"/>
      <c r="Z76" s="11"/>
      <c r="AA76" s="11"/>
    </row>
    <row r="77" spans="1:27" x14ac:dyDescent="0.25">
      <c r="A77" s="10" t="str">
        <f t="shared" si="2"/>
        <v/>
      </c>
      <c r="B77" s="10" t="str">
        <f t="shared" si="3"/>
        <v/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0"/>
      <c r="S77" s="11"/>
      <c r="T77" s="11"/>
      <c r="U77" s="11"/>
      <c r="V77" s="11"/>
      <c r="W77" s="11"/>
      <c r="X77" s="11"/>
      <c r="Y77" s="11"/>
      <c r="Z77" s="11"/>
      <c r="AA77" s="11"/>
    </row>
    <row r="78" spans="1:27" x14ac:dyDescent="0.25">
      <c r="A78" s="10" t="str">
        <f t="shared" si="2"/>
        <v/>
      </c>
      <c r="B78" s="10" t="str">
        <f t="shared" si="3"/>
        <v/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0"/>
      <c r="S78" s="11"/>
      <c r="T78" s="11"/>
      <c r="U78" s="11"/>
      <c r="V78" s="11"/>
      <c r="W78" s="11"/>
      <c r="X78" s="11"/>
      <c r="Y78" s="11"/>
      <c r="Z78" s="11"/>
      <c r="AA78" s="11"/>
    </row>
    <row r="79" spans="1:27" x14ac:dyDescent="0.25">
      <c r="A79" s="10" t="str">
        <f t="shared" si="2"/>
        <v/>
      </c>
      <c r="B79" s="10" t="str">
        <f t="shared" si="3"/>
        <v/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/>
      <c r="S79" s="11"/>
      <c r="T79" s="11"/>
      <c r="U79" s="11"/>
      <c r="V79" s="11"/>
      <c r="W79" s="11"/>
      <c r="X79" s="11"/>
      <c r="Y79" s="11"/>
      <c r="Z79" s="11"/>
      <c r="AA79" s="11"/>
    </row>
    <row r="80" spans="1:27" x14ac:dyDescent="0.25">
      <c r="A80" s="10" t="str">
        <f t="shared" si="2"/>
        <v/>
      </c>
      <c r="B80" s="10" t="str">
        <f t="shared" si="3"/>
        <v/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0"/>
      <c r="S80" s="11"/>
      <c r="T80" s="11"/>
      <c r="U80" s="11"/>
      <c r="V80" s="11"/>
      <c r="W80" s="11"/>
      <c r="X80" s="11"/>
      <c r="Y80" s="11"/>
      <c r="Z80" s="11"/>
      <c r="AA80" s="11"/>
    </row>
    <row r="81" spans="1:27" x14ac:dyDescent="0.25">
      <c r="A81" s="10" t="str">
        <f t="shared" si="2"/>
        <v/>
      </c>
      <c r="B81" s="10" t="str">
        <f t="shared" si="3"/>
        <v/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0"/>
      <c r="S81" s="11"/>
      <c r="T81" s="11"/>
      <c r="U81" s="11"/>
      <c r="V81" s="11"/>
      <c r="W81" s="11"/>
      <c r="X81" s="11"/>
      <c r="Y81" s="11"/>
      <c r="Z81" s="11"/>
      <c r="AA81" s="11"/>
    </row>
    <row r="82" spans="1:27" x14ac:dyDescent="0.25">
      <c r="A82" s="10" t="str">
        <f t="shared" si="2"/>
        <v/>
      </c>
      <c r="B82" s="10" t="str">
        <f t="shared" si="3"/>
        <v/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0"/>
      <c r="S82" s="11"/>
      <c r="T82" s="11"/>
      <c r="U82" s="11"/>
      <c r="V82" s="11"/>
      <c r="W82" s="11"/>
      <c r="X82" s="11"/>
      <c r="Y82" s="11"/>
      <c r="Z82" s="11"/>
      <c r="AA82" s="11"/>
    </row>
    <row r="83" spans="1:27" x14ac:dyDescent="0.25">
      <c r="A83" s="10" t="str">
        <f t="shared" si="2"/>
        <v/>
      </c>
      <c r="B83" s="10" t="str">
        <f t="shared" si="3"/>
        <v/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/>
      <c r="S83" s="11"/>
      <c r="T83" s="11"/>
      <c r="U83" s="11"/>
      <c r="V83" s="11"/>
      <c r="W83" s="11"/>
      <c r="X83" s="11"/>
      <c r="Y83" s="11"/>
      <c r="Z83" s="11"/>
      <c r="AA83" s="11"/>
    </row>
    <row r="84" spans="1:27" x14ac:dyDescent="0.25">
      <c r="A84" s="10" t="str">
        <f t="shared" si="2"/>
        <v/>
      </c>
      <c r="B84" s="10" t="str">
        <f t="shared" si="3"/>
        <v/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0"/>
      <c r="S84" s="11"/>
      <c r="T84" s="11"/>
      <c r="U84" s="11"/>
      <c r="V84" s="11"/>
      <c r="W84" s="11"/>
      <c r="X84" s="11"/>
      <c r="Y84" s="11"/>
      <c r="Z84" s="11"/>
      <c r="AA84" s="11"/>
    </row>
    <row r="85" spans="1:27" x14ac:dyDescent="0.25">
      <c r="A85" s="10" t="str">
        <f t="shared" si="2"/>
        <v/>
      </c>
      <c r="B85" s="10" t="str">
        <f t="shared" si="3"/>
        <v/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0"/>
      <c r="S85" s="11"/>
      <c r="T85" s="11"/>
      <c r="U85" s="11"/>
      <c r="V85" s="11"/>
      <c r="W85" s="11"/>
      <c r="X85" s="11"/>
      <c r="Y85" s="11"/>
      <c r="Z85" s="11"/>
      <c r="AA85" s="11"/>
    </row>
    <row r="86" spans="1:27" x14ac:dyDescent="0.25">
      <c r="A86" s="10" t="str">
        <f t="shared" si="2"/>
        <v/>
      </c>
      <c r="B86" s="10" t="str">
        <f t="shared" si="3"/>
        <v/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0"/>
      <c r="S86" s="11"/>
      <c r="T86" s="11"/>
      <c r="U86" s="11"/>
      <c r="V86" s="11"/>
      <c r="W86" s="11"/>
      <c r="X86" s="11"/>
      <c r="Y86" s="11"/>
      <c r="Z86" s="11"/>
      <c r="AA86" s="11"/>
    </row>
    <row r="87" spans="1:27" x14ac:dyDescent="0.25">
      <c r="A87" s="10" t="str">
        <f t="shared" si="2"/>
        <v/>
      </c>
      <c r="B87" s="10" t="str">
        <f t="shared" si="3"/>
        <v/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0"/>
      <c r="S87" s="11"/>
      <c r="T87" s="11"/>
      <c r="U87" s="11"/>
      <c r="V87" s="11"/>
      <c r="W87" s="11"/>
      <c r="X87" s="11"/>
      <c r="Y87" s="11"/>
      <c r="Z87" s="11"/>
      <c r="AA87" s="11"/>
    </row>
    <row r="88" spans="1:27" x14ac:dyDescent="0.25">
      <c r="A88" s="10" t="str">
        <f t="shared" si="2"/>
        <v/>
      </c>
      <c r="B88" s="10" t="str">
        <f t="shared" si="3"/>
        <v/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0"/>
      <c r="S88" s="11"/>
      <c r="T88" s="11"/>
      <c r="U88" s="11"/>
      <c r="V88" s="11"/>
      <c r="W88" s="11"/>
      <c r="X88" s="11"/>
      <c r="Y88" s="11"/>
      <c r="Z88" s="11"/>
      <c r="AA88" s="11"/>
    </row>
    <row r="89" spans="1:27" x14ac:dyDescent="0.25">
      <c r="A89" s="10" t="str">
        <f t="shared" si="2"/>
        <v/>
      </c>
      <c r="B89" s="10" t="str">
        <f t="shared" si="3"/>
        <v/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0"/>
      <c r="S89" s="11"/>
      <c r="T89" s="11"/>
      <c r="U89" s="11"/>
      <c r="V89" s="11"/>
      <c r="W89" s="11"/>
      <c r="X89" s="11"/>
      <c r="Y89" s="11"/>
      <c r="Z89" s="11"/>
      <c r="AA89" s="11"/>
    </row>
    <row r="90" spans="1:27" x14ac:dyDescent="0.25">
      <c r="A90" s="10" t="str">
        <f t="shared" si="2"/>
        <v/>
      </c>
      <c r="B90" s="10" t="str">
        <f t="shared" si="3"/>
        <v/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0"/>
      <c r="S90" s="11"/>
      <c r="T90" s="11"/>
      <c r="U90" s="11"/>
      <c r="V90" s="11"/>
      <c r="W90" s="11"/>
      <c r="X90" s="11"/>
      <c r="Y90" s="11"/>
      <c r="Z90" s="11"/>
      <c r="AA90" s="11"/>
    </row>
    <row r="91" spans="1:27" x14ac:dyDescent="0.25">
      <c r="A91" s="10" t="str">
        <f t="shared" si="2"/>
        <v/>
      </c>
      <c r="B91" s="10" t="str">
        <f t="shared" si="3"/>
        <v/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0"/>
      <c r="S91" s="11"/>
      <c r="T91" s="11"/>
      <c r="U91" s="11"/>
      <c r="V91" s="11"/>
      <c r="W91" s="11"/>
      <c r="X91" s="11"/>
      <c r="Y91" s="11"/>
      <c r="Z91" s="11"/>
      <c r="AA91" s="11"/>
    </row>
    <row r="92" spans="1:27" x14ac:dyDescent="0.25">
      <c r="A92" s="10" t="str">
        <f t="shared" si="2"/>
        <v/>
      </c>
      <c r="B92" s="10" t="str">
        <f t="shared" si="3"/>
        <v/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0"/>
      <c r="S92" s="11"/>
      <c r="T92" s="11"/>
      <c r="U92" s="11"/>
      <c r="V92" s="11"/>
      <c r="W92" s="11"/>
      <c r="X92" s="11"/>
      <c r="Y92" s="11"/>
      <c r="Z92" s="11"/>
      <c r="AA92" s="11"/>
    </row>
    <row r="93" spans="1:27" x14ac:dyDescent="0.25">
      <c r="A93" s="10" t="str">
        <f t="shared" si="2"/>
        <v/>
      </c>
      <c r="B93" s="10" t="str">
        <f t="shared" si="3"/>
        <v/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0"/>
      <c r="S93" s="11"/>
      <c r="T93" s="11"/>
      <c r="U93" s="11"/>
      <c r="V93" s="11"/>
      <c r="W93" s="11"/>
      <c r="X93" s="11"/>
      <c r="Y93" s="11"/>
      <c r="Z93" s="11"/>
      <c r="AA93" s="11"/>
    </row>
    <row r="94" spans="1:27" x14ac:dyDescent="0.25">
      <c r="A94" s="10" t="str">
        <f t="shared" si="2"/>
        <v/>
      </c>
      <c r="B94" s="10" t="str">
        <f t="shared" si="3"/>
        <v/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0"/>
      <c r="S94" s="11"/>
      <c r="T94" s="11"/>
      <c r="U94" s="11"/>
      <c r="V94" s="11"/>
      <c r="W94" s="11"/>
      <c r="X94" s="11"/>
      <c r="Y94" s="11"/>
      <c r="Z94" s="11"/>
      <c r="AA94" s="11"/>
    </row>
    <row r="95" spans="1:27" x14ac:dyDescent="0.25">
      <c r="A95" s="10" t="str">
        <f t="shared" si="2"/>
        <v/>
      </c>
      <c r="B95" s="10" t="str">
        <f t="shared" si="3"/>
        <v/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0"/>
      <c r="S95" s="11"/>
      <c r="T95" s="11"/>
      <c r="U95" s="11"/>
      <c r="V95" s="11"/>
      <c r="W95" s="11"/>
      <c r="X95" s="11"/>
      <c r="Y95" s="11"/>
      <c r="Z95" s="11"/>
      <c r="AA95" s="11"/>
    </row>
    <row r="96" spans="1:27" x14ac:dyDescent="0.25">
      <c r="A96" s="10" t="str">
        <f t="shared" si="2"/>
        <v/>
      </c>
      <c r="B96" s="10" t="str">
        <f t="shared" si="3"/>
        <v/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0"/>
      <c r="S96" s="11"/>
      <c r="T96" s="11"/>
      <c r="U96" s="11"/>
      <c r="V96" s="11"/>
      <c r="W96" s="11"/>
      <c r="X96" s="11"/>
      <c r="Y96" s="11"/>
      <c r="Z96" s="11"/>
      <c r="AA96" s="11"/>
    </row>
    <row r="97" spans="1:27" x14ac:dyDescent="0.25">
      <c r="A97" s="10" t="str">
        <f t="shared" si="2"/>
        <v/>
      </c>
      <c r="B97" s="10" t="str">
        <f t="shared" si="3"/>
        <v/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0"/>
      <c r="S97" s="11"/>
      <c r="T97" s="11"/>
      <c r="U97" s="11"/>
      <c r="V97" s="11"/>
      <c r="W97" s="11"/>
      <c r="X97" s="11"/>
      <c r="Y97" s="11"/>
      <c r="Z97" s="11"/>
      <c r="AA97" s="11"/>
    </row>
    <row r="98" spans="1:27" x14ac:dyDescent="0.25">
      <c r="A98" s="10" t="str">
        <f t="shared" si="2"/>
        <v/>
      </c>
      <c r="B98" s="10" t="str">
        <f t="shared" si="3"/>
        <v/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0"/>
      <c r="S98" s="11"/>
      <c r="T98" s="11"/>
      <c r="U98" s="11"/>
      <c r="V98" s="11"/>
      <c r="W98" s="11"/>
      <c r="X98" s="11"/>
      <c r="Y98" s="11"/>
      <c r="Z98" s="11"/>
      <c r="AA98" s="11"/>
    </row>
    <row r="99" spans="1:27" x14ac:dyDescent="0.25">
      <c r="A99" s="10" t="str">
        <f t="shared" si="2"/>
        <v/>
      </c>
      <c r="B99" s="10" t="str">
        <f t="shared" si="3"/>
        <v/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0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x14ac:dyDescent="0.25">
      <c r="A100" s="10" t="str">
        <f t="shared" si="2"/>
        <v/>
      </c>
      <c r="B100" s="10" t="str">
        <f t="shared" si="3"/>
        <v/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0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x14ac:dyDescent="0.25">
      <c r="A101" s="10" t="str">
        <f t="shared" si="2"/>
        <v/>
      </c>
      <c r="B101" s="10" t="str">
        <f t="shared" si="3"/>
        <v/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0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x14ac:dyDescent="0.25">
      <c r="A102" s="10" t="str">
        <f t="shared" si="2"/>
        <v/>
      </c>
      <c r="B102" s="10" t="str">
        <f t="shared" si="3"/>
        <v/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0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x14ac:dyDescent="0.25">
      <c r="A103" s="10" t="str">
        <f t="shared" si="2"/>
        <v/>
      </c>
      <c r="B103" s="10" t="str">
        <f t="shared" si="3"/>
        <v/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0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x14ac:dyDescent="0.25">
      <c r="A104" s="10" t="str">
        <f t="shared" si="2"/>
        <v/>
      </c>
      <c r="B104" s="10" t="str">
        <f t="shared" si="3"/>
        <v/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0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x14ac:dyDescent="0.25">
      <c r="A105" s="10" t="str">
        <f t="shared" si="2"/>
        <v/>
      </c>
      <c r="B105" s="10" t="str">
        <f t="shared" si="3"/>
        <v/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0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x14ac:dyDescent="0.25">
      <c r="A106" s="10" t="str">
        <f t="shared" si="2"/>
        <v/>
      </c>
      <c r="B106" s="10" t="str">
        <f t="shared" si="3"/>
        <v/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0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x14ac:dyDescent="0.25">
      <c r="A107" s="10" t="str">
        <f t="shared" si="2"/>
        <v/>
      </c>
      <c r="B107" s="10" t="str">
        <f t="shared" si="3"/>
        <v/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0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x14ac:dyDescent="0.25">
      <c r="A108" s="10" t="str">
        <f t="shared" si="2"/>
        <v/>
      </c>
      <c r="B108" s="10" t="str">
        <f t="shared" si="3"/>
        <v/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0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x14ac:dyDescent="0.25">
      <c r="A109" s="10" t="str">
        <f t="shared" si="2"/>
        <v/>
      </c>
      <c r="B109" s="10" t="str">
        <f t="shared" si="3"/>
        <v/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0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x14ac:dyDescent="0.25">
      <c r="A110" s="10" t="str">
        <f t="shared" si="2"/>
        <v/>
      </c>
      <c r="B110" s="10" t="str">
        <f t="shared" si="3"/>
        <v/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0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x14ac:dyDescent="0.25">
      <c r="A111" s="10" t="str">
        <f t="shared" si="2"/>
        <v/>
      </c>
      <c r="B111" s="10" t="str">
        <f t="shared" si="3"/>
        <v/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0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x14ac:dyDescent="0.25">
      <c r="A112" s="10" t="str">
        <f t="shared" si="2"/>
        <v/>
      </c>
      <c r="B112" s="10" t="str">
        <f t="shared" si="3"/>
        <v/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0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x14ac:dyDescent="0.25">
      <c r="A113" s="10" t="str">
        <f t="shared" si="2"/>
        <v/>
      </c>
      <c r="B113" s="10" t="str">
        <f t="shared" si="3"/>
        <v/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0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x14ac:dyDescent="0.25">
      <c r="A114" s="10" t="str">
        <f t="shared" si="2"/>
        <v/>
      </c>
      <c r="B114" s="10" t="str">
        <f t="shared" si="3"/>
        <v/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0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x14ac:dyDescent="0.25">
      <c r="A115" s="10" t="str">
        <f t="shared" si="2"/>
        <v/>
      </c>
      <c r="B115" s="10" t="str">
        <f t="shared" si="3"/>
        <v/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0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x14ac:dyDescent="0.25">
      <c r="A116" s="10" t="str">
        <f t="shared" si="2"/>
        <v/>
      </c>
      <c r="B116" s="10" t="str">
        <f t="shared" si="3"/>
        <v/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0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x14ac:dyDescent="0.25">
      <c r="A117" s="10" t="str">
        <f t="shared" si="2"/>
        <v/>
      </c>
      <c r="B117" s="10" t="str">
        <f t="shared" si="3"/>
        <v/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0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x14ac:dyDescent="0.25">
      <c r="A118" s="10" t="str">
        <f t="shared" si="2"/>
        <v/>
      </c>
      <c r="B118" s="10" t="str">
        <f t="shared" si="3"/>
        <v/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0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x14ac:dyDescent="0.25">
      <c r="A119" s="10" t="str">
        <f t="shared" si="2"/>
        <v/>
      </c>
      <c r="B119" s="10" t="str">
        <f t="shared" si="3"/>
        <v/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x14ac:dyDescent="0.25">
      <c r="A120" s="10" t="str">
        <f t="shared" si="2"/>
        <v/>
      </c>
      <c r="B120" s="10" t="str">
        <f t="shared" si="3"/>
        <v/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0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x14ac:dyDescent="0.25">
      <c r="A121" s="10" t="str">
        <f t="shared" si="2"/>
        <v/>
      </c>
      <c r="B121" s="10" t="str">
        <f t="shared" si="3"/>
        <v/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0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x14ac:dyDescent="0.25">
      <c r="A122" s="10" t="str">
        <f t="shared" si="2"/>
        <v/>
      </c>
      <c r="B122" s="10" t="str">
        <f t="shared" si="3"/>
        <v/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0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x14ac:dyDescent="0.25">
      <c r="A123" s="10" t="str">
        <f t="shared" si="2"/>
        <v/>
      </c>
      <c r="B123" s="10" t="str">
        <f t="shared" si="3"/>
        <v/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0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x14ac:dyDescent="0.25">
      <c r="A124" s="10" t="str">
        <f t="shared" si="2"/>
        <v/>
      </c>
      <c r="B124" s="10" t="str">
        <f t="shared" si="3"/>
        <v/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0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x14ac:dyDescent="0.25">
      <c r="A125" s="10" t="str">
        <f t="shared" si="2"/>
        <v/>
      </c>
      <c r="B125" s="10" t="str">
        <f t="shared" si="3"/>
        <v/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0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x14ac:dyDescent="0.25">
      <c r="A126" s="10" t="str">
        <f t="shared" si="2"/>
        <v/>
      </c>
      <c r="B126" s="10" t="str">
        <f t="shared" si="3"/>
        <v/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x14ac:dyDescent="0.25">
      <c r="A127" s="10" t="str">
        <f t="shared" si="2"/>
        <v/>
      </c>
      <c r="B127" s="10" t="str">
        <f t="shared" si="3"/>
        <v/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0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x14ac:dyDescent="0.25">
      <c r="A128" s="10" t="str">
        <f t="shared" si="2"/>
        <v/>
      </c>
      <c r="B128" s="10" t="str">
        <f t="shared" si="3"/>
        <v/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0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x14ac:dyDescent="0.25">
      <c r="A129" s="10" t="str">
        <f t="shared" si="2"/>
        <v/>
      </c>
      <c r="B129" s="10" t="str">
        <f t="shared" si="3"/>
        <v/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0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x14ac:dyDescent="0.25">
      <c r="A130" s="10" t="str">
        <f t="shared" ref="A130:A193" si="4">IF(ISBLANK(C130),"",ROW()-1)</f>
        <v/>
      </c>
      <c r="B130" s="10" t="str">
        <f t="shared" ref="B130:B193" si="5">IF(ISBLANK(C130),"","DIG-"&amp;MID(F130,SEARCH("(",F130)+1,3)&amp;"-"&amp;MID(G130,SEARCH("(",G130)+1,3)&amp;"-"&amp;UPPER(LEFT(TRIM(RIGHT(SUBSTITUTE(TRIM(D130)," ",REPT(" ",100)),100)),3))&amp;"-"&amp;TEXT(A130,"000"))</f>
        <v/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0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x14ac:dyDescent="0.25">
      <c r="A131" s="10" t="str">
        <f t="shared" si="4"/>
        <v/>
      </c>
      <c r="B131" s="10" t="str">
        <f t="shared" si="5"/>
        <v/>
      </c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0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x14ac:dyDescent="0.25">
      <c r="A132" s="10" t="str">
        <f t="shared" si="4"/>
        <v/>
      </c>
      <c r="B132" s="10" t="str">
        <f t="shared" si="5"/>
        <v/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0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x14ac:dyDescent="0.25">
      <c r="A133" s="10" t="str">
        <f t="shared" si="4"/>
        <v/>
      </c>
      <c r="B133" s="10" t="str">
        <f t="shared" si="5"/>
        <v/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0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x14ac:dyDescent="0.25">
      <c r="A134" s="10" t="str">
        <f t="shared" si="4"/>
        <v/>
      </c>
      <c r="B134" s="10" t="str">
        <f t="shared" si="5"/>
        <v/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0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x14ac:dyDescent="0.25">
      <c r="A135" s="10" t="str">
        <f t="shared" si="4"/>
        <v/>
      </c>
      <c r="B135" s="10" t="str">
        <f t="shared" si="5"/>
        <v/>
      </c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0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x14ac:dyDescent="0.25">
      <c r="A136" s="10" t="str">
        <f t="shared" si="4"/>
        <v/>
      </c>
      <c r="B136" s="10" t="str">
        <f t="shared" si="5"/>
        <v/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0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x14ac:dyDescent="0.25">
      <c r="A137" s="10" t="str">
        <f t="shared" si="4"/>
        <v/>
      </c>
      <c r="B137" s="10" t="str">
        <f t="shared" si="5"/>
        <v/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0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x14ac:dyDescent="0.25">
      <c r="A138" s="10" t="str">
        <f t="shared" si="4"/>
        <v/>
      </c>
      <c r="B138" s="10" t="str">
        <f t="shared" si="5"/>
        <v/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0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x14ac:dyDescent="0.25">
      <c r="A139" s="10" t="str">
        <f t="shared" si="4"/>
        <v/>
      </c>
      <c r="B139" s="10" t="str">
        <f t="shared" si="5"/>
        <v/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0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x14ac:dyDescent="0.25">
      <c r="A140" s="10" t="str">
        <f t="shared" si="4"/>
        <v/>
      </c>
      <c r="B140" s="10" t="str">
        <f t="shared" si="5"/>
        <v/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0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x14ac:dyDescent="0.25">
      <c r="A141" s="10" t="str">
        <f t="shared" si="4"/>
        <v/>
      </c>
      <c r="B141" s="10" t="str">
        <f t="shared" si="5"/>
        <v/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0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x14ac:dyDescent="0.25">
      <c r="A142" s="10" t="str">
        <f t="shared" si="4"/>
        <v/>
      </c>
      <c r="B142" s="10" t="str">
        <f t="shared" si="5"/>
        <v/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0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x14ac:dyDescent="0.25">
      <c r="A143" s="10" t="str">
        <f t="shared" si="4"/>
        <v/>
      </c>
      <c r="B143" s="10" t="str">
        <f t="shared" si="5"/>
        <v/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0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x14ac:dyDescent="0.25">
      <c r="A144" s="10" t="str">
        <f t="shared" si="4"/>
        <v/>
      </c>
      <c r="B144" s="10" t="str">
        <f t="shared" si="5"/>
        <v/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0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x14ac:dyDescent="0.25">
      <c r="A145" s="10" t="str">
        <f t="shared" si="4"/>
        <v/>
      </c>
      <c r="B145" s="10" t="str">
        <f t="shared" si="5"/>
        <v/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0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x14ac:dyDescent="0.25">
      <c r="A146" s="10" t="str">
        <f t="shared" si="4"/>
        <v/>
      </c>
      <c r="B146" s="10" t="str">
        <f t="shared" si="5"/>
        <v/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0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x14ac:dyDescent="0.25">
      <c r="A147" s="10" t="str">
        <f t="shared" si="4"/>
        <v/>
      </c>
      <c r="B147" s="10" t="str">
        <f t="shared" si="5"/>
        <v/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0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x14ac:dyDescent="0.25">
      <c r="A148" s="10" t="str">
        <f t="shared" si="4"/>
        <v/>
      </c>
      <c r="B148" s="10" t="str">
        <f t="shared" si="5"/>
        <v/>
      </c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0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x14ac:dyDescent="0.25">
      <c r="A149" s="10" t="str">
        <f t="shared" si="4"/>
        <v/>
      </c>
      <c r="B149" s="10" t="str">
        <f t="shared" si="5"/>
        <v/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0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x14ac:dyDescent="0.25">
      <c r="A150" s="10" t="str">
        <f t="shared" si="4"/>
        <v/>
      </c>
      <c r="B150" s="10" t="str">
        <f t="shared" si="5"/>
        <v/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0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x14ac:dyDescent="0.25">
      <c r="A151" s="10" t="str">
        <f t="shared" si="4"/>
        <v/>
      </c>
      <c r="B151" s="10" t="str">
        <f t="shared" si="5"/>
        <v/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0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x14ac:dyDescent="0.25">
      <c r="A152" s="10" t="str">
        <f t="shared" si="4"/>
        <v/>
      </c>
      <c r="B152" s="10" t="str">
        <f t="shared" si="5"/>
        <v/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0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x14ac:dyDescent="0.25">
      <c r="A153" s="10" t="str">
        <f t="shared" si="4"/>
        <v/>
      </c>
      <c r="B153" s="10" t="str">
        <f t="shared" si="5"/>
        <v/>
      </c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0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x14ac:dyDescent="0.25">
      <c r="A154" s="10" t="str">
        <f t="shared" si="4"/>
        <v/>
      </c>
      <c r="B154" s="10" t="str">
        <f t="shared" si="5"/>
        <v/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0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x14ac:dyDescent="0.25">
      <c r="A155" s="10" t="str">
        <f t="shared" si="4"/>
        <v/>
      </c>
      <c r="B155" s="10" t="str">
        <f t="shared" si="5"/>
        <v/>
      </c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0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x14ac:dyDescent="0.25">
      <c r="A156" s="10" t="str">
        <f t="shared" si="4"/>
        <v/>
      </c>
      <c r="B156" s="10" t="str">
        <f t="shared" si="5"/>
        <v/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0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x14ac:dyDescent="0.25">
      <c r="A157" s="10" t="str">
        <f t="shared" si="4"/>
        <v/>
      </c>
      <c r="B157" s="10" t="str">
        <f t="shared" si="5"/>
        <v/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0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x14ac:dyDescent="0.25">
      <c r="A158" s="10" t="str">
        <f t="shared" si="4"/>
        <v/>
      </c>
      <c r="B158" s="10" t="str">
        <f t="shared" si="5"/>
        <v/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0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x14ac:dyDescent="0.25">
      <c r="A159" s="10" t="str">
        <f t="shared" si="4"/>
        <v/>
      </c>
      <c r="B159" s="10" t="str">
        <f t="shared" si="5"/>
        <v/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0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x14ac:dyDescent="0.25">
      <c r="A160" s="10" t="str">
        <f t="shared" si="4"/>
        <v/>
      </c>
      <c r="B160" s="10" t="str">
        <f t="shared" si="5"/>
        <v/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0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x14ac:dyDescent="0.25">
      <c r="A161" s="10" t="str">
        <f t="shared" si="4"/>
        <v/>
      </c>
      <c r="B161" s="10" t="str">
        <f t="shared" si="5"/>
        <v/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x14ac:dyDescent="0.25">
      <c r="A162" s="10" t="str">
        <f t="shared" si="4"/>
        <v/>
      </c>
      <c r="B162" s="10" t="str">
        <f t="shared" si="5"/>
        <v/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0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x14ac:dyDescent="0.25">
      <c r="A163" s="10" t="str">
        <f t="shared" si="4"/>
        <v/>
      </c>
      <c r="B163" s="10" t="str">
        <f t="shared" si="5"/>
        <v/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0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x14ac:dyDescent="0.25">
      <c r="A164" s="10" t="str">
        <f t="shared" si="4"/>
        <v/>
      </c>
      <c r="B164" s="10" t="str">
        <f t="shared" si="5"/>
        <v/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0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x14ac:dyDescent="0.25">
      <c r="A165" s="10" t="str">
        <f t="shared" si="4"/>
        <v/>
      </c>
      <c r="B165" s="10" t="str">
        <f t="shared" si="5"/>
        <v/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0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x14ac:dyDescent="0.25">
      <c r="A166" s="10" t="str">
        <f t="shared" si="4"/>
        <v/>
      </c>
      <c r="B166" s="10" t="str">
        <f t="shared" si="5"/>
        <v/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0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x14ac:dyDescent="0.25">
      <c r="A167" s="10" t="str">
        <f t="shared" si="4"/>
        <v/>
      </c>
      <c r="B167" s="10" t="str">
        <f t="shared" si="5"/>
        <v/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0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x14ac:dyDescent="0.25">
      <c r="A168" s="10" t="str">
        <f t="shared" si="4"/>
        <v/>
      </c>
      <c r="B168" s="10" t="str">
        <f t="shared" si="5"/>
        <v/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0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x14ac:dyDescent="0.25">
      <c r="A169" s="10" t="str">
        <f t="shared" si="4"/>
        <v/>
      </c>
      <c r="B169" s="10" t="str">
        <f t="shared" si="5"/>
        <v/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0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x14ac:dyDescent="0.25">
      <c r="A170" s="10" t="str">
        <f t="shared" si="4"/>
        <v/>
      </c>
      <c r="B170" s="10" t="str">
        <f t="shared" si="5"/>
        <v/>
      </c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0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x14ac:dyDescent="0.25">
      <c r="A171" s="10" t="str">
        <f t="shared" si="4"/>
        <v/>
      </c>
      <c r="B171" s="10" t="str">
        <f t="shared" si="5"/>
        <v/>
      </c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0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x14ac:dyDescent="0.25">
      <c r="A172" s="10" t="str">
        <f t="shared" si="4"/>
        <v/>
      </c>
      <c r="B172" s="10" t="str">
        <f t="shared" si="5"/>
        <v/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0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x14ac:dyDescent="0.25">
      <c r="A173" s="10" t="str">
        <f t="shared" si="4"/>
        <v/>
      </c>
      <c r="B173" s="10" t="str">
        <f t="shared" si="5"/>
        <v/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0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x14ac:dyDescent="0.25">
      <c r="A174" s="10" t="str">
        <f t="shared" si="4"/>
        <v/>
      </c>
      <c r="B174" s="10" t="str">
        <f t="shared" si="5"/>
        <v/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0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x14ac:dyDescent="0.25">
      <c r="A175" s="10" t="str">
        <f t="shared" si="4"/>
        <v/>
      </c>
      <c r="B175" s="10" t="str">
        <f t="shared" si="5"/>
        <v/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0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x14ac:dyDescent="0.25">
      <c r="A176" s="10" t="str">
        <f t="shared" si="4"/>
        <v/>
      </c>
      <c r="B176" s="10" t="str">
        <f t="shared" si="5"/>
        <v/>
      </c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0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x14ac:dyDescent="0.25">
      <c r="A177" s="10" t="str">
        <f t="shared" si="4"/>
        <v/>
      </c>
      <c r="B177" s="10" t="str">
        <f t="shared" si="5"/>
        <v/>
      </c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0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x14ac:dyDescent="0.25">
      <c r="A178" s="10" t="str">
        <f t="shared" si="4"/>
        <v/>
      </c>
      <c r="B178" s="10" t="str">
        <f t="shared" si="5"/>
        <v/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0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x14ac:dyDescent="0.25">
      <c r="A179" s="10" t="str">
        <f t="shared" si="4"/>
        <v/>
      </c>
      <c r="B179" s="10" t="str">
        <f t="shared" si="5"/>
        <v/>
      </c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0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x14ac:dyDescent="0.25">
      <c r="A180" s="10" t="str">
        <f t="shared" si="4"/>
        <v/>
      </c>
      <c r="B180" s="10" t="str">
        <f t="shared" si="5"/>
        <v/>
      </c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0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x14ac:dyDescent="0.25">
      <c r="A181" s="10" t="str">
        <f t="shared" si="4"/>
        <v/>
      </c>
      <c r="B181" s="10" t="str">
        <f t="shared" si="5"/>
        <v/>
      </c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0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x14ac:dyDescent="0.25">
      <c r="A182" s="10" t="str">
        <f t="shared" si="4"/>
        <v/>
      </c>
      <c r="B182" s="10" t="str">
        <f t="shared" si="5"/>
        <v/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0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x14ac:dyDescent="0.25">
      <c r="A183" s="10" t="str">
        <f t="shared" si="4"/>
        <v/>
      </c>
      <c r="B183" s="10" t="str">
        <f t="shared" si="5"/>
        <v/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0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x14ac:dyDescent="0.25">
      <c r="A184" s="10" t="str">
        <f t="shared" si="4"/>
        <v/>
      </c>
      <c r="B184" s="10" t="str">
        <f t="shared" si="5"/>
        <v/>
      </c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0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x14ac:dyDescent="0.25">
      <c r="A185" s="10" t="str">
        <f t="shared" si="4"/>
        <v/>
      </c>
      <c r="B185" s="10" t="str">
        <f t="shared" si="5"/>
        <v/>
      </c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0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x14ac:dyDescent="0.25">
      <c r="A186" s="10" t="str">
        <f t="shared" si="4"/>
        <v/>
      </c>
      <c r="B186" s="10" t="str">
        <f t="shared" si="5"/>
        <v/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0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x14ac:dyDescent="0.25">
      <c r="A187" s="10" t="str">
        <f t="shared" si="4"/>
        <v/>
      </c>
      <c r="B187" s="10" t="str">
        <f t="shared" si="5"/>
        <v/>
      </c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0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x14ac:dyDescent="0.25">
      <c r="A188" s="10" t="str">
        <f t="shared" si="4"/>
        <v/>
      </c>
      <c r="B188" s="10" t="str">
        <f t="shared" si="5"/>
        <v/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0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x14ac:dyDescent="0.25">
      <c r="A189" s="10" t="str">
        <f t="shared" si="4"/>
        <v/>
      </c>
      <c r="B189" s="10" t="str">
        <f t="shared" si="5"/>
        <v/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0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x14ac:dyDescent="0.25">
      <c r="A190" s="10" t="str">
        <f t="shared" si="4"/>
        <v/>
      </c>
      <c r="B190" s="10" t="str">
        <f t="shared" si="5"/>
        <v/>
      </c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0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x14ac:dyDescent="0.25">
      <c r="A191" s="10" t="str">
        <f t="shared" si="4"/>
        <v/>
      </c>
      <c r="B191" s="10" t="str">
        <f t="shared" si="5"/>
        <v/>
      </c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0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x14ac:dyDescent="0.25">
      <c r="A192" s="10" t="str">
        <f t="shared" si="4"/>
        <v/>
      </c>
      <c r="B192" s="10" t="str">
        <f t="shared" si="5"/>
        <v/>
      </c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0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x14ac:dyDescent="0.25">
      <c r="A193" s="10" t="str">
        <f t="shared" si="4"/>
        <v/>
      </c>
      <c r="B193" s="10" t="str">
        <f t="shared" si="5"/>
        <v/>
      </c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0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x14ac:dyDescent="0.25">
      <c r="A194" s="10" t="str">
        <f t="shared" ref="A194:A257" si="6">IF(ISBLANK(C194),"",ROW()-1)</f>
        <v/>
      </c>
      <c r="B194" s="10" t="str">
        <f t="shared" ref="B194:B257" si="7">IF(ISBLANK(C194),"","DIG-"&amp;MID(F194,SEARCH("(",F194)+1,3)&amp;"-"&amp;MID(G194,SEARCH("(",G194)+1,3)&amp;"-"&amp;UPPER(LEFT(TRIM(RIGHT(SUBSTITUTE(TRIM(D194)," ",REPT(" ",100)),100)),3))&amp;"-"&amp;TEXT(A194,"000"))</f>
        <v/>
      </c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0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x14ac:dyDescent="0.25">
      <c r="A195" s="10" t="str">
        <f t="shared" si="6"/>
        <v/>
      </c>
      <c r="B195" s="10" t="str">
        <f t="shared" si="7"/>
        <v/>
      </c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0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x14ac:dyDescent="0.25">
      <c r="A196" s="10" t="str">
        <f t="shared" si="6"/>
        <v/>
      </c>
      <c r="B196" s="10" t="str">
        <f t="shared" si="7"/>
        <v/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0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x14ac:dyDescent="0.25">
      <c r="A197" s="10" t="str">
        <f t="shared" si="6"/>
        <v/>
      </c>
      <c r="B197" s="10" t="str">
        <f t="shared" si="7"/>
        <v/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0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x14ac:dyDescent="0.25">
      <c r="A198" s="10" t="str">
        <f t="shared" si="6"/>
        <v/>
      </c>
      <c r="B198" s="10" t="str">
        <f t="shared" si="7"/>
        <v/>
      </c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0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x14ac:dyDescent="0.25">
      <c r="A199" s="10" t="str">
        <f t="shared" si="6"/>
        <v/>
      </c>
      <c r="B199" s="10" t="str">
        <f t="shared" si="7"/>
        <v/>
      </c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0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x14ac:dyDescent="0.25">
      <c r="A200" s="10" t="str">
        <f t="shared" si="6"/>
        <v/>
      </c>
      <c r="B200" s="10" t="str">
        <f t="shared" si="7"/>
        <v/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0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x14ac:dyDescent="0.25">
      <c r="A201" s="10" t="str">
        <f t="shared" si="6"/>
        <v/>
      </c>
      <c r="B201" s="10" t="str">
        <f t="shared" si="7"/>
        <v/>
      </c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0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x14ac:dyDescent="0.25">
      <c r="A202" s="10" t="str">
        <f t="shared" si="6"/>
        <v/>
      </c>
      <c r="B202" s="10" t="str">
        <f t="shared" si="7"/>
        <v/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0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x14ac:dyDescent="0.25">
      <c r="A203" s="10" t="str">
        <f t="shared" si="6"/>
        <v/>
      </c>
      <c r="B203" s="10" t="str">
        <f t="shared" si="7"/>
        <v/>
      </c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0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x14ac:dyDescent="0.25">
      <c r="A204" s="10" t="str">
        <f t="shared" si="6"/>
        <v/>
      </c>
      <c r="B204" s="10" t="str">
        <f t="shared" si="7"/>
        <v/>
      </c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0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x14ac:dyDescent="0.25">
      <c r="A205" s="10" t="str">
        <f t="shared" si="6"/>
        <v/>
      </c>
      <c r="B205" s="10" t="str">
        <f t="shared" si="7"/>
        <v/>
      </c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0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x14ac:dyDescent="0.25">
      <c r="A206" s="10" t="str">
        <f t="shared" si="6"/>
        <v/>
      </c>
      <c r="B206" s="10" t="str">
        <f t="shared" si="7"/>
        <v/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0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x14ac:dyDescent="0.25">
      <c r="A207" s="10" t="str">
        <f t="shared" si="6"/>
        <v/>
      </c>
      <c r="B207" s="10" t="str">
        <f t="shared" si="7"/>
        <v/>
      </c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0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x14ac:dyDescent="0.25">
      <c r="A208" s="10" t="str">
        <f t="shared" si="6"/>
        <v/>
      </c>
      <c r="B208" s="10" t="str">
        <f t="shared" si="7"/>
        <v/>
      </c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0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x14ac:dyDescent="0.25">
      <c r="A209" s="10" t="str">
        <f t="shared" si="6"/>
        <v/>
      </c>
      <c r="B209" s="10" t="str">
        <f t="shared" si="7"/>
        <v/>
      </c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0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x14ac:dyDescent="0.25">
      <c r="A210" s="10" t="str">
        <f t="shared" si="6"/>
        <v/>
      </c>
      <c r="B210" s="10" t="str">
        <f t="shared" si="7"/>
        <v/>
      </c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0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x14ac:dyDescent="0.25">
      <c r="A211" s="10" t="str">
        <f t="shared" si="6"/>
        <v/>
      </c>
      <c r="B211" s="10" t="str">
        <f t="shared" si="7"/>
        <v/>
      </c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0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x14ac:dyDescent="0.25">
      <c r="A212" s="10" t="str">
        <f t="shared" si="6"/>
        <v/>
      </c>
      <c r="B212" s="10" t="str">
        <f t="shared" si="7"/>
        <v/>
      </c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0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x14ac:dyDescent="0.25">
      <c r="A213" s="10" t="str">
        <f t="shared" si="6"/>
        <v/>
      </c>
      <c r="B213" s="10" t="str">
        <f t="shared" si="7"/>
        <v/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0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x14ac:dyDescent="0.25">
      <c r="A214" s="10" t="str">
        <f t="shared" si="6"/>
        <v/>
      </c>
      <c r="B214" s="10" t="str">
        <f t="shared" si="7"/>
        <v/>
      </c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0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x14ac:dyDescent="0.25">
      <c r="A215" s="10" t="str">
        <f t="shared" si="6"/>
        <v/>
      </c>
      <c r="B215" s="10" t="str">
        <f t="shared" si="7"/>
        <v/>
      </c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0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x14ac:dyDescent="0.25">
      <c r="A216" s="10" t="str">
        <f t="shared" si="6"/>
        <v/>
      </c>
      <c r="B216" s="10" t="str">
        <f t="shared" si="7"/>
        <v/>
      </c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0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x14ac:dyDescent="0.25">
      <c r="A217" s="10" t="str">
        <f t="shared" si="6"/>
        <v/>
      </c>
      <c r="B217" s="10" t="str">
        <f t="shared" si="7"/>
        <v/>
      </c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0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x14ac:dyDescent="0.25">
      <c r="A218" s="10" t="str">
        <f t="shared" si="6"/>
        <v/>
      </c>
      <c r="B218" s="10" t="str">
        <f t="shared" si="7"/>
        <v/>
      </c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0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x14ac:dyDescent="0.25">
      <c r="A219" s="10" t="str">
        <f t="shared" si="6"/>
        <v/>
      </c>
      <c r="B219" s="10" t="str">
        <f t="shared" si="7"/>
        <v/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0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x14ac:dyDescent="0.25">
      <c r="A220" s="10" t="str">
        <f t="shared" si="6"/>
        <v/>
      </c>
      <c r="B220" s="10" t="str">
        <f t="shared" si="7"/>
        <v/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0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x14ac:dyDescent="0.25">
      <c r="A221" s="10" t="str">
        <f t="shared" si="6"/>
        <v/>
      </c>
      <c r="B221" s="10" t="str">
        <f t="shared" si="7"/>
        <v/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0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x14ac:dyDescent="0.25">
      <c r="A222" s="10" t="str">
        <f t="shared" si="6"/>
        <v/>
      </c>
      <c r="B222" s="10" t="str">
        <f t="shared" si="7"/>
        <v/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0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x14ac:dyDescent="0.25">
      <c r="A223" s="10" t="str">
        <f t="shared" si="6"/>
        <v/>
      </c>
      <c r="B223" s="10" t="str">
        <f t="shared" si="7"/>
        <v/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0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x14ac:dyDescent="0.25">
      <c r="A224" s="10" t="str">
        <f t="shared" si="6"/>
        <v/>
      </c>
      <c r="B224" s="10" t="str">
        <f t="shared" si="7"/>
        <v/>
      </c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0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x14ac:dyDescent="0.25">
      <c r="A225" s="10" t="str">
        <f t="shared" si="6"/>
        <v/>
      </c>
      <c r="B225" s="10" t="str">
        <f t="shared" si="7"/>
        <v/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0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x14ac:dyDescent="0.25">
      <c r="A226" s="10" t="str">
        <f t="shared" si="6"/>
        <v/>
      </c>
      <c r="B226" s="10" t="str">
        <f t="shared" si="7"/>
        <v/>
      </c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0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x14ac:dyDescent="0.25">
      <c r="A227" s="10" t="str">
        <f t="shared" si="6"/>
        <v/>
      </c>
      <c r="B227" s="10" t="str">
        <f t="shared" si="7"/>
        <v/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0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x14ac:dyDescent="0.25">
      <c r="A228" s="10" t="str">
        <f t="shared" si="6"/>
        <v/>
      </c>
      <c r="B228" s="10" t="str">
        <f t="shared" si="7"/>
        <v/>
      </c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0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x14ac:dyDescent="0.25">
      <c r="A229" s="10" t="str">
        <f t="shared" si="6"/>
        <v/>
      </c>
      <c r="B229" s="10" t="str">
        <f t="shared" si="7"/>
        <v/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0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x14ac:dyDescent="0.25">
      <c r="A230" s="10" t="str">
        <f t="shared" si="6"/>
        <v/>
      </c>
      <c r="B230" s="10" t="str">
        <f t="shared" si="7"/>
        <v/>
      </c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0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x14ac:dyDescent="0.25">
      <c r="A231" s="10" t="str">
        <f t="shared" si="6"/>
        <v/>
      </c>
      <c r="B231" s="10" t="str">
        <f t="shared" si="7"/>
        <v/>
      </c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0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x14ac:dyDescent="0.25">
      <c r="A232" s="10" t="str">
        <f t="shared" si="6"/>
        <v/>
      </c>
      <c r="B232" s="10" t="str">
        <f t="shared" si="7"/>
        <v/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0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x14ac:dyDescent="0.25">
      <c r="A233" s="10" t="str">
        <f t="shared" si="6"/>
        <v/>
      </c>
      <c r="B233" s="10" t="str">
        <f t="shared" si="7"/>
        <v/>
      </c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0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x14ac:dyDescent="0.25">
      <c r="A234" s="10" t="str">
        <f t="shared" si="6"/>
        <v/>
      </c>
      <c r="B234" s="10" t="str">
        <f t="shared" si="7"/>
        <v/>
      </c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0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x14ac:dyDescent="0.25">
      <c r="A235" s="10" t="str">
        <f t="shared" si="6"/>
        <v/>
      </c>
      <c r="B235" s="10" t="str">
        <f t="shared" si="7"/>
        <v/>
      </c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0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x14ac:dyDescent="0.25">
      <c r="A236" s="10" t="str">
        <f t="shared" si="6"/>
        <v/>
      </c>
      <c r="B236" s="10" t="str">
        <f t="shared" si="7"/>
        <v/>
      </c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0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x14ac:dyDescent="0.25">
      <c r="A237" s="10" t="str">
        <f t="shared" si="6"/>
        <v/>
      </c>
      <c r="B237" s="10" t="str">
        <f t="shared" si="7"/>
        <v/>
      </c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0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x14ac:dyDescent="0.25">
      <c r="A238" s="10" t="str">
        <f t="shared" si="6"/>
        <v/>
      </c>
      <c r="B238" s="10" t="str">
        <f t="shared" si="7"/>
        <v/>
      </c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0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x14ac:dyDescent="0.25">
      <c r="A239" s="10" t="str">
        <f t="shared" si="6"/>
        <v/>
      </c>
      <c r="B239" s="10" t="str">
        <f t="shared" si="7"/>
        <v/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0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x14ac:dyDescent="0.25">
      <c r="A240" s="10" t="str">
        <f t="shared" si="6"/>
        <v/>
      </c>
      <c r="B240" s="10" t="str">
        <f t="shared" si="7"/>
        <v/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0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x14ac:dyDescent="0.25">
      <c r="A241" s="10" t="str">
        <f t="shared" si="6"/>
        <v/>
      </c>
      <c r="B241" s="10" t="str">
        <f t="shared" si="7"/>
        <v/>
      </c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0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x14ac:dyDescent="0.25">
      <c r="A242" s="10" t="str">
        <f t="shared" si="6"/>
        <v/>
      </c>
      <c r="B242" s="10" t="str">
        <f t="shared" si="7"/>
        <v/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0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x14ac:dyDescent="0.25">
      <c r="A243" s="10" t="str">
        <f t="shared" si="6"/>
        <v/>
      </c>
      <c r="B243" s="10" t="str">
        <f t="shared" si="7"/>
        <v/>
      </c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0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x14ac:dyDescent="0.25">
      <c r="A244" s="10" t="str">
        <f t="shared" si="6"/>
        <v/>
      </c>
      <c r="B244" s="10" t="str">
        <f t="shared" si="7"/>
        <v/>
      </c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0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x14ac:dyDescent="0.25">
      <c r="A245" s="10" t="str">
        <f t="shared" si="6"/>
        <v/>
      </c>
      <c r="B245" s="10" t="str">
        <f t="shared" si="7"/>
        <v/>
      </c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0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x14ac:dyDescent="0.25">
      <c r="A246" s="10" t="str">
        <f t="shared" si="6"/>
        <v/>
      </c>
      <c r="B246" s="10" t="str">
        <f t="shared" si="7"/>
        <v/>
      </c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0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x14ac:dyDescent="0.25">
      <c r="A247" s="10" t="str">
        <f t="shared" si="6"/>
        <v/>
      </c>
      <c r="B247" s="10" t="str">
        <f t="shared" si="7"/>
        <v/>
      </c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0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x14ac:dyDescent="0.25">
      <c r="A248" s="10" t="str">
        <f t="shared" si="6"/>
        <v/>
      </c>
      <c r="B248" s="10" t="str">
        <f t="shared" si="7"/>
        <v/>
      </c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0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x14ac:dyDescent="0.25">
      <c r="A249" s="10" t="str">
        <f t="shared" si="6"/>
        <v/>
      </c>
      <c r="B249" s="10" t="str">
        <f t="shared" si="7"/>
        <v/>
      </c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0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x14ac:dyDescent="0.25">
      <c r="A250" s="10" t="str">
        <f t="shared" si="6"/>
        <v/>
      </c>
      <c r="B250" s="10" t="str">
        <f t="shared" si="7"/>
        <v/>
      </c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0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x14ac:dyDescent="0.25">
      <c r="A251" s="10" t="str">
        <f t="shared" si="6"/>
        <v/>
      </c>
      <c r="B251" s="10" t="str">
        <f t="shared" si="7"/>
        <v/>
      </c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0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x14ac:dyDescent="0.25">
      <c r="A252" s="10" t="str">
        <f t="shared" si="6"/>
        <v/>
      </c>
      <c r="B252" s="10" t="str">
        <f t="shared" si="7"/>
        <v/>
      </c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0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x14ac:dyDescent="0.25">
      <c r="A253" s="10" t="str">
        <f t="shared" si="6"/>
        <v/>
      </c>
      <c r="B253" s="10" t="str">
        <f t="shared" si="7"/>
        <v/>
      </c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0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x14ac:dyDescent="0.25">
      <c r="A254" s="10" t="str">
        <f t="shared" si="6"/>
        <v/>
      </c>
      <c r="B254" s="10" t="str">
        <f t="shared" si="7"/>
        <v/>
      </c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0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x14ac:dyDescent="0.25">
      <c r="A255" s="10" t="str">
        <f t="shared" si="6"/>
        <v/>
      </c>
      <c r="B255" s="10" t="str">
        <f t="shared" si="7"/>
        <v/>
      </c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0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x14ac:dyDescent="0.25">
      <c r="A256" s="10" t="str">
        <f t="shared" si="6"/>
        <v/>
      </c>
      <c r="B256" s="10" t="str">
        <f t="shared" si="7"/>
        <v/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0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x14ac:dyDescent="0.25">
      <c r="A257" s="10" t="str">
        <f t="shared" si="6"/>
        <v/>
      </c>
      <c r="B257" s="10" t="str">
        <f t="shared" si="7"/>
        <v/>
      </c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0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x14ac:dyDescent="0.25">
      <c r="A258" s="10" t="str">
        <f t="shared" ref="A258:A321" si="8">IF(ISBLANK(C258),"",ROW()-1)</f>
        <v/>
      </c>
      <c r="B258" s="10" t="str">
        <f t="shared" ref="B258:B321" si="9">IF(ISBLANK(C258),"","DIG-"&amp;MID(F258,SEARCH("(",F258)+1,3)&amp;"-"&amp;MID(G258,SEARCH("(",G258)+1,3)&amp;"-"&amp;UPPER(LEFT(TRIM(RIGHT(SUBSTITUTE(TRIM(D258)," ",REPT(" ",100)),100)),3))&amp;"-"&amp;TEXT(A258,"000"))</f>
        <v/>
      </c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0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x14ac:dyDescent="0.25">
      <c r="A259" s="10" t="str">
        <f t="shared" si="8"/>
        <v/>
      </c>
      <c r="B259" s="10" t="str">
        <f t="shared" si="9"/>
        <v/>
      </c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0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x14ac:dyDescent="0.25">
      <c r="A260" s="10" t="str">
        <f t="shared" si="8"/>
        <v/>
      </c>
      <c r="B260" s="10" t="str">
        <f t="shared" si="9"/>
        <v/>
      </c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0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x14ac:dyDescent="0.25">
      <c r="A261" s="10" t="str">
        <f t="shared" si="8"/>
        <v/>
      </c>
      <c r="B261" s="10" t="str">
        <f t="shared" si="9"/>
        <v/>
      </c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0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x14ac:dyDescent="0.25">
      <c r="A262" s="10" t="str">
        <f t="shared" si="8"/>
        <v/>
      </c>
      <c r="B262" s="10" t="str">
        <f t="shared" si="9"/>
        <v/>
      </c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0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x14ac:dyDescent="0.25">
      <c r="A263" s="10" t="str">
        <f t="shared" si="8"/>
        <v/>
      </c>
      <c r="B263" s="10" t="str">
        <f t="shared" si="9"/>
        <v/>
      </c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0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x14ac:dyDescent="0.25">
      <c r="A264" s="10" t="str">
        <f t="shared" si="8"/>
        <v/>
      </c>
      <c r="B264" s="10" t="str">
        <f t="shared" si="9"/>
        <v/>
      </c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0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x14ac:dyDescent="0.25">
      <c r="A265" s="10" t="str">
        <f t="shared" si="8"/>
        <v/>
      </c>
      <c r="B265" s="10" t="str">
        <f t="shared" si="9"/>
        <v/>
      </c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0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x14ac:dyDescent="0.25">
      <c r="A266" s="10" t="str">
        <f t="shared" si="8"/>
        <v/>
      </c>
      <c r="B266" s="10" t="str">
        <f t="shared" si="9"/>
        <v/>
      </c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0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x14ac:dyDescent="0.25">
      <c r="A267" s="10" t="str">
        <f t="shared" si="8"/>
        <v/>
      </c>
      <c r="B267" s="10" t="str">
        <f t="shared" si="9"/>
        <v/>
      </c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0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x14ac:dyDescent="0.25">
      <c r="A268" s="10" t="str">
        <f t="shared" si="8"/>
        <v/>
      </c>
      <c r="B268" s="10" t="str">
        <f t="shared" si="9"/>
        <v/>
      </c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0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x14ac:dyDescent="0.25">
      <c r="A269" s="10" t="str">
        <f t="shared" si="8"/>
        <v/>
      </c>
      <c r="B269" s="10" t="str">
        <f t="shared" si="9"/>
        <v/>
      </c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0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x14ac:dyDescent="0.25">
      <c r="A270" s="10" t="str">
        <f t="shared" si="8"/>
        <v/>
      </c>
      <c r="B270" s="10" t="str">
        <f t="shared" si="9"/>
        <v/>
      </c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0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x14ac:dyDescent="0.25">
      <c r="A271" s="10" t="str">
        <f t="shared" si="8"/>
        <v/>
      </c>
      <c r="B271" s="10" t="str">
        <f t="shared" si="9"/>
        <v/>
      </c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0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x14ac:dyDescent="0.25">
      <c r="A272" s="10" t="str">
        <f t="shared" si="8"/>
        <v/>
      </c>
      <c r="B272" s="10" t="str">
        <f t="shared" si="9"/>
        <v/>
      </c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0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x14ac:dyDescent="0.25">
      <c r="A273" s="10" t="str">
        <f t="shared" si="8"/>
        <v/>
      </c>
      <c r="B273" s="10" t="str">
        <f t="shared" si="9"/>
        <v/>
      </c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0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x14ac:dyDescent="0.25">
      <c r="A274" s="10" t="str">
        <f t="shared" si="8"/>
        <v/>
      </c>
      <c r="B274" s="10" t="str">
        <f t="shared" si="9"/>
        <v/>
      </c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0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x14ac:dyDescent="0.25">
      <c r="A275" s="10" t="str">
        <f t="shared" si="8"/>
        <v/>
      </c>
      <c r="B275" s="10" t="str">
        <f t="shared" si="9"/>
        <v/>
      </c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0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x14ac:dyDescent="0.25">
      <c r="A276" s="10" t="str">
        <f t="shared" si="8"/>
        <v/>
      </c>
      <c r="B276" s="10" t="str">
        <f t="shared" si="9"/>
        <v/>
      </c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0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x14ac:dyDescent="0.25">
      <c r="A277" s="10" t="str">
        <f t="shared" si="8"/>
        <v/>
      </c>
      <c r="B277" s="10" t="str">
        <f t="shared" si="9"/>
        <v/>
      </c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0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x14ac:dyDescent="0.25">
      <c r="A278" s="10" t="str">
        <f t="shared" si="8"/>
        <v/>
      </c>
      <c r="B278" s="10" t="str">
        <f t="shared" si="9"/>
        <v/>
      </c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0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x14ac:dyDescent="0.25">
      <c r="A279" s="10" t="str">
        <f t="shared" si="8"/>
        <v/>
      </c>
      <c r="B279" s="10" t="str">
        <f t="shared" si="9"/>
        <v/>
      </c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0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x14ac:dyDescent="0.25">
      <c r="A280" s="10" t="str">
        <f t="shared" si="8"/>
        <v/>
      </c>
      <c r="B280" s="10" t="str">
        <f t="shared" si="9"/>
        <v/>
      </c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0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x14ac:dyDescent="0.25">
      <c r="A281" s="10" t="str">
        <f t="shared" si="8"/>
        <v/>
      </c>
      <c r="B281" s="10" t="str">
        <f t="shared" si="9"/>
        <v/>
      </c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0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x14ac:dyDescent="0.25">
      <c r="A282" s="10" t="str">
        <f t="shared" si="8"/>
        <v/>
      </c>
      <c r="B282" s="10" t="str">
        <f t="shared" si="9"/>
        <v/>
      </c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0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x14ac:dyDescent="0.25">
      <c r="A283" s="10" t="str">
        <f t="shared" si="8"/>
        <v/>
      </c>
      <c r="B283" s="10" t="str">
        <f t="shared" si="9"/>
        <v/>
      </c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0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x14ac:dyDescent="0.25">
      <c r="A284" s="10" t="str">
        <f t="shared" si="8"/>
        <v/>
      </c>
      <c r="B284" s="10" t="str">
        <f t="shared" si="9"/>
        <v/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0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x14ac:dyDescent="0.25">
      <c r="A285" s="10" t="str">
        <f t="shared" si="8"/>
        <v/>
      </c>
      <c r="B285" s="10" t="str">
        <f t="shared" si="9"/>
        <v/>
      </c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0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x14ac:dyDescent="0.25">
      <c r="A286" s="10" t="str">
        <f t="shared" si="8"/>
        <v/>
      </c>
      <c r="B286" s="10" t="str">
        <f t="shared" si="9"/>
        <v/>
      </c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0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x14ac:dyDescent="0.25">
      <c r="A287" s="10" t="str">
        <f t="shared" si="8"/>
        <v/>
      </c>
      <c r="B287" s="10" t="str">
        <f t="shared" si="9"/>
        <v/>
      </c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0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x14ac:dyDescent="0.25">
      <c r="A288" s="10" t="str">
        <f t="shared" si="8"/>
        <v/>
      </c>
      <c r="B288" s="10" t="str">
        <f t="shared" si="9"/>
        <v/>
      </c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0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x14ac:dyDescent="0.25">
      <c r="A289" s="10" t="str">
        <f t="shared" si="8"/>
        <v/>
      </c>
      <c r="B289" s="10" t="str">
        <f t="shared" si="9"/>
        <v/>
      </c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0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x14ac:dyDescent="0.25">
      <c r="A290" s="10" t="str">
        <f t="shared" si="8"/>
        <v/>
      </c>
      <c r="B290" s="10" t="str">
        <f t="shared" si="9"/>
        <v/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0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x14ac:dyDescent="0.25">
      <c r="A291" s="10" t="str">
        <f t="shared" si="8"/>
        <v/>
      </c>
      <c r="B291" s="10" t="str">
        <f t="shared" si="9"/>
        <v/>
      </c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0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x14ac:dyDescent="0.25">
      <c r="A292" s="10" t="str">
        <f t="shared" si="8"/>
        <v/>
      </c>
      <c r="B292" s="10" t="str">
        <f t="shared" si="9"/>
        <v/>
      </c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0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x14ac:dyDescent="0.25">
      <c r="A293" s="10" t="str">
        <f t="shared" si="8"/>
        <v/>
      </c>
      <c r="B293" s="10" t="str">
        <f t="shared" si="9"/>
        <v/>
      </c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0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x14ac:dyDescent="0.25">
      <c r="A294" s="10" t="str">
        <f t="shared" si="8"/>
        <v/>
      </c>
      <c r="B294" s="10" t="str">
        <f t="shared" si="9"/>
        <v/>
      </c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0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x14ac:dyDescent="0.25">
      <c r="A295" s="10" t="str">
        <f t="shared" si="8"/>
        <v/>
      </c>
      <c r="B295" s="10" t="str">
        <f t="shared" si="9"/>
        <v/>
      </c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0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x14ac:dyDescent="0.25">
      <c r="A296" s="10" t="str">
        <f t="shared" si="8"/>
        <v/>
      </c>
      <c r="B296" s="10" t="str">
        <f t="shared" si="9"/>
        <v/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0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x14ac:dyDescent="0.25">
      <c r="A297" s="10" t="str">
        <f t="shared" si="8"/>
        <v/>
      </c>
      <c r="B297" s="10" t="str">
        <f t="shared" si="9"/>
        <v/>
      </c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0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x14ac:dyDescent="0.25">
      <c r="A298" s="10" t="str">
        <f t="shared" si="8"/>
        <v/>
      </c>
      <c r="B298" s="10" t="str">
        <f t="shared" si="9"/>
        <v/>
      </c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0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x14ac:dyDescent="0.25">
      <c r="A299" s="10" t="str">
        <f t="shared" si="8"/>
        <v/>
      </c>
      <c r="B299" s="10" t="str">
        <f t="shared" si="9"/>
        <v/>
      </c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0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x14ac:dyDescent="0.25">
      <c r="A300" s="10" t="str">
        <f t="shared" si="8"/>
        <v/>
      </c>
      <c r="B300" s="10" t="str">
        <f t="shared" si="9"/>
        <v/>
      </c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0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x14ac:dyDescent="0.25">
      <c r="A301" s="10" t="str">
        <f t="shared" si="8"/>
        <v/>
      </c>
      <c r="B301" s="10" t="str">
        <f t="shared" si="9"/>
        <v/>
      </c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0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x14ac:dyDescent="0.25">
      <c r="A302" s="10" t="str">
        <f t="shared" si="8"/>
        <v/>
      </c>
      <c r="B302" s="10" t="str">
        <f t="shared" si="9"/>
        <v/>
      </c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0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x14ac:dyDescent="0.25">
      <c r="A303" s="10" t="str">
        <f t="shared" si="8"/>
        <v/>
      </c>
      <c r="B303" s="10" t="str">
        <f t="shared" si="9"/>
        <v/>
      </c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0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x14ac:dyDescent="0.25">
      <c r="A304" s="10" t="str">
        <f t="shared" si="8"/>
        <v/>
      </c>
      <c r="B304" s="10" t="str">
        <f t="shared" si="9"/>
        <v/>
      </c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0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x14ac:dyDescent="0.25">
      <c r="A305" s="10" t="str">
        <f t="shared" si="8"/>
        <v/>
      </c>
      <c r="B305" s="10" t="str">
        <f t="shared" si="9"/>
        <v/>
      </c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0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x14ac:dyDescent="0.25">
      <c r="A306" s="10" t="str">
        <f t="shared" si="8"/>
        <v/>
      </c>
      <c r="B306" s="10" t="str">
        <f t="shared" si="9"/>
        <v/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0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x14ac:dyDescent="0.25">
      <c r="A307" s="10" t="str">
        <f t="shared" si="8"/>
        <v/>
      </c>
      <c r="B307" s="10" t="str">
        <f t="shared" si="9"/>
        <v/>
      </c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0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x14ac:dyDescent="0.25">
      <c r="A308" s="10" t="str">
        <f t="shared" si="8"/>
        <v/>
      </c>
      <c r="B308" s="10" t="str">
        <f t="shared" si="9"/>
        <v/>
      </c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0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x14ac:dyDescent="0.25">
      <c r="A309" s="10" t="str">
        <f t="shared" si="8"/>
        <v/>
      </c>
      <c r="B309" s="10" t="str">
        <f t="shared" si="9"/>
        <v/>
      </c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0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x14ac:dyDescent="0.25">
      <c r="A310" s="10" t="str">
        <f t="shared" si="8"/>
        <v/>
      </c>
      <c r="B310" s="10" t="str">
        <f t="shared" si="9"/>
        <v/>
      </c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0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x14ac:dyDescent="0.25">
      <c r="A311" s="10" t="str">
        <f t="shared" si="8"/>
        <v/>
      </c>
      <c r="B311" s="10" t="str">
        <f t="shared" si="9"/>
        <v/>
      </c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0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x14ac:dyDescent="0.25">
      <c r="A312" s="10" t="str">
        <f t="shared" si="8"/>
        <v/>
      </c>
      <c r="B312" s="10" t="str">
        <f t="shared" si="9"/>
        <v/>
      </c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0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x14ac:dyDescent="0.25">
      <c r="A313" s="10" t="str">
        <f t="shared" si="8"/>
        <v/>
      </c>
      <c r="B313" s="10" t="str">
        <f t="shared" si="9"/>
        <v/>
      </c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0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x14ac:dyDescent="0.25">
      <c r="A314" s="10" t="str">
        <f t="shared" si="8"/>
        <v/>
      </c>
      <c r="B314" s="10" t="str">
        <f t="shared" si="9"/>
        <v/>
      </c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0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x14ac:dyDescent="0.25">
      <c r="A315" s="10" t="str">
        <f t="shared" si="8"/>
        <v/>
      </c>
      <c r="B315" s="10" t="str">
        <f t="shared" si="9"/>
        <v/>
      </c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0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x14ac:dyDescent="0.25">
      <c r="A316" s="10" t="str">
        <f t="shared" si="8"/>
        <v/>
      </c>
      <c r="B316" s="10" t="str">
        <f t="shared" si="9"/>
        <v/>
      </c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0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x14ac:dyDescent="0.25">
      <c r="A317" s="10" t="str">
        <f t="shared" si="8"/>
        <v/>
      </c>
      <c r="B317" s="10" t="str">
        <f t="shared" si="9"/>
        <v/>
      </c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0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x14ac:dyDescent="0.25">
      <c r="A318" s="10" t="str">
        <f t="shared" si="8"/>
        <v/>
      </c>
      <c r="B318" s="10" t="str">
        <f t="shared" si="9"/>
        <v/>
      </c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0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x14ac:dyDescent="0.25">
      <c r="A319" s="10" t="str">
        <f t="shared" si="8"/>
        <v/>
      </c>
      <c r="B319" s="10" t="str">
        <f t="shared" si="9"/>
        <v/>
      </c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0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x14ac:dyDescent="0.25">
      <c r="A320" s="10" t="str">
        <f t="shared" si="8"/>
        <v/>
      </c>
      <c r="B320" s="10" t="str">
        <f t="shared" si="9"/>
        <v/>
      </c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0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x14ac:dyDescent="0.25">
      <c r="A321" s="10" t="str">
        <f t="shared" si="8"/>
        <v/>
      </c>
      <c r="B321" s="10" t="str">
        <f t="shared" si="9"/>
        <v/>
      </c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0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x14ac:dyDescent="0.25">
      <c r="A322" s="10" t="str">
        <f t="shared" ref="A322:A385" si="10">IF(ISBLANK(C322),"",ROW()-1)</f>
        <v/>
      </c>
      <c r="B322" s="10" t="str">
        <f t="shared" ref="B322:B385" si="11">IF(ISBLANK(C322),"","DIG-"&amp;MID(F322,SEARCH("(",F322)+1,3)&amp;"-"&amp;MID(G322,SEARCH("(",G322)+1,3)&amp;"-"&amp;UPPER(LEFT(TRIM(RIGHT(SUBSTITUTE(TRIM(D322)," ",REPT(" ",100)),100)),3))&amp;"-"&amp;TEXT(A322,"000"))</f>
        <v/>
      </c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0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x14ac:dyDescent="0.25">
      <c r="A323" s="10" t="str">
        <f t="shared" si="10"/>
        <v/>
      </c>
      <c r="B323" s="10" t="str">
        <f t="shared" si="11"/>
        <v/>
      </c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0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x14ac:dyDescent="0.25">
      <c r="A324" s="10" t="str">
        <f t="shared" si="10"/>
        <v/>
      </c>
      <c r="B324" s="10" t="str">
        <f t="shared" si="11"/>
        <v/>
      </c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0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x14ac:dyDescent="0.25">
      <c r="A325" s="10" t="str">
        <f t="shared" si="10"/>
        <v/>
      </c>
      <c r="B325" s="10" t="str">
        <f t="shared" si="11"/>
        <v/>
      </c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0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x14ac:dyDescent="0.25">
      <c r="A326" s="10" t="str">
        <f t="shared" si="10"/>
        <v/>
      </c>
      <c r="B326" s="10" t="str">
        <f t="shared" si="11"/>
        <v/>
      </c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0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x14ac:dyDescent="0.25">
      <c r="A327" s="10" t="str">
        <f t="shared" si="10"/>
        <v/>
      </c>
      <c r="B327" s="10" t="str">
        <f t="shared" si="11"/>
        <v/>
      </c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0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x14ac:dyDescent="0.25">
      <c r="A328" s="10" t="str">
        <f t="shared" si="10"/>
        <v/>
      </c>
      <c r="B328" s="10" t="str">
        <f t="shared" si="11"/>
        <v/>
      </c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0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x14ac:dyDescent="0.25">
      <c r="A329" s="10" t="str">
        <f t="shared" si="10"/>
        <v/>
      </c>
      <c r="B329" s="10" t="str">
        <f t="shared" si="11"/>
        <v/>
      </c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0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x14ac:dyDescent="0.25">
      <c r="A330" s="10" t="str">
        <f t="shared" si="10"/>
        <v/>
      </c>
      <c r="B330" s="10" t="str">
        <f t="shared" si="11"/>
        <v/>
      </c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0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x14ac:dyDescent="0.25">
      <c r="A331" s="10" t="str">
        <f t="shared" si="10"/>
        <v/>
      </c>
      <c r="B331" s="10" t="str">
        <f t="shared" si="11"/>
        <v/>
      </c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0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x14ac:dyDescent="0.25">
      <c r="A332" s="10" t="str">
        <f t="shared" si="10"/>
        <v/>
      </c>
      <c r="B332" s="10" t="str">
        <f t="shared" si="11"/>
        <v/>
      </c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0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x14ac:dyDescent="0.25">
      <c r="A333" s="10" t="str">
        <f t="shared" si="10"/>
        <v/>
      </c>
      <c r="B333" s="10" t="str">
        <f t="shared" si="11"/>
        <v/>
      </c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0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x14ac:dyDescent="0.25">
      <c r="A334" s="10" t="str">
        <f t="shared" si="10"/>
        <v/>
      </c>
      <c r="B334" s="10" t="str">
        <f t="shared" si="11"/>
        <v/>
      </c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0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x14ac:dyDescent="0.25">
      <c r="A335" s="10" t="str">
        <f t="shared" si="10"/>
        <v/>
      </c>
      <c r="B335" s="10" t="str">
        <f t="shared" si="11"/>
        <v/>
      </c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0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x14ac:dyDescent="0.25">
      <c r="A336" s="10" t="str">
        <f t="shared" si="10"/>
        <v/>
      </c>
      <c r="B336" s="10" t="str">
        <f t="shared" si="11"/>
        <v/>
      </c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0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x14ac:dyDescent="0.25">
      <c r="A337" s="10" t="str">
        <f t="shared" si="10"/>
        <v/>
      </c>
      <c r="B337" s="10" t="str">
        <f t="shared" si="11"/>
        <v/>
      </c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0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x14ac:dyDescent="0.25">
      <c r="A338" s="10" t="str">
        <f t="shared" si="10"/>
        <v/>
      </c>
      <c r="B338" s="10" t="str">
        <f t="shared" si="11"/>
        <v/>
      </c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0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x14ac:dyDescent="0.25">
      <c r="A339" s="10" t="str">
        <f t="shared" si="10"/>
        <v/>
      </c>
      <c r="B339" s="10" t="str">
        <f t="shared" si="11"/>
        <v/>
      </c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0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x14ac:dyDescent="0.25">
      <c r="A340" s="10" t="str">
        <f t="shared" si="10"/>
        <v/>
      </c>
      <c r="B340" s="10" t="str">
        <f t="shared" si="11"/>
        <v/>
      </c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0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x14ac:dyDescent="0.25">
      <c r="A341" s="10" t="str">
        <f t="shared" si="10"/>
        <v/>
      </c>
      <c r="B341" s="10" t="str">
        <f t="shared" si="11"/>
        <v/>
      </c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0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x14ac:dyDescent="0.25">
      <c r="A342" s="10" t="str">
        <f t="shared" si="10"/>
        <v/>
      </c>
      <c r="B342" s="10" t="str">
        <f t="shared" si="11"/>
        <v/>
      </c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0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x14ac:dyDescent="0.25">
      <c r="A343" s="10" t="str">
        <f t="shared" si="10"/>
        <v/>
      </c>
      <c r="B343" s="10" t="str">
        <f t="shared" si="11"/>
        <v/>
      </c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0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x14ac:dyDescent="0.25">
      <c r="A344" s="10" t="str">
        <f t="shared" si="10"/>
        <v/>
      </c>
      <c r="B344" s="10" t="str">
        <f t="shared" si="11"/>
        <v/>
      </c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0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x14ac:dyDescent="0.25">
      <c r="A345" s="10" t="str">
        <f t="shared" si="10"/>
        <v/>
      </c>
      <c r="B345" s="10" t="str">
        <f t="shared" si="11"/>
        <v/>
      </c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0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x14ac:dyDescent="0.25">
      <c r="A346" s="10" t="str">
        <f t="shared" si="10"/>
        <v/>
      </c>
      <c r="B346" s="10" t="str">
        <f t="shared" si="11"/>
        <v/>
      </c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0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x14ac:dyDescent="0.25">
      <c r="A347" s="10" t="str">
        <f t="shared" si="10"/>
        <v/>
      </c>
      <c r="B347" s="10" t="str">
        <f t="shared" si="11"/>
        <v/>
      </c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0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x14ac:dyDescent="0.25">
      <c r="A348" s="10" t="str">
        <f t="shared" si="10"/>
        <v/>
      </c>
      <c r="B348" s="10" t="str">
        <f t="shared" si="11"/>
        <v/>
      </c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0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x14ac:dyDescent="0.25">
      <c r="A349" s="10" t="str">
        <f t="shared" si="10"/>
        <v/>
      </c>
      <c r="B349" s="10" t="str">
        <f t="shared" si="11"/>
        <v/>
      </c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0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x14ac:dyDescent="0.25">
      <c r="A350" s="10" t="str">
        <f t="shared" si="10"/>
        <v/>
      </c>
      <c r="B350" s="10" t="str">
        <f t="shared" si="11"/>
        <v/>
      </c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0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x14ac:dyDescent="0.25">
      <c r="A351" s="10" t="str">
        <f t="shared" si="10"/>
        <v/>
      </c>
      <c r="B351" s="10" t="str">
        <f t="shared" si="11"/>
        <v/>
      </c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0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x14ac:dyDescent="0.25">
      <c r="A352" s="10" t="str">
        <f t="shared" si="10"/>
        <v/>
      </c>
      <c r="B352" s="10" t="str">
        <f t="shared" si="11"/>
        <v/>
      </c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0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x14ac:dyDescent="0.25">
      <c r="A353" s="10" t="str">
        <f t="shared" si="10"/>
        <v/>
      </c>
      <c r="B353" s="10" t="str">
        <f t="shared" si="11"/>
        <v/>
      </c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0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x14ac:dyDescent="0.25">
      <c r="A354" s="10" t="str">
        <f t="shared" si="10"/>
        <v/>
      </c>
      <c r="B354" s="10" t="str">
        <f t="shared" si="11"/>
        <v/>
      </c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0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x14ac:dyDescent="0.25">
      <c r="A355" s="10" t="str">
        <f t="shared" si="10"/>
        <v/>
      </c>
      <c r="B355" s="10" t="str">
        <f t="shared" si="11"/>
        <v/>
      </c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0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x14ac:dyDescent="0.25">
      <c r="A356" s="10" t="str">
        <f t="shared" si="10"/>
        <v/>
      </c>
      <c r="B356" s="10" t="str">
        <f t="shared" si="11"/>
        <v/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0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x14ac:dyDescent="0.25">
      <c r="A357" s="10" t="str">
        <f t="shared" si="10"/>
        <v/>
      </c>
      <c r="B357" s="10" t="str">
        <f t="shared" si="11"/>
        <v/>
      </c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0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x14ac:dyDescent="0.25">
      <c r="A358" s="10" t="str">
        <f t="shared" si="10"/>
        <v/>
      </c>
      <c r="B358" s="10" t="str">
        <f t="shared" si="11"/>
        <v/>
      </c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0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x14ac:dyDescent="0.25">
      <c r="A359" s="10" t="str">
        <f t="shared" si="10"/>
        <v/>
      </c>
      <c r="B359" s="10" t="str">
        <f t="shared" si="11"/>
        <v/>
      </c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0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x14ac:dyDescent="0.25">
      <c r="A360" s="10" t="str">
        <f t="shared" si="10"/>
        <v/>
      </c>
      <c r="B360" s="10" t="str">
        <f t="shared" si="11"/>
        <v/>
      </c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0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x14ac:dyDescent="0.25">
      <c r="A361" s="10" t="str">
        <f t="shared" si="10"/>
        <v/>
      </c>
      <c r="B361" s="10" t="str">
        <f t="shared" si="11"/>
        <v/>
      </c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0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x14ac:dyDescent="0.25">
      <c r="A362" s="10" t="str">
        <f t="shared" si="10"/>
        <v/>
      </c>
      <c r="B362" s="10" t="str">
        <f t="shared" si="11"/>
        <v/>
      </c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0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x14ac:dyDescent="0.25">
      <c r="A363" s="10" t="str">
        <f t="shared" si="10"/>
        <v/>
      </c>
      <c r="B363" s="10" t="str">
        <f t="shared" si="11"/>
        <v/>
      </c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0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x14ac:dyDescent="0.25">
      <c r="A364" s="10" t="str">
        <f t="shared" si="10"/>
        <v/>
      </c>
      <c r="B364" s="10" t="str">
        <f t="shared" si="11"/>
        <v/>
      </c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0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x14ac:dyDescent="0.25">
      <c r="A365" s="10" t="str">
        <f t="shared" si="10"/>
        <v/>
      </c>
      <c r="B365" s="10" t="str">
        <f t="shared" si="11"/>
        <v/>
      </c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0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x14ac:dyDescent="0.25">
      <c r="A366" s="10" t="str">
        <f t="shared" si="10"/>
        <v/>
      </c>
      <c r="B366" s="10" t="str">
        <f t="shared" si="11"/>
        <v/>
      </c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0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x14ac:dyDescent="0.25">
      <c r="A367" s="10" t="str">
        <f t="shared" si="10"/>
        <v/>
      </c>
      <c r="B367" s="10" t="str">
        <f t="shared" si="11"/>
        <v/>
      </c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0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x14ac:dyDescent="0.25">
      <c r="A368" s="10" t="str">
        <f t="shared" si="10"/>
        <v/>
      </c>
      <c r="B368" s="10" t="str">
        <f t="shared" si="11"/>
        <v/>
      </c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0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x14ac:dyDescent="0.25">
      <c r="A369" s="10" t="str">
        <f t="shared" si="10"/>
        <v/>
      </c>
      <c r="B369" s="10" t="str">
        <f t="shared" si="11"/>
        <v/>
      </c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0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x14ac:dyDescent="0.25">
      <c r="A370" s="10" t="str">
        <f t="shared" si="10"/>
        <v/>
      </c>
      <c r="B370" s="10" t="str">
        <f t="shared" si="11"/>
        <v/>
      </c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0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x14ac:dyDescent="0.25">
      <c r="A371" s="10" t="str">
        <f t="shared" si="10"/>
        <v/>
      </c>
      <c r="B371" s="10" t="str">
        <f t="shared" si="11"/>
        <v/>
      </c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0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x14ac:dyDescent="0.25">
      <c r="A372" s="10" t="str">
        <f t="shared" si="10"/>
        <v/>
      </c>
      <c r="B372" s="10" t="str">
        <f t="shared" si="11"/>
        <v/>
      </c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0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x14ac:dyDescent="0.25">
      <c r="A373" s="10" t="str">
        <f t="shared" si="10"/>
        <v/>
      </c>
      <c r="B373" s="10" t="str">
        <f t="shared" si="11"/>
        <v/>
      </c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0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x14ac:dyDescent="0.25">
      <c r="A374" s="10" t="str">
        <f t="shared" si="10"/>
        <v/>
      </c>
      <c r="B374" s="10" t="str">
        <f t="shared" si="11"/>
        <v/>
      </c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0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x14ac:dyDescent="0.25">
      <c r="A375" s="10" t="str">
        <f t="shared" si="10"/>
        <v/>
      </c>
      <c r="B375" s="10" t="str">
        <f t="shared" si="11"/>
        <v/>
      </c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0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x14ac:dyDescent="0.25">
      <c r="A376" s="10" t="str">
        <f t="shared" si="10"/>
        <v/>
      </c>
      <c r="B376" s="10" t="str">
        <f t="shared" si="11"/>
        <v/>
      </c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0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x14ac:dyDescent="0.25">
      <c r="A377" s="10" t="str">
        <f t="shared" si="10"/>
        <v/>
      </c>
      <c r="B377" s="10" t="str">
        <f t="shared" si="11"/>
        <v/>
      </c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0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x14ac:dyDescent="0.25">
      <c r="A378" s="10" t="str">
        <f t="shared" si="10"/>
        <v/>
      </c>
      <c r="B378" s="10" t="str">
        <f t="shared" si="11"/>
        <v/>
      </c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0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x14ac:dyDescent="0.25">
      <c r="A379" s="10" t="str">
        <f t="shared" si="10"/>
        <v/>
      </c>
      <c r="B379" s="10" t="str">
        <f t="shared" si="11"/>
        <v/>
      </c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0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x14ac:dyDescent="0.25">
      <c r="A380" s="10" t="str">
        <f t="shared" si="10"/>
        <v/>
      </c>
      <c r="B380" s="10" t="str">
        <f t="shared" si="11"/>
        <v/>
      </c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0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x14ac:dyDescent="0.25">
      <c r="A381" s="10" t="str">
        <f t="shared" si="10"/>
        <v/>
      </c>
      <c r="B381" s="10" t="str">
        <f t="shared" si="11"/>
        <v/>
      </c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0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x14ac:dyDescent="0.25">
      <c r="A382" s="10" t="str">
        <f t="shared" si="10"/>
        <v/>
      </c>
      <c r="B382" s="10" t="str">
        <f t="shared" si="11"/>
        <v/>
      </c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0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x14ac:dyDescent="0.25">
      <c r="A383" s="10" t="str">
        <f t="shared" si="10"/>
        <v/>
      </c>
      <c r="B383" s="10" t="str">
        <f t="shared" si="11"/>
        <v/>
      </c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0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x14ac:dyDescent="0.25">
      <c r="A384" s="10" t="str">
        <f t="shared" si="10"/>
        <v/>
      </c>
      <c r="B384" s="10" t="str">
        <f t="shared" si="11"/>
        <v/>
      </c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0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x14ac:dyDescent="0.25">
      <c r="A385" s="10" t="str">
        <f t="shared" si="10"/>
        <v/>
      </c>
      <c r="B385" s="10" t="str">
        <f t="shared" si="11"/>
        <v/>
      </c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0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x14ac:dyDescent="0.25">
      <c r="A386" s="10" t="str">
        <f t="shared" ref="A386:A449" si="12">IF(ISBLANK(C386),"",ROW()-1)</f>
        <v/>
      </c>
      <c r="B386" s="10" t="str">
        <f t="shared" ref="B386:B449" si="13">IF(ISBLANK(C386),"","DIG-"&amp;MID(F386,SEARCH("(",F386)+1,3)&amp;"-"&amp;MID(G386,SEARCH("(",G386)+1,3)&amp;"-"&amp;UPPER(LEFT(TRIM(RIGHT(SUBSTITUTE(TRIM(D386)," ",REPT(" ",100)),100)),3))&amp;"-"&amp;TEXT(A386,"000"))</f>
        <v/>
      </c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0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x14ac:dyDescent="0.25">
      <c r="A387" s="10" t="str">
        <f t="shared" si="12"/>
        <v/>
      </c>
      <c r="B387" s="10" t="str">
        <f t="shared" si="13"/>
        <v/>
      </c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0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x14ac:dyDescent="0.25">
      <c r="A388" s="10" t="str">
        <f t="shared" si="12"/>
        <v/>
      </c>
      <c r="B388" s="10" t="str">
        <f t="shared" si="13"/>
        <v/>
      </c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0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x14ac:dyDescent="0.25">
      <c r="A389" s="10" t="str">
        <f t="shared" si="12"/>
        <v/>
      </c>
      <c r="B389" s="10" t="str">
        <f t="shared" si="13"/>
        <v/>
      </c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0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x14ac:dyDescent="0.25">
      <c r="A390" s="10" t="str">
        <f t="shared" si="12"/>
        <v/>
      </c>
      <c r="B390" s="10" t="str">
        <f t="shared" si="13"/>
        <v/>
      </c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0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x14ac:dyDescent="0.25">
      <c r="A391" s="10" t="str">
        <f t="shared" si="12"/>
        <v/>
      </c>
      <c r="B391" s="10" t="str">
        <f t="shared" si="13"/>
        <v/>
      </c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0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x14ac:dyDescent="0.25">
      <c r="A392" s="10" t="str">
        <f t="shared" si="12"/>
        <v/>
      </c>
      <c r="B392" s="10" t="str">
        <f t="shared" si="13"/>
        <v/>
      </c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0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x14ac:dyDescent="0.25">
      <c r="A393" s="10" t="str">
        <f t="shared" si="12"/>
        <v/>
      </c>
      <c r="B393" s="10" t="str">
        <f t="shared" si="13"/>
        <v/>
      </c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0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x14ac:dyDescent="0.25">
      <c r="A394" s="10" t="str">
        <f t="shared" si="12"/>
        <v/>
      </c>
      <c r="B394" s="10" t="str">
        <f t="shared" si="13"/>
        <v/>
      </c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0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x14ac:dyDescent="0.25">
      <c r="A395" s="10" t="str">
        <f t="shared" si="12"/>
        <v/>
      </c>
      <c r="B395" s="10" t="str">
        <f t="shared" si="13"/>
        <v/>
      </c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0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x14ac:dyDescent="0.25">
      <c r="A396" s="10" t="str">
        <f t="shared" si="12"/>
        <v/>
      </c>
      <c r="B396" s="10" t="str">
        <f t="shared" si="13"/>
        <v/>
      </c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0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x14ac:dyDescent="0.25">
      <c r="A397" s="10" t="str">
        <f t="shared" si="12"/>
        <v/>
      </c>
      <c r="B397" s="10" t="str">
        <f t="shared" si="13"/>
        <v/>
      </c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0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x14ac:dyDescent="0.25">
      <c r="A398" s="10" t="str">
        <f t="shared" si="12"/>
        <v/>
      </c>
      <c r="B398" s="10" t="str">
        <f t="shared" si="13"/>
        <v/>
      </c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0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x14ac:dyDescent="0.25">
      <c r="A399" s="10" t="str">
        <f t="shared" si="12"/>
        <v/>
      </c>
      <c r="B399" s="10" t="str">
        <f t="shared" si="13"/>
        <v/>
      </c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0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x14ac:dyDescent="0.25">
      <c r="A400" s="10" t="str">
        <f t="shared" si="12"/>
        <v/>
      </c>
      <c r="B400" s="10" t="str">
        <f t="shared" si="13"/>
        <v/>
      </c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0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x14ac:dyDescent="0.25">
      <c r="A401" s="10" t="str">
        <f t="shared" si="12"/>
        <v/>
      </c>
      <c r="B401" s="10" t="str">
        <f t="shared" si="13"/>
        <v/>
      </c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0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x14ac:dyDescent="0.25">
      <c r="A402" s="10" t="str">
        <f t="shared" si="12"/>
        <v/>
      </c>
      <c r="B402" s="10" t="str">
        <f t="shared" si="13"/>
        <v/>
      </c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0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x14ac:dyDescent="0.25">
      <c r="A403" s="10" t="str">
        <f t="shared" si="12"/>
        <v/>
      </c>
      <c r="B403" s="10" t="str">
        <f t="shared" si="13"/>
        <v/>
      </c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0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x14ac:dyDescent="0.25">
      <c r="A404" s="10" t="str">
        <f t="shared" si="12"/>
        <v/>
      </c>
      <c r="B404" s="10" t="str">
        <f t="shared" si="13"/>
        <v/>
      </c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0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x14ac:dyDescent="0.25">
      <c r="A405" s="10" t="str">
        <f t="shared" si="12"/>
        <v/>
      </c>
      <c r="B405" s="10" t="str">
        <f t="shared" si="13"/>
        <v/>
      </c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0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x14ac:dyDescent="0.25">
      <c r="A406" s="10" t="str">
        <f t="shared" si="12"/>
        <v/>
      </c>
      <c r="B406" s="10" t="str">
        <f t="shared" si="13"/>
        <v/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0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x14ac:dyDescent="0.25">
      <c r="A407" s="10" t="str">
        <f t="shared" si="12"/>
        <v/>
      </c>
      <c r="B407" s="10" t="str">
        <f t="shared" si="13"/>
        <v/>
      </c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0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x14ac:dyDescent="0.25">
      <c r="A408" s="10" t="str">
        <f t="shared" si="12"/>
        <v/>
      </c>
      <c r="B408" s="10" t="str">
        <f t="shared" si="13"/>
        <v/>
      </c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0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x14ac:dyDescent="0.25">
      <c r="A409" s="10" t="str">
        <f t="shared" si="12"/>
        <v/>
      </c>
      <c r="B409" s="10" t="str">
        <f t="shared" si="13"/>
        <v/>
      </c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0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x14ac:dyDescent="0.25">
      <c r="A410" s="10" t="str">
        <f t="shared" si="12"/>
        <v/>
      </c>
      <c r="B410" s="10" t="str">
        <f t="shared" si="13"/>
        <v/>
      </c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0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x14ac:dyDescent="0.25">
      <c r="A411" s="10" t="str">
        <f t="shared" si="12"/>
        <v/>
      </c>
      <c r="B411" s="10" t="str">
        <f t="shared" si="13"/>
        <v/>
      </c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0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x14ac:dyDescent="0.25">
      <c r="A412" s="10" t="str">
        <f t="shared" si="12"/>
        <v/>
      </c>
      <c r="B412" s="10" t="str">
        <f t="shared" si="13"/>
        <v/>
      </c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0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x14ac:dyDescent="0.25">
      <c r="A413" s="10" t="str">
        <f t="shared" si="12"/>
        <v/>
      </c>
      <c r="B413" s="10" t="str">
        <f t="shared" si="13"/>
        <v/>
      </c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0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x14ac:dyDescent="0.25">
      <c r="A414" s="10" t="str">
        <f t="shared" si="12"/>
        <v/>
      </c>
      <c r="B414" s="10" t="str">
        <f t="shared" si="13"/>
        <v/>
      </c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0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x14ac:dyDescent="0.25">
      <c r="A415" s="10" t="str">
        <f t="shared" si="12"/>
        <v/>
      </c>
      <c r="B415" s="10" t="str">
        <f t="shared" si="13"/>
        <v/>
      </c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0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x14ac:dyDescent="0.25">
      <c r="A416" s="10" t="str">
        <f t="shared" si="12"/>
        <v/>
      </c>
      <c r="B416" s="10" t="str">
        <f t="shared" si="13"/>
        <v/>
      </c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0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x14ac:dyDescent="0.25">
      <c r="A417" s="10" t="str">
        <f t="shared" si="12"/>
        <v/>
      </c>
      <c r="B417" s="10" t="str">
        <f t="shared" si="13"/>
        <v/>
      </c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0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x14ac:dyDescent="0.25">
      <c r="A418" s="10" t="str">
        <f t="shared" si="12"/>
        <v/>
      </c>
      <c r="B418" s="10" t="str">
        <f t="shared" si="13"/>
        <v/>
      </c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0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x14ac:dyDescent="0.25">
      <c r="A419" s="10" t="str">
        <f t="shared" si="12"/>
        <v/>
      </c>
      <c r="B419" s="10" t="str">
        <f t="shared" si="13"/>
        <v/>
      </c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0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x14ac:dyDescent="0.25">
      <c r="A420" s="10" t="str">
        <f t="shared" si="12"/>
        <v/>
      </c>
      <c r="B420" s="10" t="str">
        <f t="shared" si="13"/>
        <v/>
      </c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0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x14ac:dyDescent="0.25">
      <c r="A421" s="10" t="str">
        <f t="shared" si="12"/>
        <v/>
      </c>
      <c r="B421" s="10" t="str">
        <f t="shared" si="13"/>
        <v/>
      </c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0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x14ac:dyDescent="0.25">
      <c r="A422" s="10" t="str">
        <f t="shared" si="12"/>
        <v/>
      </c>
      <c r="B422" s="10" t="str">
        <f t="shared" si="13"/>
        <v/>
      </c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0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x14ac:dyDescent="0.25">
      <c r="A423" s="10" t="str">
        <f t="shared" si="12"/>
        <v/>
      </c>
      <c r="B423" s="10" t="str">
        <f t="shared" si="13"/>
        <v/>
      </c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0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x14ac:dyDescent="0.25">
      <c r="A424" s="10" t="str">
        <f t="shared" si="12"/>
        <v/>
      </c>
      <c r="B424" s="10" t="str">
        <f t="shared" si="13"/>
        <v/>
      </c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0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x14ac:dyDescent="0.25">
      <c r="A425" s="10" t="str">
        <f t="shared" si="12"/>
        <v/>
      </c>
      <c r="B425" s="10" t="str">
        <f t="shared" si="13"/>
        <v/>
      </c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0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x14ac:dyDescent="0.25">
      <c r="A426" s="10" t="str">
        <f t="shared" si="12"/>
        <v/>
      </c>
      <c r="B426" s="10" t="str">
        <f t="shared" si="13"/>
        <v/>
      </c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0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x14ac:dyDescent="0.25">
      <c r="A427" s="10" t="str">
        <f t="shared" si="12"/>
        <v/>
      </c>
      <c r="B427" s="10" t="str">
        <f t="shared" si="13"/>
        <v/>
      </c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0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x14ac:dyDescent="0.25">
      <c r="A428" s="10" t="str">
        <f t="shared" si="12"/>
        <v/>
      </c>
      <c r="B428" s="10" t="str">
        <f t="shared" si="13"/>
        <v/>
      </c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0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x14ac:dyDescent="0.25">
      <c r="A429" s="10" t="str">
        <f t="shared" si="12"/>
        <v/>
      </c>
      <c r="B429" s="10" t="str">
        <f t="shared" si="13"/>
        <v/>
      </c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0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x14ac:dyDescent="0.25">
      <c r="A430" s="10" t="str">
        <f t="shared" si="12"/>
        <v/>
      </c>
      <c r="B430" s="10" t="str">
        <f t="shared" si="13"/>
        <v/>
      </c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0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x14ac:dyDescent="0.25">
      <c r="A431" s="10" t="str">
        <f t="shared" si="12"/>
        <v/>
      </c>
      <c r="B431" s="10" t="str">
        <f t="shared" si="13"/>
        <v/>
      </c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0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x14ac:dyDescent="0.25">
      <c r="A432" s="10" t="str">
        <f t="shared" si="12"/>
        <v/>
      </c>
      <c r="B432" s="10" t="str">
        <f t="shared" si="13"/>
        <v/>
      </c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0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x14ac:dyDescent="0.25">
      <c r="A433" s="10" t="str">
        <f t="shared" si="12"/>
        <v/>
      </c>
      <c r="B433" s="10" t="str">
        <f t="shared" si="13"/>
        <v/>
      </c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0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x14ac:dyDescent="0.25">
      <c r="A434" s="10" t="str">
        <f t="shared" si="12"/>
        <v/>
      </c>
      <c r="B434" s="10" t="str">
        <f t="shared" si="13"/>
        <v/>
      </c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0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x14ac:dyDescent="0.25">
      <c r="A435" s="10" t="str">
        <f t="shared" si="12"/>
        <v/>
      </c>
      <c r="B435" s="10" t="str">
        <f t="shared" si="13"/>
        <v/>
      </c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0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x14ac:dyDescent="0.25">
      <c r="A436" s="10" t="str">
        <f t="shared" si="12"/>
        <v/>
      </c>
      <c r="B436" s="10" t="str">
        <f t="shared" si="13"/>
        <v/>
      </c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0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x14ac:dyDescent="0.25">
      <c r="A437" s="10" t="str">
        <f t="shared" si="12"/>
        <v/>
      </c>
      <c r="B437" s="10" t="str">
        <f t="shared" si="13"/>
        <v/>
      </c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0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x14ac:dyDescent="0.25">
      <c r="A438" s="10" t="str">
        <f t="shared" si="12"/>
        <v/>
      </c>
      <c r="B438" s="10" t="str">
        <f t="shared" si="13"/>
        <v/>
      </c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0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x14ac:dyDescent="0.25">
      <c r="A439" s="10" t="str">
        <f t="shared" si="12"/>
        <v/>
      </c>
      <c r="B439" s="10" t="str">
        <f t="shared" si="13"/>
        <v/>
      </c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0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x14ac:dyDescent="0.25">
      <c r="A440" s="10" t="str">
        <f t="shared" si="12"/>
        <v/>
      </c>
      <c r="B440" s="10" t="str">
        <f t="shared" si="13"/>
        <v/>
      </c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0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x14ac:dyDescent="0.25">
      <c r="A441" s="10" t="str">
        <f t="shared" si="12"/>
        <v/>
      </c>
      <c r="B441" s="10" t="str">
        <f t="shared" si="13"/>
        <v/>
      </c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0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x14ac:dyDescent="0.25">
      <c r="A442" s="10" t="str">
        <f t="shared" si="12"/>
        <v/>
      </c>
      <c r="B442" s="10" t="str">
        <f t="shared" si="13"/>
        <v/>
      </c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0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x14ac:dyDescent="0.25">
      <c r="A443" s="10" t="str">
        <f t="shared" si="12"/>
        <v/>
      </c>
      <c r="B443" s="10" t="str">
        <f t="shared" si="13"/>
        <v/>
      </c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0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x14ac:dyDescent="0.25">
      <c r="A444" s="10" t="str">
        <f t="shared" si="12"/>
        <v/>
      </c>
      <c r="B444" s="10" t="str">
        <f t="shared" si="13"/>
        <v/>
      </c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0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x14ac:dyDescent="0.25">
      <c r="A445" s="10" t="str">
        <f t="shared" si="12"/>
        <v/>
      </c>
      <c r="B445" s="10" t="str">
        <f t="shared" si="13"/>
        <v/>
      </c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0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x14ac:dyDescent="0.25">
      <c r="A446" s="10" t="str">
        <f t="shared" si="12"/>
        <v/>
      </c>
      <c r="B446" s="10" t="str">
        <f t="shared" si="13"/>
        <v/>
      </c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0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x14ac:dyDescent="0.25">
      <c r="A447" s="10" t="str">
        <f t="shared" si="12"/>
        <v/>
      </c>
      <c r="B447" s="10" t="str">
        <f t="shared" si="13"/>
        <v/>
      </c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0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x14ac:dyDescent="0.25">
      <c r="A448" s="10" t="str">
        <f t="shared" si="12"/>
        <v/>
      </c>
      <c r="B448" s="10" t="str">
        <f t="shared" si="13"/>
        <v/>
      </c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0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x14ac:dyDescent="0.25">
      <c r="A449" s="10" t="str">
        <f t="shared" si="12"/>
        <v/>
      </c>
      <c r="B449" s="10" t="str">
        <f t="shared" si="13"/>
        <v/>
      </c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0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x14ac:dyDescent="0.25">
      <c r="A450" s="10" t="str">
        <f t="shared" ref="A450:A501" si="14">IF(ISBLANK(C450),"",ROW()-1)</f>
        <v/>
      </c>
      <c r="B450" s="10" t="str">
        <f t="shared" ref="B450:B501" si="15">IF(ISBLANK(C450),"","DIG-"&amp;MID(F450,SEARCH("(",F450)+1,3)&amp;"-"&amp;MID(G450,SEARCH("(",G450)+1,3)&amp;"-"&amp;UPPER(LEFT(TRIM(RIGHT(SUBSTITUTE(TRIM(D450)," ",REPT(" ",100)),100)),3))&amp;"-"&amp;TEXT(A450,"000"))</f>
        <v/>
      </c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0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x14ac:dyDescent="0.25">
      <c r="A451" s="10" t="str">
        <f t="shared" si="14"/>
        <v/>
      </c>
      <c r="B451" s="10" t="str">
        <f t="shared" si="15"/>
        <v/>
      </c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0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x14ac:dyDescent="0.25">
      <c r="A452" s="10" t="str">
        <f t="shared" si="14"/>
        <v/>
      </c>
      <c r="B452" s="10" t="str">
        <f t="shared" si="15"/>
        <v/>
      </c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0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x14ac:dyDescent="0.25">
      <c r="A453" s="10" t="str">
        <f t="shared" si="14"/>
        <v/>
      </c>
      <c r="B453" s="10" t="str">
        <f t="shared" si="15"/>
        <v/>
      </c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0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x14ac:dyDescent="0.25">
      <c r="A454" s="10" t="str">
        <f t="shared" si="14"/>
        <v/>
      </c>
      <c r="B454" s="10" t="str">
        <f t="shared" si="15"/>
        <v/>
      </c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0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x14ac:dyDescent="0.25">
      <c r="A455" s="10" t="str">
        <f t="shared" si="14"/>
        <v/>
      </c>
      <c r="B455" s="10" t="str">
        <f t="shared" si="15"/>
        <v/>
      </c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0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x14ac:dyDescent="0.25">
      <c r="A456" s="10" t="str">
        <f t="shared" si="14"/>
        <v/>
      </c>
      <c r="B456" s="10" t="str">
        <f t="shared" si="15"/>
        <v/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0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x14ac:dyDescent="0.25">
      <c r="A457" s="10" t="str">
        <f t="shared" si="14"/>
        <v/>
      </c>
      <c r="B457" s="10" t="str">
        <f t="shared" si="15"/>
        <v/>
      </c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0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x14ac:dyDescent="0.25">
      <c r="A458" s="10" t="str">
        <f t="shared" si="14"/>
        <v/>
      </c>
      <c r="B458" s="10" t="str">
        <f t="shared" si="15"/>
        <v/>
      </c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0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x14ac:dyDescent="0.25">
      <c r="A459" s="10" t="str">
        <f t="shared" si="14"/>
        <v/>
      </c>
      <c r="B459" s="10" t="str">
        <f t="shared" si="15"/>
        <v/>
      </c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0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x14ac:dyDescent="0.25">
      <c r="A460" s="10" t="str">
        <f t="shared" si="14"/>
        <v/>
      </c>
      <c r="B460" s="10" t="str">
        <f t="shared" si="15"/>
        <v/>
      </c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0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x14ac:dyDescent="0.25">
      <c r="A461" s="10" t="str">
        <f t="shared" si="14"/>
        <v/>
      </c>
      <c r="B461" s="10" t="str">
        <f t="shared" si="15"/>
        <v/>
      </c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0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x14ac:dyDescent="0.25">
      <c r="A462" s="10" t="str">
        <f t="shared" si="14"/>
        <v/>
      </c>
      <c r="B462" s="10" t="str">
        <f t="shared" si="15"/>
        <v/>
      </c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0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x14ac:dyDescent="0.25">
      <c r="A463" s="10" t="str">
        <f t="shared" si="14"/>
        <v/>
      </c>
      <c r="B463" s="10" t="str">
        <f t="shared" si="15"/>
        <v/>
      </c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0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x14ac:dyDescent="0.25">
      <c r="A464" s="10" t="str">
        <f t="shared" si="14"/>
        <v/>
      </c>
      <c r="B464" s="10" t="str">
        <f t="shared" si="15"/>
        <v/>
      </c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0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x14ac:dyDescent="0.25">
      <c r="A465" s="10" t="str">
        <f t="shared" si="14"/>
        <v/>
      </c>
      <c r="B465" s="10" t="str">
        <f t="shared" si="15"/>
        <v/>
      </c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0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x14ac:dyDescent="0.25">
      <c r="A466" s="10" t="str">
        <f t="shared" si="14"/>
        <v/>
      </c>
      <c r="B466" s="10" t="str">
        <f t="shared" si="15"/>
        <v/>
      </c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0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x14ac:dyDescent="0.25">
      <c r="A467" s="10" t="str">
        <f t="shared" si="14"/>
        <v/>
      </c>
      <c r="B467" s="10" t="str">
        <f t="shared" si="15"/>
        <v/>
      </c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0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x14ac:dyDescent="0.25">
      <c r="A468" s="10" t="str">
        <f t="shared" si="14"/>
        <v/>
      </c>
      <c r="B468" s="10" t="str">
        <f t="shared" si="15"/>
        <v/>
      </c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0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x14ac:dyDescent="0.25">
      <c r="A469" s="10" t="str">
        <f t="shared" si="14"/>
        <v/>
      </c>
      <c r="B469" s="10" t="str">
        <f t="shared" si="15"/>
        <v/>
      </c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0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x14ac:dyDescent="0.25">
      <c r="A470" s="10" t="str">
        <f t="shared" si="14"/>
        <v/>
      </c>
      <c r="B470" s="10" t="str">
        <f t="shared" si="15"/>
        <v/>
      </c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0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x14ac:dyDescent="0.25">
      <c r="A471" s="10" t="str">
        <f t="shared" si="14"/>
        <v/>
      </c>
      <c r="B471" s="10" t="str">
        <f t="shared" si="15"/>
        <v/>
      </c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0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x14ac:dyDescent="0.25">
      <c r="A472" s="10" t="str">
        <f t="shared" si="14"/>
        <v/>
      </c>
      <c r="B472" s="10" t="str">
        <f t="shared" si="15"/>
        <v/>
      </c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0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x14ac:dyDescent="0.25">
      <c r="A473" s="10" t="str">
        <f t="shared" si="14"/>
        <v/>
      </c>
      <c r="B473" s="10" t="str">
        <f t="shared" si="15"/>
        <v/>
      </c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0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x14ac:dyDescent="0.25">
      <c r="A474" s="10" t="str">
        <f t="shared" si="14"/>
        <v/>
      </c>
      <c r="B474" s="10" t="str">
        <f t="shared" si="15"/>
        <v/>
      </c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0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x14ac:dyDescent="0.25">
      <c r="A475" s="10" t="str">
        <f t="shared" si="14"/>
        <v/>
      </c>
      <c r="B475" s="10" t="str">
        <f t="shared" si="15"/>
        <v/>
      </c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0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x14ac:dyDescent="0.25">
      <c r="A476" s="10" t="str">
        <f t="shared" si="14"/>
        <v/>
      </c>
      <c r="B476" s="10" t="str">
        <f t="shared" si="15"/>
        <v/>
      </c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0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x14ac:dyDescent="0.25">
      <c r="A477" s="10" t="str">
        <f t="shared" si="14"/>
        <v/>
      </c>
      <c r="B477" s="10" t="str">
        <f t="shared" si="15"/>
        <v/>
      </c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0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x14ac:dyDescent="0.25">
      <c r="A478" s="10" t="str">
        <f t="shared" si="14"/>
        <v/>
      </c>
      <c r="B478" s="10" t="str">
        <f t="shared" si="15"/>
        <v/>
      </c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0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x14ac:dyDescent="0.25">
      <c r="A479" s="10" t="str">
        <f t="shared" si="14"/>
        <v/>
      </c>
      <c r="B479" s="10" t="str">
        <f t="shared" si="15"/>
        <v/>
      </c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0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x14ac:dyDescent="0.25">
      <c r="A480" s="10" t="str">
        <f t="shared" si="14"/>
        <v/>
      </c>
      <c r="B480" s="10" t="str">
        <f t="shared" si="15"/>
        <v/>
      </c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0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x14ac:dyDescent="0.25">
      <c r="A481" s="10" t="str">
        <f t="shared" si="14"/>
        <v/>
      </c>
      <c r="B481" s="10" t="str">
        <f t="shared" si="15"/>
        <v/>
      </c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0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x14ac:dyDescent="0.25">
      <c r="A482" s="10" t="str">
        <f t="shared" si="14"/>
        <v/>
      </c>
      <c r="B482" s="10" t="str">
        <f t="shared" si="15"/>
        <v/>
      </c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0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x14ac:dyDescent="0.25">
      <c r="A483" s="10" t="str">
        <f t="shared" si="14"/>
        <v/>
      </c>
      <c r="B483" s="10" t="str">
        <f t="shared" si="15"/>
        <v/>
      </c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0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x14ac:dyDescent="0.25">
      <c r="A484" s="10" t="str">
        <f t="shared" si="14"/>
        <v/>
      </c>
      <c r="B484" s="10" t="str">
        <f t="shared" si="15"/>
        <v/>
      </c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0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x14ac:dyDescent="0.25">
      <c r="A485" s="10" t="str">
        <f t="shared" si="14"/>
        <v/>
      </c>
      <c r="B485" s="10" t="str">
        <f t="shared" si="15"/>
        <v/>
      </c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0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x14ac:dyDescent="0.25">
      <c r="A486" s="10" t="str">
        <f t="shared" si="14"/>
        <v/>
      </c>
      <c r="B486" s="10" t="str">
        <f t="shared" si="15"/>
        <v/>
      </c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0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x14ac:dyDescent="0.25">
      <c r="A487" s="10" t="str">
        <f t="shared" si="14"/>
        <v/>
      </c>
      <c r="B487" s="10" t="str">
        <f t="shared" si="15"/>
        <v/>
      </c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0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x14ac:dyDescent="0.25">
      <c r="A488" s="10" t="str">
        <f t="shared" si="14"/>
        <v/>
      </c>
      <c r="B488" s="10" t="str">
        <f t="shared" si="15"/>
        <v/>
      </c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0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x14ac:dyDescent="0.25">
      <c r="A489" s="10" t="str">
        <f t="shared" si="14"/>
        <v/>
      </c>
      <c r="B489" s="10" t="str">
        <f t="shared" si="15"/>
        <v/>
      </c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0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x14ac:dyDescent="0.25">
      <c r="A490" s="10" t="str">
        <f t="shared" si="14"/>
        <v/>
      </c>
      <c r="B490" s="10" t="str">
        <f t="shared" si="15"/>
        <v/>
      </c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0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x14ac:dyDescent="0.25">
      <c r="A491" s="10" t="str">
        <f t="shared" si="14"/>
        <v/>
      </c>
      <c r="B491" s="10" t="str">
        <f t="shared" si="15"/>
        <v/>
      </c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0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x14ac:dyDescent="0.25">
      <c r="A492" s="10" t="str">
        <f t="shared" si="14"/>
        <v/>
      </c>
      <c r="B492" s="10" t="str">
        <f t="shared" si="15"/>
        <v/>
      </c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0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x14ac:dyDescent="0.25">
      <c r="A493" s="10" t="str">
        <f t="shared" si="14"/>
        <v/>
      </c>
      <c r="B493" s="10" t="str">
        <f t="shared" si="15"/>
        <v/>
      </c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0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x14ac:dyDescent="0.25">
      <c r="A494" s="10" t="str">
        <f t="shared" si="14"/>
        <v/>
      </c>
      <c r="B494" s="10" t="str">
        <f t="shared" si="15"/>
        <v/>
      </c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0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x14ac:dyDescent="0.25">
      <c r="A495" s="10" t="str">
        <f t="shared" si="14"/>
        <v/>
      </c>
      <c r="B495" s="10" t="str">
        <f t="shared" si="15"/>
        <v/>
      </c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0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x14ac:dyDescent="0.25">
      <c r="A496" s="10" t="str">
        <f t="shared" si="14"/>
        <v/>
      </c>
      <c r="B496" s="10" t="str">
        <f t="shared" si="15"/>
        <v/>
      </c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0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x14ac:dyDescent="0.25">
      <c r="A497" s="10" t="str">
        <f t="shared" si="14"/>
        <v/>
      </c>
      <c r="B497" s="10" t="str">
        <f t="shared" si="15"/>
        <v/>
      </c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0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x14ac:dyDescent="0.25">
      <c r="A498" s="10" t="str">
        <f t="shared" si="14"/>
        <v/>
      </c>
      <c r="B498" s="10" t="str">
        <f t="shared" si="15"/>
        <v/>
      </c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0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x14ac:dyDescent="0.25">
      <c r="A499" s="10" t="str">
        <f t="shared" si="14"/>
        <v/>
      </c>
      <c r="B499" s="10" t="str">
        <f t="shared" si="15"/>
        <v/>
      </c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0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x14ac:dyDescent="0.25">
      <c r="A500" s="10" t="str">
        <f t="shared" si="14"/>
        <v/>
      </c>
      <c r="B500" s="10" t="str">
        <f t="shared" si="15"/>
        <v/>
      </c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0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x14ac:dyDescent="0.25">
      <c r="A501" s="10" t="str">
        <f t="shared" si="14"/>
        <v/>
      </c>
      <c r="B501" s="10" t="str">
        <f t="shared" si="15"/>
        <v/>
      </c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0"/>
      <c r="S501" s="11"/>
      <c r="T501" s="11"/>
      <c r="U501" s="11"/>
      <c r="V501" s="11"/>
      <c r="W501" s="11"/>
      <c r="X501" s="11"/>
      <c r="Y501" s="11"/>
      <c r="Z501" s="11"/>
      <c r="AA501" s="11"/>
    </row>
  </sheetData>
  <sheetProtection password="E720" sheet="1"/>
  <autoFilter ref="A1:AA501" xr:uid="{00000000-0009-0000-0000-000004000000}"/>
  <dataValidations count="9">
    <dataValidation type="list" allowBlank="1" sqref="F2:F501" xr:uid="{00000000-0002-0000-0400-000000000000}">
      <formula1>ResourceTypeList</formula1>
    </dataValidation>
    <dataValidation type="list" allowBlank="1" sqref="G2:G501" xr:uid="{00000000-0002-0000-0400-000001000000}">
      <formula1>GenreList</formula1>
    </dataValidation>
    <dataValidation type="list" allowBlank="1" sqref="H2:H501" xr:uid="{00000000-0002-0000-0400-000002000000}">
      <formula1>LanguageList</formula1>
    </dataValidation>
    <dataValidation type="list" allowBlank="1" sqref="I2:I501" xr:uid="{00000000-0002-0000-0400-000003000000}">
      <formula1>FormatList</formula1>
    </dataValidation>
    <dataValidation type="list" allowBlank="1" sqref="O2:O501" xr:uid="{00000000-0002-0000-0400-000004000000}">
      <formula1>OCRStatusList</formula1>
    </dataValidation>
    <dataValidation type="list" allowBlank="1" sqref="S2:S501" xr:uid="{00000000-0002-0000-0400-000005000000}">
      <formula1>RightsList</formula1>
    </dataValidation>
    <dataValidation type="list" allowBlank="1" sqref="T2:T501" xr:uid="{00000000-0002-0000-0400-000006000000}">
      <formula1>AccessLevelList</formula1>
    </dataValidation>
    <dataValidation type="list" allowBlank="1" sqref="Z2:Z501" xr:uid="{00000000-0002-0000-0400-000007000000}">
      <formula1>ReadingStatusList</formula1>
    </dataValidation>
    <dataValidation type="list" allowBlank="1" sqref="AA2:AA501" xr:uid="{00000000-0002-0000-0400-000008000000}">
      <formula1>PreservationList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2" customWidth="1"/>
    <col min="3" max="3" width="24" customWidth="1"/>
    <col min="4" max="4" width="14" customWidth="1"/>
    <col min="5" max="5" width="34" customWidth="1"/>
    <col min="6" max="6" width="18" customWidth="1"/>
    <col min="7" max="7" width="14" customWidth="1"/>
    <col min="8" max="8" width="12" customWidth="1"/>
    <col min="9" max="9" width="26" customWidth="1"/>
    <col min="10" max="10" width="22" customWidth="1"/>
    <col min="11" max="12" width="14" customWidth="1"/>
    <col min="13" max="13" width="18" customWidth="1"/>
    <col min="14" max="14" width="20" customWidth="1"/>
    <col min="15" max="15" width="18" customWidth="1"/>
    <col min="16" max="18" width="16" customWidth="1"/>
    <col min="19" max="19" width="14" customWidth="1"/>
    <col min="20" max="20" width="30" customWidth="1"/>
  </cols>
  <sheetData>
    <row r="1" spans="1:20" ht="30" x14ac:dyDescent="0.25">
      <c r="A1" s="5" t="s">
        <v>313</v>
      </c>
      <c r="B1" s="5" t="s">
        <v>228</v>
      </c>
      <c r="C1" s="5" t="s">
        <v>230</v>
      </c>
      <c r="D1" s="5" t="s">
        <v>353</v>
      </c>
      <c r="E1" s="5" t="s">
        <v>250</v>
      </c>
      <c r="F1" s="5" t="s">
        <v>80</v>
      </c>
      <c r="G1" s="5" t="s">
        <v>93</v>
      </c>
      <c r="H1" s="5" t="s">
        <v>82</v>
      </c>
      <c r="I1" s="5" t="s">
        <v>354</v>
      </c>
      <c r="J1" s="5" t="s">
        <v>355</v>
      </c>
      <c r="K1" s="5" t="s">
        <v>85</v>
      </c>
      <c r="L1" s="5" t="s">
        <v>87</v>
      </c>
      <c r="M1" s="5" t="s">
        <v>245</v>
      </c>
      <c r="N1" s="5" t="s">
        <v>356</v>
      </c>
      <c r="O1" s="5" t="s">
        <v>92</v>
      </c>
      <c r="P1" s="5" t="s">
        <v>84</v>
      </c>
      <c r="Q1" s="5" t="s">
        <v>89</v>
      </c>
      <c r="R1" s="5" t="s">
        <v>88</v>
      </c>
      <c r="S1" s="5" t="s">
        <v>357</v>
      </c>
      <c r="T1" s="5" t="s">
        <v>249</v>
      </c>
    </row>
    <row r="2" spans="1:20" ht="30" x14ac:dyDescent="0.25">
      <c r="A2" s="10" t="str">
        <f t="shared" ref="A2:A33" si="0">IF(ISBLANK(B2),"","ARC-"&amp;TEXT(ROW()-1,"0000"))</f>
        <v>ARC-0001</v>
      </c>
      <c r="B2" s="11" t="s">
        <v>358</v>
      </c>
      <c r="C2" s="11"/>
      <c r="D2" s="11" t="s">
        <v>359</v>
      </c>
      <c r="E2" s="11" t="s">
        <v>360</v>
      </c>
      <c r="F2" s="11" t="s">
        <v>207</v>
      </c>
      <c r="G2" s="11" t="s">
        <v>109</v>
      </c>
      <c r="H2" s="11" t="s">
        <v>116</v>
      </c>
      <c r="I2" s="11" t="s">
        <v>361</v>
      </c>
      <c r="J2" s="11" t="s">
        <v>362</v>
      </c>
      <c r="K2" s="11" t="s">
        <v>153</v>
      </c>
      <c r="L2" s="11" t="s">
        <v>155</v>
      </c>
      <c r="M2" s="11" t="s">
        <v>363</v>
      </c>
      <c r="N2" s="11"/>
      <c r="O2" s="11" t="s">
        <v>108</v>
      </c>
      <c r="P2" s="11" t="s">
        <v>100</v>
      </c>
      <c r="Q2" s="11" t="s">
        <v>157</v>
      </c>
      <c r="R2" s="11" t="s">
        <v>121</v>
      </c>
      <c r="S2" s="11"/>
      <c r="T2" s="11" t="s">
        <v>364</v>
      </c>
    </row>
    <row r="3" spans="1:20" x14ac:dyDescent="0.25">
      <c r="A3" s="10" t="str">
        <f t="shared" si="0"/>
        <v>ARC-0002</v>
      </c>
      <c r="B3" s="11" t="s">
        <v>346</v>
      </c>
      <c r="C3" s="11"/>
      <c r="D3" s="11" t="s">
        <v>365</v>
      </c>
      <c r="E3" s="11" t="s">
        <v>366</v>
      </c>
      <c r="F3" s="11" t="s">
        <v>203</v>
      </c>
      <c r="G3" s="11" t="s">
        <v>126</v>
      </c>
      <c r="H3" s="11" t="s">
        <v>116</v>
      </c>
      <c r="I3" s="11" t="s">
        <v>367</v>
      </c>
      <c r="J3" s="11" t="s">
        <v>106</v>
      </c>
      <c r="K3" s="11" t="s">
        <v>136</v>
      </c>
      <c r="L3" s="11" t="s">
        <v>155</v>
      </c>
      <c r="M3" s="11" t="s">
        <v>368</v>
      </c>
      <c r="N3" s="11"/>
      <c r="O3" s="11" t="s">
        <v>143</v>
      </c>
      <c r="P3" s="11" t="s">
        <v>152</v>
      </c>
      <c r="Q3" s="11" t="s">
        <v>122</v>
      </c>
      <c r="R3" s="11" t="s">
        <v>156</v>
      </c>
      <c r="S3" s="11"/>
      <c r="T3" s="11" t="s">
        <v>369</v>
      </c>
    </row>
    <row r="4" spans="1:20" x14ac:dyDescent="0.25">
      <c r="A4" s="10" t="str">
        <f t="shared" si="0"/>
        <v/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x14ac:dyDescent="0.25">
      <c r="A5" s="10" t="str">
        <f t="shared" si="0"/>
        <v/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x14ac:dyDescent="0.25">
      <c r="A6" s="10" t="str">
        <f t="shared" si="0"/>
        <v/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x14ac:dyDescent="0.25">
      <c r="A7" s="10" t="str">
        <f t="shared" si="0"/>
        <v/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x14ac:dyDescent="0.25">
      <c r="A8" s="10" t="str">
        <f t="shared" si="0"/>
        <v/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x14ac:dyDescent="0.25">
      <c r="A9" s="10" t="str">
        <f t="shared" si="0"/>
        <v/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x14ac:dyDescent="0.25">
      <c r="A10" s="10" t="str">
        <f t="shared" si="0"/>
        <v/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x14ac:dyDescent="0.25">
      <c r="A11" s="10" t="str">
        <f t="shared" si="0"/>
        <v/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x14ac:dyDescent="0.25">
      <c r="A12" s="10" t="str">
        <f t="shared" si="0"/>
        <v/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x14ac:dyDescent="0.25">
      <c r="A13" s="10" t="str">
        <f t="shared" si="0"/>
        <v/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x14ac:dyDescent="0.25">
      <c r="A14" s="10" t="str">
        <f t="shared" si="0"/>
        <v/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x14ac:dyDescent="0.25">
      <c r="A15" s="10" t="str">
        <f t="shared" si="0"/>
        <v/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x14ac:dyDescent="0.25">
      <c r="A16" s="10" t="str">
        <f t="shared" si="0"/>
        <v/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x14ac:dyDescent="0.25">
      <c r="A17" s="10" t="str">
        <f t="shared" si="0"/>
        <v/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x14ac:dyDescent="0.25">
      <c r="A18" s="10" t="str">
        <f t="shared" si="0"/>
        <v/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x14ac:dyDescent="0.25">
      <c r="A19" s="10" t="str">
        <f t="shared" si="0"/>
        <v/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x14ac:dyDescent="0.25">
      <c r="A20" s="10" t="str">
        <f t="shared" si="0"/>
        <v/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x14ac:dyDescent="0.25">
      <c r="A21" s="10" t="str">
        <f t="shared" si="0"/>
        <v/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x14ac:dyDescent="0.25">
      <c r="A22" s="10" t="str">
        <f t="shared" si="0"/>
        <v/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x14ac:dyDescent="0.25">
      <c r="A23" s="10" t="str">
        <f t="shared" si="0"/>
        <v/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5">
      <c r="A24" s="10" t="str">
        <f t="shared" si="0"/>
        <v/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x14ac:dyDescent="0.25">
      <c r="A25" s="10" t="str">
        <f t="shared" si="0"/>
        <v/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5">
      <c r="A26" s="10" t="str">
        <f t="shared" si="0"/>
        <v/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x14ac:dyDescent="0.25">
      <c r="A27" s="10" t="str">
        <f t="shared" si="0"/>
        <v/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x14ac:dyDescent="0.25">
      <c r="A28" s="10" t="str">
        <f t="shared" si="0"/>
        <v/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x14ac:dyDescent="0.25">
      <c r="A29" s="10" t="str">
        <f t="shared" si="0"/>
        <v/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x14ac:dyDescent="0.25">
      <c r="A30" s="10" t="str">
        <f t="shared" si="0"/>
        <v/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x14ac:dyDescent="0.25">
      <c r="A31" s="10" t="str">
        <f t="shared" si="0"/>
        <v/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x14ac:dyDescent="0.25">
      <c r="A32" s="10" t="str">
        <f t="shared" si="0"/>
        <v/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x14ac:dyDescent="0.25">
      <c r="A33" s="10" t="str">
        <f t="shared" si="0"/>
        <v/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x14ac:dyDescent="0.25">
      <c r="A34" s="10" t="str">
        <f t="shared" ref="A34:A65" si="1">IF(ISBLANK(B34),"","ARC-"&amp;TEXT(ROW()-1,"0000"))</f>
        <v/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x14ac:dyDescent="0.25">
      <c r="A35" s="10" t="str">
        <f t="shared" si="1"/>
        <v/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x14ac:dyDescent="0.25">
      <c r="A36" s="10" t="str">
        <f t="shared" si="1"/>
        <v/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x14ac:dyDescent="0.25">
      <c r="A37" s="10" t="str">
        <f t="shared" si="1"/>
        <v/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x14ac:dyDescent="0.25">
      <c r="A38" s="10" t="str">
        <f t="shared" si="1"/>
        <v/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x14ac:dyDescent="0.25">
      <c r="A39" s="10" t="str">
        <f t="shared" si="1"/>
        <v/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x14ac:dyDescent="0.25">
      <c r="A40" s="10" t="str">
        <f t="shared" si="1"/>
        <v/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x14ac:dyDescent="0.25">
      <c r="A41" s="10" t="str">
        <f t="shared" si="1"/>
        <v/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x14ac:dyDescent="0.25">
      <c r="A42" s="10" t="str">
        <f t="shared" si="1"/>
        <v/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x14ac:dyDescent="0.25">
      <c r="A43" s="10" t="str">
        <f t="shared" si="1"/>
        <v/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x14ac:dyDescent="0.25">
      <c r="A44" s="10" t="str">
        <f t="shared" si="1"/>
        <v/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x14ac:dyDescent="0.25">
      <c r="A45" s="10" t="str">
        <f t="shared" si="1"/>
        <v/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x14ac:dyDescent="0.25">
      <c r="A46" s="10" t="str">
        <f t="shared" si="1"/>
        <v/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x14ac:dyDescent="0.25">
      <c r="A47" s="10" t="str">
        <f t="shared" si="1"/>
        <v/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x14ac:dyDescent="0.25">
      <c r="A48" s="10" t="str">
        <f t="shared" si="1"/>
        <v/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x14ac:dyDescent="0.25">
      <c r="A49" s="10" t="str">
        <f t="shared" si="1"/>
        <v/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x14ac:dyDescent="0.25">
      <c r="A50" s="10" t="str">
        <f t="shared" si="1"/>
        <v/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x14ac:dyDescent="0.25">
      <c r="A51" s="10" t="str">
        <f t="shared" si="1"/>
        <v/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x14ac:dyDescent="0.25">
      <c r="A52" s="10" t="str">
        <f t="shared" si="1"/>
        <v/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x14ac:dyDescent="0.25">
      <c r="A53" s="10" t="str">
        <f t="shared" si="1"/>
        <v/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x14ac:dyDescent="0.25">
      <c r="A54" s="10" t="str">
        <f t="shared" si="1"/>
        <v/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x14ac:dyDescent="0.25">
      <c r="A55" s="10" t="str">
        <f t="shared" si="1"/>
        <v/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x14ac:dyDescent="0.25">
      <c r="A56" s="10" t="str">
        <f t="shared" si="1"/>
        <v/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x14ac:dyDescent="0.25">
      <c r="A57" s="10" t="str">
        <f t="shared" si="1"/>
        <v/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x14ac:dyDescent="0.25">
      <c r="A58" s="10" t="str">
        <f t="shared" si="1"/>
        <v/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x14ac:dyDescent="0.25">
      <c r="A59" s="10" t="str">
        <f t="shared" si="1"/>
        <v/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x14ac:dyDescent="0.25">
      <c r="A60" s="10" t="str">
        <f t="shared" si="1"/>
        <v/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x14ac:dyDescent="0.25">
      <c r="A61" s="10" t="str">
        <f t="shared" si="1"/>
        <v/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x14ac:dyDescent="0.25">
      <c r="A62" s="10" t="str">
        <f t="shared" si="1"/>
        <v/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x14ac:dyDescent="0.25">
      <c r="A63" s="10" t="str">
        <f t="shared" si="1"/>
        <v/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x14ac:dyDescent="0.25">
      <c r="A64" s="10" t="str">
        <f t="shared" si="1"/>
        <v/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x14ac:dyDescent="0.25">
      <c r="A65" s="10" t="str">
        <f t="shared" si="1"/>
        <v/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x14ac:dyDescent="0.25">
      <c r="A66" s="10" t="str">
        <f t="shared" ref="A66:A97" si="2">IF(ISBLANK(B66),"","ARC-"&amp;TEXT(ROW()-1,"0000"))</f>
        <v/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x14ac:dyDescent="0.25">
      <c r="A67" s="10" t="str">
        <f t="shared" si="2"/>
        <v/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x14ac:dyDescent="0.25">
      <c r="A68" s="10" t="str">
        <f t="shared" si="2"/>
        <v/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x14ac:dyDescent="0.25">
      <c r="A69" s="10" t="str">
        <f t="shared" si="2"/>
        <v/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x14ac:dyDescent="0.25">
      <c r="A70" s="10" t="str">
        <f t="shared" si="2"/>
        <v/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x14ac:dyDescent="0.25">
      <c r="A71" s="10" t="str">
        <f t="shared" si="2"/>
        <v/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x14ac:dyDescent="0.25">
      <c r="A72" s="10" t="str">
        <f t="shared" si="2"/>
        <v/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x14ac:dyDescent="0.25">
      <c r="A73" s="10" t="str">
        <f t="shared" si="2"/>
        <v/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x14ac:dyDescent="0.25">
      <c r="A74" s="10" t="str">
        <f t="shared" si="2"/>
        <v/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x14ac:dyDescent="0.25">
      <c r="A75" s="10" t="str">
        <f t="shared" si="2"/>
        <v/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x14ac:dyDescent="0.25">
      <c r="A76" s="10" t="str">
        <f t="shared" si="2"/>
        <v/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x14ac:dyDescent="0.25">
      <c r="A77" s="10" t="str">
        <f t="shared" si="2"/>
        <v/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x14ac:dyDescent="0.25">
      <c r="A78" s="10" t="str">
        <f t="shared" si="2"/>
        <v/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x14ac:dyDescent="0.25">
      <c r="A79" s="10" t="str">
        <f t="shared" si="2"/>
        <v/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x14ac:dyDescent="0.25">
      <c r="A80" s="10" t="str">
        <f t="shared" si="2"/>
        <v/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x14ac:dyDescent="0.25">
      <c r="A81" s="10" t="str">
        <f t="shared" si="2"/>
        <v/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x14ac:dyDescent="0.25">
      <c r="A82" s="10" t="str">
        <f t="shared" si="2"/>
        <v/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x14ac:dyDescent="0.25">
      <c r="A83" s="10" t="str">
        <f t="shared" si="2"/>
        <v/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x14ac:dyDescent="0.25">
      <c r="A84" s="10" t="str">
        <f t="shared" si="2"/>
        <v/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x14ac:dyDescent="0.25">
      <c r="A85" s="10" t="str">
        <f t="shared" si="2"/>
        <v/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x14ac:dyDescent="0.25">
      <c r="A86" s="10" t="str">
        <f t="shared" si="2"/>
        <v/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x14ac:dyDescent="0.25">
      <c r="A87" s="10" t="str">
        <f t="shared" si="2"/>
        <v/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x14ac:dyDescent="0.25">
      <c r="A88" s="10" t="str">
        <f t="shared" si="2"/>
        <v/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x14ac:dyDescent="0.25">
      <c r="A89" s="10" t="str">
        <f t="shared" si="2"/>
        <v/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x14ac:dyDescent="0.25">
      <c r="A90" s="10" t="str">
        <f t="shared" si="2"/>
        <v/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x14ac:dyDescent="0.25">
      <c r="A91" s="10" t="str">
        <f t="shared" si="2"/>
        <v/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x14ac:dyDescent="0.25">
      <c r="A92" s="10" t="str">
        <f t="shared" si="2"/>
        <v/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x14ac:dyDescent="0.25">
      <c r="A93" s="10" t="str">
        <f t="shared" si="2"/>
        <v/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x14ac:dyDescent="0.25">
      <c r="A94" s="10" t="str">
        <f t="shared" si="2"/>
        <v/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x14ac:dyDescent="0.25">
      <c r="A95" s="10" t="str">
        <f t="shared" si="2"/>
        <v/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x14ac:dyDescent="0.25">
      <c r="A96" s="10" t="str">
        <f t="shared" si="2"/>
        <v/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x14ac:dyDescent="0.25">
      <c r="A97" s="10" t="str">
        <f t="shared" si="2"/>
        <v/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x14ac:dyDescent="0.25">
      <c r="A98" s="10" t="str">
        <f t="shared" ref="A98:A129" si="3">IF(ISBLANK(B98),"","ARC-"&amp;TEXT(ROW()-1,"0000"))</f>
        <v/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x14ac:dyDescent="0.25">
      <c r="A99" s="10" t="str">
        <f t="shared" si="3"/>
        <v/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x14ac:dyDescent="0.25">
      <c r="A100" s="10" t="str">
        <f t="shared" si="3"/>
        <v/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x14ac:dyDescent="0.25">
      <c r="A101" s="10" t="str">
        <f t="shared" si="3"/>
        <v/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x14ac:dyDescent="0.25">
      <c r="A102" s="10" t="str">
        <f t="shared" si="3"/>
        <v/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x14ac:dyDescent="0.25">
      <c r="A103" s="10" t="str">
        <f t="shared" si="3"/>
        <v/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x14ac:dyDescent="0.25">
      <c r="A104" s="10" t="str">
        <f t="shared" si="3"/>
        <v/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x14ac:dyDescent="0.25">
      <c r="A105" s="10" t="str">
        <f t="shared" si="3"/>
        <v/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x14ac:dyDescent="0.25">
      <c r="A106" s="10" t="str">
        <f t="shared" si="3"/>
        <v/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x14ac:dyDescent="0.25">
      <c r="A107" s="10" t="str">
        <f t="shared" si="3"/>
        <v/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x14ac:dyDescent="0.25">
      <c r="A108" s="10" t="str">
        <f t="shared" si="3"/>
        <v/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x14ac:dyDescent="0.25">
      <c r="A109" s="10" t="str">
        <f t="shared" si="3"/>
        <v/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x14ac:dyDescent="0.25">
      <c r="A110" s="10" t="str">
        <f t="shared" si="3"/>
        <v/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x14ac:dyDescent="0.25">
      <c r="A111" s="10" t="str">
        <f t="shared" si="3"/>
        <v/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x14ac:dyDescent="0.25">
      <c r="A112" s="10" t="str">
        <f t="shared" si="3"/>
        <v/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x14ac:dyDescent="0.25">
      <c r="A113" s="10" t="str">
        <f t="shared" si="3"/>
        <v/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x14ac:dyDescent="0.25">
      <c r="A114" s="10" t="str">
        <f t="shared" si="3"/>
        <v/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x14ac:dyDescent="0.25">
      <c r="A115" s="10" t="str">
        <f t="shared" si="3"/>
        <v/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x14ac:dyDescent="0.25">
      <c r="A116" s="10" t="str">
        <f t="shared" si="3"/>
        <v/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x14ac:dyDescent="0.25">
      <c r="A117" s="10" t="str">
        <f t="shared" si="3"/>
        <v/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x14ac:dyDescent="0.25">
      <c r="A118" s="10" t="str">
        <f t="shared" si="3"/>
        <v/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x14ac:dyDescent="0.25">
      <c r="A119" s="10" t="str">
        <f t="shared" si="3"/>
        <v/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x14ac:dyDescent="0.25">
      <c r="A120" s="10" t="str">
        <f t="shared" si="3"/>
        <v/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x14ac:dyDescent="0.25">
      <c r="A121" s="10" t="str">
        <f t="shared" si="3"/>
        <v/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x14ac:dyDescent="0.25">
      <c r="A122" s="10" t="str">
        <f t="shared" si="3"/>
        <v/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x14ac:dyDescent="0.25">
      <c r="A123" s="10" t="str">
        <f t="shared" si="3"/>
        <v/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x14ac:dyDescent="0.25">
      <c r="A124" s="10" t="str">
        <f t="shared" si="3"/>
        <v/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x14ac:dyDescent="0.25">
      <c r="A125" s="10" t="str">
        <f t="shared" si="3"/>
        <v/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x14ac:dyDescent="0.25">
      <c r="A126" s="10" t="str">
        <f t="shared" si="3"/>
        <v/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x14ac:dyDescent="0.25">
      <c r="A127" s="10" t="str">
        <f t="shared" si="3"/>
        <v/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x14ac:dyDescent="0.25">
      <c r="A128" s="10" t="str">
        <f t="shared" si="3"/>
        <v/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x14ac:dyDescent="0.25">
      <c r="A129" s="10" t="str">
        <f t="shared" si="3"/>
        <v/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x14ac:dyDescent="0.25">
      <c r="A130" s="10" t="str">
        <f t="shared" ref="A130:A161" si="4">IF(ISBLANK(B130),"","ARC-"&amp;TEXT(ROW()-1,"0000"))</f>
        <v/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x14ac:dyDescent="0.25">
      <c r="A131" s="10" t="str">
        <f t="shared" si="4"/>
        <v/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x14ac:dyDescent="0.25">
      <c r="A132" s="10" t="str">
        <f t="shared" si="4"/>
        <v/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x14ac:dyDescent="0.25">
      <c r="A133" s="10" t="str">
        <f t="shared" si="4"/>
        <v/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x14ac:dyDescent="0.25">
      <c r="A134" s="10" t="str">
        <f t="shared" si="4"/>
        <v/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x14ac:dyDescent="0.25">
      <c r="A135" s="10" t="str">
        <f t="shared" si="4"/>
        <v/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x14ac:dyDescent="0.25">
      <c r="A136" s="10" t="str">
        <f t="shared" si="4"/>
        <v/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x14ac:dyDescent="0.25">
      <c r="A137" s="10" t="str">
        <f t="shared" si="4"/>
        <v/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x14ac:dyDescent="0.25">
      <c r="A138" s="10" t="str">
        <f t="shared" si="4"/>
        <v/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x14ac:dyDescent="0.25">
      <c r="A139" s="10" t="str">
        <f t="shared" si="4"/>
        <v/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x14ac:dyDescent="0.25">
      <c r="A140" s="10" t="str">
        <f t="shared" si="4"/>
        <v/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x14ac:dyDescent="0.25">
      <c r="A141" s="10" t="str">
        <f t="shared" si="4"/>
        <v/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x14ac:dyDescent="0.25">
      <c r="A142" s="10" t="str">
        <f t="shared" si="4"/>
        <v/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x14ac:dyDescent="0.25">
      <c r="A143" s="10" t="str">
        <f t="shared" si="4"/>
        <v/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x14ac:dyDescent="0.25">
      <c r="A144" s="10" t="str">
        <f t="shared" si="4"/>
        <v/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x14ac:dyDescent="0.25">
      <c r="A145" s="10" t="str">
        <f t="shared" si="4"/>
        <v/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x14ac:dyDescent="0.25">
      <c r="A146" s="10" t="str">
        <f t="shared" si="4"/>
        <v/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x14ac:dyDescent="0.25">
      <c r="A147" s="10" t="str">
        <f t="shared" si="4"/>
        <v/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x14ac:dyDescent="0.25">
      <c r="A148" s="10" t="str">
        <f t="shared" si="4"/>
        <v/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x14ac:dyDescent="0.25">
      <c r="A149" s="10" t="str">
        <f t="shared" si="4"/>
        <v/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x14ac:dyDescent="0.25">
      <c r="A150" s="10" t="str">
        <f t="shared" si="4"/>
        <v/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x14ac:dyDescent="0.25">
      <c r="A151" s="10" t="str">
        <f t="shared" si="4"/>
        <v/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x14ac:dyDescent="0.25">
      <c r="A152" s="10" t="str">
        <f t="shared" si="4"/>
        <v/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x14ac:dyDescent="0.25">
      <c r="A153" s="10" t="str">
        <f t="shared" si="4"/>
        <v/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x14ac:dyDescent="0.25">
      <c r="A154" s="10" t="str">
        <f t="shared" si="4"/>
        <v/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x14ac:dyDescent="0.25">
      <c r="A155" s="10" t="str">
        <f t="shared" si="4"/>
        <v/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x14ac:dyDescent="0.25">
      <c r="A156" s="10" t="str">
        <f t="shared" si="4"/>
        <v/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x14ac:dyDescent="0.25">
      <c r="A157" s="10" t="str">
        <f t="shared" si="4"/>
        <v/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x14ac:dyDescent="0.25">
      <c r="A158" s="10" t="str">
        <f t="shared" si="4"/>
        <v/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x14ac:dyDescent="0.25">
      <c r="A159" s="10" t="str">
        <f t="shared" si="4"/>
        <v/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x14ac:dyDescent="0.25">
      <c r="A160" s="10" t="str">
        <f t="shared" si="4"/>
        <v/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x14ac:dyDescent="0.25">
      <c r="A161" s="10" t="str">
        <f t="shared" si="4"/>
        <v/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x14ac:dyDescent="0.25">
      <c r="A162" s="10" t="str">
        <f t="shared" ref="A162:A193" si="5">IF(ISBLANK(B162),"","ARC-"&amp;TEXT(ROW()-1,"0000"))</f>
        <v/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x14ac:dyDescent="0.25">
      <c r="A163" s="10" t="str">
        <f t="shared" si="5"/>
        <v/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x14ac:dyDescent="0.25">
      <c r="A164" s="10" t="str">
        <f t="shared" si="5"/>
        <v/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x14ac:dyDescent="0.25">
      <c r="A165" s="10" t="str">
        <f t="shared" si="5"/>
        <v/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x14ac:dyDescent="0.25">
      <c r="A166" s="10" t="str">
        <f t="shared" si="5"/>
        <v/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x14ac:dyDescent="0.25">
      <c r="A167" s="10" t="str">
        <f t="shared" si="5"/>
        <v/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x14ac:dyDescent="0.25">
      <c r="A168" s="10" t="str">
        <f t="shared" si="5"/>
        <v/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x14ac:dyDescent="0.25">
      <c r="A169" s="10" t="str">
        <f t="shared" si="5"/>
        <v/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x14ac:dyDescent="0.25">
      <c r="A170" s="10" t="str">
        <f t="shared" si="5"/>
        <v/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x14ac:dyDescent="0.25">
      <c r="A171" s="10" t="str">
        <f t="shared" si="5"/>
        <v/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x14ac:dyDescent="0.25">
      <c r="A172" s="10" t="str">
        <f t="shared" si="5"/>
        <v/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x14ac:dyDescent="0.25">
      <c r="A173" s="10" t="str">
        <f t="shared" si="5"/>
        <v/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x14ac:dyDescent="0.25">
      <c r="A174" s="10" t="str">
        <f t="shared" si="5"/>
        <v/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x14ac:dyDescent="0.25">
      <c r="A175" s="10" t="str">
        <f t="shared" si="5"/>
        <v/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x14ac:dyDescent="0.25">
      <c r="A176" s="10" t="str">
        <f t="shared" si="5"/>
        <v/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x14ac:dyDescent="0.25">
      <c r="A177" s="10" t="str">
        <f t="shared" si="5"/>
        <v/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x14ac:dyDescent="0.25">
      <c r="A178" s="10" t="str">
        <f t="shared" si="5"/>
        <v/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x14ac:dyDescent="0.25">
      <c r="A179" s="10" t="str">
        <f t="shared" si="5"/>
        <v/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x14ac:dyDescent="0.25">
      <c r="A180" s="10" t="str">
        <f t="shared" si="5"/>
        <v/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x14ac:dyDescent="0.25">
      <c r="A181" s="10" t="str">
        <f t="shared" si="5"/>
        <v/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x14ac:dyDescent="0.25">
      <c r="A182" s="10" t="str">
        <f t="shared" si="5"/>
        <v/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x14ac:dyDescent="0.25">
      <c r="A183" s="10" t="str">
        <f t="shared" si="5"/>
        <v/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x14ac:dyDescent="0.25">
      <c r="A184" s="10" t="str">
        <f t="shared" si="5"/>
        <v/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x14ac:dyDescent="0.25">
      <c r="A185" s="10" t="str">
        <f t="shared" si="5"/>
        <v/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x14ac:dyDescent="0.25">
      <c r="A186" s="10" t="str">
        <f t="shared" si="5"/>
        <v/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x14ac:dyDescent="0.25">
      <c r="A187" s="10" t="str">
        <f t="shared" si="5"/>
        <v/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x14ac:dyDescent="0.25">
      <c r="A188" s="10" t="str">
        <f t="shared" si="5"/>
        <v/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x14ac:dyDescent="0.25">
      <c r="A189" s="10" t="str">
        <f t="shared" si="5"/>
        <v/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x14ac:dyDescent="0.25">
      <c r="A190" s="10" t="str">
        <f t="shared" si="5"/>
        <v/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x14ac:dyDescent="0.25">
      <c r="A191" s="10" t="str">
        <f t="shared" si="5"/>
        <v/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x14ac:dyDescent="0.25">
      <c r="A192" s="10" t="str">
        <f t="shared" si="5"/>
        <v/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x14ac:dyDescent="0.25">
      <c r="A193" s="10" t="str">
        <f t="shared" si="5"/>
        <v/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x14ac:dyDescent="0.25">
      <c r="A194" s="10" t="str">
        <f t="shared" ref="A194:A201" si="6">IF(ISBLANK(B194),"","ARC-"&amp;TEXT(ROW()-1,"0000"))</f>
        <v/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x14ac:dyDescent="0.25">
      <c r="A195" s="10" t="str">
        <f t="shared" si="6"/>
        <v/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x14ac:dyDescent="0.25">
      <c r="A196" s="10" t="str">
        <f t="shared" si="6"/>
        <v/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x14ac:dyDescent="0.25">
      <c r="A197" s="10" t="str">
        <f t="shared" si="6"/>
        <v/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x14ac:dyDescent="0.25">
      <c r="A198" s="10" t="str">
        <f t="shared" si="6"/>
        <v/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x14ac:dyDescent="0.25">
      <c r="A199" s="10" t="str">
        <f t="shared" si="6"/>
        <v/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x14ac:dyDescent="0.25">
      <c r="A200" s="10" t="str">
        <f t="shared" si="6"/>
        <v/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x14ac:dyDescent="0.25">
      <c r="A201" s="10" t="str">
        <f t="shared" si="6"/>
        <v/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</sheetData>
  <sheetProtection password="E720" sheet="1"/>
  <autoFilter ref="A1:T201" xr:uid="{00000000-0009-0000-0000-000005000000}"/>
  <dataValidations count="9">
    <dataValidation type="list" allowBlank="1" sqref="F2:F201" xr:uid="{00000000-0002-0000-0500-000000000000}">
      <formula1>ResourceTypeList</formula1>
    </dataValidation>
    <dataValidation type="list" allowBlank="1" sqref="G2:G201" xr:uid="{00000000-0002-0000-0500-000001000000}">
      <formula1>PhysDigiList</formula1>
    </dataValidation>
    <dataValidation type="list" allowBlank="1" sqref="H2:H201" xr:uid="{00000000-0002-0000-0500-000002000000}">
      <formula1>LanguageList</formula1>
    </dataValidation>
    <dataValidation type="list" allowBlank="1" sqref="K2:K201" xr:uid="{00000000-0002-0000-0500-000003000000}">
      <formula1>ConditionList</formula1>
    </dataValidation>
    <dataValidation type="list" allowBlank="1" sqref="L2:L201" xr:uid="{00000000-0002-0000-0500-000004000000}">
      <formula1>LocationTypeList</formula1>
    </dataValidation>
    <dataValidation type="list" allowBlank="1" sqref="O2:O201" xr:uid="{00000000-0002-0000-0500-000005000000}">
      <formula1>DigitisationList</formula1>
    </dataValidation>
    <dataValidation type="list" allowBlank="1" sqref="P2:P201" xr:uid="{00000000-0002-0000-0500-000006000000}">
      <formula1>OCRStatusList</formula1>
    </dataValidation>
    <dataValidation type="list" allowBlank="1" sqref="Q2:Q201" xr:uid="{00000000-0002-0000-0500-000007000000}">
      <formula1>RightsList</formula1>
    </dataValidation>
    <dataValidation type="list" allowBlank="1" sqref="R2:R201" xr:uid="{00000000-0002-0000-0500-000008000000}">
      <formula1>AccessLevelList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2" customWidth="1"/>
    <col min="4" max="4" width="22" customWidth="1"/>
    <col min="5" max="7" width="14" customWidth="1"/>
    <col min="8" max="8" width="12" customWidth="1"/>
    <col min="9" max="9" width="30" customWidth="1"/>
  </cols>
  <sheetData>
    <row r="1" spans="1:9" x14ac:dyDescent="0.25">
      <c r="A1" s="5" t="s">
        <v>370</v>
      </c>
      <c r="B1" s="5" t="s">
        <v>225</v>
      </c>
      <c r="C1" s="5" t="s">
        <v>371</v>
      </c>
      <c r="D1" s="5" t="s">
        <v>372</v>
      </c>
      <c r="E1" s="5" t="s">
        <v>373</v>
      </c>
      <c r="F1" s="5" t="s">
        <v>374</v>
      </c>
      <c r="G1" s="5" t="s">
        <v>375</v>
      </c>
      <c r="H1" s="5" t="s">
        <v>376</v>
      </c>
      <c r="I1" s="5" t="s">
        <v>249</v>
      </c>
    </row>
    <row r="2" spans="1:9" x14ac:dyDescent="0.25">
      <c r="A2" s="10" t="str">
        <f t="shared" ref="A2:A65" si="0">IF(ISBLANK(B2),"",ROW()-1)</f>
        <v/>
      </c>
      <c r="B2" s="11"/>
      <c r="C2" s="11"/>
      <c r="D2" s="10" t="str">
        <f>IFERROR(IF(ISBLANK(C2),"",VLOOKUP(C2,Members!$A$2:$B$101,2,FALSE)),"")</f>
        <v/>
      </c>
      <c r="E2" s="11"/>
      <c r="F2" s="10" t="str">
        <f>IF(ISBLANK(E2),"",E2+Settings!$B$7)</f>
        <v/>
      </c>
      <c r="G2" s="11"/>
      <c r="H2" s="10" t="str">
        <f t="shared" ref="H2:H65" ca="1" si="1">IF(ISBLANK(B2),"",IF(NOT(ISBLANK(G2)),"Returned",IF(TODAY()&gt;F2,"Overdue","Active")))</f>
        <v/>
      </c>
      <c r="I2" s="11"/>
    </row>
    <row r="3" spans="1:9" x14ac:dyDescent="0.25">
      <c r="A3" s="10" t="str">
        <f t="shared" si="0"/>
        <v/>
      </c>
      <c r="B3" s="11"/>
      <c r="C3" s="11"/>
      <c r="D3" s="10" t="str">
        <f>IFERROR(IF(ISBLANK(C3),"",VLOOKUP(C3,Members!$A$2:$B$101,2,FALSE)),"")</f>
        <v/>
      </c>
      <c r="E3" s="11"/>
      <c r="F3" s="10" t="str">
        <f>IF(ISBLANK(E3),"",E3+Settings!$B$7)</f>
        <v/>
      </c>
      <c r="G3" s="11"/>
      <c r="H3" s="10" t="str">
        <f t="shared" ca="1" si="1"/>
        <v/>
      </c>
      <c r="I3" s="11"/>
    </row>
    <row r="4" spans="1:9" x14ac:dyDescent="0.25">
      <c r="A4" s="10" t="str">
        <f t="shared" si="0"/>
        <v/>
      </c>
      <c r="B4" s="11"/>
      <c r="C4" s="11"/>
      <c r="D4" s="10" t="str">
        <f>IFERROR(IF(ISBLANK(C4),"",VLOOKUP(C4,Members!$A$2:$B$101,2,FALSE)),"")</f>
        <v/>
      </c>
      <c r="E4" s="11"/>
      <c r="F4" s="10" t="str">
        <f>IF(ISBLANK(E4),"",E4+Settings!$B$7)</f>
        <v/>
      </c>
      <c r="G4" s="11"/>
      <c r="H4" s="10" t="str">
        <f t="shared" ca="1" si="1"/>
        <v/>
      </c>
      <c r="I4" s="11"/>
    </row>
    <row r="5" spans="1:9" x14ac:dyDescent="0.25">
      <c r="A5" s="10" t="str">
        <f t="shared" si="0"/>
        <v/>
      </c>
      <c r="B5" s="11"/>
      <c r="C5" s="11"/>
      <c r="D5" s="10" t="str">
        <f>IFERROR(IF(ISBLANK(C5),"",VLOOKUP(C5,Members!$A$2:$B$101,2,FALSE)),"")</f>
        <v/>
      </c>
      <c r="E5" s="11"/>
      <c r="F5" s="10" t="str">
        <f>IF(ISBLANK(E5),"",E5+Settings!$B$7)</f>
        <v/>
      </c>
      <c r="G5" s="11"/>
      <c r="H5" s="10" t="str">
        <f t="shared" ca="1" si="1"/>
        <v/>
      </c>
      <c r="I5" s="11"/>
    </row>
    <row r="6" spans="1:9" x14ac:dyDescent="0.25">
      <c r="A6" s="10" t="str">
        <f t="shared" si="0"/>
        <v/>
      </c>
      <c r="B6" s="11"/>
      <c r="C6" s="11"/>
      <c r="D6" s="10" t="str">
        <f>IFERROR(IF(ISBLANK(C6),"",VLOOKUP(C6,Members!$A$2:$B$101,2,FALSE)),"")</f>
        <v/>
      </c>
      <c r="E6" s="11"/>
      <c r="F6" s="10" t="str">
        <f>IF(ISBLANK(E6),"",E6+Settings!$B$7)</f>
        <v/>
      </c>
      <c r="G6" s="11"/>
      <c r="H6" s="10" t="str">
        <f t="shared" ca="1" si="1"/>
        <v/>
      </c>
      <c r="I6" s="11"/>
    </row>
    <row r="7" spans="1:9" x14ac:dyDescent="0.25">
      <c r="A7" s="10" t="str">
        <f t="shared" si="0"/>
        <v/>
      </c>
      <c r="B7" s="11"/>
      <c r="C7" s="11"/>
      <c r="D7" s="10" t="str">
        <f>IFERROR(IF(ISBLANK(C7),"",VLOOKUP(C7,Members!$A$2:$B$101,2,FALSE)),"")</f>
        <v/>
      </c>
      <c r="E7" s="11"/>
      <c r="F7" s="10" t="str">
        <f>IF(ISBLANK(E7),"",E7+Settings!$B$7)</f>
        <v/>
      </c>
      <c r="G7" s="11"/>
      <c r="H7" s="10" t="str">
        <f t="shared" ca="1" si="1"/>
        <v/>
      </c>
      <c r="I7" s="11"/>
    </row>
    <row r="8" spans="1:9" x14ac:dyDescent="0.25">
      <c r="A8" s="10" t="str">
        <f t="shared" si="0"/>
        <v/>
      </c>
      <c r="B8" s="11"/>
      <c r="C8" s="11"/>
      <c r="D8" s="10" t="str">
        <f>IFERROR(IF(ISBLANK(C8),"",VLOOKUP(C8,Members!$A$2:$B$101,2,FALSE)),"")</f>
        <v/>
      </c>
      <c r="E8" s="11"/>
      <c r="F8" s="10" t="str">
        <f>IF(ISBLANK(E8),"",E8+Settings!$B$7)</f>
        <v/>
      </c>
      <c r="G8" s="11"/>
      <c r="H8" s="10" t="str">
        <f t="shared" ca="1" si="1"/>
        <v/>
      </c>
      <c r="I8" s="11"/>
    </row>
    <row r="9" spans="1:9" x14ac:dyDescent="0.25">
      <c r="A9" s="10" t="str">
        <f t="shared" si="0"/>
        <v/>
      </c>
      <c r="B9" s="11"/>
      <c r="C9" s="11"/>
      <c r="D9" s="10" t="str">
        <f>IFERROR(IF(ISBLANK(C9),"",VLOOKUP(C9,Members!$A$2:$B$101,2,FALSE)),"")</f>
        <v/>
      </c>
      <c r="E9" s="11"/>
      <c r="F9" s="10" t="str">
        <f>IF(ISBLANK(E9),"",E9+Settings!$B$7)</f>
        <v/>
      </c>
      <c r="G9" s="11"/>
      <c r="H9" s="10" t="str">
        <f t="shared" ca="1" si="1"/>
        <v/>
      </c>
      <c r="I9" s="11"/>
    </row>
    <row r="10" spans="1:9" x14ac:dyDescent="0.25">
      <c r="A10" s="10" t="str">
        <f t="shared" si="0"/>
        <v/>
      </c>
      <c r="B10" s="11"/>
      <c r="C10" s="11"/>
      <c r="D10" s="10" t="str">
        <f>IFERROR(IF(ISBLANK(C10),"",VLOOKUP(C10,Members!$A$2:$B$101,2,FALSE)),"")</f>
        <v/>
      </c>
      <c r="E10" s="11"/>
      <c r="F10" s="10" t="str">
        <f>IF(ISBLANK(E10),"",E10+Settings!$B$7)</f>
        <v/>
      </c>
      <c r="G10" s="11"/>
      <c r="H10" s="10" t="str">
        <f t="shared" ca="1" si="1"/>
        <v/>
      </c>
      <c r="I10" s="11"/>
    </row>
    <row r="11" spans="1:9" x14ac:dyDescent="0.25">
      <c r="A11" s="10" t="str">
        <f t="shared" si="0"/>
        <v/>
      </c>
      <c r="B11" s="11"/>
      <c r="C11" s="11"/>
      <c r="D11" s="10" t="str">
        <f>IFERROR(IF(ISBLANK(C11),"",VLOOKUP(C11,Members!$A$2:$B$101,2,FALSE)),"")</f>
        <v/>
      </c>
      <c r="E11" s="11"/>
      <c r="F11" s="10" t="str">
        <f>IF(ISBLANK(E11),"",E11+Settings!$B$7)</f>
        <v/>
      </c>
      <c r="G11" s="11"/>
      <c r="H11" s="10" t="str">
        <f t="shared" ca="1" si="1"/>
        <v/>
      </c>
      <c r="I11" s="11"/>
    </row>
    <row r="12" spans="1:9" x14ac:dyDescent="0.25">
      <c r="A12" s="10" t="str">
        <f t="shared" si="0"/>
        <v/>
      </c>
      <c r="B12" s="11"/>
      <c r="C12" s="11"/>
      <c r="D12" s="10" t="str">
        <f>IFERROR(IF(ISBLANK(C12),"",VLOOKUP(C12,Members!$A$2:$B$101,2,FALSE)),"")</f>
        <v/>
      </c>
      <c r="E12" s="11"/>
      <c r="F12" s="10" t="str">
        <f>IF(ISBLANK(E12),"",E12+Settings!$B$7)</f>
        <v/>
      </c>
      <c r="G12" s="11"/>
      <c r="H12" s="10" t="str">
        <f t="shared" ca="1" si="1"/>
        <v/>
      </c>
      <c r="I12" s="11"/>
    </row>
    <row r="13" spans="1:9" x14ac:dyDescent="0.25">
      <c r="A13" s="10" t="str">
        <f t="shared" si="0"/>
        <v/>
      </c>
      <c r="B13" s="11"/>
      <c r="C13" s="11"/>
      <c r="D13" s="10" t="str">
        <f>IFERROR(IF(ISBLANK(C13),"",VLOOKUP(C13,Members!$A$2:$B$101,2,FALSE)),"")</f>
        <v/>
      </c>
      <c r="E13" s="11"/>
      <c r="F13" s="10" t="str">
        <f>IF(ISBLANK(E13),"",E13+Settings!$B$7)</f>
        <v/>
      </c>
      <c r="G13" s="11"/>
      <c r="H13" s="10" t="str">
        <f t="shared" ca="1" si="1"/>
        <v/>
      </c>
      <c r="I13" s="11"/>
    </row>
    <row r="14" spans="1:9" x14ac:dyDescent="0.25">
      <c r="A14" s="10" t="str">
        <f t="shared" si="0"/>
        <v/>
      </c>
      <c r="B14" s="11"/>
      <c r="C14" s="11"/>
      <c r="D14" s="10" t="str">
        <f>IFERROR(IF(ISBLANK(C14),"",VLOOKUP(C14,Members!$A$2:$B$101,2,FALSE)),"")</f>
        <v/>
      </c>
      <c r="E14" s="11"/>
      <c r="F14" s="10" t="str">
        <f>IF(ISBLANK(E14),"",E14+Settings!$B$7)</f>
        <v/>
      </c>
      <c r="G14" s="11"/>
      <c r="H14" s="10" t="str">
        <f t="shared" ca="1" si="1"/>
        <v/>
      </c>
      <c r="I14" s="11"/>
    </row>
    <row r="15" spans="1:9" x14ac:dyDescent="0.25">
      <c r="A15" s="10" t="str">
        <f t="shared" si="0"/>
        <v/>
      </c>
      <c r="B15" s="11"/>
      <c r="C15" s="11"/>
      <c r="D15" s="10" t="str">
        <f>IFERROR(IF(ISBLANK(C15),"",VLOOKUP(C15,Members!$A$2:$B$101,2,FALSE)),"")</f>
        <v/>
      </c>
      <c r="E15" s="11"/>
      <c r="F15" s="10" t="str">
        <f>IF(ISBLANK(E15),"",E15+Settings!$B$7)</f>
        <v/>
      </c>
      <c r="G15" s="11"/>
      <c r="H15" s="10" t="str">
        <f t="shared" ca="1" si="1"/>
        <v/>
      </c>
      <c r="I15" s="11"/>
    </row>
    <row r="16" spans="1:9" x14ac:dyDescent="0.25">
      <c r="A16" s="10" t="str">
        <f t="shared" si="0"/>
        <v/>
      </c>
      <c r="B16" s="11"/>
      <c r="C16" s="11"/>
      <c r="D16" s="10" t="str">
        <f>IFERROR(IF(ISBLANK(C16),"",VLOOKUP(C16,Members!$A$2:$B$101,2,FALSE)),"")</f>
        <v/>
      </c>
      <c r="E16" s="11"/>
      <c r="F16" s="10" t="str">
        <f>IF(ISBLANK(E16),"",E16+Settings!$B$7)</f>
        <v/>
      </c>
      <c r="G16" s="11"/>
      <c r="H16" s="10" t="str">
        <f t="shared" ca="1" si="1"/>
        <v/>
      </c>
      <c r="I16" s="11"/>
    </row>
    <row r="17" spans="1:9" x14ac:dyDescent="0.25">
      <c r="A17" s="10" t="str">
        <f t="shared" si="0"/>
        <v/>
      </c>
      <c r="B17" s="11"/>
      <c r="C17" s="11"/>
      <c r="D17" s="10" t="str">
        <f>IFERROR(IF(ISBLANK(C17),"",VLOOKUP(C17,Members!$A$2:$B$101,2,FALSE)),"")</f>
        <v/>
      </c>
      <c r="E17" s="11"/>
      <c r="F17" s="10" t="str">
        <f>IF(ISBLANK(E17),"",E17+Settings!$B$7)</f>
        <v/>
      </c>
      <c r="G17" s="11"/>
      <c r="H17" s="10" t="str">
        <f t="shared" ca="1" si="1"/>
        <v/>
      </c>
      <c r="I17" s="11"/>
    </row>
    <row r="18" spans="1:9" x14ac:dyDescent="0.25">
      <c r="A18" s="10" t="str">
        <f t="shared" si="0"/>
        <v/>
      </c>
      <c r="B18" s="11"/>
      <c r="C18" s="11"/>
      <c r="D18" s="10" t="str">
        <f>IFERROR(IF(ISBLANK(C18),"",VLOOKUP(C18,Members!$A$2:$B$101,2,FALSE)),"")</f>
        <v/>
      </c>
      <c r="E18" s="11"/>
      <c r="F18" s="10" t="str">
        <f>IF(ISBLANK(E18),"",E18+Settings!$B$7)</f>
        <v/>
      </c>
      <c r="G18" s="11"/>
      <c r="H18" s="10" t="str">
        <f t="shared" ca="1" si="1"/>
        <v/>
      </c>
      <c r="I18" s="11"/>
    </row>
    <row r="19" spans="1:9" x14ac:dyDescent="0.25">
      <c r="A19" s="10" t="str">
        <f t="shared" si="0"/>
        <v/>
      </c>
      <c r="B19" s="11"/>
      <c r="C19" s="11"/>
      <c r="D19" s="10" t="str">
        <f>IFERROR(IF(ISBLANK(C19),"",VLOOKUP(C19,Members!$A$2:$B$101,2,FALSE)),"")</f>
        <v/>
      </c>
      <c r="E19" s="11"/>
      <c r="F19" s="10" t="str">
        <f>IF(ISBLANK(E19),"",E19+Settings!$B$7)</f>
        <v/>
      </c>
      <c r="G19" s="11"/>
      <c r="H19" s="10" t="str">
        <f t="shared" ca="1" si="1"/>
        <v/>
      </c>
      <c r="I19" s="11"/>
    </row>
    <row r="20" spans="1:9" x14ac:dyDescent="0.25">
      <c r="A20" s="10" t="str">
        <f t="shared" si="0"/>
        <v/>
      </c>
      <c r="B20" s="11"/>
      <c r="C20" s="11"/>
      <c r="D20" s="10" t="str">
        <f>IFERROR(IF(ISBLANK(C20),"",VLOOKUP(C20,Members!$A$2:$B$101,2,FALSE)),"")</f>
        <v/>
      </c>
      <c r="E20" s="11"/>
      <c r="F20" s="10" t="str">
        <f>IF(ISBLANK(E20),"",E20+Settings!$B$7)</f>
        <v/>
      </c>
      <c r="G20" s="11"/>
      <c r="H20" s="10" t="str">
        <f t="shared" ca="1" si="1"/>
        <v/>
      </c>
      <c r="I20" s="11"/>
    </row>
    <row r="21" spans="1:9" x14ac:dyDescent="0.25">
      <c r="A21" s="10" t="str">
        <f t="shared" si="0"/>
        <v/>
      </c>
      <c r="B21" s="11"/>
      <c r="C21" s="11"/>
      <c r="D21" s="10" t="str">
        <f>IFERROR(IF(ISBLANK(C21),"",VLOOKUP(C21,Members!$A$2:$B$101,2,FALSE)),"")</f>
        <v/>
      </c>
      <c r="E21" s="11"/>
      <c r="F21" s="10" t="str">
        <f>IF(ISBLANK(E21),"",E21+Settings!$B$7)</f>
        <v/>
      </c>
      <c r="G21" s="11"/>
      <c r="H21" s="10" t="str">
        <f t="shared" ca="1" si="1"/>
        <v/>
      </c>
      <c r="I21" s="11"/>
    </row>
    <row r="22" spans="1:9" x14ac:dyDescent="0.25">
      <c r="A22" s="10" t="str">
        <f t="shared" si="0"/>
        <v/>
      </c>
      <c r="B22" s="11"/>
      <c r="C22" s="11"/>
      <c r="D22" s="10" t="str">
        <f>IFERROR(IF(ISBLANK(C22),"",VLOOKUP(C22,Members!$A$2:$B$101,2,FALSE)),"")</f>
        <v/>
      </c>
      <c r="E22" s="11"/>
      <c r="F22" s="10" t="str">
        <f>IF(ISBLANK(E22),"",E22+Settings!$B$7)</f>
        <v/>
      </c>
      <c r="G22" s="11"/>
      <c r="H22" s="10" t="str">
        <f t="shared" ca="1" si="1"/>
        <v/>
      </c>
      <c r="I22" s="11"/>
    </row>
    <row r="23" spans="1:9" x14ac:dyDescent="0.25">
      <c r="A23" s="10" t="str">
        <f t="shared" si="0"/>
        <v/>
      </c>
      <c r="B23" s="11"/>
      <c r="C23" s="11"/>
      <c r="D23" s="10" t="str">
        <f>IFERROR(IF(ISBLANK(C23),"",VLOOKUP(C23,Members!$A$2:$B$101,2,FALSE)),"")</f>
        <v/>
      </c>
      <c r="E23" s="11"/>
      <c r="F23" s="10" t="str">
        <f>IF(ISBLANK(E23),"",E23+Settings!$B$7)</f>
        <v/>
      </c>
      <c r="G23" s="11"/>
      <c r="H23" s="10" t="str">
        <f t="shared" ca="1" si="1"/>
        <v/>
      </c>
      <c r="I23" s="11"/>
    </row>
    <row r="24" spans="1:9" x14ac:dyDescent="0.25">
      <c r="A24" s="10" t="str">
        <f t="shared" si="0"/>
        <v/>
      </c>
      <c r="B24" s="11"/>
      <c r="C24" s="11"/>
      <c r="D24" s="10" t="str">
        <f>IFERROR(IF(ISBLANK(C24),"",VLOOKUP(C24,Members!$A$2:$B$101,2,FALSE)),"")</f>
        <v/>
      </c>
      <c r="E24" s="11"/>
      <c r="F24" s="10" t="str">
        <f>IF(ISBLANK(E24),"",E24+Settings!$B$7)</f>
        <v/>
      </c>
      <c r="G24" s="11"/>
      <c r="H24" s="10" t="str">
        <f t="shared" ca="1" si="1"/>
        <v/>
      </c>
      <c r="I24" s="11"/>
    </row>
    <row r="25" spans="1:9" x14ac:dyDescent="0.25">
      <c r="A25" s="10" t="str">
        <f t="shared" si="0"/>
        <v/>
      </c>
      <c r="B25" s="11"/>
      <c r="C25" s="11"/>
      <c r="D25" s="10" t="str">
        <f>IFERROR(IF(ISBLANK(C25),"",VLOOKUP(C25,Members!$A$2:$B$101,2,FALSE)),"")</f>
        <v/>
      </c>
      <c r="E25" s="11"/>
      <c r="F25" s="10" t="str">
        <f>IF(ISBLANK(E25),"",E25+Settings!$B$7)</f>
        <v/>
      </c>
      <c r="G25" s="11"/>
      <c r="H25" s="10" t="str">
        <f t="shared" ca="1" si="1"/>
        <v/>
      </c>
      <c r="I25" s="11"/>
    </row>
    <row r="26" spans="1:9" x14ac:dyDescent="0.25">
      <c r="A26" s="10" t="str">
        <f t="shared" si="0"/>
        <v/>
      </c>
      <c r="B26" s="11"/>
      <c r="C26" s="11"/>
      <c r="D26" s="10" t="str">
        <f>IFERROR(IF(ISBLANK(C26),"",VLOOKUP(C26,Members!$A$2:$B$101,2,FALSE)),"")</f>
        <v/>
      </c>
      <c r="E26" s="11"/>
      <c r="F26" s="10" t="str">
        <f>IF(ISBLANK(E26),"",E26+Settings!$B$7)</f>
        <v/>
      </c>
      <c r="G26" s="11"/>
      <c r="H26" s="10" t="str">
        <f t="shared" ca="1" si="1"/>
        <v/>
      </c>
      <c r="I26" s="11"/>
    </row>
    <row r="27" spans="1:9" x14ac:dyDescent="0.25">
      <c r="A27" s="10" t="str">
        <f t="shared" si="0"/>
        <v/>
      </c>
      <c r="B27" s="11"/>
      <c r="C27" s="11"/>
      <c r="D27" s="10" t="str">
        <f>IFERROR(IF(ISBLANK(C27),"",VLOOKUP(C27,Members!$A$2:$B$101,2,FALSE)),"")</f>
        <v/>
      </c>
      <c r="E27" s="11"/>
      <c r="F27" s="10" t="str">
        <f>IF(ISBLANK(E27),"",E27+Settings!$B$7)</f>
        <v/>
      </c>
      <c r="G27" s="11"/>
      <c r="H27" s="10" t="str">
        <f t="shared" ca="1" si="1"/>
        <v/>
      </c>
      <c r="I27" s="11"/>
    </row>
    <row r="28" spans="1:9" x14ac:dyDescent="0.25">
      <c r="A28" s="10" t="str">
        <f t="shared" si="0"/>
        <v/>
      </c>
      <c r="B28" s="11"/>
      <c r="C28" s="11"/>
      <c r="D28" s="10" t="str">
        <f>IFERROR(IF(ISBLANK(C28),"",VLOOKUP(C28,Members!$A$2:$B$101,2,FALSE)),"")</f>
        <v/>
      </c>
      <c r="E28" s="11"/>
      <c r="F28" s="10" t="str">
        <f>IF(ISBLANK(E28),"",E28+Settings!$B$7)</f>
        <v/>
      </c>
      <c r="G28" s="11"/>
      <c r="H28" s="10" t="str">
        <f t="shared" ca="1" si="1"/>
        <v/>
      </c>
      <c r="I28" s="11"/>
    </row>
    <row r="29" spans="1:9" x14ac:dyDescent="0.25">
      <c r="A29" s="10" t="str">
        <f t="shared" si="0"/>
        <v/>
      </c>
      <c r="B29" s="11"/>
      <c r="C29" s="11"/>
      <c r="D29" s="10" t="str">
        <f>IFERROR(IF(ISBLANK(C29),"",VLOOKUP(C29,Members!$A$2:$B$101,2,FALSE)),"")</f>
        <v/>
      </c>
      <c r="E29" s="11"/>
      <c r="F29" s="10" t="str">
        <f>IF(ISBLANK(E29),"",E29+Settings!$B$7)</f>
        <v/>
      </c>
      <c r="G29" s="11"/>
      <c r="H29" s="10" t="str">
        <f t="shared" ca="1" si="1"/>
        <v/>
      </c>
      <c r="I29" s="11"/>
    </row>
    <row r="30" spans="1:9" x14ac:dyDescent="0.25">
      <c r="A30" s="10" t="str">
        <f t="shared" si="0"/>
        <v/>
      </c>
      <c r="B30" s="11"/>
      <c r="C30" s="11"/>
      <c r="D30" s="10" t="str">
        <f>IFERROR(IF(ISBLANK(C30),"",VLOOKUP(C30,Members!$A$2:$B$101,2,FALSE)),"")</f>
        <v/>
      </c>
      <c r="E30" s="11"/>
      <c r="F30" s="10" t="str">
        <f>IF(ISBLANK(E30),"",E30+Settings!$B$7)</f>
        <v/>
      </c>
      <c r="G30" s="11"/>
      <c r="H30" s="10" t="str">
        <f t="shared" ca="1" si="1"/>
        <v/>
      </c>
      <c r="I30" s="11"/>
    </row>
    <row r="31" spans="1:9" x14ac:dyDescent="0.25">
      <c r="A31" s="10" t="str">
        <f t="shared" si="0"/>
        <v/>
      </c>
      <c r="B31" s="11"/>
      <c r="C31" s="11"/>
      <c r="D31" s="10" t="str">
        <f>IFERROR(IF(ISBLANK(C31),"",VLOOKUP(C31,Members!$A$2:$B$101,2,FALSE)),"")</f>
        <v/>
      </c>
      <c r="E31" s="11"/>
      <c r="F31" s="10" t="str">
        <f>IF(ISBLANK(E31),"",E31+Settings!$B$7)</f>
        <v/>
      </c>
      <c r="G31" s="11"/>
      <c r="H31" s="10" t="str">
        <f t="shared" ca="1" si="1"/>
        <v/>
      </c>
      <c r="I31" s="11"/>
    </row>
    <row r="32" spans="1:9" x14ac:dyDescent="0.25">
      <c r="A32" s="10" t="str">
        <f t="shared" si="0"/>
        <v/>
      </c>
      <c r="B32" s="11"/>
      <c r="C32" s="11"/>
      <c r="D32" s="10" t="str">
        <f>IFERROR(IF(ISBLANK(C32),"",VLOOKUP(C32,Members!$A$2:$B$101,2,FALSE)),"")</f>
        <v/>
      </c>
      <c r="E32" s="11"/>
      <c r="F32" s="10" t="str">
        <f>IF(ISBLANK(E32),"",E32+Settings!$B$7)</f>
        <v/>
      </c>
      <c r="G32" s="11"/>
      <c r="H32" s="10" t="str">
        <f t="shared" ca="1" si="1"/>
        <v/>
      </c>
      <c r="I32" s="11"/>
    </row>
    <row r="33" spans="1:9" x14ac:dyDescent="0.25">
      <c r="A33" s="10" t="str">
        <f t="shared" si="0"/>
        <v/>
      </c>
      <c r="B33" s="11"/>
      <c r="C33" s="11"/>
      <c r="D33" s="10" t="str">
        <f>IFERROR(IF(ISBLANK(C33),"",VLOOKUP(C33,Members!$A$2:$B$101,2,FALSE)),"")</f>
        <v/>
      </c>
      <c r="E33" s="11"/>
      <c r="F33" s="10" t="str">
        <f>IF(ISBLANK(E33),"",E33+Settings!$B$7)</f>
        <v/>
      </c>
      <c r="G33" s="11"/>
      <c r="H33" s="10" t="str">
        <f t="shared" ca="1" si="1"/>
        <v/>
      </c>
      <c r="I33" s="11"/>
    </row>
    <row r="34" spans="1:9" x14ac:dyDescent="0.25">
      <c r="A34" s="10" t="str">
        <f t="shared" si="0"/>
        <v/>
      </c>
      <c r="B34" s="11"/>
      <c r="C34" s="11"/>
      <c r="D34" s="10" t="str">
        <f>IFERROR(IF(ISBLANK(C34),"",VLOOKUP(C34,Members!$A$2:$B$101,2,FALSE)),"")</f>
        <v/>
      </c>
      <c r="E34" s="11"/>
      <c r="F34" s="10" t="str">
        <f>IF(ISBLANK(E34),"",E34+Settings!$B$7)</f>
        <v/>
      </c>
      <c r="G34" s="11"/>
      <c r="H34" s="10" t="str">
        <f t="shared" ca="1" si="1"/>
        <v/>
      </c>
      <c r="I34" s="11"/>
    </row>
    <row r="35" spans="1:9" x14ac:dyDescent="0.25">
      <c r="A35" s="10" t="str">
        <f t="shared" si="0"/>
        <v/>
      </c>
      <c r="B35" s="11"/>
      <c r="C35" s="11"/>
      <c r="D35" s="10" t="str">
        <f>IFERROR(IF(ISBLANK(C35),"",VLOOKUP(C35,Members!$A$2:$B$101,2,FALSE)),"")</f>
        <v/>
      </c>
      <c r="E35" s="11"/>
      <c r="F35" s="10" t="str">
        <f>IF(ISBLANK(E35),"",E35+Settings!$B$7)</f>
        <v/>
      </c>
      <c r="G35" s="11"/>
      <c r="H35" s="10" t="str">
        <f t="shared" ca="1" si="1"/>
        <v/>
      </c>
      <c r="I35" s="11"/>
    </row>
    <row r="36" spans="1:9" x14ac:dyDescent="0.25">
      <c r="A36" s="10" t="str">
        <f t="shared" si="0"/>
        <v/>
      </c>
      <c r="B36" s="11"/>
      <c r="C36" s="11"/>
      <c r="D36" s="10" t="str">
        <f>IFERROR(IF(ISBLANK(C36),"",VLOOKUP(C36,Members!$A$2:$B$101,2,FALSE)),"")</f>
        <v/>
      </c>
      <c r="E36" s="11"/>
      <c r="F36" s="10" t="str">
        <f>IF(ISBLANK(E36),"",E36+Settings!$B$7)</f>
        <v/>
      </c>
      <c r="G36" s="11"/>
      <c r="H36" s="10" t="str">
        <f t="shared" ca="1" si="1"/>
        <v/>
      </c>
      <c r="I36" s="11"/>
    </row>
    <row r="37" spans="1:9" x14ac:dyDescent="0.25">
      <c r="A37" s="10" t="str">
        <f t="shared" si="0"/>
        <v/>
      </c>
      <c r="B37" s="11"/>
      <c r="C37" s="11"/>
      <c r="D37" s="10" t="str">
        <f>IFERROR(IF(ISBLANK(C37),"",VLOOKUP(C37,Members!$A$2:$B$101,2,FALSE)),"")</f>
        <v/>
      </c>
      <c r="E37" s="11"/>
      <c r="F37" s="10" t="str">
        <f>IF(ISBLANK(E37),"",E37+Settings!$B$7)</f>
        <v/>
      </c>
      <c r="G37" s="11"/>
      <c r="H37" s="10" t="str">
        <f t="shared" ca="1" si="1"/>
        <v/>
      </c>
      <c r="I37" s="11"/>
    </row>
    <row r="38" spans="1:9" x14ac:dyDescent="0.25">
      <c r="A38" s="10" t="str">
        <f t="shared" si="0"/>
        <v/>
      </c>
      <c r="B38" s="11"/>
      <c r="C38" s="11"/>
      <c r="D38" s="10" t="str">
        <f>IFERROR(IF(ISBLANK(C38),"",VLOOKUP(C38,Members!$A$2:$B$101,2,FALSE)),"")</f>
        <v/>
      </c>
      <c r="E38" s="11"/>
      <c r="F38" s="10" t="str">
        <f>IF(ISBLANK(E38),"",E38+Settings!$B$7)</f>
        <v/>
      </c>
      <c r="G38" s="11"/>
      <c r="H38" s="10" t="str">
        <f t="shared" ca="1" si="1"/>
        <v/>
      </c>
      <c r="I38" s="11"/>
    </row>
    <row r="39" spans="1:9" x14ac:dyDescent="0.25">
      <c r="A39" s="10" t="str">
        <f t="shared" si="0"/>
        <v/>
      </c>
      <c r="B39" s="11"/>
      <c r="C39" s="11"/>
      <c r="D39" s="10" t="str">
        <f>IFERROR(IF(ISBLANK(C39),"",VLOOKUP(C39,Members!$A$2:$B$101,2,FALSE)),"")</f>
        <v/>
      </c>
      <c r="E39" s="11"/>
      <c r="F39" s="10" t="str">
        <f>IF(ISBLANK(E39),"",E39+Settings!$B$7)</f>
        <v/>
      </c>
      <c r="G39" s="11"/>
      <c r="H39" s="10" t="str">
        <f t="shared" ca="1" si="1"/>
        <v/>
      </c>
      <c r="I39" s="11"/>
    </row>
    <row r="40" spans="1:9" x14ac:dyDescent="0.25">
      <c r="A40" s="10" t="str">
        <f t="shared" si="0"/>
        <v/>
      </c>
      <c r="B40" s="11"/>
      <c r="C40" s="11"/>
      <c r="D40" s="10" t="str">
        <f>IFERROR(IF(ISBLANK(C40),"",VLOOKUP(C40,Members!$A$2:$B$101,2,FALSE)),"")</f>
        <v/>
      </c>
      <c r="E40" s="11"/>
      <c r="F40" s="10" t="str">
        <f>IF(ISBLANK(E40),"",E40+Settings!$B$7)</f>
        <v/>
      </c>
      <c r="G40" s="11"/>
      <c r="H40" s="10" t="str">
        <f t="shared" ca="1" si="1"/>
        <v/>
      </c>
      <c r="I40" s="11"/>
    </row>
    <row r="41" spans="1:9" x14ac:dyDescent="0.25">
      <c r="A41" s="10" t="str">
        <f t="shared" si="0"/>
        <v/>
      </c>
      <c r="B41" s="11"/>
      <c r="C41" s="11"/>
      <c r="D41" s="10" t="str">
        <f>IFERROR(IF(ISBLANK(C41),"",VLOOKUP(C41,Members!$A$2:$B$101,2,FALSE)),"")</f>
        <v/>
      </c>
      <c r="E41" s="11"/>
      <c r="F41" s="10" t="str">
        <f>IF(ISBLANK(E41),"",E41+Settings!$B$7)</f>
        <v/>
      </c>
      <c r="G41" s="11"/>
      <c r="H41" s="10" t="str">
        <f t="shared" ca="1" si="1"/>
        <v/>
      </c>
      <c r="I41" s="11"/>
    </row>
    <row r="42" spans="1:9" x14ac:dyDescent="0.25">
      <c r="A42" s="10" t="str">
        <f t="shared" si="0"/>
        <v/>
      </c>
      <c r="B42" s="11"/>
      <c r="C42" s="11"/>
      <c r="D42" s="10" t="str">
        <f>IFERROR(IF(ISBLANK(C42),"",VLOOKUP(C42,Members!$A$2:$B$101,2,FALSE)),"")</f>
        <v/>
      </c>
      <c r="E42" s="11"/>
      <c r="F42" s="10" t="str">
        <f>IF(ISBLANK(E42),"",E42+Settings!$B$7)</f>
        <v/>
      </c>
      <c r="G42" s="11"/>
      <c r="H42" s="10" t="str">
        <f t="shared" ca="1" si="1"/>
        <v/>
      </c>
      <c r="I42" s="11"/>
    </row>
    <row r="43" spans="1:9" x14ac:dyDescent="0.25">
      <c r="A43" s="10" t="str">
        <f t="shared" si="0"/>
        <v/>
      </c>
      <c r="B43" s="11"/>
      <c r="C43" s="11"/>
      <c r="D43" s="10" t="str">
        <f>IFERROR(IF(ISBLANK(C43),"",VLOOKUP(C43,Members!$A$2:$B$101,2,FALSE)),"")</f>
        <v/>
      </c>
      <c r="E43" s="11"/>
      <c r="F43" s="10" t="str">
        <f>IF(ISBLANK(E43),"",E43+Settings!$B$7)</f>
        <v/>
      </c>
      <c r="G43" s="11"/>
      <c r="H43" s="10" t="str">
        <f t="shared" ca="1" si="1"/>
        <v/>
      </c>
      <c r="I43" s="11"/>
    </row>
    <row r="44" spans="1:9" x14ac:dyDescent="0.25">
      <c r="A44" s="10" t="str">
        <f t="shared" si="0"/>
        <v/>
      </c>
      <c r="B44" s="11"/>
      <c r="C44" s="11"/>
      <c r="D44" s="10" t="str">
        <f>IFERROR(IF(ISBLANK(C44),"",VLOOKUP(C44,Members!$A$2:$B$101,2,FALSE)),"")</f>
        <v/>
      </c>
      <c r="E44" s="11"/>
      <c r="F44" s="10" t="str">
        <f>IF(ISBLANK(E44),"",E44+Settings!$B$7)</f>
        <v/>
      </c>
      <c r="G44" s="11"/>
      <c r="H44" s="10" t="str">
        <f t="shared" ca="1" si="1"/>
        <v/>
      </c>
      <c r="I44" s="11"/>
    </row>
    <row r="45" spans="1:9" x14ac:dyDescent="0.25">
      <c r="A45" s="10" t="str">
        <f t="shared" si="0"/>
        <v/>
      </c>
      <c r="B45" s="11"/>
      <c r="C45" s="11"/>
      <c r="D45" s="10" t="str">
        <f>IFERROR(IF(ISBLANK(C45),"",VLOOKUP(C45,Members!$A$2:$B$101,2,FALSE)),"")</f>
        <v/>
      </c>
      <c r="E45" s="11"/>
      <c r="F45" s="10" t="str">
        <f>IF(ISBLANK(E45),"",E45+Settings!$B$7)</f>
        <v/>
      </c>
      <c r="G45" s="11"/>
      <c r="H45" s="10" t="str">
        <f t="shared" ca="1" si="1"/>
        <v/>
      </c>
      <c r="I45" s="11"/>
    </row>
    <row r="46" spans="1:9" x14ac:dyDescent="0.25">
      <c r="A46" s="10" t="str">
        <f t="shared" si="0"/>
        <v/>
      </c>
      <c r="B46" s="11"/>
      <c r="C46" s="11"/>
      <c r="D46" s="10" t="str">
        <f>IFERROR(IF(ISBLANK(C46),"",VLOOKUP(C46,Members!$A$2:$B$101,2,FALSE)),"")</f>
        <v/>
      </c>
      <c r="E46" s="11"/>
      <c r="F46" s="10" t="str">
        <f>IF(ISBLANK(E46),"",E46+Settings!$B$7)</f>
        <v/>
      </c>
      <c r="G46" s="11"/>
      <c r="H46" s="10" t="str">
        <f t="shared" ca="1" si="1"/>
        <v/>
      </c>
      <c r="I46" s="11"/>
    </row>
    <row r="47" spans="1:9" x14ac:dyDescent="0.25">
      <c r="A47" s="10" t="str">
        <f t="shared" si="0"/>
        <v/>
      </c>
      <c r="B47" s="11"/>
      <c r="C47" s="11"/>
      <c r="D47" s="10" t="str">
        <f>IFERROR(IF(ISBLANK(C47),"",VLOOKUP(C47,Members!$A$2:$B$101,2,FALSE)),"")</f>
        <v/>
      </c>
      <c r="E47" s="11"/>
      <c r="F47" s="10" t="str">
        <f>IF(ISBLANK(E47),"",E47+Settings!$B$7)</f>
        <v/>
      </c>
      <c r="G47" s="11"/>
      <c r="H47" s="10" t="str">
        <f t="shared" ca="1" si="1"/>
        <v/>
      </c>
      <c r="I47" s="11"/>
    </row>
    <row r="48" spans="1:9" x14ac:dyDescent="0.25">
      <c r="A48" s="10" t="str">
        <f t="shared" si="0"/>
        <v/>
      </c>
      <c r="B48" s="11"/>
      <c r="C48" s="11"/>
      <c r="D48" s="10" t="str">
        <f>IFERROR(IF(ISBLANK(C48),"",VLOOKUP(C48,Members!$A$2:$B$101,2,FALSE)),"")</f>
        <v/>
      </c>
      <c r="E48" s="11"/>
      <c r="F48" s="10" t="str">
        <f>IF(ISBLANK(E48),"",E48+Settings!$B$7)</f>
        <v/>
      </c>
      <c r="G48" s="11"/>
      <c r="H48" s="10" t="str">
        <f t="shared" ca="1" si="1"/>
        <v/>
      </c>
      <c r="I48" s="11"/>
    </row>
    <row r="49" spans="1:9" x14ac:dyDescent="0.25">
      <c r="A49" s="10" t="str">
        <f t="shared" si="0"/>
        <v/>
      </c>
      <c r="B49" s="11"/>
      <c r="C49" s="11"/>
      <c r="D49" s="10" t="str">
        <f>IFERROR(IF(ISBLANK(C49),"",VLOOKUP(C49,Members!$A$2:$B$101,2,FALSE)),"")</f>
        <v/>
      </c>
      <c r="E49" s="11"/>
      <c r="F49" s="10" t="str">
        <f>IF(ISBLANK(E49),"",E49+Settings!$B$7)</f>
        <v/>
      </c>
      <c r="G49" s="11"/>
      <c r="H49" s="10" t="str">
        <f t="shared" ca="1" si="1"/>
        <v/>
      </c>
      <c r="I49" s="11"/>
    </row>
    <row r="50" spans="1:9" x14ac:dyDescent="0.25">
      <c r="A50" s="10" t="str">
        <f t="shared" si="0"/>
        <v/>
      </c>
      <c r="B50" s="11"/>
      <c r="C50" s="11"/>
      <c r="D50" s="10" t="str">
        <f>IFERROR(IF(ISBLANK(C50),"",VLOOKUP(C50,Members!$A$2:$B$101,2,FALSE)),"")</f>
        <v/>
      </c>
      <c r="E50" s="11"/>
      <c r="F50" s="10" t="str">
        <f>IF(ISBLANK(E50),"",E50+Settings!$B$7)</f>
        <v/>
      </c>
      <c r="G50" s="11"/>
      <c r="H50" s="10" t="str">
        <f t="shared" ca="1" si="1"/>
        <v/>
      </c>
      <c r="I50" s="11"/>
    </row>
    <row r="51" spans="1:9" x14ac:dyDescent="0.25">
      <c r="A51" s="10" t="str">
        <f t="shared" si="0"/>
        <v/>
      </c>
      <c r="B51" s="11"/>
      <c r="C51" s="11"/>
      <c r="D51" s="10" t="str">
        <f>IFERROR(IF(ISBLANK(C51),"",VLOOKUP(C51,Members!$A$2:$B$101,2,FALSE)),"")</f>
        <v/>
      </c>
      <c r="E51" s="11"/>
      <c r="F51" s="10" t="str">
        <f>IF(ISBLANK(E51),"",E51+Settings!$B$7)</f>
        <v/>
      </c>
      <c r="G51" s="11"/>
      <c r="H51" s="10" t="str">
        <f t="shared" ca="1" si="1"/>
        <v/>
      </c>
      <c r="I51" s="11"/>
    </row>
    <row r="52" spans="1:9" x14ac:dyDescent="0.25">
      <c r="A52" s="10" t="str">
        <f t="shared" si="0"/>
        <v/>
      </c>
      <c r="B52" s="11"/>
      <c r="C52" s="11"/>
      <c r="D52" s="10" t="str">
        <f>IFERROR(IF(ISBLANK(C52),"",VLOOKUP(C52,Members!$A$2:$B$101,2,FALSE)),"")</f>
        <v/>
      </c>
      <c r="E52" s="11"/>
      <c r="F52" s="10" t="str">
        <f>IF(ISBLANK(E52),"",E52+Settings!$B$7)</f>
        <v/>
      </c>
      <c r="G52" s="11"/>
      <c r="H52" s="10" t="str">
        <f t="shared" ca="1" si="1"/>
        <v/>
      </c>
      <c r="I52" s="11"/>
    </row>
    <row r="53" spans="1:9" x14ac:dyDescent="0.25">
      <c r="A53" s="10" t="str">
        <f t="shared" si="0"/>
        <v/>
      </c>
      <c r="B53" s="11"/>
      <c r="C53" s="11"/>
      <c r="D53" s="10" t="str">
        <f>IFERROR(IF(ISBLANK(C53),"",VLOOKUP(C53,Members!$A$2:$B$101,2,FALSE)),"")</f>
        <v/>
      </c>
      <c r="E53" s="11"/>
      <c r="F53" s="10" t="str">
        <f>IF(ISBLANK(E53),"",E53+Settings!$B$7)</f>
        <v/>
      </c>
      <c r="G53" s="11"/>
      <c r="H53" s="10" t="str">
        <f t="shared" ca="1" si="1"/>
        <v/>
      </c>
      <c r="I53" s="11"/>
    </row>
    <row r="54" spans="1:9" x14ac:dyDescent="0.25">
      <c r="A54" s="10" t="str">
        <f t="shared" si="0"/>
        <v/>
      </c>
      <c r="B54" s="11"/>
      <c r="C54" s="11"/>
      <c r="D54" s="10" t="str">
        <f>IFERROR(IF(ISBLANK(C54),"",VLOOKUP(C54,Members!$A$2:$B$101,2,FALSE)),"")</f>
        <v/>
      </c>
      <c r="E54" s="11"/>
      <c r="F54" s="10" t="str">
        <f>IF(ISBLANK(E54),"",E54+Settings!$B$7)</f>
        <v/>
      </c>
      <c r="G54" s="11"/>
      <c r="H54" s="10" t="str">
        <f t="shared" ca="1" si="1"/>
        <v/>
      </c>
      <c r="I54" s="11"/>
    </row>
    <row r="55" spans="1:9" x14ac:dyDescent="0.25">
      <c r="A55" s="10" t="str">
        <f t="shared" si="0"/>
        <v/>
      </c>
      <c r="B55" s="11"/>
      <c r="C55" s="11"/>
      <c r="D55" s="10" t="str">
        <f>IFERROR(IF(ISBLANK(C55),"",VLOOKUP(C55,Members!$A$2:$B$101,2,FALSE)),"")</f>
        <v/>
      </c>
      <c r="E55" s="11"/>
      <c r="F55" s="10" t="str">
        <f>IF(ISBLANK(E55),"",E55+Settings!$B$7)</f>
        <v/>
      </c>
      <c r="G55" s="11"/>
      <c r="H55" s="10" t="str">
        <f t="shared" ca="1" si="1"/>
        <v/>
      </c>
      <c r="I55" s="11"/>
    </row>
    <row r="56" spans="1:9" x14ac:dyDescent="0.25">
      <c r="A56" s="10" t="str">
        <f t="shared" si="0"/>
        <v/>
      </c>
      <c r="B56" s="11"/>
      <c r="C56" s="11"/>
      <c r="D56" s="10" t="str">
        <f>IFERROR(IF(ISBLANK(C56),"",VLOOKUP(C56,Members!$A$2:$B$101,2,FALSE)),"")</f>
        <v/>
      </c>
      <c r="E56" s="11"/>
      <c r="F56" s="10" t="str">
        <f>IF(ISBLANK(E56),"",E56+Settings!$B$7)</f>
        <v/>
      </c>
      <c r="G56" s="11"/>
      <c r="H56" s="10" t="str">
        <f t="shared" ca="1" si="1"/>
        <v/>
      </c>
      <c r="I56" s="11"/>
    </row>
    <row r="57" spans="1:9" x14ac:dyDescent="0.25">
      <c r="A57" s="10" t="str">
        <f t="shared" si="0"/>
        <v/>
      </c>
      <c r="B57" s="11"/>
      <c r="C57" s="11"/>
      <c r="D57" s="10" t="str">
        <f>IFERROR(IF(ISBLANK(C57),"",VLOOKUP(C57,Members!$A$2:$B$101,2,FALSE)),"")</f>
        <v/>
      </c>
      <c r="E57" s="11"/>
      <c r="F57" s="10" t="str">
        <f>IF(ISBLANK(E57),"",E57+Settings!$B$7)</f>
        <v/>
      </c>
      <c r="G57" s="11"/>
      <c r="H57" s="10" t="str">
        <f t="shared" ca="1" si="1"/>
        <v/>
      </c>
      <c r="I57" s="11"/>
    </row>
    <row r="58" spans="1:9" x14ac:dyDescent="0.25">
      <c r="A58" s="10" t="str">
        <f t="shared" si="0"/>
        <v/>
      </c>
      <c r="B58" s="11"/>
      <c r="C58" s="11"/>
      <c r="D58" s="10" t="str">
        <f>IFERROR(IF(ISBLANK(C58),"",VLOOKUP(C58,Members!$A$2:$B$101,2,FALSE)),"")</f>
        <v/>
      </c>
      <c r="E58" s="11"/>
      <c r="F58" s="10" t="str">
        <f>IF(ISBLANK(E58),"",E58+Settings!$B$7)</f>
        <v/>
      </c>
      <c r="G58" s="11"/>
      <c r="H58" s="10" t="str">
        <f t="shared" ca="1" si="1"/>
        <v/>
      </c>
      <c r="I58" s="11"/>
    </row>
    <row r="59" spans="1:9" x14ac:dyDescent="0.25">
      <c r="A59" s="10" t="str">
        <f t="shared" si="0"/>
        <v/>
      </c>
      <c r="B59" s="11"/>
      <c r="C59" s="11"/>
      <c r="D59" s="10" t="str">
        <f>IFERROR(IF(ISBLANK(C59),"",VLOOKUP(C59,Members!$A$2:$B$101,2,FALSE)),"")</f>
        <v/>
      </c>
      <c r="E59" s="11"/>
      <c r="F59" s="10" t="str">
        <f>IF(ISBLANK(E59),"",E59+Settings!$B$7)</f>
        <v/>
      </c>
      <c r="G59" s="11"/>
      <c r="H59" s="10" t="str">
        <f t="shared" ca="1" si="1"/>
        <v/>
      </c>
      <c r="I59" s="11"/>
    </row>
    <row r="60" spans="1:9" x14ac:dyDescent="0.25">
      <c r="A60" s="10" t="str">
        <f t="shared" si="0"/>
        <v/>
      </c>
      <c r="B60" s="11"/>
      <c r="C60" s="11"/>
      <c r="D60" s="10" t="str">
        <f>IFERROR(IF(ISBLANK(C60),"",VLOOKUP(C60,Members!$A$2:$B$101,2,FALSE)),"")</f>
        <v/>
      </c>
      <c r="E60" s="11"/>
      <c r="F60" s="10" t="str">
        <f>IF(ISBLANK(E60),"",E60+Settings!$B$7)</f>
        <v/>
      </c>
      <c r="G60" s="11"/>
      <c r="H60" s="10" t="str">
        <f t="shared" ca="1" si="1"/>
        <v/>
      </c>
      <c r="I60" s="11"/>
    </row>
    <row r="61" spans="1:9" x14ac:dyDescent="0.25">
      <c r="A61" s="10" t="str">
        <f t="shared" si="0"/>
        <v/>
      </c>
      <c r="B61" s="11"/>
      <c r="C61" s="11"/>
      <c r="D61" s="10" t="str">
        <f>IFERROR(IF(ISBLANK(C61),"",VLOOKUP(C61,Members!$A$2:$B$101,2,FALSE)),"")</f>
        <v/>
      </c>
      <c r="E61" s="11"/>
      <c r="F61" s="10" t="str">
        <f>IF(ISBLANK(E61),"",E61+Settings!$B$7)</f>
        <v/>
      </c>
      <c r="G61" s="11"/>
      <c r="H61" s="10" t="str">
        <f t="shared" ca="1" si="1"/>
        <v/>
      </c>
      <c r="I61" s="11"/>
    </row>
    <row r="62" spans="1:9" x14ac:dyDescent="0.25">
      <c r="A62" s="10" t="str">
        <f t="shared" si="0"/>
        <v/>
      </c>
      <c r="B62" s="11"/>
      <c r="C62" s="11"/>
      <c r="D62" s="10" t="str">
        <f>IFERROR(IF(ISBLANK(C62),"",VLOOKUP(C62,Members!$A$2:$B$101,2,FALSE)),"")</f>
        <v/>
      </c>
      <c r="E62" s="11"/>
      <c r="F62" s="10" t="str">
        <f>IF(ISBLANK(E62),"",E62+Settings!$B$7)</f>
        <v/>
      </c>
      <c r="G62" s="11"/>
      <c r="H62" s="10" t="str">
        <f t="shared" ca="1" si="1"/>
        <v/>
      </c>
      <c r="I62" s="11"/>
    </row>
    <row r="63" spans="1:9" x14ac:dyDescent="0.25">
      <c r="A63" s="10" t="str">
        <f t="shared" si="0"/>
        <v/>
      </c>
      <c r="B63" s="11"/>
      <c r="C63" s="11"/>
      <c r="D63" s="10" t="str">
        <f>IFERROR(IF(ISBLANK(C63),"",VLOOKUP(C63,Members!$A$2:$B$101,2,FALSE)),"")</f>
        <v/>
      </c>
      <c r="E63" s="11"/>
      <c r="F63" s="10" t="str">
        <f>IF(ISBLANK(E63),"",E63+Settings!$B$7)</f>
        <v/>
      </c>
      <c r="G63" s="11"/>
      <c r="H63" s="10" t="str">
        <f t="shared" ca="1" si="1"/>
        <v/>
      </c>
      <c r="I63" s="11"/>
    </row>
    <row r="64" spans="1:9" x14ac:dyDescent="0.25">
      <c r="A64" s="10" t="str">
        <f t="shared" si="0"/>
        <v/>
      </c>
      <c r="B64" s="11"/>
      <c r="C64" s="11"/>
      <c r="D64" s="10" t="str">
        <f>IFERROR(IF(ISBLANK(C64),"",VLOOKUP(C64,Members!$A$2:$B$101,2,FALSE)),"")</f>
        <v/>
      </c>
      <c r="E64" s="11"/>
      <c r="F64" s="10" t="str">
        <f>IF(ISBLANK(E64),"",E64+Settings!$B$7)</f>
        <v/>
      </c>
      <c r="G64" s="11"/>
      <c r="H64" s="10" t="str">
        <f t="shared" ca="1" si="1"/>
        <v/>
      </c>
      <c r="I64" s="11"/>
    </row>
    <row r="65" spans="1:9" x14ac:dyDescent="0.25">
      <c r="A65" s="10" t="str">
        <f t="shared" si="0"/>
        <v/>
      </c>
      <c r="B65" s="11"/>
      <c r="C65" s="11"/>
      <c r="D65" s="10" t="str">
        <f>IFERROR(IF(ISBLANK(C65),"",VLOOKUP(C65,Members!$A$2:$B$101,2,FALSE)),"")</f>
        <v/>
      </c>
      <c r="E65" s="11"/>
      <c r="F65" s="10" t="str">
        <f>IF(ISBLANK(E65),"",E65+Settings!$B$7)</f>
        <v/>
      </c>
      <c r="G65" s="11"/>
      <c r="H65" s="10" t="str">
        <f t="shared" ca="1" si="1"/>
        <v/>
      </c>
      <c r="I65" s="11"/>
    </row>
    <row r="66" spans="1:9" x14ac:dyDescent="0.25">
      <c r="A66" s="10" t="str">
        <f t="shared" ref="A66:A129" si="2">IF(ISBLANK(B66),"",ROW()-1)</f>
        <v/>
      </c>
      <c r="B66" s="11"/>
      <c r="C66" s="11"/>
      <c r="D66" s="10" t="str">
        <f>IFERROR(IF(ISBLANK(C66),"",VLOOKUP(C66,Members!$A$2:$B$101,2,FALSE)),"")</f>
        <v/>
      </c>
      <c r="E66" s="11"/>
      <c r="F66" s="10" t="str">
        <f>IF(ISBLANK(E66),"",E66+Settings!$B$7)</f>
        <v/>
      </c>
      <c r="G66" s="11"/>
      <c r="H66" s="10" t="str">
        <f t="shared" ref="H66:H129" ca="1" si="3">IF(ISBLANK(B66),"",IF(NOT(ISBLANK(G66)),"Returned",IF(TODAY()&gt;F66,"Overdue","Active")))</f>
        <v/>
      </c>
      <c r="I66" s="11"/>
    </row>
    <row r="67" spans="1:9" x14ac:dyDescent="0.25">
      <c r="A67" s="10" t="str">
        <f t="shared" si="2"/>
        <v/>
      </c>
      <c r="B67" s="11"/>
      <c r="C67" s="11"/>
      <c r="D67" s="10" t="str">
        <f>IFERROR(IF(ISBLANK(C67),"",VLOOKUP(C67,Members!$A$2:$B$101,2,FALSE)),"")</f>
        <v/>
      </c>
      <c r="E67" s="11"/>
      <c r="F67" s="10" t="str">
        <f>IF(ISBLANK(E67),"",E67+Settings!$B$7)</f>
        <v/>
      </c>
      <c r="G67" s="11"/>
      <c r="H67" s="10" t="str">
        <f t="shared" ca="1" si="3"/>
        <v/>
      </c>
      <c r="I67" s="11"/>
    </row>
    <row r="68" spans="1:9" x14ac:dyDescent="0.25">
      <c r="A68" s="10" t="str">
        <f t="shared" si="2"/>
        <v/>
      </c>
      <c r="B68" s="11"/>
      <c r="C68" s="11"/>
      <c r="D68" s="10" t="str">
        <f>IFERROR(IF(ISBLANK(C68),"",VLOOKUP(C68,Members!$A$2:$B$101,2,FALSE)),"")</f>
        <v/>
      </c>
      <c r="E68" s="11"/>
      <c r="F68" s="10" t="str">
        <f>IF(ISBLANK(E68),"",E68+Settings!$B$7)</f>
        <v/>
      </c>
      <c r="G68" s="11"/>
      <c r="H68" s="10" t="str">
        <f t="shared" ca="1" si="3"/>
        <v/>
      </c>
      <c r="I68" s="11"/>
    </row>
    <row r="69" spans="1:9" x14ac:dyDescent="0.25">
      <c r="A69" s="10" t="str">
        <f t="shared" si="2"/>
        <v/>
      </c>
      <c r="B69" s="11"/>
      <c r="C69" s="11"/>
      <c r="D69" s="10" t="str">
        <f>IFERROR(IF(ISBLANK(C69),"",VLOOKUP(C69,Members!$A$2:$B$101,2,FALSE)),"")</f>
        <v/>
      </c>
      <c r="E69" s="11"/>
      <c r="F69" s="10" t="str">
        <f>IF(ISBLANK(E69),"",E69+Settings!$B$7)</f>
        <v/>
      </c>
      <c r="G69" s="11"/>
      <c r="H69" s="10" t="str">
        <f t="shared" ca="1" si="3"/>
        <v/>
      </c>
      <c r="I69" s="11"/>
    </row>
    <row r="70" spans="1:9" x14ac:dyDescent="0.25">
      <c r="A70" s="10" t="str">
        <f t="shared" si="2"/>
        <v/>
      </c>
      <c r="B70" s="11"/>
      <c r="C70" s="11"/>
      <c r="D70" s="10" t="str">
        <f>IFERROR(IF(ISBLANK(C70),"",VLOOKUP(C70,Members!$A$2:$B$101,2,FALSE)),"")</f>
        <v/>
      </c>
      <c r="E70" s="11"/>
      <c r="F70" s="10" t="str">
        <f>IF(ISBLANK(E70),"",E70+Settings!$B$7)</f>
        <v/>
      </c>
      <c r="G70" s="11"/>
      <c r="H70" s="10" t="str">
        <f t="shared" ca="1" si="3"/>
        <v/>
      </c>
      <c r="I70" s="11"/>
    </row>
    <row r="71" spans="1:9" x14ac:dyDescent="0.25">
      <c r="A71" s="10" t="str">
        <f t="shared" si="2"/>
        <v/>
      </c>
      <c r="B71" s="11"/>
      <c r="C71" s="11"/>
      <c r="D71" s="10" t="str">
        <f>IFERROR(IF(ISBLANK(C71),"",VLOOKUP(C71,Members!$A$2:$B$101,2,FALSE)),"")</f>
        <v/>
      </c>
      <c r="E71" s="11"/>
      <c r="F71" s="10" t="str">
        <f>IF(ISBLANK(E71),"",E71+Settings!$B$7)</f>
        <v/>
      </c>
      <c r="G71" s="11"/>
      <c r="H71" s="10" t="str">
        <f t="shared" ca="1" si="3"/>
        <v/>
      </c>
      <c r="I71" s="11"/>
    </row>
    <row r="72" spans="1:9" x14ac:dyDescent="0.25">
      <c r="A72" s="10" t="str">
        <f t="shared" si="2"/>
        <v/>
      </c>
      <c r="B72" s="11"/>
      <c r="C72" s="11"/>
      <c r="D72" s="10" t="str">
        <f>IFERROR(IF(ISBLANK(C72),"",VLOOKUP(C72,Members!$A$2:$B$101,2,FALSE)),"")</f>
        <v/>
      </c>
      <c r="E72" s="11"/>
      <c r="F72" s="10" t="str">
        <f>IF(ISBLANK(E72),"",E72+Settings!$B$7)</f>
        <v/>
      </c>
      <c r="G72" s="11"/>
      <c r="H72" s="10" t="str">
        <f t="shared" ca="1" si="3"/>
        <v/>
      </c>
      <c r="I72" s="11"/>
    </row>
    <row r="73" spans="1:9" x14ac:dyDescent="0.25">
      <c r="A73" s="10" t="str">
        <f t="shared" si="2"/>
        <v/>
      </c>
      <c r="B73" s="11"/>
      <c r="C73" s="11"/>
      <c r="D73" s="10" t="str">
        <f>IFERROR(IF(ISBLANK(C73),"",VLOOKUP(C73,Members!$A$2:$B$101,2,FALSE)),"")</f>
        <v/>
      </c>
      <c r="E73" s="11"/>
      <c r="F73" s="10" t="str">
        <f>IF(ISBLANK(E73),"",E73+Settings!$B$7)</f>
        <v/>
      </c>
      <c r="G73" s="11"/>
      <c r="H73" s="10" t="str">
        <f t="shared" ca="1" si="3"/>
        <v/>
      </c>
      <c r="I73" s="11"/>
    </row>
    <row r="74" spans="1:9" x14ac:dyDescent="0.25">
      <c r="A74" s="10" t="str">
        <f t="shared" si="2"/>
        <v/>
      </c>
      <c r="B74" s="11"/>
      <c r="C74" s="11"/>
      <c r="D74" s="10" t="str">
        <f>IFERROR(IF(ISBLANK(C74),"",VLOOKUP(C74,Members!$A$2:$B$101,2,FALSE)),"")</f>
        <v/>
      </c>
      <c r="E74" s="11"/>
      <c r="F74" s="10" t="str">
        <f>IF(ISBLANK(E74),"",E74+Settings!$B$7)</f>
        <v/>
      </c>
      <c r="G74" s="11"/>
      <c r="H74" s="10" t="str">
        <f t="shared" ca="1" si="3"/>
        <v/>
      </c>
      <c r="I74" s="11"/>
    </row>
    <row r="75" spans="1:9" x14ac:dyDescent="0.25">
      <c r="A75" s="10" t="str">
        <f t="shared" si="2"/>
        <v/>
      </c>
      <c r="B75" s="11"/>
      <c r="C75" s="11"/>
      <c r="D75" s="10" t="str">
        <f>IFERROR(IF(ISBLANK(C75),"",VLOOKUP(C75,Members!$A$2:$B$101,2,FALSE)),"")</f>
        <v/>
      </c>
      <c r="E75" s="11"/>
      <c r="F75" s="10" t="str">
        <f>IF(ISBLANK(E75),"",E75+Settings!$B$7)</f>
        <v/>
      </c>
      <c r="G75" s="11"/>
      <c r="H75" s="10" t="str">
        <f t="shared" ca="1" si="3"/>
        <v/>
      </c>
      <c r="I75" s="11"/>
    </row>
    <row r="76" spans="1:9" x14ac:dyDescent="0.25">
      <c r="A76" s="10" t="str">
        <f t="shared" si="2"/>
        <v/>
      </c>
      <c r="B76" s="11"/>
      <c r="C76" s="11"/>
      <c r="D76" s="10" t="str">
        <f>IFERROR(IF(ISBLANK(C76),"",VLOOKUP(C76,Members!$A$2:$B$101,2,FALSE)),"")</f>
        <v/>
      </c>
      <c r="E76" s="11"/>
      <c r="F76" s="10" t="str">
        <f>IF(ISBLANK(E76),"",E76+Settings!$B$7)</f>
        <v/>
      </c>
      <c r="G76" s="11"/>
      <c r="H76" s="10" t="str">
        <f t="shared" ca="1" si="3"/>
        <v/>
      </c>
      <c r="I76" s="11"/>
    </row>
    <row r="77" spans="1:9" x14ac:dyDescent="0.25">
      <c r="A77" s="10" t="str">
        <f t="shared" si="2"/>
        <v/>
      </c>
      <c r="B77" s="11"/>
      <c r="C77" s="11"/>
      <c r="D77" s="10" t="str">
        <f>IFERROR(IF(ISBLANK(C77),"",VLOOKUP(C77,Members!$A$2:$B$101,2,FALSE)),"")</f>
        <v/>
      </c>
      <c r="E77" s="11"/>
      <c r="F77" s="10" t="str">
        <f>IF(ISBLANK(E77),"",E77+Settings!$B$7)</f>
        <v/>
      </c>
      <c r="G77" s="11"/>
      <c r="H77" s="10" t="str">
        <f t="shared" ca="1" si="3"/>
        <v/>
      </c>
      <c r="I77" s="11"/>
    </row>
    <row r="78" spans="1:9" x14ac:dyDescent="0.25">
      <c r="A78" s="10" t="str">
        <f t="shared" si="2"/>
        <v/>
      </c>
      <c r="B78" s="11"/>
      <c r="C78" s="11"/>
      <c r="D78" s="10" t="str">
        <f>IFERROR(IF(ISBLANK(C78),"",VLOOKUP(C78,Members!$A$2:$B$101,2,FALSE)),"")</f>
        <v/>
      </c>
      <c r="E78" s="11"/>
      <c r="F78" s="10" t="str">
        <f>IF(ISBLANK(E78),"",E78+Settings!$B$7)</f>
        <v/>
      </c>
      <c r="G78" s="11"/>
      <c r="H78" s="10" t="str">
        <f t="shared" ca="1" si="3"/>
        <v/>
      </c>
      <c r="I78" s="11"/>
    </row>
    <row r="79" spans="1:9" x14ac:dyDescent="0.25">
      <c r="A79" s="10" t="str">
        <f t="shared" si="2"/>
        <v/>
      </c>
      <c r="B79" s="11"/>
      <c r="C79" s="11"/>
      <c r="D79" s="10" t="str">
        <f>IFERROR(IF(ISBLANK(C79),"",VLOOKUP(C79,Members!$A$2:$B$101,2,FALSE)),"")</f>
        <v/>
      </c>
      <c r="E79" s="11"/>
      <c r="F79" s="10" t="str">
        <f>IF(ISBLANK(E79),"",E79+Settings!$B$7)</f>
        <v/>
      </c>
      <c r="G79" s="11"/>
      <c r="H79" s="10" t="str">
        <f t="shared" ca="1" si="3"/>
        <v/>
      </c>
      <c r="I79" s="11"/>
    </row>
    <row r="80" spans="1:9" x14ac:dyDescent="0.25">
      <c r="A80" s="10" t="str">
        <f t="shared" si="2"/>
        <v/>
      </c>
      <c r="B80" s="11"/>
      <c r="C80" s="11"/>
      <c r="D80" s="10" t="str">
        <f>IFERROR(IF(ISBLANK(C80),"",VLOOKUP(C80,Members!$A$2:$B$101,2,FALSE)),"")</f>
        <v/>
      </c>
      <c r="E80" s="11"/>
      <c r="F80" s="10" t="str">
        <f>IF(ISBLANK(E80),"",E80+Settings!$B$7)</f>
        <v/>
      </c>
      <c r="G80" s="11"/>
      <c r="H80" s="10" t="str">
        <f t="shared" ca="1" si="3"/>
        <v/>
      </c>
      <c r="I80" s="11"/>
    </row>
    <row r="81" spans="1:9" x14ac:dyDescent="0.25">
      <c r="A81" s="10" t="str">
        <f t="shared" si="2"/>
        <v/>
      </c>
      <c r="B81" s="11"/>
      <c r="C81" s="11"/>
      <c r="D81" s="10" t="str">
        <f>IFERROR(IF(ISBLANK(C81),"",VLOOKUP(C81,Members!$A$2:$B$101,2,FALSE)),"")</f>
        <v/>
      </c>
      <c r="E81" s="11"/>
      <c r="F81" s="10" t="str">
        <f>IF(ISBLANK(E81),"",E81+Settings!$B$7)</f>
        <v/>
      </c>
      <c r="G81" s="11"/>
      <c r="H81" s="10" t="str">
        <f t="shared" ca="1" si="3"/>
        <v/>
      </c>
      <c r="I81" s="11"/>
    </row>
    <row r="82" spans="1:9" x14ac:dyDescent="0.25">
      <c r="A82" s="10" t="str">
        <f t="shared" si="2"/>
        <v/>
      </c>
      <c r="B82" s="11"/>
      <c r="C82" s="11"/>
      <c r="D82" s="10" t="str">
        <f>IFERROR(IF(ISBLANK(C82),"",VLOOKUP(C82,Members!$A$2:$B$101,2,FALSE)),"")</f>
        <v/>
      </c>
      <c r="E82" s="11"/>
      <c r="F82" s="10" t="str">
        <f>IF(ISBLANK(E82),"",E82+Settings!$B$7)</f>
        <v/>
      </c>
      <c r="G82" s="11"/>
      <c r="H82" s="10" t="str">
        <f t="shared" ca="1" si="3"/>
        <v/>
      </c>
      <c r="I82" s="11"/>
    </row>
    <row r="83" spans="1:9" x14ac:dyDescent="0.25">
      <c r="A83" s="10" t="str">
        <f t="shared" si="2"/>
        <v/>
      </c>
      <c r="B83" s="11"/>
      <c r="C83" s="11"/>
      <c r="D83" s="10" t="str">
        <f>IFERROR(IF(ISBLANK(C83),"",VLOOKUP(C83,Members!$A$2:$B$101,2,FALSE)),"")</f>
        <v/>
      </c>
      <c r="E83" s="11"/>
      <c r="F83" s="10" t="str">
        <f>IF(ISBLANK(E83),"",E83+Settings!$B$7)</f>
        <v/>
      </c>
      <c r="G83" s="11"/>
      <c r="H83" s="10" t="str">
        <f t="shared" ca="1" si="3"/>
        <v/>
      </c>
      <c r="I83" s="11"/>
    </row>
    <row r="84" spans="1:9" x14ac:dyDescent="0.25">
      <c r="A84" s="10" t="str">
        <f t="shared" si="2"/>
        <v/>
      </c>
      <c r="B84" s="11"/>
      <c r="C84" s="11"/>
      <c r="D84" s="10" t="str">
        <f>IFERROR(IF(ISBLANK(C84),"",VLOOKUP(C84,Members!$A$2:$B$101,2,FALSE)),"")</f>
        <v/>
      </c>
      <c r="E84" s="11"/>
      <c r="F84" s="10" t="str">
        <f>IF(ISBLANK(E84),"",E84+Settings!$B$7)</f>
        <v/>
      </c>
      <c r="G84" s="11"/>
      <c r="H84" s="10" t="str">
        <f t="shared" ca="1" si="3"/>
        <v/>
      </c>
      <c r="I84" s="11"/>
    </row>
    <row r="85" spans="1:9" x14ac:dyDescent="0.25">
      <c r="A85" s="10" t="str">
        <f t="shared" si="2"/>
        <v/>
      </c>
      <c r="B85" s="11"/>
      <c r="C85" s="11"/>
      <c r="D85" s="10" t="str">
        <f>IFERROR(IF(ISBLANK(C85),"",VLOOKUP(C85,Members!$A$2:$B$101,2,FALSE)),"")</f>
        <v/>
      </c>
      <c r="E85" s="11"/>
      <c r="F85" s="10" t="str">
        <f>IF(ISBLANK(E85),"",E85+Settings!$B$7)</f>
        <v/>
      </c>
      <c r="G85" s="11"/>
      <c r="H85" s="10" t="str">
        <f t="shared" ca="1" si="3"/>
        <v/>
      </c>
      <c r="I85" s="11"/>
    </row>
    <row r="86" spans="1:9" x14ac:dyDescent="0.25">
      <c r="A86" s="10" t="str">
        <f t="shared" si="2"/>
        <v/>
      </c>
      <c r="B86" s="11"/>
      <c r="C86" s="11"/>
      <c r="D86" s="10" t="str">
        <f>IFERROR(IF(ISBLANK(C86),"",VLOOKUP(C86,Members!$A$2:$B$101,2,FALSE)),"")</f>
        <v/>
      </c>
      <c r="E86" s="11"/>
      <c r="F86" s="10" t="str">
        <f>IF(ISBLANK(E86),"",E86+Settings!$B$7)</f>
        <v/>
      </c>
      <c r="G86" s="11"/>
      <c r="H86" s="10" t="str">
        <f t="shared" ca="1" si="3"/>
        <v/>
      </c>
      <c r="I86" s="11"/>
    </row>
    <row r="87" spans="1:9" x14ac:dyDescent="0.25">
      <c r="A87" s="10" t="str">
        <f t="shared" si="2"/>
        <v/>
      </c>
      <c r="B87" s="11"/>
      <c r="C87" s="11"/>
      <c r="D87" s="10" t="str">
        <f>IFERROR(IF(ISBLANK(C87),"",VLOOKUP(C87,Members!$A$2:$B$101,2,FALSE)),"")</f>
        <v/>
      </c>
      <c r="E87" s="11"/>
      <c r="F87" s="10" t="str">
        <f>IF(ISBLANK(E87),"",E87+Settings!$B$7)</f>
        <v/>
      </c>
      <c r="G87" s="11"/>
      <c r="H87" s="10" t="str">
        <f t="shared" ca="1" si="3"/>
        <v/>
      </c>
      <c r="I87" s="11"/>
    </row>
    <row r="88" spans="1:9" x14ac:dyDescent="0.25">
      <c r="A88" s="10" t="str">
        <f t="shared" si="2"/>
        <v/>
      </c>
      <c r="B88" s="11"/>
      <c r="C88" s="11"/>
      <c r="D88" s="10" t="str">
        <f>IFERROR(IF(ISBLANK(C88),"",VLOOKUP(C88,Members!$A$2:$B$101,2,FALSE)),"")</f>
        <v/>
      </c>
      <c r="E88" s="11"/>
      <c r="F88" s="10" t="str">
        <f>IF(ISBLANK(E88),"",E88+Settings!$B$7)</f>
        <v/>
      </c>
      <c r="G88" s="11"/>
      <c r="H88" s="10" t="str">
        <f t="shared" ca="1" si="3"/>
        <v/>
      </c>
      <c r="I88" s="11"/>
    </row>
    <row r="89" spans="1:9" x14ac:dyDescent="0.25">
      <c r="A89" s="10" t="str">
        <f t="shared" si="2"/>
        <v/>
      </c>
      <c r="B89" s="11"/>
      <c r="C89" s="11"/>
      <c r="D89" s="10" t="str">
        <f>IFERROR(IF(ISBLANK(C89),"",VLOOKUP(C89,Members!$A$2:$B$101,2,FALSE)),"")</f>
        <v/>
      </c>
      <c r="E89" s="11"/>
      <c r="F89" s="10" t="str">
        <f>IF(ISBLANK(E89),"",E89+Settings!$B$7)</f>
        <v/>
      </c>
      <c r="G89" s="11"/>
      <c r="H89" s="10" t="str">
        <f t="shared" ca="1" si="3"/>
        <v/>
      </c>
      <c r="I89" s="11"/>
    </row>
    <row r="90" spans="1:9" x14ac:dyDescent="0.25">
      <c r="A90" s="10" t="str">
        <f t="shared" si="2"/>
        <v/>
      </c>
      <c r="B90" s="11"/>
      <c r="C90" s="11"/>
      <c r="D90" s="10" t="str">
        <f>IFERROR(IF(ISBLANK(C90),"",VLOOKUP(C90,Members!$A$2:$B$101,2,FALSE)),"")</f>
        <v/>
      </c>
      <c r="E90" s="11"/>
      <c r="F90" s="10" t="str">
        <f>IF(ISBLANK(E90),"",E90+Settings!$B$7)</f>
        <v/>
      </c>
      <c r="G90" s="11"/>
      <c r="H90" s="10" t="str">
        <f t="shared" ca="1" si="3"/>
        <v/>
      </c>
      <c r="I90" s="11"/>
    </row>
    <row r="91" spans="1:9" x14ac:dyDescent="0.25">
      <c r="A91" s="10" t="str">
        <f t="shared" si="2"/>
        <v/>
      </c>
      <c r="B91" s="11"/>
      <c r="C91" s="11"/>
      <c r="D91" s="10" t="str">
        <f>IFERROR(IF(ISBLANK(C91),"",VLOOKUP(C91,Members!$A$2:$B$101,2,FALSE)),"")</f>
        <v/>
      </c>
      <c r="E91" s="11"/>
      <c r="F91" s="10" t="str">
        <f>IF(ISBLANK(E91),"",E91+Settings!$B$7)</f>
        <v/>
      </c>
      <c r="G91" s="11"/>
      <c r="H91" s="10" t="str">
        <f t="shared" ca="1" si="3"/>
        <v/>
      </c>
      <c r="I91" s="11"/>
    </row>
    <row r="92" spans="1:9" x14ac:dyDescent="0.25">
      <c r="A92" s="10" t="str">
        <f t="shared" si="2"/>
        <v/>
      </c>
      <c r="B92" s="11"/>
      <c r="C92" s="11"/>
      <c r="D92" s="10" t="str">
        <f>IFERROR(IF(ISBLANK(C92),"",VLOOKUP(C92,Members!$A$2:$B$101,2,FALSE)),"")</f>
        <v/>
      </c>
      <c r="E92" s="11"/>
      <c r="F92" s="10" t="str">
        <f>IF(ISBLANK(E92),"",E92+Settings!$B$7)</f>
        <v/>
      </c>
      <c r="G92" s="11"/>
      <c r="H92" s="10" t="str">
        <f t="shared" ca="1" si="3"/>
        <v/>
      </c>
      <c r="I92" s="11"/>
    </row>
    <row r="93" spans="1:9" x14ac:dyDescent="0.25">
      <c r="A93" s="10" t="str">
        <f t="shared" si="2"/>
        <v/>
      </c>
      <c r="B93" s="11"/>
      <c r="C93" s="11"/>
      <c r="D93" s="10" t="str">
        <f>IFERROR(IF(ISBLANK(C93),"",VLOOKUP(C93,Members!$A$2:$B$101,2,FALSE)),"")</f>
        <v/>
      </c>
      <c r="E93" s="11"/>
      <c r="F93" s="10" t="str">
        <f>IF(ISBLANK(E93),"",E93+Settings!$B$7)</f>
        <v/>
      </c>
      <c r="G93" s="11"/>
      <c r="H93" s="10" t="str">
        <f t="shared" ca="1" si="3"/>
        <v/>
      </c>
      <c r="I93" s="11"/>
    </row>
    <row r="94" spans="1:9" x14ac:dyDescent="0.25">
      <c r="A94" s="10" t="str">
        <f t="shared" si="2"/>
        <v/>
      </c>
      <c r="B94" s="11"/>
      <c r="C94" s="11"/>
      <c r="D94" s="10" t="str">
        <f>IFERROR(IF(ISBLANK(C94),"",VLOOKUP(C94,Members!$A$2:$B$101,2,FALSE)),"")</f>
        <v/>
      </c>
      <c r="E94" s="11"/>
      <c r="F94" s="10" t="str">
        <f>IF(ISBLANK(E94),"",E94+Settings!$B$7)</f>
        <v/>
      </c>
      <c r="G94" s="11"/>
      <c r="H94" s="10" t="str">
        <f t="shared" ca="1" si="3"/>
        <v/>
      </c>
      <c r="I94" s="11"/>
    </row>
    <row r="95" spans="1:9" x14ac:dyDescent="0.25">
      <c r="A95" s="10" t="str">
        <f t="shared" si="2"/>
        <v/>
      </c>
      <c r="B95" s="11"/>
      <c r="C95" s="11"/>
      <c r="D95" s="10" t="str">
        <f>IFERROR(IF(ISBLANK(C95),"",VLOOKUP(C95,Members!$A$2:$B$101,2,FALSE)),"")</f>
        <v/>
      </c>
      <c r="E95" s="11"/>
      <c r="F95" s="10" t="str">
        <f>IF(ISBLANK(E95),"",E95+Settings!$B$7)</f>
        <v/>
      </c>
      <c r="G95" s="11"/>
      <c r="H95" s="10" t="str">
        <f t="shared" ca="1" si="3"/>
        <v/>
      </c>
      <c r="I95" s="11"/>
    </row>
    <row r="96" spans="1:9" x14ac:dyDescent="0.25">
      <c r="A96" s="10" t="str">
        <f t="shared" si="2"/>
        <v/>
      </c>
      <c r="B96" s="11"/>
      <c r="C96" s="11"/>
      <c r="D96" s="10" t="str">
        <f>IFERROR(IF(ISBLANK(C96),"",VLOOKUP(C96,Members!$A$2:$B$101,2,FALSE)),"")</f>
        <v/>
      </c>
      <c r="E96" s="11"/>
      <c r="F96" s="10" t="str">
        <f>IF(ISBLANK(E96),"",E96+Settings!$B$7)</f>
        <v/>
      </c>
      <c r="G96" s="11"/>
      <c r="H96" s="10" t="str">
        <f t="shared" ca="1" si="3"/>
        <v/>
      </c>
      <c r="I96" s="11"/>
    </row>
    <row r="97" spans="1:9" x14ac:dyDescent="0.25">
      <c r="A97" s="10" t="str">
        <f t="shared" si="2"/>
        <v/>
      </c>
      <c r="B97" s="11"/>
      <c r="C97" s="11"/>
      <c r="D97" s="10" t="str">
        <f>IFERROR(IF(ISBLANK(C97),"",VLOOKUP(C97,Members!$A$2:$B$101,2,FALSE)),"")</f>
        <v/>
      </c>
      <c r="E97" s="11"/>
      <c r="F97" s="10" t="str">
        <f>IF(ISBLANK(E97),"",E97+Settings!$B$7)</f>
        <v/>
      </c>
      <c r="G97" s="11"/>
      <c r="H97" s="10" t="str">
        <f t="shared" ca="1" si="3"/>
        <v/>
      </c>
      <c r="I97" s="11"/>
    </row>
    <row r="98" spans="1:9" x14ac:dyDescent="0.25">
      <c r="A98" s="10" t="str">
        <f t="shared" si="2"/>
        <v/>
      </c>
      <c r="B98" s="11"/>
      <c r="C98" s="11"/>
      <c r="D98" s="10" t="str">
        <f>IFERROR(IF(ISBLANK(C98),"",VLOOKUP(C98,Members!$A$2:$B$101,2,FALSE)),"")</f>
        <v/>
      </c>
      <c r="E98" s="11"/>
      <c r="F98" s="10" t="str">
        <f>IF(ISBLANK(E98),"",E98+Settings!$B$7)</f>
        <v/>
      </c>
      <c r="G98" s="11"/>
      <c r="H98" s="10" t="str">
        <f t="shared" ca="1" si="3"/>
        <v/>
      </c>
      <c r="I98" s="11"/>
    </row>
    <row r="99" spans="1:9" x14ac:dyDescent="0.25">
      <c r="A99" s="10" t="str">
        <f t="shared" si="2"/>
        <v/>
      </c>
      <c r="B99" s="11"/>
      <c r="C99" s="11"/>
      <c r="D99" s="10" t="str">
        <f>IFERROR(IF(ISBLANK(C99),"",VLOOKUP(C99,Members!$A$2:$B$101,2,FALSE)),"")</f>
        <v/>
      </c>
      <c r="E99" s="11"/>
      <c r="F99" s="10" t="str">
        <f>IF(ISBLANK(E99),"",E99+Settings!$B$7)</f>
        <v/>
      </c>
      <c r="G99" s="11"/>
      <c r="H99" s="10" t="str">
        <f t="shared" ca="1" si="3"/>
        <v/>
      </c>
      <c r="I99" s="11"/>
    </row>
    <row r="100" spans="1:9" x14ac:dyDescent="0.25">
      <c r="A100" s="10" t="str">
        <f t="shared" si="2"/>
        <v/>
      </c>
      <c r="B100" s="11"/>
      <c r="C100" s="11"/>
      <c r="D100" s="10" t="str">
        <f>IFERROR(IF(ISBLANK(C100),"",VLOOKUP(C100,Members!$A$2:$B$101,2,FALSE)),"")</f>
        <v/>
      </c>
      <c r="E100" s="11"/>
      <c r="F100" s="10" t="str">
        <f>IF(ISBLANK(E100),"",E100+Settings!$B$7)</f>
        <v/>
      </c>
      <c r="G100" s="11"/>
      <c r="H100" s="10" t="str">
        <f t="shared" ca="1" si="3"/>
        <v/>
      </c>
      <c r="I100" s="11"/>
    </row>
    <row r="101" spans="1:9" x14ac:dyDescent="0.25">
      <c r="A101" s="10" t="str">
        <f t="shared" si="2"/>
        <v/>
      </c>
      <c r="B101" s="11"/>
      <c r="C101" s="11"/>
      <c r="D101" s="10" t="str">
        <f>IFERROR(IF(ISBLANK(C101),"",VLOOKUP(C101,Members!$A$2:$B$101,2,FALSE)),"")</f>
        <v/>
      </c>
      <c r="E101" s="11"/>
      <c r="F101" s="10" t="str">
        <f>IF(ISBLANK(E101),"",E101+Settings!$B$7)</f>
        <v/>
      </c>
      <c r="G101" s="11"/>
      <c r="H101" s="10" t="str">
        <f t="shared" ca="1" si="3"/>
        <v/>
      </c>
      <c r="I101" s="11"/>
    </row>
    <row r="102" spans="1:9" x14ac:dyDescent="0.25">
      <c r="A102" s="10" t="str">
        <f t="shared" si="2"/>
        <v/>
      </c>
      <c r="B102" s="11"/>
      <c r="C102" s="11"/>
      <c r="D102" s="10" t="str">
        <f>IFERROR(IF(ISBLANK(C102),"",VLOOKUP(C102,Members!$A$2:$B$101,2,FALSE)),"")</f>
        <v/>
      </c>
      <c r="E102" s="11"/>
      <c r="F102" s="10" t="str">
        <f>IF(ISBLANK(E102),"",E102+Settings!$B$7)</f>
        <v/>
      </c>
      <c r="G102" s="11"/>
      <c r="H102" s="10" t="str">
        <f t="shared" ca="1" si="3"/>
        <v/>
      </c>
      <c r="I102" s="11"/>
    </row>
    <row r="103" spans="1:9" x14ac:dyDescent="0.25">
      <c r="A103" s="10" t="str">
        <f t="shared" si="2"/>
        <v/>
      </c>
      <c r="B103" s="11"/>
      <c r="C103" s="11"/>
      <c r="D103" s="10" t="str">
        <f>IFERROR(IF(ISBLANK(C103),"",VLOOKUP(C103,Members!$A$2:$B$101,2,FALSE)),"")</f>
        <v/>
      </c>
      <c r="E103" s="11"/>
      <c r="F103" s="10" t="str">
        <f>IF(ISBLANK(E103),"",E103+Settings!$B$7)</f>
        <v/>
      </c>
      <c r="G103" s="11"/>
      <c r="H103" s="10" t="str">
        <f t="shared" ca="1" si="3"/>
        <v/>
      </c>
      <c r="I103" s="11"/>
    </row>
    <row r="104" spans="1:9" x14ac:dyDescent="0.25">
      <c r="A104" s="10" t="str">
        <f t="shared" si="2"/>
        <v/>
      </c>
      <c r="B104" s="11"/>
      <c r="C104" s="11"/>
      <c r="D104" s="10" t="str">
        <f>IFERROR(IF(ISBLANK(C104),"",VLOOKUP(C104,Members!$A$2:$B$101,2,FALSE)),"")</f>
        <v/>
      </c>
      <c r="E104" s="11"/>
      <c r="F104" s="10" t="str">
        <f>IF(ISBLANK(E104),"",E104+Settings!$B$7)</f>
        <v/>
      </c>
      <c r="G104" s="11"/>
      <c r="H104" s="10" t="str">
        <f t="shared" ca="1" si="3"/>
        <v/>
      </c>
      <c r="I104" s="11"/>
    </row>
    <row r="105" spans="1:9" x14ac:dyDescent="0.25">
      <c r="A105" s="10" t="str">
        <f t="shared" si="2"/>
        <v/>
      </c>
      <c r="B105" s="11"/>
      <c r="C105" s="11"/>
      <c r="D105" s="10" t="str">
        <f>IFERROR(IF(ISBLANK(C105),"",VLOOKUP(C105,Members!$A$2:$B$101,2,FALSE)),"")</f>
        <v/>
      </c>
      <c r="E105" s="11"/>
      <c r="F105" s="10" t="str">
        <f>IF(ISBLANK(E105),"",E105+Settings!$B$7)</f>
        <v/>
      </c>
      <c r="G105" s="11"/>
      <c r="H105" s="10" t="str">
        <f t="shared" ca="1" si="3"/>
        <v/>
      </c>
      <c r="I105" s="11"/>
    </row>
    <row r="106" spans="1:9" x14ac:dyDescent="0.25">
      <c r="A106" s="10" t="str">
        <f t="shared" si="2"/>
        <v/>
      </c>
      <c r="B106" s="11"/>
      <c r="C106" s="11"/>
      <c r="D106" s="10" t="str">
        <f>IFERROR(IF(ISBLANK(C106),"",VLOOKUP(C106,Members!$A$2:$B$101,2,FALSE)),"")</f>
        <v/>
      </c>
      <c r="E106" s="11"/>
      <c r="F106" s="10" t="str">
        <f>IF(ISBLANK(E106),"",E106+Settings!$B$7)</f>
        <v/>
      </c>
      <c r="G106" s="11"/>
      <c r="H106" s="10" t="str">
        <f t="shared" ca="1" si="3"/>
        <v/>
      </c>
      <c r="I106" s="11"/>
    </row>
    <row r="107" spans="1:9" x14ac:dyDescent="0.25">
      <c r="A107" s="10" t="str">
        <f t="shared" si="2"/>
        <v/>
      </c>
      <c r="B107" s="11"/>
      <c r="C107" s="11"/>
      <c r="D107" s="10" t="str">
        <f>IFERROR(IF(ISBLANK(C107),"",VLOOKUP(C107,Members!$A$2:$B$101,2,FALSE)),"")</f>
        <v/>
      </c>
      <c r="E107" s="11"/>
      <c r="F107" s="10" t="str">
        <f>IF(ISBLANK(E107),"",E107+Settings!$B$7)</f>
        <v/>
      </c>
      <c r="G107" s="11"/>
      <c r="H107" s="10" t="str">
        <f t="shared" ca="1" si="3"/>
        <v/>
      </c>
      <c r="I107" s="11"/>
    </row>
    <row r="108" spans="1:9" x14ac:dyDescent="0.25">
      <c r="A108" s="10" t="str">
        <f t="shared" si="2"/>
        <v/>
      </c>
      <c r="B108" s="11"/>
      <c r="C108" s="11"/>
      <c r="D108" s="10" t="str">
        <f>IFERROR(IF(ISBLANK(C108),"",VLOOKUP(C108,Members!$A$2:$B$101,2,FALSE)),"")</f>
        <v/>
      </c>
      <c r="E108" s="11"/>
      <c r="F108" s="10" t="str">
        <f>IF(ISBLANK(E108),"",E108+Settings!$B$7)</f>
        <v/>
      </c>
      <c r="G108" s="11"/>
      <c r="H108" s="10" t="str">
        <f t="shared" ca="1" si="3"/>
        <v/>
      </c>
      <c r="I108" s="11"/>
    </row>
    <row r="109" spans="1:9" x14ac:dyDescent="0.25">
      <c r="A109" s="10" t="str">
        <f t="shared" si="2"/>
        <v/>
      </c>
      <c r="B109" s="11"/>
      <c r="C109" s="11"/>
      <c r="D109" s="10" t="str">
        <f>IFERROR(IF(ISBLANK(C109),"",VLOOKUP(C109,Members!$A$2:$B$101,2,FALSE)),"")</f>
        <v/>
      </c>
      <c r="E109" s="11"/>
      <c r="F109" s="10" t="str">
        <f>IF(ISBLANK(E109),"",E109+Settings!$B$7)</f>
        <v/>
      </c>
      <c r="G109" s="11"/>
      <c r="H109" s="10" t="str">
        <f t="shared" ca="1" si="3"/>
        <v/>
      </c>
      <c r="I109" s="11"/>
    </row>
    <row r="110" spans="1:9" x14ac:dyDescent="0.25">
      <c r="A110" s="10" t="str">
        <f t="shared" si="2"/>
        <v/>
      </c>
      <c r="B110" s="11"/>
      <c r="C110" s="11"/>
      <c r="D110" s="10" t="str">
        <f>IFERROR(IF(ISBLANK(C110),"",VLOOKUP(C110,Members!$A$2:$B$101,2,FALSE)),"")</f>
        <v/>
      </c>
      <c r="E110" s="11"/>
      <c r="F110" s="10" t="str">
        <f>IF(ISBLANK(E110),"",E110+Settings!$B$7)</f>
        <v/>
      </c>
      <c r="G110" s="11"/>
      <c r="H110" s="10" t="str">
        <f t="shared" ca="1" si="3"/>
        <v/>
      </c>
      <c r="I110" s="11"/>
    </row>
    <row r="111" spans="1:9" x14ac:dyDescent="0.25">
      <c r="A111" s="10" t="str">
        <f t="shared" si="2"/>
        <v/>
      </c>
      <c r="B111" s="11"/>
      <c r="C111" s="11"/>
      <c r="D111" s="10" t="str">
        <f>IFERROR(IF(ISBLANK(C111),"",VLOOKUP(C111,Members!$A$2:$B$101,2,FALSE)),"")</f>
        <v/>
      </c>
      <c r="E111" s="11"/>
      <c r="F111" s="10" t="str">
        <f>IF(ISBLANK(E111),"",E111+Settings!$B$7)</f>
        <v/>
      </c>
      <c r="G111" s="11"/>
      <c r="H111" s="10" t="str">
        <f t="shared" ca="1" si="3"/>
        <v/>
      </c>
      <c r="I111" s="11"/>
    </row>
    <row r="112" spans="1:9" x14ac:dyDescent="0.25">
      <c r="A112" s="10" t="str">
        <f t="shared" si="2"/>
        <v/>
      </c>
      <c r="B112" s="11"/>
      <c r="C112" s="11"/>
      <c r="D112" s="10" t="str">
        <f>IFERROR(IF(ISBLANK(C112),"",VLOOKUP(C112,Members!$A$2:$B$101,2,FALSE)),"")</f>
        <v/>
      </c>
      <c r="E112" s="11"/>
      <c r="F112" s="10" t="str">
        <f>IF(ISBLANK(E112),"",E112+Settings!$B$7)</f>
        <v/>
      </c>
      <c r="G112" s="11"/>
      <c r="H112" s="10" t="str">
        <f t="shared" ca="1" si="3"/>
        <v/>
      </c>
      <c r="I112" s="11"/>
    </row>
    <row r="113" spans="1:9" x14ac:dyDescent="0.25">
      <c r="A113" s="10" t="str">
        <f t="shared" si="2"/>
        <v/>
      </c>
      <c r="B113" s="11"/>
      <c r="C113" s="11"/>
      <c r="D113" s="10" t="str">
        <f>IFERROR(IF(ISBLANK(C113),"",VLOOKUP(C113,Members!$A$2:$B$101,2,FALSE)),"")</f>
        <v/>
      </c>
      <c r="E113" s="11"/>
      <c r="F113" s="10" t="str">
        <f>IF(ISBLANK(E113),"",E113+Settings!$B$7)</f>
        <v/>
      </c>
      <c r="G113" s="11"/>
      <c r="H113" s="10" t="str">
        <f t="shared" ca="1" si="3"/>
        <v/>
      </c>
      <c r="I113" s="11"/>
    </row>
    <row r="114" spans="1:9" x14ac:dyDescent="0.25">
      <c r="A114" s="10" t="str">
        <f t="shared" si="2"/>
        <v/>
      </c>
      <c r="B114" s="11"/>
      <c r="C114" s="11"/>
      <c r="D114" s="10" t="str">
        <f>IFERROR(IF(ISBLANK(C114),"",VLOOKUP(C114,Members!$A$2:$B$101,2,FALSE)),"")</f>
        <v/>
      </c>
      <c r="E114" s="11"/>
      <c r="F114" s="10" t="str">
        <f>IF(ISBLANK(E114),"",E114+Settings!$B$7)</f>
        <v/>
      </c>
      <c r="G114" s="11"/>
      <c r="H114" s="10" t="str">
        <f t="shared" ca="1" si="3"/>
        <v/>
      </c>
      <c r="I114" s="11"/>
    </row>
    <row r="115" spans="1:9" x14ac:dyDescent="0.25">
      <c r="A115" s="10" t="str">
        <f t="shared" si="2"/>
        <v/>
      </c>
      <c r="B115" s="11"/>
      <c r="C115" s="11"/>
      <c r="D115" s="10" t="str">
        <f>IFERROR(IF(ISBLANK(C115),"",VLOOKUP(C115,Members!$A$2:$B$101,2,FALSE)),"")</f>
        <v/>
      </c>
      <c r="E115" s="11"/>
      <c r="F115" s="10" t="str">
        <f>IF(ISBLANK(E115),"",E115+Settings!$B$7)</f>
        <v/>
      </c>
      <c r="G115" s="11"/>
      <c r="H115" s="10" t="str">
        <f t="shared" ca="1" si="3"/>
        <v/>
      </c>
      <c r="I115" s="11"/>
    </row>
    <row r="116" spans="1:9" x14ac:dyDescent="0.25">
      <c r="A116" s="10" t="str">
        <f t="shared" si="2"/>
        <v/>
      </c>
      <c r="B116" s="11"/>
      <c r="C116" s="11"/>
      <c r="D116" s="10" t="str">
        <f>IFERROR(IF(ISBLANK(C116),"",VLOOKUP(C116,Members!$A$2:$B$101,2,FALSE)),"")</f>
        <v/>
      </c>
      <c r="E116" s="11"/>
      <c r="F116" s="10" t="str">
        <f>IF(ISBLANK(E116),"",E116+Settings!$B$7)</f>
        <v/>
      </c>
      <c r="G116" s="11"/>
      <c r="H116" s="10" t="str">
        <f t="shared" ca="1" si="3"/>
        <v/>
      </c>
      <c r="I116" s="11"/>
    </row>
    <row r="117" spans="1:9" x14ac:dyDescent="0.25">
      <c r="A117" s="10" t="str">
        <f t="shared" si="2"/>
        <v/>
      </c>
      <c r="B117" s="11"/>
      <c r="C117" s="11"/>
      <c r="D117" s="10" t="str">
        <f>IFERROR(IF(ISBLANK(C117),"",VLOOKUP(C117,Members!$A$2:$B$101,2,FALSE)),"")</f>
        <v/>
      </c>
      <c r="E117" s="11"/>
      <c r="F117" s="10" t="str">
        <f>IF(ISBLANK(E117),"",E117+Settings!$B$7)</f>
        <v/>
      </c>
      <c r="G117" s="11"/>
      <c r="H117" s="10" t="str">
        <f t="shared" ca="1" si="3"/>
        <v/>
      </c>
      <c r="I117" s="11"/>
    </row>
    <row r="118" spans="1:9" x14ac:dyDescent="0.25">
      <c r="A118" s="10" t="str">
        <f t="shared" si="2"/>
        <v/>
      </c>
      <c r="B118" s="11"/>
      <c r="C118" s="11"/>
      <c r="D118" s="10" t="str">
        <f>IFERROR(IF(ISBLANK(C118),"",VLOOKUP(C118,Members!$A$2:$B$101,2,FALSE)),"")</f>
        <v/>
      </c>
      <c r="E118" s="11"/>
      <c r="F118" s="10" t="str">
        <f>IF(ISBLANK(E118),"",E118+Settings!$B$7)</f>
        <v/>
      </c>
      <c r="G118" s="11"/>
      <c r="H118" s="10" t="str">
        <f t="shared" ca="1" si="3"/>
        <v/>
      </c>
      <c r="I118" s="11"/>
    </row>
    <row r="119" spans="1:9" x14ac:dyDescent="0.25">
      <c r="A119" s="10" t="str">
        <f t="shared" si="2"/>
        <v/>
      </c>
      <c r="B119" s="11"/>
      <c r="C119" s="11"/>
      <c r="D119" s="10" t="str">
        <f>IFERROR(IF(ISBLANK(C119),"",VLOOKUP(C119,Members!$A$2:$B$101,2,FALSE)),"")</f>
        <v/>
      </c>
      <c r="E119" s="11"/>
      <c r="F119" s="10" t="str">
        <f>IF(ISBLANK(E119),"",E119+Settings!$B$7)</f>
        <v/>
      </c>
      <c r="G119" s="11"/>
      <c r="H119" s="10" t="str">
        <f t="shared" ca="1" si="3"/>
        <v/>
      </c>
      <c r="I119" s="11"/>
    </row>
    <row r="120" spans="1:9" x14ac:dyDescent="0.25">
      <c r="A120" s="10" t="str">
        <f t="shared" si="2"/>
        <v/>
      </c>
      <c r="B120" s="11"/>
      <c r="C120" s="11"/>
      <c r="D120" s="10" t="str">
        <f>IFERROR(IF(ISBLANK(C120),"",VLOOKUP(C120,Members!$A$2:$B$101,2,FALSE)),"")</f>
        <v/>
      </c>
      <c r="E120" s="11"/>
      <c r="F120" s="10" t="str">
        <f>IF(ISBLANK(E120),"",E120+Settings!$B$7)</f>
        <v/>
      </c>
      <c r="G120" s="11"/>
      <c r="H120" s="10" t="str">
        <f t="shared" ca="1" si="3"/>
        <v/>
      </c>
      <c r="I120" s="11"/>
    </row>
    <row r="121" spans="1:9" x14ac:dyDescent="0.25">
      <c r="A121" s="10" t="str">
        <f t="shared" si="2"/>
        <v/>
      </c>
      <c r="B121" s="11"/>
      <c r="C121" s="11"/>
      <c r="D121" s="10" t="str">
        <f>IFERROR(IF(ISBLANK(C121),"",VLOOKUP(C121,Members!$A$2:$B$101,2,FALSE)),"")</f>
        <v/>
      </c>
      <c r="E121" s="11"/>
      <c r="F121" s="10" t="str">
        <f>IF(ISBLANK(E121),"",E121+Settings!$B$7)</f>
        <v/>
      </c>
      <c r="G121" s="11"/>
      <c r="H121" s="10" t="str">
        <f t="shared" ca="1" si="3"/>
        <v/>
      </c>
      <c r="I121" s="11"/>
    </row>
    <row r="122" spans="1:9" x14ac:dyDescent="0.25">
      <c r="A122" s="10" t="str">
        <f t="shared" si="2"/>
        <v/>
      </c>
      <c r="B122" s="11"/>
      <c r="C122" s="11"/>
      <c r="D122" s="10" t="str">
        <f>IFERROR(IF(ISBLANK(C122),"",VLOOKUP(C122,Members!$A$2:$B$101,2,FALSE)),"")</f>
        <v/>
      </c>
      <c r="E122" s="11"/>
      <c r="F122" s="10" t="str">
        <f>IF(ISBLANK(E122),"",E122+Settings!$B$7)</f>
        <v/>
      </c>
      <c r="G122" s="11"/>
      <c r="H122" s="10" t="str">
        <f t="shared" ca="1" si="3"/>
        <v/>
      </c>
      <c r="I122" s="11"/>
    </row>
    <row r="123" spans="1:9" x14ac:dyDescent="0.25">
      <c r="A123" s="10" t="str">
        <f t="shared" si="2"/>
        <v/>
      </c>
      <c r="B123" s="11"/>
      <c r="C123" s="11"/>
      <c r="D123" s="10" t="str">
        <f>IFERROR(IF(ISBLANK(C123),"",VLOOKUP(C123,Members!$A$2:$B$101,2,FALSE)),"")</f>
        <v/>
      </c>
      <c r="E123" s="11"/>
      <c r="F123" s="10" t="str">
        <f>IF(ISBLANK(E123),"",E123+Settings!$B$7)</f>
        <v/>
      </c>
      <c r="G123" s="11"/>
      <c r="H123" s="10" t="str">
        <f t="shared" ca="1" si="3"/>
        <v/>
      </c>
      <c r="I123" s="11"/>
    </row>
    <row r="124" spans="1:9" x14ac:dyDescent="0.25">
      <c r="A124" s="10" t="str">
        <f t="shared" si="2"/>
        <v/>
      </c>
      <c r="B124" s="11"/>
      <c r="C124" s="11"/>
      <c r="D124" s="10" t="str">
        <f>IFERROR(IF(ISBLANK(C124),"",VLOOKUP(C124,Members!$A$2:$B$101,2,FALSE)),"")</f>
        <v/>
      </c>
      <c r="E124" s="11"/>
      <c r="F124" s="10" t="str">
        <f>IF(ISBLANK(E124),"",E124+Settings!$B$7)</f>
        <v/>
      </c>
      <c r="G124" s="11"/>
      <c r="H124" s="10" t="str">
        <f t="shared" ca="1" si="3"/>
        <v/>
      </c>
      <c r="I124" s="11"/>
    </row>
    <row r="125" spans="1:9" x14ac:dyDescent="0.25">
      <c r="A125" s="10" t="str">
        <f t="shared" si="2"/>
        <v/>
      </c>
      <c r="B125" s="11"/>
      <c r="C125" s="11"/>
      <c r="D125" s="10" t="str">
        <f>IFERROR(IF(ISBLANK(C125),"",VLOOKUP(C125,Members!$A$2:$B$101,2,FALSE)),"")</f>
        <v/>
      </c>
      <c r="E125" s="11"/>
      <c r="F125" s="10" t="str">
        <f>IF(ISBLANK(E125),"",E125+Settings!$B$7)</f>
        <v/>
      </c>
      <c r="G125" s="11"/>
      <c r="H125" s="10" t="str">
        <f t="shared" ca="1" si="3"/>
        <v/>
      </c>
      <c r="I125" s="11"/>
    </row>
    <row r="126" spans="1:9" x14ac:dyDescent="0.25">
      <c r="A126" s="10" t="str">
        <f t="shared" si="2"/>
        <v/>
      </c>
      <c r="B126" s="11"/>
      <c r="C126" s="11"/>
      <c r="D126" s="10" t="str">
        <f>IFERROR(IF(ISBLANK(C126),"",VLOOKUP(C126,Members!$A$2:$B$101,2,FALSE)),"")</f>
        <v/>
      </c>
      <c r="E126" s="11"/>
      <c r="F126" s="10" t="str">
        <f>IF(ISBLANK(E126),"",E126+Settings!$B$7)</f>
        <v/>
      </c>
      <c r="G126" s="11"/>
      <c r="H126" s="10" t="str">
        <f t="shared" ca="1" si="3"/>
        <v/>
      </c>
      <c r="I126" s="11"/>
    </row>
    <row r="127" spans="1:9" x14ac:dyDescent="0.25">
      <c r="A127" s="10" t="str">
        <f t="shared" si="2"/>
        <v/>
      </c>
      <c r="B127" s="11"/>
      <c r="C127" s="11"/>
      <c r="D127" s="10" t="str">
        <f>IFERROR(IF(ISBLANK(C127),"",VLOOKUP(C127,Members!$A$2:$B$101,2,FALSE)),"")</f>
        <v/>
      </c>
      <c r="E127" s="11"/>
      <c r="F127" s="10" t="str">
        <f>IF(ISBLANK(E127),"",E127+Settings!$B$7)</f>
        <v/>
      </c>
      <c r="G127" s="11"/>
      <c r="H127" s="10" t="str">
        <f t="shared" ca="1" si="3"/>
        <v/>
      </c>
      <c r="I127" s="11"/>
    </row>
    <row r="128" spans="1:9" x14ac:dyDescent="0.25">
      <c r="A128" s="10" t="str">
        <f t="shared" si="2"/>
        <v/>
      </c>
      <c r="B128" s="11"/>
      <c r="C128" s="11"/>
      <c r="D128" s="10" t="str">
        <f>IFERROR(IF(ISBLANK(C128),"",VLOOKUP(C128,Members!$A$2:$B$101,2,FALSE)),"")</f>
        <v/>
      </c>
      <c r="E128" s="11"/>
      <c r="F128" s="10" t="str">
        <f>IF(ISBLANK(E128),"",E128+Settings!$B$7)</f>
        <v/>
      </c>
      <c r="G128" s="11"/>
      <c r="H128" s="10" t="str">
        <f t="shared" ca="1" si="3"/>
        <v/>
      </c>
      <c r="I128" s="11"/>
    </row>
    <row r="129" spans="1:9" x14ac:dyDescent="0.25">
      <c r="A129" s="10" t="str">
        <f t="shared" si="2"/>
        <v/>
      </c>
      <c r="B129" s="11"/>
      <c r="C129" s="11"/>
      <c r="D129" s="10" t="str">
        <f>IFERROR(IF(ISBLANK(C129),"",VLOOKUP(C129,Members!$A$2:$B$101,2,FALSE)),"")</f>
        <v/>
      </c>
      <c r="E129" s="11"/>
      <c r="F129" s="10" t="str">
        <f>IF(ISBLANK(E129),"",E129+Settings!$B$7)</f>
        <v/>
      </c>
      <c r="G129" s="11"/>
      <c r="H129" s="10" t="str">
        <f t="shared" ca="1" si="3"/>
        <v/>
      </c>
      <c r="I129" s="11"/>
    </row>
    <row r="130" spans="1:9" x14ac:dyDescent="0.25">
      <c r="A130" s="10" t="str">
        <f t="shared" ref="A130:A193" si="4">IF(ISBLANK(B130),"",ROW()-1)</f>
        <v/>
      </c>
      <c r="B130" s="11"/>
      <c r="C130" s="11"/>
      <c r="D130" s="10" t="str">
        <f>IFERROR(IF(ISBLANK(C130),"",VLOOKUP(C130,Members!$A$2:$B$101,2,FALSE)),"")</f>
        <v/>
      </c>
      <c r="E130" s="11"/>
      <c r="F130" s="10" t="str">
        <f>IF(ISBLANK(E130),"",E130+Settings!$B$7)</f>
        <v/>
      </c>
      <c r="G130" s="11"/>
      <c r="H130" s="10" t="str">
        <f t="shared" ref="H130:H193" ca="1" si="5">IF(ISBLANK(B130),"",IF(NOT(ISBLANK(G130)),"Returned",IF(TODAY()&gt;F130,"Overdue","Active")))</f>
        <v/>
      </c>
      <c r="I130" s="11"/>
    </row>
    <row r="131" spans="1:9" x14ac:dyDescent="0.25">
      <c r="A131" s="10" t="str">
        <f t="shared" si="4"/>
        <v/>
      </c>
      <c r="B131" s="11"/>
      <c r="C131" s="11"/>
      <c r="D131" s="10" t="str">
        <f>IFERROR(IF(ISBLANK(C131),"",VLOOKUP(C131,Members!$A$2:$B$101,2,FALSE)),"")</f>
        <v/>
      </c>
      <c r="E131" s="11"/>
      <c r="F131" s="10" t="str">
        <f>IF(ISBLANK(E131),"",E131+Settings!$B$7)</f>
        <v/>
      </c>
      <c r="G131" s="11"/>
      <c r="H131" s="10" t="str">
        <f t="shared" ca="1" si="5"/>
        <v/>
      </c>
      <c r="I131" s="11"/>
    </row>
    <row r="132" spans="1:9" x14ac:dyDescent="0.25">
      <c r="A132" s="10" t="str">
        <f t="shared" si="4"/>
        <v/>
      </c>
      <c r="B132" s="11"/>
      <c r="C132" s="11"/>
      <c r="D132" s="10" t="str">
        <f>IFERROR(IF(ISBLANK(C132),"",VLOOKUP(C132,Members!$A$2:$B$101,2,FALSE)),"")</f>
        <v/>
      </c>
      <c r="E132" s="11"/>
      <c r="F132" s="10" t="str">
        <f>IF(ISBLANK(E132),"",E132+Settings!$B$7)</f>
        <v/>
      </c>
      <c r="G132" s="11"/>
      <c r="H132" s="10" t="str">
        <f t="shared" ca="1" si="5"/>
        <v/>
      </c>
      <c r="I132" s="11"/>
    </row>
    <row r="133" spans="1:9" x14ac:dyDescent="0.25">
      <c r="A133" s="10" t="str">
        <f t="shared" si="4"/>
        <v/>
      </c>
      <c r="B133" s="11"/>
      <c r="C133" s="11"/>
      <c r="D133" s="10" t="str">
        <f>IFERROR(IF(ISBLANK(C133),"",VLOOKUP(C133,Members!$A$2:$B$101,2,FALSE)),"")</f>
        <v/>
      </c>
      <c r="E133" s="11"/>
      <c r="F133" s="10" t="str">
        <f>IF(ISBLANK(E133),"",E133+Settings!$B$7)</f>
        <v/>
      </c>
      <c r="G133" s="11"/>
      <c r="H133" s="10" t="str">
        <f t="shared" ca="1" si="5"/>
        <v/>
      </c>
      <c r="I133" s="11"/>
    </row>
    <row r="134" spans="1:9" x14ac:dyDescent="0.25">
      <c r="A134" s="10" t="str">
        <f t="shared" si="4"/>
        <v/>
      </c>
      <c r="B134" s="11"/>
      <c r="C134" s="11"/>
      <c r="D134" s="10" t="str">
        <f>IFERROR(IF(ISBLANK(C134),"",VLOOKUP(C134,Members!$A$2:$B$101,2,FALSE)),"")</f>
        <v/>
      </c>
      <c r="E134" s="11"/>
      <c r="F134" s="10" t="str">
        <f>IF(ISBLANK(E134),"",E134+Settings!$B$7)</f>
        <v/>
      </c>
      <c r="G134" s="11"/>
      <c r="H134" s="10" t="str">
        <f t="shared" ca="1" si="5"/>
        <v/>
      </c>
      <c r="I134" s="11"/>
    </row>
    <row r="135" spans="1:9" x14ac:dyDescent="0.25">
      <c r="A135" s="10" t="str">
        <f t="shared" si="4"/>
        <v/>
      </c>
      <c r="B135" s="11"/>
      <c r="C135" s="11"/>
      <c r="D135" s="10" t="str">
        <f>IFERROR(IF(ISBLANK(C135),"",VLOOKUP(C135,Members!$A$2:$B$101,2,FALSE)),"")</f>
        <v/>
      </c>
      <c r="E135" s="11"/>
      <c r="F135" s="10" t="str">
        <f>IF(ISBLANK(E135),"",E135+Settings!$B$7)</f>
        <v/>
      </c>
      <c r="G135" s="11"/>
      <c r="H135" s="10" t="str">
        <f t="shared" ca="1" si="5"/>
        <v/>
      </c>
      <c r="I135" s="11"/>
    </row>
    <row r="136" spans="1:9" x14ac:dyDescent="0.25">
      <c r="A136" s="10" t="str">
        <f t="shared" si="4"/>
        <v/>
      </c>
      <c r="B136" s="11"/>
      <c r="C136" s="11"/>
      <c r="D136" s="10" t="str">
        <f>IFERROR(IF(ISBLANK(C136),"",VLOOKUP(C136,Members!$A$2:$B$101,2,FALSE)),"")</f>
        <v/>
      </c>
      <c r="E136" s="11"/>
      <c r="F136" s="10" t="str">
        <f>IF(ISBLANK(E136),"",E136+Settings!$B$7)</f>
        <v/>
      </c>
      <c r="G136" s="11"/>
      <c r="H136" s="10" t="str">
        <f t="shared" ca="1" si="5"/>
        <v/>
      </c>
      <c r="I136" s="11"/>
    </row>
    <row r="137" spans="1:9" x14ac:dyDescent="0.25">
      <c r="A137" s="10" t="str">
        <f t="shared" si="4"/>
        <v/>
      </c>
      <c r="B137" s="11"/>
      <c r="C137" s="11"/>
      <c r="D137" s="10" t="str">
        <f>IFERROR(IF(ISBLANK(C137),"",VLOOKUP(C137,Members!$A$2:$B$101,2,FALSE)),"")</f>
        <v/>
      </c>
      <c r="E137" s="11"/>
      <c r="F137" s="10" t="str">
        <f>IF(ISBLANK(E137),"",E137+Settings!$B$7)</f>
        <v/>
      </c>
      <c r="G137" s="11"/>
      <c r="H137" s="10" t="str">
        <f t="shared" ca="1" si="5"/>
        <v/>
      </c>
      <c r="I137" s="11"/>
    </row>
    <row r="138" spans="1:9" x14ac:dyDescent="0.25">
      <c r="A138" s="10" t="str">
        <f t="shared" si="4"/>
        <v/>
      </c>
      <c r="B138" s="11"/>
      <c r="C138" s="11"/>
      <c r="D138" s="10" t="str">
        <f>IFERROR(IF(ISBLANK(C138),"",VLOOKUP(C138,Members!$A$2:$B$101,2,FALSE)),"")</f>
        <v/>
      </c>
      <c r="E138" s="11"/>
      <c r="F138" s="10" t="str">
        <f>IF(ISBLANK(E138),"",E138+Settings!$B$7)</f>
        <v/>
      </c>
      <c r="G138" s="11"/>
      <c r="H138" s="10" t="str">
        <f t="shared" ca="1" si="5"/>
        <v/>
      </c>
      <c r="I138" s="11"/>
    </row>
    <row r="139" spans="1:9" x14ac:dyDescent="0.25">
      <c r="A139" s="10" t="str">
        <f t="shared" si="4"/>
        <v/>
      </c>
      <c r="B139" s="11"/>
      <c r="C139" s="11"/>
      <c r="D139" s="10" t="str">
        <f>IFERROR(IF(ISBLANK(C139),"",VLOOKUP(C139,Members!$A$2:$B$101,2,FALSE)),"")</f>
        <v/>
      </c>
      <c r="E139" s="11"/>
      <c r="F139" s="10" t="str">
        <f>IF(ISBLANK(E139),"",E139+Settings!$B$7)</f>
        <v/>
      </c>
      <c r="G139" s="11"/>
      <c r="H139" s="10" t="str">
        <f t="shared" ca="1" si="5"/>
        <v/>
      </c>
      <c r="I139" s="11"/>
    </row>
    <row r="140" spans="1:9" x14ac:dyDescent="0.25">
      <c r="A140" s="10" t="str">
        <f t="shared" si="4"/>
        <v/>
      </c>
      <c r="B140" s="11"/>
      <c r="C140" s="11"/>
      <c r="D140" s="10" t="str">
        <f>IFERROR(IF(ISBLANK(C140),"",VLOOKUP(C140,Members!$A$2:$B$101,2,FALSE)),"")</f>
        <v/>
      </c>
      <c r="E140" s="11"/>
      <c r="F140" s="10" t="str">
        <f>IF(ISBLANK(E140),"",E140+Settings!$B$7)</f>
        <v/>
      </c>
      <c r="G140" s="11"/>
      <c r="H140" s="10" t="str">
        <f t="shared" ca="1" si="5"/>
        <v/>
      </c>
      <c r="I140" s="11"/>
    </row>
    <row r="141" spans="1:9" x14ac:dyDescent="0.25">
      <c r="A141" s="10" t="str">
        <f t="shared" si="4"/>
        <v/>
      </c>
      <c r="B141" s="11"/>
      <c r="C141" s="11"/>
      <c r="D141" s="10" t="str">
        <f>IFERROR(IF(ISBLANK(C141),"",VLOOKUP(C141,Members!$A$2:$B$101,2,FALSE)),"")</f>
        <v/>
      </c>
      <c r="E141" s="11"/>
      <c r="F141" s="10" t="str">
        <f>IF(ISBLANK(E141),"",E141+Settings!$B$7)</f>
        <v/>
      </c>
      <c r="G141" s="11"/>
      <c r="H141" s="10" t="str">
        <f t="shared" ca="1" si="5"/>
        <v/>
      </c>
      <c r="I141" s="11"/>
    </row>
    <row r="142" spans="1:9" x14ac:dyDescent="0.25">
      <c r="A142" s="10" t="str">
        <f t="shared" si="4"/>
        <v/>
      </c>
      <c r="B142" s="11"/>
      <c r="C142" s="11"/>
      <c r="D142" s="10" t="str">
        <f>IFERROR(IF(ISBLANK(C142),"",VLOOKUP(C142,Members!$A$2:$B$101,2,FALSE)),"")</f>
        <v/>
      </c>
      <c r="E142" s="11"/>
      <c r="F142" s="10" t="str">
        <f>IF(ISBLANK(E142),"",E142+Settings!$B$7)</f>
        <v/>
      </c>
      <c r="G142" s="11"/>
      <c r="H142" s="10" t="str">
        <f t="shared" ca="1" si="5"/>
        <v/>
      </c>
      <c r="I142" s="11"/>
    </row>
    <row r="143" spans="1:9" x14ac:dyDescent="0.25">
      <c r="A143" s="10" t="str">
        <f t="shared" si="4"/>
        <v/>
      </c>
      <c r="B143" s="11"/>
      <c r="C143" s="11"/>
      <c r="D143" s="10" t="str">
        <f>IFERROR(IF(ISBLANK(C143),"",VLOOKUP(C143,Members!$A$2:$B$101,2,FALSE)),"")</f>
        <v/>
      </c>
      <c r="E143" s="11"/>
      <c r="F143" s="10" t="str">
        <f>IF(ISBLANK(E143),"",E143+Settings!$B$7)</f>
        <v/>
      </c>
      <c r="G143" s="11"/>
      <c r="H143" s="10" t="str">
        <f t="shared" ca="1" si="5"/>
        <v/>
      </c>
      <c r="I143" s="11"/>
    </row>
    <row r="144" spans="1:9" x14ac:dyDescent="0.25">
      <c r="A144" s="10" t="str">
        <f t="shared" si="4"/>
        <v/>
      </c>
      <c r="B144" s="11"/>
      <c r="C144" s="11"/>
      <c r="D144" s="10" t="str">
        <f>IFERROR(IF(ISBLANK(C144),"",VLOOKUP(C144,Members!$A$2:$B$101,2,FALSE)),"")</f>
        <v/>
      </c>
      <c r="E144" s="11"/>
      <c r="F144" s="10" t="str">
        <f>IF(ISBLANK(E144),"",E144+Settings!$B$7)</f>
        <v/>
      </c>
      <c r="G144" s="11"/>
      <c r="H144" s="10" t="str">
        <f t="shared" ca="1" si="5"/>
        <v/>
      </c>
      <c r="I144" s="11"/>
    </row>
    <row r="145" spans="1:9" x14ac:dyDescent="0.25">
      <c r="A145" s="10" t="str">
        <f t="shared" si="4"/>
        <v/>
      </c>
      <c r="B145" s="11"/>
      <c r="C145" s="11"/>
      <c r="D145" s="10" t="str">
        <f>IFERROR(IF(ISBLANK(C145),"",VLOOKUP(C145,Members!$A$2:$B$101,2,FALSE)),"")</f>
        <v/>
      </c>
      <c r="E145" s="11"/>
      <c r="F145" s="10" t="str">
        <f>IF(ISBLANK(E145),"",E145+Settings!$B$7)</f>
        <v/>
      </c>
      <c r="G145" s="11"/>
      <c r="H145" s="10" t="str">
        <f t="shared" ca="1" si="5"/>
        <v/>
      </c>
      <c r="I145" s="11"/>
    </row>
    <row r="146" spans="1:9" x14ac:dyDescent="0.25">
      <c r="A146" s="10" t="str">
        <f t="shared" si="4"/>
        <v/>
      </c>
      <c r="B146" s="11"/>
      <c r="C146" s="11"/>
      <c r="D146" s="10" t="str">
        <f>IFERROR(IF(ISBLANK(C146),"",VLOOKUP(C146,Members!$A$2:$B$101,2,FALSE)),"")</f>
        <v/>
      </c>
      <c r="E146" s="11"/>
      <c r="F146" s="10" t="str">
        <f>IF(ISBLANK(E146),"",E146+Settings!$B$7)</f>
        <v/>
      </c>
      <c r="G146" s="11"/>
      <c r="H146" s="10" t="str">
        <f t="shared" ca="1" si="5"/>
        <v/>
      </c>
      <c r="I146" s="11"/>
    </row>
    <row r="147" spans="1:9" x14ac:dyDescent="0.25">
      <c r="A147" s="10" t="str">
        <f t="shared" si="4"/>
        <v/>
      </c>
      <c r="B147" s="11"/>
      <c r="C147" s="11"/>
      <c r="D147" s="10" t="str">
        <f>IFERROR(IF(ISBLANK(C147),"",VLOOKUP(C147,Members!$A$2:$B$101,2,FALSE)),"")</f>
        <v/>
      </c>
      <c r="E147" s="11"/>
      <c r="F147" s="10" t="str">
        <f>IF(ISBLANK(E147),"",E147+Settings!$B$7)</f>
        <v/>
      </c>
      <c r="G147" s="11"/>
      <c r="H147" s="10" t="str">
        <f t="shared" ca="1" si="5"/>
        <v/>
      </c>
      <c r="I147" s="11"/>
    </row>
    <row r="148" spans="1:9" x14ac:dyDescent="0.25">
      <c r="A148" s="10" t="str">
        <f t="shared" si="4"/>
        <v/>
      </c>
      <c r="B148" s="11"/>
      <c r="C148" s="11"/>
      <c r="D148" s="10" t="str">
        <f>IFERROR(IF(ISBLANK(C148),"",VLOOKUP(C148,Members!$A$2:$B$101,2,FALSE)),"")</f>
        <v/>
      </c>
      <c r="E148" s="11"/>
      <c r="F148" s="10" t="str">
        <f>IF(ISBLANK(E148),"",E148+Settings!$B$7)</f>
        <v/>
      </c>
      <c r="G148" s="11"/>
      <c r="H148" s="10" t="str">
        <f t="shared" ca="1" si="5"/>
        <v/>
      </c>
      <c r="I148" s="11"/>
    </row>
    <row r="149" spans="1:9" x14ac:dyDescent="0.25">
      <c r="A149" s="10" t="str">
        <f t="shared" si="4"/>
        <v/>
      </c>
      <c r="B149" s="11"/>
      <c r="C149" s="11"/>
      <c r="D149" s="10" t="str">
        <f>IFERROR(IF(ISBLANK(C149),"",VLOOKUP(C149,Members!$A$2:$B$101,2,FALSE)),"")</f>
        <v/>
      </c>
      <c r="E149" s="11"/>
      <c r="F149" s="10" t="str">
        <f>IF(ISBLANK(E149),"",E149+Settings!$B$7)</f>
        <v/>
      </c>
      <c r="G149" s="11"/>
      <c r="H149" s="10" t="str">
        <f t="shared" ca="1" si="5"/>
        <v/>
      </c>
      <c r="I149" s="11"/>
    </row>
    <row r="150" spans="1:9" x14ac:dyDescent="0.25">
      <c r="A150" s="10" t="str">
        <f t="shared" si="4"/>
        <v/>
      </c>
      <c r="B150" s="11"/>
      <c r="C150" s="11"/>
      <c r="D150" s="10" t="str">
        <f>IFERROR(IF(ISBLANK(C150),"",VLOOKUP(C150,Members!$A$2:$B$101,2,FALSE)),"")</f>
        <v/>
      </c>
      <c r="E150" s="11"/>
      <c r="F150" s="10" t="str">
        <f>IF(ISBLANK(E150),"",E150+Settings!$B$7)</f>
        <v/>
      </c>
      <c r="G150" s="11"/>
      <c r="H150" s="10" t="str">
        <f t="shared" ca="1" si="5"/>
        <v/>
      </c>
      <c r="I150" s="11"/>
    </row>
    <row r="151" spans="1:9" x14ac:dyDescent="0.25">
      <c r="A151" s="10" t="str">
        <f t="shared" si="4"/>
        <v/>
      </c>
      <c r="B151" s="11"/>
      <c r="C151" s="11"/>
      <c r="D151" s="10" t="str">
        <f>IFERROR(IF(ISBLANK(C151),"",VLOOKUP(C151,Members!$A$2:$B$101,2,FALSE)),"")</f>
        <v/>
      </c>
      <c r="E151" s="11"/>
      <c r="F151" s="10" t="str">
        <f>IF(ISBLANK(E151),"",E151+Settings!$B$7)</f>
        <v/>
      </c>
      <c r="G151" s="11"/>
      <c r="H151" s="10" t="str">
        <f t="shared" ca="1" si="5"/>
        <v/>
      </c>
      <c r="I151" s="11"/>
    </row>
    <row r="152" spans="1:9" x14ac:dyDescent="0.25">
      <c r="A152" s="10" t="str">
        <f t="shared" si="4"/>
        <v/>
      </c>
      <c r="B152" s="11"/>
      <c r="C152" s="11"/>
      <c r="D152" s="10" t="str">
        <f>IFERROR(IF(ISBLANK(C152),"",VLOOKUP(C152,Members!$A$2:$B$101,2,FALSE)),"")</f>
        <v/>
      </c>
      <c r="E152" s="11"/>
      <c r="F152" s="10" t="str">
        <f>IF(ISBLANK(E152),"",E152+Settings!$B$7)</f>
        <v/>
      </c>
      <c r="G152" s="11"/>
      <c r="H152" s="10" t="str">
        <f t="shared" ca="1" si="5"/>
        <v/>
      </c>
      <c r="I152" s="11"/>
    </row>
    <row r="153" spans="1:9" x14ac:dyDescent="0.25">
      <c r="A153" s="10" t="str">
        <f t="shared" si="4"/>
        <v/>
      </c>
      <c r="B153" s="11"/>
      <c r="C153" s="11"/>
      <c r="D153" s="10" t="str">
        <f>IFERROR(IF(ISBLANK(C153),"",VLOOKUP(C153,Members!$A$2:$B$101,2,FALSE)),"")</f>
        <v/>
      </c>
      <c r="E153" s="11"/>
      <c r="F153" s="10" t="str">
        <f>IF(ISBLANK(E153),"",E153+Settings!$B$7)</f>
        <v/>
      </c>
      <c r="G153" s="11"/>
      <c r="H153" s="10" t="str">
        <f t="shared" ca="1" si="5"/>
        <v/>
      </c>
      <c r="I153" s="11"/>
    </row>
    <row r="154" spans="1:9" x14ac:dyDescent="0.25">
      <c r="A154" s="10" t="str">
        <f t="shared" si="4"/>
        <v/>
      </c>
      <c r="B154" s="11"/>
      <c r="C154" s="11"/>
      <c r="D154" s="10" t="str">
        <f>IFERROR(IF(ISBLANK(C154),"",VLOOKUP(C154,Members!$A$2:$B$101,2,FALSE)),"")</f>
        <v/>
      </c>
      <c r="E154" s="11"/>
      <c r="F154" s="10" t="str">
        <f>IF(ISBLANK(E154),"",E154+Settings!$B$7)</f>
        <v/>
      </c>
      <c r="G154" s="11"/>
      <c r="H154" s="10" t="str">
        <f t="shared" ca="1" si="5"/>
        <v/>
      </c>
      <c r="I154" s="11"/>
    </row>
    <row r="155" spans="1:9" x14ac:dyDescent="0.25">
      <c r="A155" s="10" t="str">
        <f t="shared" si="4"/>
        <v/>
      </c>
      <c r="B155" s="11"/>
      <c r="C155" s="11"/>
      <c r="D155" s="10" t="str">
        <f>IFERROR(IF(ISBLANK(C155),"",VLOOKUP(C155,Members!$A$2:$B$101,2,FALSE)),"")</f>
        <v/>
      </c>
      <c r="E155" s="11"/>
      <c r="F155" s="10" t="str">
        <f>IF(ISBLANK(E155),"",E155+Settings!$B$7)</f>
        <v/>
      </c>
      <c r="G155" s="11"/>
      <c r="H155" s="10" t="str">
        <f t="shared" ca="1" si="5"/>
        <v/>
      </c>
      <c r="I155" s="11"/>
    </row>
    <row r="156" spans="1:9" x14ac:dyDescent="0.25">
      <c r="A156" s="10" t="str">
        <f t="shared" si="4"/>
        <v/>
      </c>
      <c r="B156" s="11"/>
      <c r="C156" s="11"/>
      <c r="D156" s="10" t="str">
        <f>IFERROR(IF(ISBLANK(C156),"",VLOOKUP(C156,Members!$A$2:$B$101,2,FALSE)),"")</f>
        <v/>
      </c>
      <c r="E156" s="11"/>
      <c r="F156" s="10" t="str">
        <f>IF(ISBLANK(E156),"",E156+Settings!$B$7)</f>
        <v/>
      </c>
      <c r="G156" s="11"/>
      <c r="H156" s="10" t="str">
        <f t="shared" ca="1" si="5"/>
        <v/>
      </c>
      <c r="I156" s="11"/>
    </row>
    <row r="157" spans="1:9" x14ac:dyDescent="0.25">
      <c r="A157" s="10" t="str">
        <f t="shared" si="4"/>
        <v/>
      </c>
      <c r="B157" s="11"/>
      <c r="C157" s="11"/>
      <c r="D157" s="10" t="str">
        <f>IFERROR(IF(ISBLANK(C157),"",VLOOKUP(C157,Members!$A$2:$B$101,2,FALSE)),"")</f>
        <v/>
      </c>
      <c r="E157" s="11"/>
      <c r="F157" s="10" t="str">
        <f>IF(ISBLANK(E157),"",E157+Settings!$B$7)</f>
        <v/>
      </c>
      <c r="G157" s="11"/>
      <c r="H157" s="10" t="str">
        <f t="shared" ca="1" si="5"/>
        <v/>
      </c>
      <c r="I157" s="11"/>
    </row>
    <row r="158" spans="1:9" x14ac:dyDescent="0.25">
      <c r="A158" s="10" t="str">
        <f t="shared" si="4"/>
        <v/>
      </c>
      <c r="B158" s="11"/>
      <c r="C158" s="11"/>
      <c r="D158" s="10" t="str">
        <f>IFERROR(IF(ISBLANK(C158),"",VLOOKUP(C158,Members!$A$2:$B$101,2,FALSE)),"")</f>
        <v/>
      </c>
      <c r="E158" s="11"/>
      <c r="F158" s="10" t="str">
        <f>IF(ISBLANK(E158),"",E158+Settings!$B$7)</f>
        <v/>
      </c>
      <c r="G158" s="11"/>
      <c r="H158" s="10" t="str">
        <f t="shared" ca="1" si="5"/>
        <v/>
      </c>
      <c r="I158" s="11"/>
    </row>
    <row r="159" spans="1:9" x14ac:dyDescent="0.25">
      <c r="A159" s="10" t="str">
        <f t="shared" si="4"/>
        <v/>
      </c>
      <c r="B159" s="11"/>
      <c r="C159" s="11"/>
      <c r="D159" s="10" t="str">
        <f>IFERROR(IF(ISBLANK(C159),"",VLOOKUP(C159,Members!$A$2:$B$101,2,FALSE)),"")</f>
        <v/>
      </c>
      <c r="E159" s="11"/>
      <c r="F159" s="10" t="str">
        <f>IF(ISBLANK(E159),"",E159+Settings!$B$7)</f>
        <v/>
      </c>
      <c r="G159" s="11"/>
      <c r="H159" s="10" t="str">
        <f t="shared" ca="1" si="5"/>
        <v/>
      </c>
      <c r="I159" s="11"/>
    </row>
    <row r="160" spans="1:9" x14ac:dyDescent="0.25">
      <c r="A160" s="10" t="str">
        <f t="shared" si="4"/>
        <v/>
      </c>
      <c r="B160" s="11"/>
      <c r="C160" s="11"/>
      <c r="D160" s="10" t="str">
        <f>IFERROR(IF(ISBLANK(C160),"",VLOOKUP(C160,Members!$A$2:$B$101,2,FALSE)),"")</f>
        <v/>
      </c>
      <c r="E160" s="11"/>
      <c r="F160" s="10" t="str">
        <f>IF(ISBLANK(E160),"",E160+Settings!$B$7)</f>
        <v/>
      </c>
      <c r="G160" s="11"/>
      <c r="H160" s="10" t="str">
        <f t="shared" ca="1" si="5"/>
        <v/>
      </c>
      <c r="I160" s="11"/>
    </row>
    <row r="161" spans="1:9" x14ac:dyDescent="0.25">
      <c r="A161" s="10" t="str">
        <f t="shared" si="4"/>
        <v/>
      </c>
      <c r="B161" s="11"/>
      <c r="C161" s="11"/>
      <c r="D161" s="10" t="str">
        <f>IFERROR(IF(ISBLANK(C161),"",VLOOKUP(C161,Members!$A$2:$B$101,2,FALSE)),"")</f>
        <v/>
      </c>
      <c r="E161" s="11"/>
      <c r="F161" s="10" t="str">
        <f>IF(ISBLANK(E161),"",E161+Settings!$B$7)</f>
        <v/>
      </c>
      <c r="G161" s="11"/>
      <c r="H161" s="10" t="str">
        <f t="shared" ca="1" si="5"/>
        <v/>
      </c>
      <c r="I161" s="11"/>
    </row>
    <row r="162" spans="1:9" x14ac:dyDescent="0.25">
      <c r="A162" s="10" t="str">
        <f t="shared" si="4"/>
        <v/>
      </c>
      <c r="B162" s="11"/>
      <c r="C162" s="11"/>
      <c r="D162" s="10" t="str">
        <f>IFERROR(IF(ISBLANK(C162),"",VLOOKUP(C162,Members!$A$2:$B$101,2,FALSE)),"")</f>
        <v/>
      </c>
      <c r="E162" s="11"/>
      <c r="F162" s="10" t="str">
        <f>IF(ISBLANK(E162),"",E162+Settings!$B$7)</f>
        <v/>
      </c>
      <c r="G162" s="11"/>
      <c r="H162" s="10" t="str">
        <f t="shared" ca="1" si="5"/>
        <v/>
      </c>
      <c r="I162" s="11"/>
    </row>
    <row r="163" spans="1:9" x14ac:dyDescent="0.25">
      <c r="A163" s="10" t="str">
        <f t="shared" si="4"/>
        <v/>
      </c>
      <c r="B163" s="11"/>
      <c r="C163" s="11"/>
      <c r="D163" s="10" t="str">
        <f>IFERROR(IF(ISBLANK(C163),"",VLOOKUP(C163,Members!$A$2:$B$101,2,FALSE)),"")</f>
        <v/>
      </c>
      <c r="E163" s="11"/>
      <c r="F163" s="10" t="str">
        <f>IF(ISBLANK(E163),"",E163+Settings!$B$7)</f>
        <v/>
      </c>
      <c r="G163" s="11"/>
      <c r="H163" s="10" t="str">
        <f t="shared" ca="1" si="5"/>
        <v/>
      </c>
      <c r="I163" s="11"/>
    </row>
    <row r="164" spans="1:9" x14ac:dyDescent="0.25">
      <c r="A164" s="10" t="str">
        <f t="shared" si="4"/>
        <v/>
      </c>
      <c r="B164" s="11"/>
      <c r="C164" s="11"/>
      <c r="D164" s="10" t="str">
        <f>IFERROR(IF(ISBLANK(C164),"",VLOOKUP(C164,Members!$A$2:$B$101,2,FALSE)),"")</f>
        <v/>
      </c>
      <c r="E164" s="11"/>
      <c r="F164" s="10" t="str">
        <f>IF(ISBLANK(E164),"",E164+Settings!$B$7)</f>
        <v/>
      </c>
      <c r="G164" s="11"/>
      <c r="H164" s="10" t="str">
        <f t="shared" ca="1" si="5"/>
        <v/>
      </c>
      <c r="I164" s="11"/>
    </row>
    <row r="165" spans="1:9" x14ac:dyDescent="0.25">
      <c r="A165" s="10" t="str">
        <f t="shared" si="4"/>
        <v/>
      </c>
      <c r="B165" s="11"/>
      <c r="C165" s="11"/>
      <c r="D165" s="10" t="str">
        <f>IFERROR(IF(ISBLANK(C165),"",VLOOKUP(C165,Members!$A$2:$B$101,2,FALSE)),"")</f>
        <v/>
      </c>
      <c r="E165" s="11"/>
      <c r="F165" s="10" t="str">
        <f>IF(ISBLANK(E165),"",E165+Settings!$B$7)</f>
        <v/>
      </c>
      <c r="G165" s="11"/>
      <c r="H165" s="10" t="str">
        <f t="shared" ca="1" si="5"/>
        <v/>
      </c>
      <c r="I165" s="11"/>
    </row>
    <row r="166" spans="1:9" x14ac:dyDescent="0.25">
      <c r="A166" s="10" t="str">
        <f t="shared" si="4"/>
        <v/>
      </c>
      <c r="B166" s="11"/>
      <c r="C166" s="11"/>
      <c r="D166" s="10" t="str">
        <f>IFERROR(IF(ISBLANK(C166),"",VLOOKUP(C166,Members!$A$2:$B$101,2,FALSE)),"")</f>
        <v/>
      </c>
      <c r="E166" s="11"/>
      <c r="F166" s="10" t="str">
        <f>IF(ISBLANK(E166),"",E166+Settings!$B$7)</f>
        <v/>
      </c>
      <c r="G166" s="11"/>
      <c r="H166" s="10" t="str">
        <f t="shared" ca="1" si="5"/>
        <v/>
      </c>
      <c r="I166" s="11"/>
    </row>
    <row r="167" spans="1:9" x14ac:dyDescent="0.25">
      <c r="A167" s="10" t="str">
        <f t="shared" si="4"/>
        <v/>
      </c>
      <c r="B167" s="11"/>
      <c r="C167" s="11"/>
      <c r="D167" s="10" t="str">
        <f>IFERROR(IF(ISBLANK(C167),"",VLOOKUP(C167,Members!$A$2:$B$101,2,FALSE)),"")</f>
        <v/>
      </c>
      <c r="E167" s="11"/>
      <c r="F167" s="10" t="str">
        <f>IF(ISBLANK(E167),"",E167+Settings!$B$7)</f>
        <v/>
      </c>
      <c r="G167" s="11"/>
      <c r="H167" s="10" t="str">
        <f t="shared" ca="1" si="5"/>
        <v/>
      </c>
      <c r="I167" s="11"/>
    </row>
    <row r="168" spans="1:9" x14ac:dyDescent="0.25">
      <c r="A168" s="10" t="str">
        <f t="shared" si="4"/>
        <v/>
      </c>
      <c r="B168" s="11"/>
      <c r="C168" s="11"/>
      <c r="D168" s="10" t="str">
        <f>IFERROR(IF(ISBLANK(C168),"",VLOOKUP(C168,Members!$A$2:$B$101,2,FALSE)),"")</f>
        <v/>
      </c>
      <c r="E168" s="11"/>
      <c r="F168" s="10" t="str">
        <f>IF(ISBLANK(E168),"",E168+Settings!$B$7)</f>
        <v/>
      </c>
      <c r="G168" s="11"/>
      <c r="H168" s="10" t="str">
        <f t="shared" ca="1" si="5"/>
        <v/>
      </c>
      <c r="I168" s="11"/>
    </row>
    <row r="169" spans="1:9" x14ac:dyDescent="0.25">
      <c r="A169" s="10" t="str">
        <f t="shared" si="4"/>
        <v/>
      </c>
      <c r="B169" s="11"/>
      <c r="C169" s="11"/>
      <c r="D169" s="10" t="str">
        <f>IFERROR(IF(ISBLANK(C169),"",VLOOKUP(C169,Members!$A$2:$B$101,2,FALSE)),"")</f>
        <v/>
      </c>
      <c r="E169" s="11"/>
      <c r="F169" s="10" t="str">
        <f>IF(ISBLANK(E169),"",E169+Settings!$B$7)</f>
        <v/>
      </c>
      <c r="G169" s="11"/>
      <c r="H169" s="10" t="str">
        <f t="shared" ca="1" si="5"/>
        <v/>
      </c>
      <c r="I169" s="11"/>
    </row>
    <row r="170" spans="1:9" x14ac:dyDescent="0.25">
      <c r="A170" s="10" t="str">
        <f t="shared" si="4"/>
        <v/>
      </c>
      <c r="B170" s="11"/>
      <c r="C170" s="11"/>
      <c r="D170" s="10" t="str">
        <f>IFERROR(IF(ISBLANK(C170),"",VLOOKUP(C170,Members!$A$2:$B$101,2,FALSE)),"")</f>
        <v/>
      </c>
      <c r="E170" s="11"/>
      <c r="F170" s="10" t="str">
        <f>IF(ISBLANK(E170),"",E170+Settings!$B$7)</f>
        <v/>
      </c>
      <c r="G170" s="11"/>
      <c r="H170" s="10" t="str">
        <f t="shared" ca="1" si="5"/>
        <v/>
      </c>
      <c r="I170" s="11"/>
    </row>
    <row r="171" spans="1:9" x14ac:dyDescent="0.25">
      <c r="A171" s="10" t="str">
        <f t="shared" si="4"/>
        <v/>
      </c>
      <c r="B171" s="11"/>
      <c r="C171" s="11"/>
      <c r="D171" s="10" t="str">
        <f>IFERROR(IF(ISBLANK(C171),"",VLOOKUP(C171,Members!$A$2:$B$101,2,FALSE)),"")</f>
        <v/>
      </c>
      <c r="E171" s="11"/>
      <c r="F171" s="10" t="str">
        <f>IF(ISBLANK(E171),"",E171+Settings!$B$7)</f>
        <v/>
      </c>
      <c r="G171" s="11"/>
      <c r="H171" s="10" t="str">
        <f t="shared" ca="1" si="5"/>
        <v/>
      </c>
      <c r="I171" s="11"/>
    </row>
    <row r="172" spans="1:9" x14ac:dyDescent="0.25">
      <c r="A172" s="10" t="str">
        <f t="shared" si="4"/>
        <v/>
      </c>
      <c r="B172" s="11"/>
      <c r="C172" s="11"/>
      <c r="D172" s="10" t="str">
        <f>IFERROR(IF(ISBLANK(C172),"",VLOOKUP(C172,Members!$A$2:$B$101,2,FALSE)),"")</f>
        <v/>
      </c>
      <c r="E172" s="11"/>
      <c r="F172" s="10" t="str">
        <f>IF(ISBLANK(E172),"",E172+Settings!$B$7)</f>
        <v/>
      </c>
      <c r="G172" s="11"/>
      <c r="H172" s="10" t="str">
        <f t="shared" ca="1" si="5"/>
        <v/>
      </c>
      <c r="I172" s="11"/>
    </row>
    <row r="173" spans="1:9" x14ac:dyDescent="0.25">
      <c r="A173" s="10" t="str">
        <f t="shared" si="4"/>
        <v/>
      </c>
      <c r="B173" s="11"/>
      <c r="C173" s="11"/>
      <c r="D173" s="10" t="str">
        <f>IFERROR(IF(ISBLANK(C173),"",VLOOKUP(C173,Members!$A$2:$B$101,2,FALSE)),"")</f>
        <v/>
      </c>
      <c r="E173" s="11"/>
      <c r="F173" s="10" t="str">
        <f>IF(ISBLANK(E173),"",E173+Settings!$B$7)</f>
        <v/>
      </c>
      <c r="G173" s="11"/>
      <c r="H173" s="10" t="str">
        <f t="shared" ca="1" si="5"/>
        <v/>
      </c>
      <c r="I173" s="11"/>
    </row>
    <row r="174" spans="1:9" x14ac:dyDescent="0.25">
      <c r="A174" s="10" t="str">
        <f t="shared" si="4"/>
        <v/>
      </c>
      <c r="B174" s="11"/>
      <c r="C174" s="11"/>
      <c r="D174" s="10" t="str">
        <f>IFERROR(IF(ISBLANK(C174),"",VLOOKUP(C174,Members!$A$2:$B$101,2,FALSE)),"")</f>
        <v/>
      </c>
      <c r="E174" s="11"/>
      <c r="F174" s="10" t="str">
        <f>IF(ISBLANK(E174),"",E174+Settings!$B$7)</f>
        <v/>
      </c>
      <c r="G174" s="11"/>
      <c r="H174" s="10" t="str">
        <f t="shared" ca="1" si="5"/>
        <v/>
      </c>
      <c r="I174" s="11"/>
    </row>
    <row r="175" spans="1:9" x14ac:dyDescent="0.25">
      <c r="A175" s="10" t="str">
        <f t="shared" si="4"/>
        <v/>
      </c>
      <c r="B175" s="11"/>
      <c r="C175" s="11"/>
      <c r="D175" s="10" t="str">
        <f>IFERROR(IF(ISBLANK(C175),"",VLOOKUP(C175,Members!$A$2:$B$101,2,FALSE)),"")</f>
        <v/>
      </c>
      <c r="E175" s="11"/>
      <c r="F175" s="10" t="str">
        <f>IF(ISBLANK(E175),"",E175+Settings!$B$7)</f>
        <v/>
      </c>
      <c r="G175" s="11"/>
      <c r="H175" s="10" t="str">
        <f t="shared" ca="1" si="5"/>
        <v/>
      </c>
      <c r="I175" s="11"/>
    </row>
    <row r="176" spans="1:9" x14ac:dyDescent="0.25">
      <c r="A176" s="10" t="str">
        <f t="shared" si="4"/>
        <v/>
      </c>
      <c r="B176" s="11"/>
      <c r="C176" s="11"/>
      <c r="D176" s="10" t="str">
        <f>IFERROR(IF(ISBLANK(C176),"",VLOOKUP(C176,Members!$A$2:$B$101,2,FALSE)),"")</f>
        <v/>
      </c>
      <c r="E176" s="11"/>
      <c r="F176" s="10" t="str">
        <f>IF(ISBLANK(E176),"",E176+Settings!$B$7)</f>
        <v/>
      </c>
      <c r="G176" s="11"/>
      <c r="H176" s="10" t="str">
        <f t="shared" ca="1" si="5"/>
        <v/>
      </c>
      <c r="I176" s="11"/>
    </row>
    <row r="177" spans="1:9" x14ac:dyDescent="0.25">
      <c r="A177" s="10" t="str">
        <f t="shared" si="4"/>
        <v/>
      </c>
      <c r="B177" s="11"/>
      <c r="C177" s="11"/>
      <c r="D177" s="10" t="str">
        <f>IFERROR(IF(ISBLANK(C177),"",VLOOKUP(C177,Members!$A$2:$B$101,2,FALSE)),"")</f>
        <v/>
      </c>
      <c r="E177" s="11"/>
      <c r="F177" s="10" t="str">
        <f>IF(ISBLANK(E177),"",E177+Settings!$B$7)</f>
        <v/>
      </c>
      <c r="G177" s="11"/>
      <c r="H177" s="10" t="str">
        <f t="shared" ca="1" si="5"/>
        <v/>
      </c>
      <c r="I177" s="11"/>
    </row>
    <row r="178" spans="1:9" x14ac:dyDescent="0.25">
      <c r="A178" s="10" t="str">
        <f t="shared" si="4"/>
        <v/>
      </c>
      <c r="B178" s="11"/>
      <c r="C178" s="11"/>
      <c r="D178" s="10" t="str">
        <f>IFERROR(IF(ISBLANK(C178),"",VLOOKUP(C178,Members!$A$2:$B$101,2,FALSE)),"")</f>
        <v/>
      </c>
      <c r="E178" s="11"/>
      <c r="F178" s="10" t="str">
        <f>IF(ISBLANK(E178),"",E178+Settings!$B$7)</f>
        <v/>
      </c>
      <c r="G178" s="11"/>
      <c r="H178" s="10" t="str">
        <f t="shared" ca="1" si="5"/>
        <v/>
      </c>
      <c r="I178" s="11"/>
    </row>
    <row r="179" spans="1:9" x14ac:dyDescent="0.25">
      <c r="A179" s="10" t="str">
        <f t="shared" si="4"/>
        <v/>
      </c>
      <c r="B179" s="11"/>
      <c r="C179" s="11"/>
      <c r="D179" s="10" t="str">
        <f>IFERROR(IF(ISBLANK(C179),"",VLOOKUP(C179,Members!$A$2:$B$101,2,FALSE)),"")</f>
        <v/>
      </c>
      <c r="E179" s="11"/>
      <c r="F179" s="10" t="str">
        <f>IF(ISBLANK(E179),"",E179+Settings!$B$7)</f>
        <v/>
      </c>
      <c r="G179" s="11"/>
      <c r="H179" s="10" t="str">
        <f t="shared" ca="1" si="5"/>
        <v/>
      </c>
      <c r="I179" s="11"/>
    </row>
    <row r="180" spans="1:9" x14ac:dyDescent="0.25">
      <c r="A180" s="10" t="str">
        <f t="shared" si="4"/>
        <v/>
      </c>
      <c r="B180" s="11"/>
      <c r="C180" s="11"/>
      <c r="D180" s="10" t="str">
        <f>IFERROR(IF(ISBLANK(C180),"",VLOOKUP(C180,Members!$A$2:$B$101,2,FALSE)),"")</f>
        <v/>
      </c>
      <c r="E180" s="11"/>
      <c r="F180" s="10" t="str">
        <f>IF(ISBLANK(E180),"",E180+Settings!$B$7)</f>
        <v/>
      </c>
      <c r="G180" s="11"/>
      <c r="H180" s="10" t="str">
        <f t="shared" ca="1" si="5"/>
        <v/>
      </c>
      <c r="I180" s="11"/>
    </row>
    <row r="181" spans="1:9" x14ac:dyDescent="0.25">
      <c r="A181" s="10" t="str">
        <f t="shared" si="4"/>
        <v/>
      </c>
      <c r="B181" s="11"/>
      <c r="C181" s="11"/>
      <c r="D181" s="10" t="str">
        <f>IFERROR(IF(ISBLANK(C181),"",VLOOKUP(C181,Members!$A$2:$B$101,2,FALSE)),"")</f>
        <v/>
      </c>
      <c r="E181" s="11"/>
      <c r="F181" s="10" t="str">
        <f>IF(ISBLANK(E181),"",E181+Settings!$B$7)</f>
        <v/>
      </c>
      <c r="G181" s="11"/>
      <c r="H181" s="10" t="str">
        <f t="shared" ca="1" si="5"/>
        <v/>
      </c>
      <c r="I181" s="11"/>
    </row>
    <row r="182" spans="1:9" x14ac:dyDescent="0.25">
      <c r="A182" s="10" t="str">
        <f t="shared" si="4"/>
        <v/>
      </c>
      <c r="B182" s="11"/>
      <c r="C182" s="11"/>
      <c r="D182" s="10" t="str">
        <f>IFERROR(IF(ISBLANK(C182),"",VLOOKUP(C182,Members!$A$2:$B$101,2,FALSE)),"")</f>
        <v/>
      </c>
      <c r="E182" s="11"/>
      <c r="F182" s="10" t="str">
        <f>IF(ISBLANK(E182),"",E182+Settings!$B$7)</f>
        <v/>
      </c>
      <c r="G182" s="11"/>
      <c r="H182" s="10" t="str">
        <f t="shared" ca="1" si="5"/>
        <v/>
      </c>
      <c r="I182" s="11"/>
    </row>
    <row r="183" spans="1:9" x14ac:dyDescent="0.25">
      <c r="A183" s="10" t="str">
        <f t="shared" si="4"/>
        <v/>
      </c>
      <c r="B183" s="11"/>
      <c r="C183" s="11"/>
      <c r="D183" s="10" t="str">
        <f>IFERROR(IF(ISBLANK(C183),"",VLOOKUP(C183,Members!$A$2:$B$101,2,FALSE)),"")</f>
        <v/>
      </c>
      <c r="E183" s="11"/>
      <c r="F183" s="10" t="str">
        <f>IF(ISBLANK(E183),"",E183+Settings!$B$7)</f>
        <v/>
      </c>
      <c r="G183" s="11"/>
      <c r="H183" s="10" t="str">
        <f t="shared" ca="1" si="5"/>
        <v/>
      </c>
      <c r="I183" s="11"/>
    </row>
    <row r="184" spans="1:9" x14ac:dyDescent="0.25">
      <c r="A184" s="10" t="str">
        <f t="shared" si="4"/>
        <v/>
      </c>
      <c r="B184" s="11"/>
      <c r="C184" s="11"/>
      <c r="D184" s="10" t="str">
        <f>IFERROR(IF(ISBLANK(C184),"",VLOOKUP(C184,Members!$A$2:$B$101,2,FALSE)),"")</f>
        <v/>
      </c>
      <c r="E184" s="11"/>
      <c r="F184" s="10" t="str">
        <f>IF(ISBLANK(E184),"",E184+Settings!$B$7)</f>
        <v/>
      </c>
      <c r="G184" s="11"/>
      <c r="H184" s="10" t="str">
        <f t="shared" ca="1" si="5"/>
        <v/>
      </c>
      <c r="I184" s="11"/>
    </row>
    <row r="185" spans="1:9" x14ac:dyDescent="0.25">
      <c r="A185" s="10" t="str">
        <f t="shared" si="4"/>
        <v/>
      </c>
      <c r="B185" s="11"/>
      <c r="C185" s="11"/>
      <c r="D185" s="10" t="str">
        <f>IFERROR(IF(ISBLANK(C185),"",VLOOKUP(C185,Members!$A$2:$B$101,2,FALSE)),"")</f>
        <v/>
      </c>
      <c r="E185" s="11"/>
      <c r="F185" s="10" t="str">
        <f>IF(ISBLANK(E185),"",E185+Settings!$B$7)</f>
        <v/>
      </c>
      <c r="G185" s="11"/>
      <c r="H185" s="10" t="str">
        <f t="shared" ca="1" si="5"/>
        <v/>
      </c>
      <c r="I185" s="11"/>
    </row>
    <row r="186" spans="1:9" x14ac:dyDescent="0.25">
      <c r="A186" s="10" t="str">
        <f t="shared" si="4"/>
        <v/>
      </c>
      <c r="B186" s="11"/>
      <c r="C186" s="11"/>
      <c r="D186" s="10" t="str">
        <f>IFERROR(IF(ISBLANK(C186),"",VLOOKUP(C186,Members!$A$2:$B$101,2,FALSE)),"")</f>
        <v/>
      </c>
      <c r="E186" s="11"/>
      <c r="F186" s="10" t="str">
        <f>IF(ISBLANK(E186),"",E186+Settings!$B$7)</f>
        <v/>
      </c>
      <c r="G186" s="11"/>
      <c r="H186" s="10" t="str">
        <f t="shared" ca="1" si="5"/>
        <v/>
      </c>
      <c r="I186" s="11"/>
    </row>
    <row r="187" spans="1:9" x14ac:dyDescent="0.25">
      <c r="A187" s="10" t="str">
        <f t="shared" si="4"/>
        <v/>
      </c>
      <c r="B187" s="11"/>
      <c r="C187" s="11"/>
      <c r="D187" s="10" t="str">
        <f>IFERROR(IF(ISBLANK(C187),"",VLOOKUP(C187,Members!$A$2:$B$101,2,FALSE)),"")</f>
        <v/>
      </c>
      <c r="E187" s="11"/>
      <c r="F187" s="10" t="str">
        <f>IF(ISBLANK(E187),"",E187+Settings!$B$7)</f>
        <v/>
      </c>
      <c r="G187" s="11"/>
      <c r="H187" s="10" t="str">
        <f t="shared" ca="1" si="5"/>
        <v/>
      </c>
      <c r="I187" s="11"/>
    </row>
    <row r="188" spans="1:9" x14ac:dyDescent="0.25">
      <c r="A188" s="10" t="str">
        <f t="shared" si="4"/>
        <v/>
      </c>
      <c r="B188" s="11"/>
      <c r="C188" s="11"/>
      <c r="D188" s="10" t="str">
        <f>IFERROR(IF(ISBLANK(C188),"",VLOOKUP(C188,Members!$A$2:$B$101,2,FALSE)),"")</f>
        <v/>
      </c>
      <c r="E188" s="11"/>
      <c r="F188" s="10" t="str">
        <f>IF(ISBLANK(E188),"",E188+Settings!$B$7)</f>
        <v/>
      </c>
      <c r="G188" s="11"/>
      <c r="H188" s="10" t="str">
        <f t="shared" ca="1" si="5"/>
        <v/>
      </c>
      <c r="I188" s="11"/>
    </row>
    <row r="189" spans="1:9" x14ac:dyDescent="0.25">
      <c r="A189" s="10" t="str">
        <f t="shared" si="4"/>
        <v/>
      </c>
      <c r="B189" s="11"/>
      <c r="C189" s="11"/>
      <c r="D189" s="10" t="str">
        <f>IFERROR(IF(ISBLANK(C189),"",VLOOKUP(C189,Members!$A$2:$B$101,2,FALSE)),"")</f>
        <v/>
      </c>
      <c r="E189" s="11"/>
      <c r="F189" s="10" t="str">
        <f>IF(ISBLANK(E189),"",E189+Settings!$B$7)</f>
        <v/>
      </c>
      <c r="G189" s="11"/>
      <c r="H189" s="10" t="str">
        <f t="shared" ca="1" si="5"/>
        <v/>
      </c>
      <c r="I189" s="11"/>
    </row>
    <row r="190" spans="1:9" x14ac:dyDescent="0.25">
      <c r="A190" s="10" t="str">
        <f t="shared" si="4"/>
        <v/>
      </c>
      <c r="B190" s="11"/>
      <c r="C190" s="11"/>
      <c r="D190" s="10" t="str">
        <f>IFERROR(IF(ISBLANK(C190),"",VLOOKUP(C190,Members!$A$2:$B$101,2,FALSE)),"")</f>
        <v/>
      </c>
      <c r="E190" s="11"/>
      <c r="F190" s="10" t="str">
        <f>IF(ISBLANK(E190),"",E190+Settings!$B$7)</f>
        <v/>
      </c>
      <c r="G190" s="11"/>
      <c r="H190" s="10" t="str">
        <f t="shared" ca="1" si="5"/>
        <v/>
      </c>
      <c r="I190" s="11"/>
    </row>
    <row r="191" spans="1:9" x14ac:dyDescent="0.25">
      <c r="A191" s="10" t="str">
        <f t="shared" si="4"/>
        <v/>
      </c>
      <c r="B191" s="11"/>
      <c r="C191" s="11"/>
      <c r="D191" s="10" t="str">
        <f>IFERROR(IF(ISBLANK(C191),"",VLOOKUP(C191,Members!$A$2:$B$101,2,FALSE)),"")</f>
        <v/>
      </c>
      <c r="E191" s="11"/>
      <c r="F191" s="10" t="str">
        <f>IF(ISBLANK(E191),"",E191+Settings!$B$7)</f>
        <v/>
      </c>
      <c r="G191" s="11"/>
      <c r="H191" s="10" t="str">
        <f t="shared" ca="1" si="5"/>
        <v/>
      </c>
      <c r="I191" s="11"/>
    </row>
    <row r="192" spans="1:9" x14ac:dyDescent="0.25">
      <c r="A192" s="10" t="str">
        <f t="shared" si="4"/>
        <v/>
      </c>
      <c r="B192" s="11"/>
      <c r="C192" s="11"/>
      <c r="D192" s="10" t="str">
        <f>IFERROR(IF(ISBLANK(C192),"",VLOOKUP(C192,Members!$A$2:$B$101,2,FALSE)),"")</f>
        <v/>
      </c>
      <c r="E192" s="11"/>
      <c r="F192" s="10" t="str">
        <f>IF(ISBLANK(E192),"",E192+Settings!$B$7)</f>
        <v/>
      </c>
      <c r="G192" s="11"/>
      <c r="H192" s="10" t="str">
        <f t="shared" ca="1" si="5"/>
        <v/>
      </c>
      <c r="I192" s="11"/>
    </row>
    <row r="193" spans="1:9" x14ac:dyDescent="0.25">
      <c r="A193" s="10" t="str">
        <f t="shared" si="4"/>
        <v/>
      </c>
      <c r="B193" s="11"/>
      <c r="C193" s="11"/>
      <c r="D193" s="10" t="str">
        <f>IFERROR(IF(ISBLANK(C193),"",VLOOKUP(C193,Members!$A$2:$B$101,2,FALSE)),"")</f>
        <v/>
      </c>
      <c r="E193" s="11"/>
      <c r="F193" s="10" t="str">
        <f>IF(ISBLANK(E193),"",E193+Settings!$B$7)</f>
        <v/>
      </c>
      <c r="G193" s="11"/>
      <c r="H193" s="10" t="str">
        <f t="shared" ca="1" si="5"/>
        <v/>
      </c>
      <c r="I193" s="11"/>
    </row>
    <row r="194" spans="1:9" x14ac:dyDescent="0.25">
      <c r="A194" s="10" t="str">
        <f t="shared" ref="A194:A257" si="6">IF(ISBLANK(B194),"",ROW()-1)</f>
        <v/>
      </c>
      <c r="B194" s="11"/>
      <c r="C194" s="11"/>
      <c r="D194" s="10" t="str">
        <f>IFERROR(IF(ISBLANK(C194),"",VLOOKUP(C194,Members!$A$2:$B$101,2,FALSE)),"")</f>
        <v/>
      </c>
      <c r="E194" s="11"/>
      <c r="F194" s="10" t="str">
        <f>IF(ISBLANK(E194),"",E194+Settings!$B$7)</f>
        <v/>
      </c>
      <c r="G194" s="11"/>
      <c r="H194" s="10" t="str">
        <f t="shared" ref="H194:H257" ca="1" si="7">IF(ISBLANK(B194),"",IF(NOT(ISBLANK(G194)),"Returned",IF(TODAY()&gt;F194,"Overdue","Active")))</f>
        <v/>
      </c>
      <c r="I194" s="11"/>
    </row>
    <row r="195" spans="1:9" x14ac:dyDescent="0.25">
      <c r="A195" s="10" t="str">
        <f t="shared" si="6"/>
        <v/>
      </c>
      <c r="B195" s="11"/>
      <c r="C195" s="11"/>
      <c r="D195" s="10" t="str">
        <f>IFERROR(IF(ISBLANK(C195),"",VLOOKUP(C195,Members!$A$2:$B$101,2,FALSE)),"")</f>
        <v/>
      </c>
      <c r="E195" s="11"/>
      <c r="F195" s="10" t="str">
        <f>IF(ISBLANK(E195),"",E195+Settings!$B$7)</f>
        <v/>
      </c>
      <c r="G195" s="11"/>
      <c r="H195" s="10" t="str">
        <f t="shared" ca="1" si="7"/>
        <v/>
      </c>
      <c r="I195" s="11"/>
    </row>
    <row r="196" spans="1:9" x14ac:dyDescent="0.25">
      <c r="A196" s="10" t="str">
        <f t="shared" si="6"/>
        <v/>
      </c>
      <c r="B196" s="11"/>
      <c r="C196" s="11"/>
      <c r="D196" s="10" t="str">
        <f>IFERROR(IF(ISBLANK(C196),"",VLOOKUP(C196,Members!$A$2:$B$101,2,FALSE)),"")</f>
        <v/>
      </c>
      <c r="E196" s="11"/>
      <c r="F196" s="10" t="str">
        <f>IF(ISBLANK(E196),"",E196+Settings!$B$7)</f>
        <v/>
      </c>
      <c r="G196" s="11"/>
      <c r="H196" s="10" t="str">
        <f t="shared" ca="1" si="7"/>
        <v/>
      </c>
      <c r="I196" s="11"/>
    </row>
    <row r="197" spans="1:9" x14ac:dyDescent="0.25">
      <c r="A197" s="10" t="str">
        <f t="shared" si="6"/>
        <v/>
      </c>
      <c r="B197" s="11"/>
      <c r="C197" s="11"/>
      <c r="D197" s="10" t="str">
        <f>IFERROR(IF(ISBLANK(C197),"",VLOOKUP(C197,Members!$A$2:$B$101,2,FALSE)),"")</f>
        <v/>
      </c>
      <c r="E197" s="11"/>
      <c r="F197" s="10" t="str">
        <f>IF(ISBLANK(E197),"",E197+Settings!$B$7)</f>
        <v/>
      </c>
      <c r="G197" s="11"/>
      <c r="H197" s="10" t="str">
        <f t="shared" ca="1" si="7"/>
        <v/>
      </c>
      <c r="I197" s="11"/>
    </row>
    <row r="198" spans="1:9" x14ac:dyDescent="0.25">
      <c r="A198" s="10" t="str">
        <f t="shared" si="6"/>
        <v/>
      </c>
      <c r="B198" s="11"/>
      <c r="C198" s="11"/>
      <c r="D198" s="10" t="str">
        <f>IFERROR(IF(ISBLANK(C198),"",VLOOKUP(C198,Members!$A$2:$B$101,2,FALSE)),"")</f>
        <v/>
      </c>
      <c r="E198" s="11"/>
      <c r="F198" s="10" t="str">
        <f>IF(ISBLANK(E198),"",E198+Settings!$B$7)</f>
        <v/>
      </c>
      <c r="G198" s="11"/>
      <c r="H198" s="10" t="str">
        <f t="shared" ca="1" si="7"/>
        <v/>
      </c>
      <c r="I198" s="11"/>
    </row>
    <row r="199" spans="1:9" x14ac:dyDescent="0.25">
      <c r="A199" s="10" t="str">
        <f t="shared" si="6"/>
        <v/>
      </c>
      <c r="B199" s="11"/>
      <c r="C199" s="11"/>
      <c r="D199" s="10" t="str">
        <f>IFERROR(IF(ISBLANK(C199),"",VLOOKUP(C199,Members!$A$2:$B$101,2,FALSE)),"")</f>
        <v/>
      </c>
      <c r="E199" s="11"/>
      <c r="F199" s="10" t="str">
        <f>IF(ISBLANK(E199),"",E199+Settings!$B$7)</f>
        <v/>
      </c>
      <c r="G199" s="11"/>
      <c r="H199" s="10" t="str">
        <f t="shared" ca="1" si="7"/>
        <v/>
      </c>
      <c r="I199" s="11"/>
    </row>
    <row r="200" spans="1:9" x14ac:dyDescent="0.25">
      <c r="A200" s="10" t="str">
        <f t="shared" si="6"/>
        <v/>
      </c>
      <c r="B200" s="11"/>
      <c r="C200" s="11"/>
      <c r="D200" s="10" t="str">
        <f>IFERROR(IF(ISBLANK(C200),"",VLOOKUP(C200,Members!$A$2:$B$101,2,FALSE)),"")</f>
        <v/>
      </c>
      <c r="E200" s="11"/>
      <c r="F200" s="10" t="str">
        <f>IF(ISBLANK(E200),"",E200+Settings!$B$7)</f>
        <v/>
      </c>
      <c r="G200" s="11"/>
      <c r="H200" s="10" t="str">
        <f t="shared" ca="1" si="7"/>
        <v/>
      </c>
      <c r="I200" s="11"/>
    </row>
    <row r="201" spans="1:9" x14ac:dyDescent="0.25">
      <c r="A201" s="10" t="str">
        <f t="shared" si="6"/>
        <v/>
      </c>
      <c r="B201" s="11"/>
      <c r="C201" s="11"/>
      <c r="D201" s="10" t="str">
        <f>IFERROR(IF(ISBLANK(C201),"",VLOOKUP(C201,Members!$A$2:$B$101,2,FALSE)),"")</f>
        <v/>
      </c>
      <c r="E201" s="11"/>
      <c r="F201" s="10" t="str">
        <f>IF(ISBLANK(E201),"",E201+Settings!$B$7)</f>
        <v/>
      </c>
      <c r="G201" s="11"/>
      <c r="H201" s="10" t="str">
        <f t="shared" ca="1" si="7"/>
        <v/>
      </c>
      <c r="I201" s="11"/>
    </row>
    <row r="202" spans="1:9" x14ac:dyDescent="0.25">
      <c r="A202" s="10" t="str">
        <f t="shared" si="6"/>
        <v/>
      </c>
      <c r="B202" s="11"/>
      <c r="C202" s="11"/>
      <c r="D202" s="10" t="str">
        <f>IFERROR(IF(ISBLANK(C202),"",VLOOKUP(C202,Members!$A$2:$B$101,2,FALSE)),"")</f>
        <v/>
      </c>
      <c r="E202" s="11"/>
      <c r="F202" s="10" t="str">
        <f>IF(ISBLANK(E202),"",E202+Settings!$B$7)</f>
        <v/>
      </c>
      <c r="G202" s="11"/>
      <c r="H202" s="10" t="str">
        <f t="shared" ca="1" si="7"/>
        <v/>
      </c>
      <c r="I202" s="11"/>
    </row>
    <row r="203" spans="1:9" x14ac:dyDescent="0.25">
      <c r="A203" s="10" t="str">
        <f t="shared" si="6"/>
        <v/>
      </c>
      <c r="B203" s="11"/>
      <c r="C203" s="11"/>
      <c r="D203" s="10" t="str">
        <f>IFERROR(IF(ISBLANK(C203),"",VLOOKUP(C203,Members!$A$2:$B$101,2,FALSE)),"")</f>
        <v/>
      </c>
      <c r="E203" s="11"/>
      <c r="F203" s="10" t="str">
        <f>IF(ISBLANK(E203),"",E203+Settings!$B$7)</f>
        <v/>
      </c>
      <c r="G203" s="11"/>
      <c r="H203" s="10" t="str">
        <f t="shared" ca="1" si="7"/>
        <v/>
      </c>
      <c r="I203" s="11"/>
    </row>
    <row r="204" spans="1:9" x14ac:dyDescent="0.25">
      <c r="A204" s="10" t="str">
        <f t="shared" si="6"/>
        <v/>
      </c>
      <c r="B204" s="11"/>
      <c r="C204" s="11"/>
      <c r="D204" s="10" t="str">
        <f>IFERROR(IF(ISBLANK(C204),"",VLOOKUP(C204,Members!$A$2:$B$101,2,FALSE)),"")</f>
        <v/>
      </c>
      <c r="E204" s="11"/>
      <c r="F204" s="10" t="str">
        <f>IF(ISBLANK(E204),"",E204+Settings!$B$7)</f>
        <v/>
      </c>
      <c r="G204" s="11"/>
      <c r="H204" s="10" t="str">
        <f t="shared" ca="1" si="7"/>
        <v/>
      </c>
      <c r="I204" s="11"/>
    </row>
    <row r="205" spans="1:9" x14ac:dyDescent="0.25">
      <c r="A205" s="10" t="str">
        <f t="shared" si="6"/>
        <v/>
      </c>
      <c r="B205" s="11"/>
      <c r="C205" s="11"/>
      <c r="D205" s="10" t="str">
        <f>IFERROR(IF(ISBLANK(C205),"",VLOOKUP(C205,Members!$A$2:$B$101,2,FALSE)),"")</f>
        <v/>
      </c>
      <c r="E205" s="11"/>
      <c r="F205" s="10" t="str">
        <f>IF(ISBLANK(E205),"",E205+Settings!$B$7)</f>
        <v/>
      </c>
      <c r="G205" s="11"/>
      <c r="H205" s="10" t="str">
        <f t="shared" ca="1" si="7"/>
        <v/>
      </c>
      <c r="I205" s="11"/>
    </row>
    <row r="206" spans="1:9" x14ac:dyDescent="0.25">
      <c r="A206" s="10" t="str">
        <f t="shared" si="6"/>
        <v/>
      </c>
      <c r="B206" s="11"/>
      <c r="C206" s="11"/>
      <c r="D206" s="10" t="str">
        <f>IFERROR(IF(ISBLANK(C206),"",VLOOKUP(C206,Members!$A$2:$B$101,2,FALSE)),"")</f>
        <v/>
      </c>
      <c r="E206" s="11"/>
      <c r="F206" s="10" t="str">
        <f>IF(ISBLANK(E206),"",E206+Settings!$B$7)</f>
        <v/>
      </c>
      <c r="G206" s="11"/>
      <c r="H206" s="10" t="str">
        <f t="shared" ca="1" si="7"/>
        <v/>
      </c>
      <c r="I206" s="11"/>
    </row>
    <row r="207" spans="1:9" x14ac:dyDescent="0.25">
      <c r="A207" s="10" t="str">
        <f t="shared" si="6"/>
        <v/>
      </c>
      <c r="B207" s="11"/>
      <c r="C207" s="11"/>
      <c r="D207" s="10" t="str">
        <f>IFERROR(IF(ISBLANK(C207),"",VLOOKUP(C207,Members!$A$2:$B$101,2,FALSE)),"")</f>
        <v/>
      </c>
      <c r="E207" s="11"/>
      <c r="F207" s="10" t="str">
        <f>IF(ISBLANK(E207),"",E207+Settings!$B$7)</f>
        <v/>
      </c>
      <c r="G207" s="11"/>
      <c r="H207" s="10" t="str">
        <f t="shared" ca="1" si="7"/>
        <v/>
      </c>
      <c r="I207" s="11"/>
    </row>
    <row r="208" spans="1:9" x14ac:dyDescent="0.25">
      <c r="A208" s="10" t="str">
        <f t="shared" si="6"/>
        <v/>
      </c>
      <c r="B208" s="11"/>
      <c r="C208" s="11"/>
      <c r="D208" s="10" t="str">
        <f>IFERROR(IF(ISBLANK(C208),"",VLOOKUP(C208,Members!$A$2:$B$101,2,FALSE)),"")</f>
        <v/>
      </c>
      <c r="E208" s="11"/>
      <c r="F208" s="10" t="str">
        <f>IF(ISBLANK(E208),"",E208+Settings!$B$7)</f>
        <v/>
      </c>
      <c r="G208" s="11"/>
      <c r="H208" s="10" t="str">
        <f t="shared" ca="1" si="7"/>
        <v/>
      </c>
      <c r="I208" s="11"/>
    </row>
    <row r="209" spans="1:9" x14ac:dyDescent="0.25">
      <c r="A209" s="10" t="str">
        <f t="shared" si="6"/>
        <v/>
      </c>
      <c r="B209" s="11"/>
      <c r="C209" s="11"/>
      <c r="D209" s="10" t="str">
        <f>IFERROR(IF(ISBLANK(C209),"",VLOOKUP(C209,Members!$A$2:$B$101,2,FALSE)),"")</f>
        <v/>
      </c>
      <c r="E209" s="11"/>
      <c r="F209" s="10" t="str">
        <f>IF(ISBLANK(E209),"",E209+Settings!$B$7)</f>
        <v/>
      </c>
      <c r="G209" s="11"/>
      <c r="H209" s="10" t="str">
        <f t="shared" ca="1" si="7"/>
        <v/>
      </c>
      <c r="I209" s="11"/>
    </row>
    <row r="210" spans="1:9" x14ac:dyDescent="0.25">
      <c r="A210" s="10" t="str">
        <f t="shared" si="6"/>
        <v/>
      </c>
      <c r="B210" s="11"/>
      <c r="C210" s="11"/>
      <c r="D210" s="10" t="str">
        <f>IFERROR(IF(ISBLANK(C210),"",VLOOKUP(C210,Members!$A$2:$B$101,2,FALSE)),"")</f>
        <v/>
      </c>
      <c r="E210" s="11"/>
      <c r="F210" s="10" t="str">
        <f>IF(ISBLANK(E210),"",E210+Settings!$B$7)</f>
        <v/>
      </c>
      <c r="G210" s="11"/>
      <c r="H210" s="10" t="str">
        <f t="shared" ca="1" si="7"/>
        <v/>
      </c>
      <c r="I210" s="11"/>
    </row>
    <row r="211" spans="1:9" x14ac:dyDescent="0.25">
      <c r="A211" s="10" t="str">
        <f t="shared" si="6"/>
        <v/>
      </c>
      <c r="B211" s="11"/>
      <c r="C211" s="11"/>
      <c r="D211" s="10" t="str">
        <f>IFERROR(IF(ISBLANK(C211),"",VLOOKUP(C211,Members!$A$2:$B$101,2,FALSE)),"")</f>
        <v/>
      </c>
      <c r="E211" s="11"/>
      <c r="F211" s="10" t="str">
        <f>IF(ISBLANK(E211),"",E211+Settings!$B$7)</f>
        <v/>
      </c>
      <c r="G211" s="11"/>
      <c r="H211" s="10" t="str">
        <f t="shared" ca="1" si="7"/>
        <v/>
      </c>
      <c r="I211" s="11"/>
    </row>
    <row r="212" spans="1:9" x14ac:dyDescent="0.25">
      <c r="A212" s="10" t="str">
        <f t="shared" si="6"/>
        <v/>
      </c>
      <c r="B212" s="11"/>
      <c r="C212" s="11"/>
      <c r="D212" s="10" t="str">
        <f>IFERROR(IF(ISBLANK(C212),"",VLOOKUP(C212,Members!$A$2:$B$101,2,FALSE)),"")</f>
        <v/>
      </c>
      <c r="E212" s="11"/>
      <c r="F212" s="10" t="str">
        <f>IF(ISBLANK(E212),"",E212+Settings!$B$7)</f>
        <v/>
      </c>
      <c r="G212" s="11"/>
      <c r="H212" s="10" t="str">
        <f t="shared" ca="1" si="7"/>
        <v/>
      </c>
      <c r="I212" s="11"/>
    </row>
    <row r="213" spans="1:9" x14ac:dyDescent="0.25">
      <c r="A213" s="10" t="str">
        <f t="shared" si="6"/>
        <v/>
      </c>
      <c r="B213" s="11"/>
      <c r="C213" s="11"/>
      <c r="D213" s="10" t="str">
        <f>IFERROR(IF(ISBLANK(C213),"",VLOOKUP(C213,Members!$A$2:$B$101,2,FALSE)),"")</f>
        <v/>
      </c>
      <c r="E213" s="11"/>
      <c r="F213" s="10" t="str">
        <f>IF(ISBLANK(E213),"",E213+Settings!$B$7)</f>
        <v/>
      </c>
      <c r="G213" s="11"/>
      <c r="H213" s="10" t="str">
        <f t="shared" ca="1" si="7"/>
        <v/>
      </c>
      <c r="I213" s="11"/>
    </row>
    <row r="214" spans="1:9" x14ac:dyDescent="0.25">
      <c r="A214" s="10" t="str">
        <f t="shared" si="6"/>
        <v/>
      </c>
      <c r="B214" s="11"/>
      <c r="C214" s="11"/>
      <c r="D214" s="10" t="str">
        <f>IFERROR(IF(ISBLANK(C214),"",VLOOKUP(C214,Members!$A$2:$B$101,2,FALSE)),"")</f>
        <v/>
      </c>
      <c r="E214" s="11"/>
      <c r="F214" s="10" t="str">
        <f>IF(ISBLANK(E214),"",E214+Settings!$B$7)</f>
        <v/>
      </c>
      <c r="G214" s="11"/>
      <c r="H214" s="10" t="str">
        <f t="shared" ca="1" si="7"/>
        <v/>
      </c>
      <c r="I214" s="11"/>
    </row>
    <row r="215" spans="1:9" x14ac:dyDescent="0.25">
      <c r="A215" s="10" t="str">
        <f t="shared" si="6"/>
        <v/>
      </c>
      <c r="B215" s="11"/>
      <c r="C215" s="11"/>
      <c r="D215" s="10" t="str">
        <f>IFERROR(IF(ISBLANK(C215),"",VLOOKUP(C215,Members!$A$2:$B$101,2,FALSE)),"")</f>
        <v/>
      </c>
      <c r="E215" s="11"/>
      <c r="F215" s="10" t="str">
        <f>IF(ISBLANK(E215),"",E215+Settings!$B$7)</f>
        <v/>
      </c>
      <c r="G215" s="11"/>
      <c r="H215" s="10" t="str">
        <f t="shared" ca="1" si="7"/>
        <v/>
      </c>
      <c r="I215" s="11"/>
    </row>
    <row r="216" spans="1:9" x14ac:dyDescent="0.25">
      <c r="A216" s="10" t="str">
        <f t="shared" si="6"/>
        <v/>
      </c>
      <c r="B216" s="11"/>
      <c r="C216" s="11"/>
      <c r="D216" s="10" t="str">
        <f>IFERROR(IF(ISBLANK(C216),"",VLOOKUP(C216,Members!$A$2:$B$101,2,FALSE)),"")</f>
        <v/>
      </c>
      <c r="E216" s="11"/>
      <c r="F216" s="10" t="str">
        <f>IF(ISBLANK(E216),"",E216+Settings!$B$7)</f>
        <v/>
      </c>
      <c r="G216" s="11"/>
      <c r="H216" s="10" t="str">
        <f t="shared" ca="1" si="7"/>
        <v/>
      </c>
      <c r="I216" s="11"/>
    </row>
    <row r="217" spans="1:9" x14ac:dyDescent="0.25">
      <c r="A217" s="10" t="str">
        <f t="shared" si="6"/>
        <v/>
      </c>
      <c r="B217" s="11"/>
      <c r="C217" s="11"/>
      <c r="D217" s="10" t="str">
        <f>IFERROR(IF(ISBLANK(C217),"",VLOOKUP(C217,Members!$A$2:$B$101,2,FALSE)),"")</f>
        <v/>
      </c>
      <c r="E217" s="11"/>
      <c r="F217" s="10" t="str">
        <f>IF(ISBLANK(E217),"",E217+Settings!$B$7)</f>
        <v/>
      </c>
      <c r="G217" s="11"/>
      <c r="H217" s="10" t="str">
        <f t="shared" ca="1" si="7"/>
        <v/>
      </c>
      <c r="I217" s="11"/>
    </row>
    <row r="218" spans="1:9" x14ac:dyDescent="0.25">
      <c r="A218" s="10" t="str">
        <f t="shared" si="6"/>
        <v/>
      </c>
      <c r="B218" s="11"/>
      <c r="C218" s="11"/>
      <c r="D218" s="10" t="str">
        <f>IFERROR(IF(ISBLANK(C218),"",VLOOKUP(C218,Members!$A$2:$B$101,2,FALSE)),"")</f>
        <v/>
      </c>
      <c r="E218" s="11"/>
      <c r="F218" s="10" t="str">
        <f>IF(ISBLANK(E218),"",E218+Settings!$B$7)</f>
        <v/>
      </c>
      <c r="G218" s="11"/>
      <c r="H218" s="10" t="str">
        <f t="shared" ca="1" si="7"/>
        <v/>
      </c>
      <c r="I218" s="11"/>
    </row>
    <row r="219" spans="1:9" x14ac:dyDescent="0.25">
      <c r="A219" s="10" t="str">
        <f t="shared" si="6"/>
        <v/>
      </c>
      <c r="B219" s="11"/>
      <c r="C219" s="11"/>
      <c r="D219" s="10" t="str">
        <f>IFERROR(IF(ISBLANK(C219),"",VLOOKUP(C219,Members!$A$2:$B$101,2,FALSE)),"")</f>
        <v/>
      </c>
      <c r="E219" s="11"/>
      <c r="F219" s="10" t="str">
        <f>IF(ISBLANK(E219),"",E219+Settings!$B$7)</f>
        <v/>
      </c>
      <c r="G219" s="11"/>
      <c r="H219" s="10" t="str">
        <f t="shared" ca="1" si="7"/>
        <v/>
      </c>
      <c r="I219" s="11"/>
    </row>
    <row r="220" spans="1:9" x14ac:dyDescent="0.25">
      <c r="A220" s="10" t="str">
        <f t="shared" si="6"/>
        <v/>
      </c>
      <c r="B220" s="11"/>
      <c r="C220" s="11"/>
      <c r="D220" s="10" t="str">
        <f>IFERROR(IF(ISBLANK(C220),"",VLOOKUP(C220,Members!$A$2:$B$101,2,FALSE)),"")</f>
        <v/>
      </c>
      <c r="E220" s="11"/>
      <c r="F220" s="10" t="str">
        <f>IF(ISBLANK(E220),"",E220+Settings!$B$7)</f>
        <v/>
      </c>
      <c r="G220" s="11"/>
      <c r="H220" s="10" t="str">
        <f t="shared" ca="1" si="7"/>
        <v/>
      </c>
      <c r="I220" s="11"/>
    </row>
    <row r="221" spans="1:9" x14ac:dyDescent="0.25">
      <c r="A221" s="10" t="str">
        <f t="shared" si="6"/>
        <v/>
      </c>
      <c r="B221" s="11"/>
      <c r="C221" s="11"/>
      <c r="D221" s="10" t="str">
        <f>IFERROR(IF(ISBLANK(C221),"",VLOOKUP(C221,Members!$A$2:$B$101,2,FALSE)),"")</f>
        <v/>
      </c>
      <c r="E221" s="11"/>
      <c r="F221" s="10" t="str">
        <f>IF(ISBLANK(E221),"",E221+Settings!$B$7)</f>
        <v/>
      </c>
      <c r="G221" s="11"/>
      <c r="H221" s="10" t="str">
        <f t="shared" ca="1" si="7"/>
        <v/>
      </c>
      <c r="I221" s="11"/>
    </row>
    <row r="222" spans="1:9" x14ac:dyDescent="0.25">
      <c r="A222" s="10" t="str">
        <f t="shared" si="6"/>
        <v/>
      </c>
      <c r="B222" s="11"/>
      <c r="C222" s="11"/>
      <c r="D222" s="10" t="str">
        <f>IFERROR(IF(ISBLANK(C222),"",VLOOKUP(C222,Members!$A$2:$B$101,2,FALSE)),"")</f>
        <v/>
      </c>
      <c r="E222" s="11"/>
      <c r="F222" s="10" t="str">
        <f>IF(ISBLANK(E222),"",E222+Settings!$B$7)</f>
        <v/>
      </c>
      <c r="G222" s="11"/>
      <c r="H222" s="10" t="str">
        <f t="shared" ca="1" si="7"/>
        <v/>
      </c>
      <c r="I222" s="11"/>
    </row>
    <row r="223" spans="1:9" x14ac:dyDescent="0.25">
      <c r="A223" s="10" t="str">
        <f t="shared" si="6"/>
        <v/>
      </c>
      <c r="B223" s="11"/>
      <c r="C223" s="11"/>
      <c r="D223" s="10" t="str">
        <f>IFERROR(IF(ISBLANK(C223),"",VLOOKUP(C223,Members!$A$2:$B$101,2,FALSE)),"")</f>
        <v/>
      </c>
      <c r="E223" s="11"/>
      <c r="F223" s="10" t="str">
        <f>IF(ISBLANK(E223),"",E223+Settings!$B$7)</f>
        <v/>
      </c>
      <c r="G223" s="11"/>
      <c r="H223" s="10" t="str">
        <f t="shared" ca="1" si="7"/>
        <v/>
      </c>
      <c r="I223" s="11"/>
    </row>
    <row r="224" spans="1:9" x14ac:dyDescent="0.25">
      <c r="A224" s="10" t="str">
        <f t="shared" si="6"/>
        <v/>
      </c>
      <c r="B224" s="11"/>
      <c r="C224" s="11"/>
      <c r="D224" s="10" t="str">
        <f>IFERROR(IF(ISBLANK(C224),"",VLOOKUP(C224,Members!$A$2:$B$101,2,FALSE)),"")</f>
        <v/>
      </c>
      <c r="E224" s="11"/>
      <c r="F224" s="10" t="str">
        <f>IF(ISBLANK(E224),"",E224+Settings!$B$7)</f>
        <v/>
      </c>
      <c r="G224" s="11"/>
      <c r="H224" s="10" t="str">
        <f t="shared" ca="1" si="7"/>
        <v/>
      </c>
      <c r="I224" s="11"/>
    </row>
    <row r="225" spans="1:9" x14ac:dyDescent="0.25">
      <c r="A225" s="10" t="str">
        <f t="shared" si="6"/>
        <v/>
      </c>
      <c r="B225" s="11"/>
      <c r="C225" s="11"/>
      <c r="D225" s="10" t="str">
        <f>IFERROR(IF(ISBLANK(C225),"",VLOOKUP(C225,Members!$A$2:$B$101,2,FALSE)),"")</f>
        <v/>
      </c>
      <c r="E225" s="11"/>
      <c r="F225" s="10" t="str">
        <f>IF(ISBLANK(E225),"",E225+Settings!$B$7)</f>
        <v/>
      </c>
      <c r="G225" s="11"/>
      <c r="H225" s="10" t="str">
        <f t="shared" ca="1" si="7"/>
        <v/>
      </c>
      <c r="I225" s="11"/>
    </row>
    <row r="226" spans="1:9" x14ac:dyDescent="0.25">
      <c r="A226" s="10" t="str">
        <f t="shared" si="6"/>
        <v/>
      </c>
      <c r="B226" s="11"/>
      <c r="C226" s="11"/>
      <c r="D226" s="10" t="str">
        <f>IFERROR(IF(ISBLANK(C226),"",VLOOKUP(C226,Members!$A$2:$B$101,2,FALSE)),"")</f>
        <v/>
      </c>
      <c r="E226" s="11"/>
      <c r="F226" s="10" t="str">
        <f>IF(ISBLANK(E226),"",E226+Settings!$B$7)</f>
        <v/>
      </c>
      <c r="G226" s="11"/>
      <c r="H226" s="10" t="str">
        <f t="shared" ca="1" si="7"/>
        <v/>
      </c>
      <c r="I226" s="11"/>
    </row>
    <row r="227" spans="1:9" x14ac:dyDescent="0.25">
      <c r="A227" s="10" t="str">
        <f t="shared" si="6"/>
        <v/>
      </c>
      <c r="B227" s="11"/>
      <c r="C227" s="11"/>
      <c r="D227" s="10" t="str">
        <f>IFERROR(IF(ISBLANK(C227),"",VLOOKUP(C227,Members!$A$2:$B$101,2,FALSE)),"")</f>
        <v/>
      </c>
      <c r="E227" s="11"/>
      <c r="F227" s="10" t="str">
        <f>IF(ISBLANK(E227),"",E227+Settings!$B$7)</f>
        <v/>
      </c>
      <c r="G227" s="11"/>
      <c r="H227" s="10" t="str">
        <f t="shared" ca="1" si="7"/>
        <v/>
      </c>
      <c r="I227" s="11"/>
    </row>
    <row r="228" spans="1:9" x14ac:dyDescent="0.25">
      <c r="A228" s="10" t="str">
        <f t="shared" si="6"/>
        <v/>
      </c>
      <c r="B228" s="11"/>
      <c r="C228" s="11"/>
      <c r="D228" s="10" t="str">
        <f>IFERROR(IF(ISBLANK(C228),"",VLOOKUP(C228,Members!$A$2:$B$101,2,FALSE)),"")</f>
        <v/>
      </c>
      <c r="E228" s="11"/>
      <c r="F228" s="10" t="str">
        <f>IF(ISBLANK(E228),"",E228+Settings!$B$7)</f>
        <v/>
      </c>
      <c r="G228" s="11"/>
      <c r="H228" s="10" t="str">
        <f t="shared" ca="1" si="7"/>
        <v/>
      </c>
      <c r="I228" s="11"/>
    </row>
    <row r="229" spans="1:9" x14ac:dyDescent="0.25">
      <c r="A229" s="10" t="str">
        <f t="shared" si="6"/>
        <v/>
      </c>
      <c r="B229" s="11"/>
      <c r="C229" s="11"/>
      <c r="D229" s="10" t="str">
        <f>IFERROR(IF(ISBLANK(C229),"",VLOOKUP(C229,Members!$A$2:$B$101,2,FALSE)),"")</f>
        <v/>
      </c>
      <c r="E229" s="11"/>
      <c r="F229" s="10" t="str">
        <f>IF(ISBLANK(E229),"",E229+Settings!$B$7)</f>
        <v/>
      </c>
      <c r="G229" s="11"/>
      <c r="H229" s="10" t="str">
        <f t="shared" ca="1" si="7"/>
        <v/>
      </c>
      <c r="I229" s="11"/>
    </row>
    <row r="230" spans="1:9" x14ac:dyDescent="0.25">
      <c r="A230" s="10" t="str">
        <f t="shared" si="6"/>
        <v/>
      </c>
      <c r="B230" s="11"/>
      <c r="C230" s="11"/>
      <c r="D230" s="10" t="str">
        <f>IFERROR(IF(ISBLANK(C230),"",VLOOKUP(C230,Members!$A$2:$B$101,2,FALSE)),"")</f>
        <v/>
      </c>
      <c r="E230" s="11"/>
      <c r="F230" s="10" t="str">
        <f>IF(ISBLANK(E230),"",E230+Settings!$B$7)</f>
        <v/>
      </c>
      <c r="G230" s="11"/>
      <c r="H230" s="10" t="str">
        <f t="shared" ca="1" si="7"/>
        <v/>
      </c>
      <c r="I230" s="11"/>
    </row>
    <row r="231" spans="1:9" x14ac:dyDescent="0.25">
      <c r="A231" s="10" t="str">
        <f t="shared" si="6"/>
        <v/>
      </c>
      <c r="B231" s="11"/>
      <c r="C231" s="11"/>
      <c r="D231" s="10" t="str">
        <f>IFERROR(IF(ISBLANK(C231),"",VLOOKUP(C231,Members!$A$2:$B$101,2,FALSE)),"")</f>
        <v/>
      </c>
      <c r="E231" s="11"/>
      <c r="F231" s="10" t="str">
        <f>IF(ISBLANK(E231),"",E231+Settings!$B$7)</f>
        <v/>
      </c>
      <c r="G231" s="11"/>
      <c r="H231" s="10" t="str">
        <f t="shared" ca="1" si="7"/>
        <v/>
      </c>
      <c r="I231" s="11"/>
    </row>
    <row r="232" spans="1:9" x14ac:dyDescent="0.25">
      <c r="A232" s="10" t="str">
        <f t="shared" si="6"/>
        <v/>
      </c>
      <c r="B232" s="11"/>
      <c r="C232" s="11"/>
      <c r="D232" s="10" t="str">
        <f>IFERROR(IF(ISBLANK(C232),"",VLOOKUP(C232,Members!$A$2:$B$101,2,FALSE)),"")</f>
        <v/>
      </c>
      <c r="E232" s="11"/>
      <c r="F232" s="10" t="str">
        <f>IF(ISBLANK(E232),"",E232+Settings!$B$7)</f>
        <v/>
      </c>
      <c r="G232" s="11"/>
      <c r="H232" s="10" t="str">
        <f t="shared" ca="1" si="7"/>
        <v/>
      </c>
      <c r="I232" s="11"/>
    </row>
    <row r="233" spans="1:9" x14ac:dyDescent="0.25">
      <c r="A233" s="10" t="str">
        <f t="shared" si="6"/>
        <v/>
      </c>
      <c r="B233" s="11"/>
      <c r="C233" s="11"/>
      <c r="D233" s="10" t="str">
        <f>IFERROR(IF(ISBLANK(C233),"",VLOOKUP(C233,Members!$A$2:$B$101,2,FALSE)),"")</f>
        <v/>
      </c>
      <c r="E233" s="11"/>
      <c r="F233" s="10" t="str">
        <f>IF(ISBLANK(E233),"",E233+Settings!$B$7)</f>
        <v/>
      </c>
      <c r="G233" s="11"/>
      <c r="H233" s="10" t="str">
        <f t="shared" ca="1" si="7"/>
        <v/>
      </c>
      <c r="I233" s="11"/>
    </row>
    <row r="234" spans="1:9" x14ac:dyDescent="0.25">
      <c r="A234" s="10" t="str">
        <f t="shared" si="6"/>
        <v/>
      </c>
      <c r="B234" s="11"/>
      <c r="C234" s="11"/>
      <c r="D234" s="10" t="str">
        <f>IFERROR(IF(ISBLANK(C234),"",VLOOKUP(C234,Members!$A$2:$B$101,2,FALSE)),"")</f>
        <v/>
      </c>
      <c r="E234" s="11"/>
      <c r="F234" s="10" t="str">
        <f>IF(ISBLANK(E234),"",E234+Settings!$B$7)</f>
        <v/>
      </c>
      <c r="G234" s="11"/>
      <c r="H234" s="10" t="str">
        <f t="shared" ca="1" si="7"/>
        <v/>
      </c>
      <c r="I234" s="11"/>
    </row>
    <row r="235" spans="1:9" x14ac:dyDescent="0.25">
      <c r="A235" s="10" t="str">
        <f t="shared" si="6"/>
        <v/>
      </c>
      <c r="B235" s="11"/>
      <c r="C235" s="11"/>
      <c r="D235" s="10" t="str">
        <f>IFERROR(IF(ISBLANK(C235),"",VLOOKUP(C235,Members!$A$2:$B$101,2,FALSE)),"")</f>
        <v/>
      </c>
      <c r="E235" s="11"/>
      <c r="F235" s="10" t="str">
        <f>IF(ISBLANK(E235),"",E235+Settings!$B$7)</f>
        <v/>
      </c>
      <c r="G235" s="11"/>
      <c r="H235" s="10" t="str">
        <f t="shared" ca="1" si="7"/>
        <v/>
      </c>
      <c r="I235" s="11"/>
    </row>
    <row r="236" spans="1:9" x14ac:dyDescent="0.25">
      <c r="A236" s="10" t="str">
        <f t="shared" si="6"/>
        <v/>
      </c>
      <c r="B236" s="11"/>
      <c r="C236" s="11"/>
      <c r="D236" s="10" t="str">
        <f>IFERROR(IF(ISBLANK(C236),"",VLOOKUP(C236,Members!$A$2:$B$101,2,FALSE)),"")</f>
        <v/>
      </c>
      <c r="E236" s="11"/>
      <c r="F236" s="10" t="str">
        <f>IF(ISBLANK(E236),"",E236+Settings!$B$7)</f>
        <v/>
      </c>
      <c r="G236" s="11"/>
      <c r="H236" s="10" t="str">
        <f t="shared" ca="1" si="7"/>
        <v/>
      </c>
      <c r="I236" s="11"/>
    </row>
    <row r="237" spans="1:9" x14ac:dyDescent="0.25">
      <c r="A237" s="10" t="str">
        <f t="shared" si="6"/>
        <v/>
      </c>
      <c r="B237" s="11"/>
      <c r="C237" s="11"/>
      <c r="D237" s="10" t="str">
        <f>IFERROR(IF(ISBLANK(C237),"",VLOOKUP(C237,Members!$A$2:$B$101,2,FALSE)),"")</f>
        <v/>
      </c>
      <c r="E237" s="11"/>
      <c r="F237" s="10" t="str">
        <f>IF(ISBLANK(E237),"",E237+Settings!$B$7)</f>
        <v/>
      </c>
      <c r="G237" s="11"/>
      <c r="H237" s="10" t="str">
        <f t="shared" ca="1" si="7"/>
        <v/>
      </c>
      <c r="I237" s="11"/>
    </row>
    <row r="238" spans="1:9" x14ac:dyDescent="0.25">
      <c r="A238" s="10" t="str">
        <f t="shared" si="6"/>
        <v/>
      </c>
      <c r="B238" s="11"/>
      <c r="C238" s="11"/>
      <c r="D238" s="10" t="str">
        <f>IFERROR(IF(ISBLANK(C238),"",VLOOKUP(C238,Members!$A$2:$B$101,2,FALSE)),"")</f>
        <v/>
      </c>
      <c r="E238" s="11"/>
      <c r="F238" s="10" t="str">
        <f>IF(ISBLANK(E238),"",E238+Settings!$B$7)</f>
        <v/>
      </c>
      <c r="G238" s="11"/>
      <c r="H238" s="10" t="str">
        <f t="shared" ca="1" si="7"/>
        <v/>
      </c>
      <c r="I238" s="11"/>
    </row>
    <row r="239" spans="1:9" x14ac:dyDescent="0.25">
      <c r="A239" s="10" t="str">
        <f t="shared" si="6"/>
        <v/>
      </c>
      <c r="B239" s="11"/>
      <c r="C239" s="11"/>
      <c r="D239" s="10" t="str">
        <f>IFERROR(IF(ISBLANK(C239),"",VLOOKUP(C239,Members!$A$2:$B$101,2,FALSE)),"")</f>
        <v/>
      </c>
      <c r="E239" s="11"/>
      <c r="F239" s="10" t="str">
        <f>IF(ISBLANK(E239),"",E239+Settings!$B$7)</f>
        <v/>
      </c>
      <c r="G239" s="11"/>
      <c r="H239" s="10" t="str">
        <f t="shared" ca="1" si="7"/>
        <v/>
      </c>
      <c r="I239" s="11"/>
    </row>
    <row r="240" spans="1:9" x14ac:dyDescent="0.25">
      <c r="A240" s="10" t="str">
        <f t="shared" si="6"/>
        <v/>
      </c>
      <c r="B240" s="11"/>
      <c r="C240" s="11"/>
      <c r="D240" s="10" t="str">
        <f>IFERROR(IF(ISBLANK(C240),"",VLOOKUP(C240,Members!$A$2:$B$101,2,FALSE)),"")</f>
        <v/>
      </c>
      <c r="E240" s="11"/>
      <c r="F240" s="10" t="str">
        <f>IF(ISBLANK(E240),"",E240+Settings!$B$7)</f>
        <v/>
      </c>
      <c r="G240" s="11"/>
      <c r="H240" s="10" t="str">
        <f t="shared" ca="1" si="7"/>
        <v/>
      </c>
      <c r="I240" s="11"/>
    </row>
    <row r="241" spans="1:9" x14ac:dyDescent="0.25">
      <c r="A241" s="10" t="str">
        <f t="shared" si="6"/>
        <v/>
      </c>
      <c r="B241" s="11"/>
      <c r="C241" s="11"/>
      <c r="D241" s="10" t="str">
        <f>IFERROR(IF(ISBLANK(C241),"",VLOOKUP(C241,Members!$A$2:$B$101,2,FALSE)),"")</f>
        <v/>
      </c>
      <c r="E241" s="11"/>
      <c r="F241" s="10" t="str">
        <f>IF(ISBLANK(E241),"",E241+Settings!$B$7)</f>
        <v/>
      </c>
      <c r="G241" s="11"/>
      <c r="H241" s="10" t="str">
        <f t="shared" ca="1" si="7"/>
        <v/>
      </c>
      <c r="I241" s="11"/>
    </row>
    <row r="242" spans="1:9" x14ac:dyDescent="0.25">
      <c r="A242" s="10" t="str">
        <f t="shared" si="6"/>
        <v/>
      </c>
      <c r="B242" s="11"/>
      <c r="C242" s="11"/>
      <c r="D242" s="10" t="str">
        <f>IFERROR(IF(ISBLANK(C242),"",VLOOKUP(C242,Members!$A$2:$B$101,2,FALSE)),"")</f>
        <v/>
      </c>
      <c r="E242" s="11"/>
      <c r="F242" s="10" t="str">
        <f>IF(ISBLANK(E242),"",E242+Settings!$B$7)</f>
        <v/>
      </c>
      <c r="G242" s="11"/>
      <c r="H242" s="10" t="str">
        <f t="shared" ca="1" si="7"/>
        <v/>
      </c>
      <c r="I242" s="11"/>
    </row>
    <row r="243" spans="1:9" x14ac:dyDescent="0.25">
      <c r="A243" s="10" t="str">
        <f t="shared" si="6"/>
        <v/>
      </c>
      <c r="B243" s="11"/>
      <c r="C243" s="11"/>
      <c r="D243" s="10" t="str">
        <f>IFERROR(IF(ISBLANK(C243),"",VLOOKUP(C243,Members!$A$2:$B$101,2,FALSE)),"")</f>
        <v/>
      </c>
      <c r="E243" s="11"/>
      <c r="F243" s="10" t="str">
        <f>IF(ISBLANK(E243),"",E243+Settings!$B$7)</f>
        <v/>
      </c>
      <c r="G243" s="11"/>
      <c r="H243" s="10" t="str">
        <f t="shared" ca="1" si="7"/>
        <v/>
      </c>
      <c r="I243" s="11"/>
    </row>
    <row r="244" spans="1:9" x14ac:dyDescent="0.25">
      <c r="A244" s="10" t="str">
        <f t="shared" si="6"/>
        <v/>
      </c>
      <c r="B244" s="11"/>
      <c r="C244" s="11"/>
      <c r="D244" s="10" t="str">
        <f>IFERROR(IF(ISBLANK(C244),"",VLOOKUP(C244,Members!$A$2:$B$101,2,FALSE)),"")</f>
        <v/>
      </c>
      <c r="E244" s="11"/>
      <c r="F244" s="10" t="str">
        <f>IF(ISBLANK(E244),"",E244+Settings!$B$7)</f>
        <v/>
      </c>
      <c r="G244" s="11"/>
      <c r="H244" s="10" t="str">
        <f t="shared" ca="1" si="7"/>
        <v/>
      </c>
      <c r="I244" s="11"/>
    </row>
    <row r="245" spans="1:9" x14ac:dyDescent="0.25">
      <c r="A245" s="10" t="str">
        <f t="shared" si="6"/>
        <v/>
      </c>
      <c r="B245" s="11"/>
      <c r="C245" s="11"/>
      <c r="D245" s="10" t="str">
        <f>IFERROR(IF(ISBLANK(C245),"",VLOOKUP(C245,Members!$A$2:$B$101,2,FALSE)),"")</f>
        <v/>
      </c>
      <c r="E245" s="11"/>
      <c r="F245" s="10" t="str">
        <f>IF(ISBLANK(E245),"",E245+Settings!$B$7)</f>
        <v/>
      </c>
      <c r="G245" s="11"/>
      <c r="H245" s="10" t="str">
        <f t="shared" ca="1" si="7"/>
        <v/>
      </c>
      <c r="I245" s="11"/>
    </row>
    <row r="246" spans="1:9" x14ac:dyDescent="0.25">
      <c r="A246" s="10" t="str">
        <f t="shared" si="6"/>
        <v/>
      </c>
      <c r="B246" s="11"/>
      <c r="C246" s="11"/>
      <c r="D246" s="10" t="str">
        <f>IFERROR(IF(ISBLANK(C246),"",VLOOKUP(C246,Members!$A$2:$B$101,2,FALSE)),"")</f>
        <v/>
      </c>
      <c r="E246" s="11"/>
      <c r="F246" s="10" t="str">
        <f>IF(ISBLANK(E246),"",E246+Settings!$B$7)</f>
        <v/>
      </c>
      <c r="G246" s="11"/>
      <c r="H246" s="10" t="str">
        <f t="shared" ca="1" si="7"/>
        <v/>
      </c>
      <c r="I246" s="11"/>
    </row>
    <row r="247" spans="1:9" x14ac:dyDescent="0.25">
      <c r="A247" s="10" t="str">
        <f t="shared" si="6"/>
        <v/>
      </c>
      <c r="B247" s="11"/>
      <c r="C247" s="11"/>
      <c r="D247" s="10" t="str">
        <f>IFERROR(IF(ISBLANK(C247),"",VLOOKUP(C247,Members!$A$2:$B$101,2,FALSE)),"")</f>
        <v/>
      </c>
      <c r="E247" s="11"/>
      <c r="F247" s="10" t="str">
        <f>IF(ISBLANK(E247),"",E247+Settings!$B$7)</f>
        <v/>
      </c>
      <c r="G247" s="11"/>
      <c r="H247" s="10" t="str">
        <f t="shared" ca="1" si="7"/>
        <v/>
      </c>
      <c r="I247" s="11"/>
    </row>
    <row r="248" spans="1:9" x14ac:dyDescent="0.25">
      <c r="A248" s="10" t="str">
        <f t="shared" si="6"/>
        <v/>
      </c>
      <c r="B248" s="11"/>
      <c r="C248" s="11"/>
      <c r="D248" s="10" t="str">
        <f>IFERROR(IF(ISBLANK(C248),"",VLOOKUP(C248,Members!$A$2:$B$101,2,FALSE)),"")</f>
        <v/>
      </c>
      <c r="E248" s="11"/>
      <c r="F248" s="10" t="str">
        <f>IF(ISBLANK(E248),"",E248+Settings!$B$7)</f>
        <v/>
      </c>
      <c r="G248" s="11"/>
      <c r="H248" s="10" t="str">
        <f t="shared" ca="1" si="7"/>
        <v/>
      </c>
      <c r="I248" s="11"/>
    </row>
    <row r="249" spans="1:9" x14ac:dyDescent="0.25">
      <c r="A249" s="10" t="str">
        <f t="shared" si="6"/>
        <v/>
      </c>
      <c r="B249" s="11"/>
      <c r="C249" s="11"/>
      <c r="D249" s="10" t="str">
        <f>IFERROR(IF(ISBLANK(C249),"",VLOOKUP(C249,Members!$A$2:$B$101,2,FALSE)),"")</f>
        <v/>
      </c>
      <c r="E249" s="11"/>
      <c r="F249" s="10" t="str">
        <f>IF(ISBLANK(E249),"",E249+Settings!$B$7)</f>
        <v/>
      </c>
      <c r="G249" s="11"/>
      <c r="H249" s="10" t="str">
        <f t="shared" ca="1" si="7"/>
        <v/>
      </c>
      <c r="I249" s="11"/>
    </row>
    <row r="250" spans="1:9" x14ac:dyDescent="0.25">
      <c r="A250" s="10" t="str">
        <f t="shared" si="6"/>
        <v/>
      </c>
      <c r="B250" s="11"/>
      <c r="C250" s="11"/>
      <c r="D250" s="10" t="str">
        <f>IFERROR(IF(ISBLANK(C250),"",VLOOKUP(C250,Members!$A$2:$B$101,2,FALSE)),"")</f>
        <v/>
      </c>
      <c r="E250" s="11"/>
      <c r="F250" s="10" t="str">
        <f>IF(ISBLANK(E250),"",E250+Settings!$B$7)</f>
        <v/>
      </c>
      <c r="G250" s="11"/>
      <c r="H250" s="10" t="str">
        <f t="shared" ca="1" si="7"/>
        <v/>
      </c>
      <c r="I250" s="11"/>
    </row>
    <row r="251" spans="1:9" x14ac:dyDescent="0.25">
      <c r="A251" s="10" t="str">
        <f t="shared" si="6"/>
        <v/>
      </c>
      <c r="B251" s="11"/>
      <c r="C251" s="11"/>
      <c r="D251" s="10" t="str">
        <f>IFERROR(IF(ISBLANK(C251),"",VLOOKUP(C251,Members!$A$2:$B$101,2,FALSE)),"")</f>
        <v/>
      </c>
      <c r="E251" s="11"/>
      <c r="F251" s="10" t="str">
        <f>IF(ISBLANK(E251),"",E251+Settings!$B$7)</f>
        <v/>
      </c>
      <c r="G251" s="11"/>
      <c r="H251" s="10" t="str">
        <f t="shared" ca="1" si="7"/>
        <v/>
      </c>
      <c r="I251" s="11"/>
    </row>
    <row r="252" spans="1:9" x14ac:dyDescent="0.25">
      <c r="A252" s="10" t="str">
        <f t="shared" si="6"/>
        <v/>
      </c>
      <c r="B252" s="11"/>
      <c r="C252" s="11"/>
      <c r="D252" s="10" t="str">
        <f>IFERROR(IF(ISBLANK(C252),"",VLOOKUP(C252,Members!$A$2:$B$101,2,FALSE)),"")</f>
        <v/>
      </c>
      <c r="E252" s="11"/>
      <c r="F252" s="10" t="str">
        <f>IF(ISBLANK(E252),"",E252+Settings!$B$7)</f>
        <v/>
      </c>
      <c r="G252" s="11"/>
      <c r="H252" s="10" t="str">
        <f t="shared" ca="1" si="7"/>
        <v/>
      </c>
      <c r="I252" s="11"/>
    </row>
    <row r="253" spans="1:9" x14ac:dyDescent="0.25">
      <c r="A253" s="10" t="str">
        <f t="shared" si="6"/>
        <v/>
      </c>
      <c r="B253" s="11"/>
      <c r="C253" s="11"/>
      <c r="D253" s="10" t="str">
        <f>IFERROR(IF(ISBLANK(C253),"",VLOOKUP(C253,Members!$A$2:$B$101,2,FALSE)),"")</f>
        <v/>
      </c>
      <c r="E253" s="11"/>
      <c r="F253" s="10" t="str">
        <f>IF(ISBLANK(E253),"",E253+Settings!$B$7)</f>
        <v/>
      </c>
      <c r="G253" s="11"/>
      <c r="H253" s="10" t="str">
        <f t="shared" ca="1" si="7"/>
        <v/>
      </c>
      <c r="I253" s="11"/>
    </row>
    <row r="254" spans="1:9" x14ac:dyDescent="0.25">
      <c r="A254" s="10" t="str">
        <f t="shared" si="6"/>
        <v/>
      </c>
      <c r="B254" s="11"/>
      <c r="C254" s="11"/>
      <c r="D254" s="10" t="str">
        <f>IFERROR(IF(ISBLANK(C254),"",VLOOKUP(C254,Members!$A$2:$B$101,2,FALSE)),"")</f>
        <v/>
      </c>
      <c r="E254" s="11"/>
      <c r="F254" s="10" t="str">
        <f>IF(ISBLANK(E254),"",E254+Settings!$B$7)</f>
        <v/>
      </c>
      <c r="G254" s="11"/>
      <c r="H254" s="10" t="str">
        <f t="shared" ca="1" si="7"/>
        <v/>
      </c>
      <c r="I254" s="11"/>
    </row>
    <row r="255" spans="1:9" x14ac:dyDescent="0.25">
      <c r="A255" s="10" t="str">
        <f t="shared" si="6"/>
        <v/>
      </c>
      <c r="B255" s="11"/>
      <c r="C255" s="11"/>
      <c r="D255" s="10" t="str">
        <f>IFERROR(IF(ISBLANK(C255),"",VLOOKUP(C255,Members!$A$2:$B$101,2,FALSE)),"")</f>
        <v/>
      </c>
      <c r="E255" s="11"/>
      <c r="F255" s="10" t="str">
        <f>IF(ISBLANK(E255),"",E255+Settings!$B$7)</f>
        <v/>
      </c>
      <c r="G255" s="11"/>
      <c r="H255" s="10" t="str">
        <f t="shared" ca="1" si="7"/>
        <v/>
      </c>
      <c r="I255" s="11"/>
    </row>
    <row r="256" spans="1:9" x14ac:dyDescent="0.25">
      <c r="A256" s="10" t="str">
        <f t="shared" si="6"/>
        <v/>
      </c>
      <c r="B256" s="11"/>
      <c r="C256" s="11"/>
      <c r="D256" s="10" t="str">
        <f>IFERROR(IF(ISBLANK(C256),"",VLOOKUP(C256,Members!$A$2:$B$101,2,FALSE)),"")</f>
        <v/>
      </c>
      <c r="E256" s="11"/>
      <c r="F256" s="10" t="str">
        <f>IF(ISBLANK(E256),"",E256+Settings!$B$7)</f>
        <v/>
      </c>
      <c r="G256" s="11"/>
      <c r="H256" s="10" t="str">
        <f t="shared" ca="1" si="7"/>
        <v/>
      </c>
      <c r="I256" s="11"/>
    </row>
    <row r="257" spans="1:9" x14ac:dyDescent="0.25">
      <c r="A257" s="10" t="str">
        <f t="shared" si="6"/>
        <v/>
      </c>
      <c r="B257" s="11"/>
      <c r="C257" s="11"/>
      <c r="D257" s="10" t="str">
        <f>IFERROR(IF(ISBLANK(C257),"",VLOOKUP(C257,Members!$A$2:$B$101,2,FALSE)),"")</f>
        <v/>
      </c>
      <c r="E257" s="11"/>
      <c r="F257" s="10" t="str">
        <f>IF(ISBLANK(E257),"",E257+Settings!$B$7)</f>
        <v/>
      </c>
      <c r="G257" s="11"/>
      <c r="H257" s="10" t="str">
        <f t="shared" ca="1" si="7"/>
        <v/>
      </c>
      <c r="I257" s="11"/>
    </row>
    <row r="258" spans="1:9" x14ac:dyDescent="0.25">
      <c r="A258" s="10" t="str">
        <f t="shared" ref="A258:A321" si="8">IF(ISBLANK(B258),"",ROW()-1)</f>
        <v/>
      </c>
      <c r="B258" s="11"/>
      <c r="C258" s="11"/>
      <c r="D258" s="10" t="str">
        <f>IFERROR(IF(ISBLANK(C258),"",VLOOKUP(C258,Members!$A$2:$B$101,2,FALSE)),"")</f>
        <v/>
      </c>
      <c r="E258" s="11"/>
      <c r="F258" s="10" t="str">
        <f>IF(ISBLANK(E258),"",E258+Settings!$B$7)</f>
        <v/>
      </c>
      <c r="G258" s="11"/>
      <c r="H258" s="10" t="str">
        <f t="shared" ref="H258:H321" ca="1" si="9">IF(ISBLANK(B258),"",IF(NOT(ISBLANK(G258)),"Returned",IF(TODAY()&gt;F258,"Overdue","Active")))</f>
        <v/>
      </c>
      <c r="I258" s="11"/>
    </row>
    <row r="259" spans="1:9" x14ac:dyDescent="0.25">
      <c r="A259" s="10" t="str">
        <f t="shared" si="8"/>
        <v/>
      </c>
      <c r="B259" s="11"/>
      <c r="C259" s="11"/>
      <c r="D259" s="10" t="str">
        <f>IFERROR(IF(ISBLANK(C259),"",VLOOKUP(C259,Members!$A$2:$B$101,2,FALSE)),"")</f>
        <v/>
      </c>
      <c r="E259" s="11"/>
      <c r="F259" s="10" t="str">
        <f>IF(ISBLANK(E259),"",E259+Settings!$B$7)</f>
        <v/>
      </c>
      <c r="G259" s="11"/>
      <c r="H259" s="10" t="str">
        <f t="shared" ca="1" si="9"/>
        <v/>
      </c>
      <c r="I259" s="11"/>
    </row>
    <row r="260" spans="1:9" x14ac:dyDescent="0.25">
      <c r="A260" s="10" t="str">
        <f t="shared" si="8"/>
        <v/>
      </c>
      <c r="B260" s="11"/>
      <c r="C260" s="11"/>
      <c r="D260" s="10" t="str">
        <f>IFERROR(IF(ISBLANK(C260),"",VLOOKUP(C260,Members!$A$2:$B$101,2,FALSE)),"")</f>
        <v/>
      </c>
      <c r="E260" s="11"/>
      <c r="F260" s="10" t="str">
        <f>IF(ISBLANK(E260),"",E260+Settings!$B$7)</f>
        <v/>
      </c>
      <c r="G260" s="11"/>
      <c r="H260" s="10" t="str">
        <f t="shared" ca="1" si="9"/>
        <v/>
      </c>
      <c r="I260" s="11"/>
    </row>
    <row r="261" spans="1:9" x14ac:dyDescent="0.25">
      <c r="A261" s="10" t="str">
        <f t="shared" si="8"/>
        <v/>
      </c>
      <c r="B261" s="11"/>
      <c r="C261" s="11"/>
      <c r="D261" s="10" t="str">
        <f>IFERROR(IF(ISBLANK(C261),"",VLOOKUP(C261,Members!$A$2:$B$101,2,FALSE)),"")</f>
        <v/>
      </c>
      <c r="E261" s="11"/>
      <c r="F261" s="10" t="str">
        <f>IF(ISBLANK(E261),"",E261+Settings!$B$7)</f>
        <v/>
      </c>
      <c r="G261" s="11"/>
      <c r="H261" s="10" t="str">
        <f t="shared" ca="1" si="9"/>
        <v/>
      </c>
      <c r="I261" s="11"/>
    </row>
    <row r="262" spans="1:9" x14ac:dyDescent="0.25">
      <c r="A262" s="10" t="str">
        <f t="shared" si="8"/>
        <v/>
      </c>
      <c r="B262" s="11"/>
      <c r="C262" s="11"/>
      <c r="D262" s="10" t="str">
        <f>IFERROR(IF(ISBLANK(C262),"",VLOOKUP(C262,Members!$A$2:$B$101,2,FALSE)),"")</f>
        <v/>
      </c>
      <c r="E262" s="11"/>
      <c r="F262" s="10" t="str">
        <f>IF(ISBLANK(E262),"",E262+Settings!$B$7)</f>
        <v/>
      </c>
      <c r="G262" s="11"/>
      <c r="H262" s="10" t="str">
        <f t="shared" ca="1" si="9"/>
        <v/>
      </c>
      <c r="I262" s="11"/>
    </row>
    <row r="263" spans="1:9" x14ac:dyDescent="0.25">
      <c r="A263" s="10" t="str">
        <f t="shared" si="8"/>
        <v/>
      </c>
      <c r="B263" s="11"/>
      <c r="C263" s="11"/>
      <c r="D263" s="10" t="str">
        <f>IFERROR(IF(ISBLANK(C263),"",VLOOKUP(C263,Members!$A$2:$B$101,2,FALSE)),"")</f>
        <v/>
      </c>
      <c r="E263" s="11"/>
      <c r="F263" s="10" t="str">
        <f>IF(ISBLANK(E263),"",E263+Settings!$B$7)</f>
        <v/>
      </c>
      <c r="G263" s="11"/>
      <c r="H263" s="10" t="str">
        <f t="shared" ca="1" si="9"/>
        <v/>
      </c>
      <c r="I263" s="11"/>
    </row>
    <row r="264" spans="1:9" x14ac:dyDescent="0.25">
      <c r="A264" s="10" t="str">
        <f t="shared" si="8"/>
        <v/>
      </c>
      <c r="B264" s="11"/>
      <c r="C264" s="11"/>
      <c r="D264" s="10" t="str">
        <f>IFERROR(IF(ISBLANK(C264),"",VLOOKUP(C264,Members!$A$2:$B$101,2,FALSE)),"")</f>
        <v/>
      </c>
      <c r="E264" s="11"/>
      <c r="F264" s="10" t="str">
        <f>IF(ISBLANK(E264),"",E264+Settings!$B$7)</f>
        <v/>
      </c>
      <c r="G264" s="11"/>
      <c r="H264" s="10" t="str">
        <f t="shared" ca="1" si="9"/>
        <v/>
      </c>
      <c r="I264" s="11"/>
    </row>
    <row r="265" spans="1:9" x14ac:dyDescent="0.25">
      <c r="A265" s="10" t="str">
        <f t="shared" si="8"/>
        <v/>
      </c>
      <c r="B265" s="11"/>
      <c r="C265" s="11"/>
      <c r="D265" s="10" t="str">
        <f>IFERROR(IF(ISBLANK(C265),"",VLOOKUP(C265,Members!$A$2:$B$101,2,FALSE)),"")</f>
        <v/>
      </c>
      <c r="E265" s="11"/>
      <c r="F265" s="10" t="str">
        <f>IF(ISBLANK(E265),"",E265+Settings!$B$7)</f>
        <v/>
      </c>
      <c r="G265" s="11"/>
      <c r="H265" s="10" t="str">
        <f t="shared" ca="1" si="9"/>
        <v/>
      </c>
      <c r="I265" s="11"/>
    </row>
    <row r="266" spans="1:9" x14ac:dyDescent="0.25">
      <c r="A266" s="10" t="str">
        <f t="shared" si="8"/>
        <v/>
      </c>
      <c r="B266" s="11"/>
      <c r="C266" s="11"/>
      <c r="D266" s="10" t="str">
        <f>IFERROR(IF(ISBLANK(C266),"",VLOOKUP(C266,Members!$A$2:$B$101,2,FALSE)),"")</f>
        <v/>
      </c>
      <c r="E266" s="11"/>
      <c r="F266" s="10" t="str">
        <f>IF(ISBLANK(E266),"",E266+Settings!$B$7)</f>
        <v/>
      </c>
      <c r="G266" s="11"/>
      <c r="H266" s="10" t="str">
        <f t="shared" ca="1" si="9"/>
        <v/>
      </c>
      <c r="I266" s="11"/>
    </row>
    <row r="267" spans="1:9" x14ac:dyDescent="0.25">
      <c r="A267" s="10" t="str">
        <f t="shared" si="8"/>
        <v/>
      </c>
      <c r="B267" s="11"/>
      <c r="C267" s="11"/>
      <c r="D267" s="10" t="str">
        <f>IFERROR(IF(ISBLANK(C267),"",VLOOKUP(C267,Members!$A$2:$B$101,2,FALSE)),"")</f>
        <v/>
      </c>
      <c r="E267" s="11"/>
      <c r="F267" s="10" t="str">
        <f>IF(ISBLANK(E267),"",E267+Settings!$B$7)</f>
        <v/>
      </c>
      <c r="G267" s="11"/>
      <c r="H267" s="10" t="str">
        <f t="shared" ca="1" si="9"/>
        <v/>
      </c>
      <c r="I267" s="11"/>
    </row>
    <row r="268" spans="1:9" x14ac:dyDescent="0.25">
      <c r="A268" s="10" t="str">
        <f t="shared" si="8"/>
        <v/>
      </c>
      <c r="B268" s="11"/>
      <c r="C268" s="11"/>
      <c r="D268" s="10" t="str">
        <f>IFERROR(IF(ISBLANK(C268),"",VLOOKUP(C268,Members!$A$2:$B$101,2,FALSE)),"")</f>
        <v/>
      </c>
      <c r="E268" s="11"/>
      <c r="F268" s="10" t="str">
        <f>IF(ISBLANK(E268),"",E268+Settings!$B$7)</f>
        <v/>
      </c>
      <c r="G268" s="11"/>
      <c r="H268" s="10" t="str">
        <f t="shared" ca="1" si="9"/>
        <v/>
      </c>
      <c r="I268" s="11"/>
    </row>
    <row r="269" spans="1:9" x14ac:dyDescent="0.25">
      <c r="A269" s="10" t="str">
        <f t="shared" si="8"/>
        <v/>
      </c>
      <c r="B269" s="11"/>
      <c r="C269" s="11"/>
      <c r="D269" s="10" t="str">
        <f>IFERROR(IF(ISBLANK(C269),"",VLOOKUP(C269,Members!$A$2:$B$101,2,FALSE)),"")</f>
        <v/>
      </c>
      <c r="E269" s="11"/>
      <c r="F269" s="10" t="str">
        <f>IF(ISBLANK(E269),"",E269+Settings!$B$7)</f>
        <v/>
      </c>
      <c r="G269" s="11"/>
      <c r="H269" s="10" t="str">
        <f t="shared" ca="1" si="9"/>
        <v/>
      </c>
      <c r="I269" s="11"/>
    </row>
    <row r="270" spans="1:9" x14ac:dyDescent="0.25">
      <c r="A270" s="10" t="str">
        <f t="shared" si="8"/>
        <v/>
      </c>
      <c r="B270" s="11"/>
      <c r="C270" s="11"/>
      <c r="D270" s="10" t="str">
        <f>IFERROR(IF(ISBLANK(C270),"",VLOOKUP(C270,Members!$A$2:$B$101,2,FALSE)),"")</f>
        <v/>
      </c>
      <c r="E270" s="11"/>
      <c r="F270" s="10" t="str">
        <f>IF(ISBLANK(E270),"",E270+Settings!$B$7)</f>
        <v/>
      </c>
      <c r="G270" s="11"/>
      <c r="H270" s="10" t="str">
        <f t="shared" ca="1" si="9"/>
        <v/>
      </c>
      <c r="I270" s="11"/>
    </row>
    <row r="271" spans="1:9" x14ac:dyDescent="0.25">
      <c r="A271" s="10" t="str">
        <f t="shared" si="8"/>
        <v/>
      </c>
      <c r="B271" s="11"/>
      <c r="C271" s="11"/>
      <c r="D271" s="10" t="str">
        <f>IFERROR(IF(ISBLANK(C271),"",VLOOKUP(C271,Members!$A$2:$B$101,2,FALSE)),"")</f>
        <v/>
      </c>
      <c r="E271" s="11"/>
      <c r="F271" s="10" t="str">
        <f>IF(ISBLANK(E271),"",E271+Settings!$B$7)</f>
        <v/>
      </c>
      <c r="G271" s="11"/>
      <c r="H271" s="10" t="str">
        <f t="shared" ca="1" si="9"/>
        <v/>
      </c>
      <c r="I271" s="11"/>
    </row>
    <row r="272" spans="1:9" x14ac:dyDescent="0.25">
      <c r="A272" s="10" t="str">
        <f t="shared" si="8"/>
        <v/>
      </c>
      <c r="B272" s="11"/>
      <c r="C272" s="11"/>
      <c r="D272" s="10" t="str">
        <f>IFERROR(IF(ISBLANK(C272),"",VLOOKUP(C272,Members!$A$2:$B$101,2,FALSE)),"")</f>
        <v/>
      </c>
      <c r="E272" s="11"/>
      <c r="F272" s="10" t="str">
        <f>IF(ISBLANK(E272),"",E272+Settings!$B$7)</f>
        <v/>
      </c>
      <c r="G272" s="11"/>
      <c r="H272" s="10" t="str">
        <f t="shared" ca="1" si="9"/>
        <v/>
      </c>
      <c r="I272" s="11"/>
    </row>
    <row r="273" spans="1:9" x14ac:dyDescent="0.25">
      <c r="A273" s="10" t="str">
        <f t="shared" si="8"/>
        <v/>
      </c>
      <c r="B273" s="11"/>
      <c r="C273" s="11"/>
      <c r="D273" s="10" t="str">
        <f>IFERROR(IF(ISBLANK(C273),"",VLOOKUP(C273,Members!$A$2:$B$101,2,FALSE)),"")</f>
        <v/>
      </c>
      <c r="E273" s="11"/>
      <c r="F273" s="10" t="str">
        <f>IF(ISBLANK(E273),"",E273+Settings!$B$7)</f>
        <v/>
      </c>
      <c r="G273" s="11"/>
      <c r="H273" s="10" t="str">
        <f t="shared" ca="1" si="9"/>
        <v/>
      </c>
      <c r="I273" s="11"/>
    </row>
    <row r="274" spans="1:9" x14ac:dyDescent="0.25">
      <c r="A274" s="10" t="str">
        <f t="shared" si="8"/>
        <v/>
      </c>
      <c r="B274" s="11"/>
      <c r="C274" s="11"/>
      <c r="D274" s="10" t="str">
        <f>IFERROR(IF(ISBLANK(C274),"",VLOOKUP(C274,Members!$A$2:$B$101,2,FALSE)),"")</f>
        <v/>
      </c>
      <c r="E274" s="11"/>
      <c r="F274" s="10" t="str">
        <f>IF(ISBLANK(E274),"",E274+Settings!$B$7)</f>
        <v/>
      </c>
      <c r="G274" s="11"/>
      <c r="H274" s="10" t="str">
        <f t="shared" ca="1" si="9"/>
        <v/>
      </c>
      <c r="I274" s="11"/>
    </row>
    <row r="275" spans="1:9" x14ac:dyDescent="0.25">
      <c r="A275" s="10" t="str">
        <f t="shared" si="8"/>
        <v/>
      </c>
      <c r="B275" s="11"/>
      <c r="C275" s="11"/>
      <c r="D275" s="10" t="str">
        <f>IFERROR(IF(ISBLANK(C275),"",VLOOKUP(C275,Members!$A$2:$B$101,2,FALSE)),"")</f>
        <v/>
      </c>
      <c r="E275" s="11"/>
      <c r="F275" s="10" t="str">
        <f>IF(ISBLANK(E275),"",E275+Settings!$B$7)</f>
        <v/>
      </c>
      <c r="G275" s="11"/>
      <c r="H275" s="10" t="str">
        <f t="shared" ca="1" si="9"/>
        <v/>
      </c>
      <c r="I275" s="11"/>
    </row>
    <row r="276" spans="1:9" x14ac:dyDescent="0.25">
      <c r="A276" s="10" t="str">
        <f t="shared" si="8"/>
        <v/>
      </c>
      <c r="B276" s="11"/>
      <c r="C276" s="11"/>
      <c r="D276" s="10" t="str">
        <f>IFERROR(IF(ISBLANK(C276),"",VLOOKUP(C276,Members!$A$2:$B$101,2,FALSE)),"")</f>
        <v/>
      </c>
      <c r="E276" s="11"/>
      <c r="F276" s="10" t="str">
        <f>IF(ISBLANK(E276),"",E276+Settings!$B$7)</f>
        <v/>
      </c>
      <c r="G276" s="11"/>
      <c r="H276" s="10" t="str">
        <f t="shared" ca="1" si="9"/>
        <v/>
      </c>
      <c r="I276" s="11"/>
    </row>
    <row r="277" spans="1:9" x14ac:dyDescent="0.25">
      <c r="A277" s="10" t="str">
        <f t="shared" si="8"/>
        <v/>
      </c>
      <c r="B277" s="11"/>
      <c r="C277" s="11"/>
      <c r="D277" s="10" t="str">
        <f>IFERROR(IF(ISBLANK(C277),"",VLOOKUP(C277,Members!$A$2:$B$101,2,FALSE)),"")</f>
        <v/>
      </c>
      <c r="E277" s="11"/>
      <c r="F277" s="10" t="str">
        <f>IF(ISBLANK(E277),"",E277+Settings!$B$7)</f>
        <v/>
      </c>
      <c r="G277" s="11"/>
      <c r="H277" s="10" t="str">
        <f t="shared" ca="1" si="9"/>
        <v/>
      </c>
      <c r="I277" s="11"/>
    </row>
    <row r="278" spans="1:9" x14ac:dyDescent="0.25">
      <c r="A278" s="10" t="str">
        <f t="shared" si="8"/>
        <v/>
      </c>
      <c r="B278" s="11"/>
      <c r="C278" s="11"/>
      <c r="D278" s="10" t="str">
        <f>IFERROR(IF(ISBLANK(C278),"",VLOOKUP(C278,Members!$A$2:$B$101,2,FALSE)),"")</f>
        <v/>
      </c>
      <c r="E278" s="11"/>
      <c r="F278" s="10" t="str">
        <f>IF(ISBLANK(E278),"",E278+Settings!$B$7)</f>
        <v/>
      </c>
      <c r="G278" s="11"/>
      <c r="H278" s="10" t="str">
        <f t="shared" ca="1" si="9"/>
        <v/>
      </c>
      <c r="I278" s="11"/>
    </row>
    <row r="279" spans="1:9" x14ac:dyDescent="0.25">
      <c r="A279" s="10" t="str">
        <f t="shared" si="8"/>
        <v/>
      </c>
      <c r="B279" s="11"/>
      <c r="C279" s="11"/>
      <c r="D279" s="10" t="str">
        <f>IFERROR(IF(ISBLANK(C279),"",VLOOKUP(C279,Members!$A$2:$B$101,2,FALSE)),"")</f>
        <v/>
      </c>
      <c r="E279" s="11"/>
      <c r="F279" s="10" t="str">
        <f>IF(ISBLANK(E279),"",E279+Settings!$B$7)</f>
        <v/>
      </c>
      <c r="G279" s="11"/>
      <c r="H279" s="10" t="str">
        <f t="shared" ca="1" si="9"/>
        <v/>
      </c>
      <c r="I279" s="11"/>
    </row>
    <row r="280" spans="1:9" x14ac:dyDescent="0.25">
      <c r="A280" s="10" t="str">
        <f t="shared" si="8"/>
        <v/>
      </c>
      <c r="B280" s="11"/>
      <c r="C280" s="11"/>
      <c r="D280" s="10" t="str">
        <f>IFERROR(IF(ISBLANK(C280),"",VLOOKUP(C280,Members!$A$2:$B$101,2,FALSE)),"")</f>
        <v/>
      </c>
      <c r="E280" s="11"/>
      <c r="F280" s="10" t="str">
        <f>IF(ISBLANK(E280),"",E280+Settings!$B$7)</f>
        <v/>
      </c>
      <c r="G280" s="11"/>
      <c r="H280" s="10" t="str">
        <f t="shared" ca="1" si="9"/>
        <v/>
      </c>
      <c r="I280" s="11"/>
    </row>
    <row r="281" spans="1:9" x14ac:dyDescent="0.25">
      <c r="A281" s="10" t="str">
        <f t="shared" si="8"/>
        <v/>
      </c>
      <c r="B281" s="11"/>
      <c r="C281" s="11"/>
      <c r="D281" s="10" t="str">
        <f>IFERROR(IF(ISBLANK(C281),"",VLOOKUP(C281,Members!$A$2:$B$101,2,FALSE)),"")</f>
        <v/>
      </c>
      <c r="E281" s="11"/>
      <c r="F281" s="10" t="str">
        <f>IF(ISBLANK(E281),"",E281+Settings!$B$7)</f>
        <v/>
      </c>
      <c r="G281" s="11"/>
      <c r="H281" s="10" t="str">
        <f t="shared" ca="1" si="9"/>
        <v/>
      </c>
      <c r="I281" s="11"/>
    </row>
    <row r="282" spans="1:9" x14ac:dyDescent="0.25">
      <c r="A282" s="10" t="str">
        <f t="shared" si="8"/>
        <v/>
      </c>
      <c r="B282" s="11"/>
      <c r="C282" s="11"/>
      <c r="D282" s="10" t="str">
        <f>IFERROR(IF(ISBLANK(C282),"",VLOOKUP(C282,Members!$A$2:$B$101,2,FALSE)),"")</f>
        <v/>
      </c>
      <c r="E282" s="11"/>
      <c r="F282" s="10" t="str">
        <f>IF(ISBLANK(E282),"",E282+Settings!$B$7)</f>
        <v/>
      </c>
      <c r="G282" s="11"/>
      <c r="H282" s="10" t="str">
        <f t="shared" ca="1" si="9"/>
        <v/>
      </c>
      <c r="I282" s="11"/>
    </row>
    <row r="283" spans="1:9" x14ac:dyDescent="0.25">
      <c r="A283" s="10" t="str">
        <f t="shared" si="8"/>
        <v/>
      </c>
      <c r="B283" s="11"/>
      <c r="C283" s="11"/>
      <c r="D283" s="10" t="str">
        <f>IFERROR(IF(ISBLANK(C283),"",VLOOKUP(C283,Members!$A$2:$B$101,2,FALSE)),"")</f>
        <v/>
      </c>
      <c r="E283" s="11"/>
      <c r="F283" s="10" t="str">
        <f>IF(ISBLANK(E283),"",E283+Settings!$B$7)</f>
        <v/>
      </c>
      <c r="G283" s="11"/>
      <c r="H283" s="10" t="str">
        <f t="shared" ca="1" si="9"/>
        <v/>
      </c>
      <c r="I283" s="11"/>
    </row>
    <row r="284" spans="1:9" x14ac:dyDescent="0.25">
      <c r="A284" s="10" t="str">
        <f t="shared" si="8"/>
        <v/>
      </c>
      <c r="B284" s="11"/>
      <c r="C284" s="11"/>
      <c r="D284" s="10" t="str">
        <f>IFERROR(IF(ISBLANK(C284),"",VLOOKUP(C284,Members!$A$2:$B$101,2,FALSE)),"")</f>
        <v/>
      </c>
      <c r="E284" s="11"/>
      <c r="F284" s="10" t="str">
        <f>IF(ISBLANK(E284),"",E284+Settings!$B$7)</f>
        <v/>
      </c>
      <c r="G284" s="11"/>
      <c r="H284" s="10" t="str">
        <f t="shared" ca="1" si="9"/>
        <v/>
      </c>
      <c r="I284" s="11"/>
    </row>
    <row r="285" spans="1:9" x14ac:dyDescent="0.25">
      <c r="A285" s="10" t="str">
        <f t="shared" si="8"/>
        <v/>
      </c>
      <c r="B285" s="11"/>
      <c r="C285" s="11"/>
      <c r="D285" s="10" t="str">
        <f>IFERROR(IF(ISBLANK(C285),"",VLOOKUP(C285,Members!$A$2:$B$101,2,FALSE)),"")</f>
        <v/>
      </c>
      <c r="E285" s="11"/>
      <c r="F285" s="10" t="str">
        <f>IF(ISBLANK(E285),"",E285+Settings!$B$7)</f>
        <v/>
      </c>
      <c r="G285" s="11"/>
      <c r="H285" s="10" t="str">
        <f t="shared" ca="1" si="9"/>
        <v/>
      </c>
      <c r="I285" s="11"/>
    </row>
    <row r="286" spans="1:9" x14ac:dyDescent="0.25">
      <c r="A286" s="10" t="str">
        <f t="shared" si="8"/>
        <v/>
      </c>
      <c r="B286" s="11"/>
      <c r="C286" s="11"/>
      <c r="D286" s="10" t="str">
        <f>IFERROR(IF(ISBLANK(C286),"",VLOOKUP(C286,Members!$A$2:$B$101,2,FALSE)),"")</f>
        <v/>
      </c>
      <c r="E286" s="11"/>
      <c r="F286" s="10" t="str">
        <f>IF(ISBLANK(E286),"",E286+Settings!$B$7)</f>
        <v/>
      </c>
      <c r="G286" s="11"/>
      <c r="H286" s="10" t="str">
        <f t="shared" ca="1" si="9"/>
        <v/>
      </c>
      <c r="I286" s="11"/>
    </row>
    <row r="287" spans="1:9" x14ac:dyDescent="0.25">
      <c r="A287" s="10" t="str">
        <f t="shared" si="8"/>
        <v/>
      </c>
      <c r="B287" s="11"/>
      <c r="C287" s="11"/>
      <c r="D287" s="10" t="str">
        <f>IFERROR(IF(ISBLANK(C287),"",VLOOKUP(C287,Members!$A$2:$B$101,2,FALSE)),"")</f>
        <v/>
      </c>
      <c r="E287" s="11"/>
      <c r="F287" s="10" t="str">
        <f>IF(ISBLANK(E287),"",E287+Settings!$B$7)</f>
        <v/>
      </c>
      <c r="G287" s="11"/>
      <c r="H287" s="10" t="str">
        <f t="shared" ca="1" si="9"/>
        <v/>
      </c>
      <c r="I287" s="11"/>
    </row>
    <row r="288" spans="1:9" x14ac:dyDescent="0.25">
      <c r="A288" s="10" t="str">
        <f t="shared" si="8"/>
        <v/>
      </c>
      <c r="B288" s="11"/>
      <c r="C288" s="11"/>
      <c r="D288" s="10" t="str">
        <f>IFERROR(IF(ISBLANK(C288),"",VLOOKUP(C288,Members!$A$2:$B$101,2,FALSE)),"")</f>
        <v/>
      </c>
      <c r="E288" s="11"/>
      <c r="F288" s="10" t="str">
        <f>IF(ISBLANK(E288),"",E288+Settings!$B$7)</f>
        <v/>
      </c>
      <c r="G288" s="11"/>
      <c r="H288" s="10" t="str">
        <f t="shared" ca="1" si="9"/>
        <v/>
      </c>
      <c r="I288" s="11"/>
    </row>
    <row r="289" spans="1:9" x14ac:dyDescent="0.25">
      <c r="A289" s="10" t="str">
        <f t="shared" si="8"/>
        <v/>
      </c>
      <c r="B289" s="11"/>
      <c r="C289" s="11"/>
      <c r="D289" s="10" t="str">
        <f>IFERROR(IF(ISBLANK(C289),"",VLOOKUP(C289,Members!$A$2:$B$101,2,FALSE)),"")</f>
        <v/>
      </c>
      <c r="E289" s="11"/>
      <c r="F289" s="10" t="str">
        <f>IF(ISBLANK(E289),"",E289+Settings!$B$7)</f>
        <v/>
      </c>
      <c r="G289" s="11"/>
      <c r="H289" s="10" t="str">
        <f t="shared" ca="1" si="9"/>
        <v/>
      </c>
      <c r="I289" s="11"/>
    </row>
    <row r="290" spans="1:9" x14ac:dyDescent="0.25">
      <c r="A290" s="10" t="str">
        <f t="shared" si="8"/>
        <v/>
      </c>
      <c r="B290" s="11"/>
      <c r="C290" s="11"/>
      <c r="D290" s="10" t="str">
        <f>IFERROR(IF(ISBLANK(C290),"",VLOOKUP(C290,Members!$A$2:$B$101,2,FALSE)),"")</f>
        <v/>
      </c>
      <c r="E290" s="11"/>
      <c r="F290" s="10" t="str">
        <f>IF(ISBLANK(E290),"",E290+Settings!$B$7)</f>
        <v/>
      </c>
      <c r="G290" s="11"/>
      <c r="H290" s="10" t="str">
        <f t="shared" ca="1" si="9"/>
        <v/>
      </c>
      <c r="I290" s="11"/>
    </row>
    <row r="291" spans="1:9" x14ac:dyDescent="0.25">
      <c r="A291" s="10" t="str">
        <f t="shared" si="8"/>
        <v/>
      </c>
      <c r="B291" s="11"/>
      <c r="C291" s="11"/>
      <c r="D291" s="10" t="str">
        <f>IFERROR(IF(ISBLANK(C291),"",VLOOKUP(C291,Members!$A$2:$B$101,2,FALSE)),"")</f>
        <v/>
      </c>
      <c r="E291" s="11"/>
      <c r="F291" s="10" t="str">
        <f>IF(ISBLANK(E291),"",E291+Settings!$B$7)</f>
        <v/>
      </c>
      <c r="G291" s="11"/>
      <c r="H291" s="10" t="str">
        <f t="shared" ca="1" si="9"/>
        <v/>
      </c>
      <c r="I291" s="11"/>
    </row>
    <row r="292" spans="1:9" x14ac:dyDescent="0.25">
      <c r="A292" s="10" t="str">
        <f t="shared" si="8"/>
        <v/>
      </c>
      <c r="B292" s="11"/>
      <c r="C292" s="11"/>
      <c r="D292" s="10" t="str">
        <f>IFERROR(IF(ISBLANK(C292),"",VLOOKUP(C292,Members!$A$2:$B$101,2,FALSE)),"")</f>
        <v/>
      </c>
      <c r="E292" s="11"/>
      <c r="F292" s="10" t="str">
        <f>IF(ISBLANK(E292),"",E292+Settings!$B$7)</f>
        <v/>
      </c>
      <c r="G292" s="11"/>
      <c r="H292" s="10" t="str">
        <f t="shared" ca="1" si="9"/>
        <v/>
      </c>
      <c r="I292" s="11"/>
    </row>
    <row r="293" spans="1:9" x14ac:dyDescent="0.25">
      <c r="A293" s="10" t="str">
        <f t="shared" si="8"/>
        <v/>
      </c>
      <c r="B293" s="11"/>
      <c r="C293" s="11"/>
      <c r="D293" s="10" t="str">
        <f>IFERROR(IF(ISBLANK(C293),"",VLOOKUP(C293,Members!$A$2:$B$101,2,FALSE)),"")</f>
        <v/>
      </c>
      <c r="E293" s="11"/>
      <c r="F293" s="10" t="str">
        <f>IF(ISBLANK(E293),"",E293+Settings!$B$7)</f>
        <v/>
      </c>
      <c r="G293" s="11"/>
      <c r="H293" s="10" t="str">
        <f t="shared" ca="1" si="9"/>
        <v/>
      </c>
      <c r="I293" s="11"/>
    </row>
    <row r="294" spans="1:9" x14ac:dyDescent="0.25">
      <c r="A294" s="10" t="str">
        <f t="shared" si="8"/>
        <v/>
      </c>
      <c r="B294" s="11"/>
      <c r="C294" s="11"/>
      <c r="D294" s="10" t="str">
        <f>IFERROR(IF(ISBLANK(C294),"",VLOOKUP(C294,Members!$A$2:$B$101,2,FALSE)),"")</f>
        <v/>
      </c>
      <c r="E294" s="11"/>
      <c r="F294" s="10" t="str">
        <f>IF(ISBLANK(E294),"",E294+Settings!$B$7)</f>
        <v/>
      </c>
      <c r="G294" s="11"/>
      <c r="H294" s="10" t="str">
        <f t="shared" ca="1" si="9"/>
        <v/>
      </c>
      <c r="I294" s="11"/>
    </row>
    <row r="295" spans="1:9" x14ac:dyDescent="0.25">
      <c r="A295" s="10" t="str">
        <f t="shared" si="8"/>
        <v/>
      </c>
      <c r="B295" s="11"/>
      <c r="C295" s="11"/>
      <c r="D295" s="10" t="str">
        <f>IFERROR(IF(ISBLANK(C295),"",VLOOKUP(C295,Members!$A$2:$B$101,2,FALSE)),"")</f>
        <v/>
      </c>
      <c r="E295" s="11"/>
      <c r="F295" s="10" t="str">
        <f>IF(ISBLANK(E295),"",E295+Settings!$B$7)</f>
        <v/>
      </c>
      <c r="G295" s="11"/>
      <c r="H295" s="10" t="str">
        <f t="shared" ca="1" si="9"/>
        <v/>
      </c>
      <c r="I295" s="11"/>
    </row>
    <row r="296" spans="1:9" x14ac:dyDescent="0.25">
      <c r="A296" s="10" t="str">
        <f t="shared" si="8"/>
        <v/>
      </c>
      <c r="B296" s="11"/>
      <c r="C296" s="11"/>
      <c r="D296" s="10" t="str">
        <f>IFERROR(IF(ISBLANK(C296),"",VLOOKUP(C296,Members!$A$2:$B$101,2,FALSE)),"")</f>
        <v/>
      </c>
      <c r="E296" s="11"/>
      <c r="F296" s="10" t="str">
        <f>IF(ISBLANK(E296),"",E296+Settings!$B$7)</f>
        <v/>
      </c>
      <c r="G296" s="11"/>
      <c r="H296" s="10" t="str">
        <f t="shared" ca="1" si="9"/>
        <v/>
      </c>
      <c r="I296" s="11"/>
    </row>
    <row r="297" spans="1:9" x14ac:dyDescent="0.25">
      <c r="A297" s="10" t="str">
        <f t="shared" si="8"/>
        <v/>
      </c>
      <c r="B297" s="11"/>
      <c r="C297" s="11"/>
      <c r="D297" s="10" t="str">
        <f>IFERROR(IF(ISBLANK(C297),"",VLOOKUP(C297,Members!$A$2:$B$101,2,FALSE)),"")</f>
        <v/>
      </c>
      <c r="E297" s="11"/>
      <c r="F297" s="10" t="str">
        <f>IF(ISBLANK(E297),"",E297+Settings!$B$7)</f>
        <v/>
      </c>
      <c r="G297" s="11"/>
      <c r="H297" s="10" t="str">
        <f t="shared" ca="1" si="9"/>
        <v/>
      </c>
      <c r="I297" s="11"/>
    </row>
    <row r="298" spans="1:9" x14ac:dyDescent="0.25">
      <c r="A298" s="10" t="str">
        <f t="shared" si="8"/>
        <v/>
      </c>
      <c r="B298" s="11"/>
      <c r="C298" s="11"/>
      <c r="D298" s="10" t="str">
        <f>IFERROR(IF(ISBLANK(C298),"",VLOOKUP(C298,Members!$A$2:$B$101,2,FALSE)),"")</f>
        <v/>
      </c>
      <c r="E298" s="11"/>
      <c r="F298" s="10" t="str">
        <f>IF(ISBLANK(E298),"",E298+Settings!$B$7)</f>
        <v/>
      </c>
      <c r="G298" s="11"/>
      <c r="H298" s="10" t="str">
        <f t="shared" ca="1" si="9"/>
        <v/>
      </c>
      <c r="I298" s="11"/>
    </row>
    <row r="299" spans="1:9" x14ac:dyDescent="0.25">
      <c r="A299" s="10" t="str">
        <f t="shared" si="8"/>
        <v/>
      </c>
      <c r="B299" s="11"/>
      <c r="C299" s="11"/>
      <c r="D299" s="10" t="str">
        <f>IFERROR(IF(ISBLANK(C299),"",VLOOKUP(C299,Members!$A$2:$B$101,2,FALSE)),"")</f>
        <v/>
      </c>
      <c r="E299" s="11"/>
      <c r="F299" s="10" t="str">
        <f>IF(ISBLANK(E299),"",E299+Settings!$B$7)</f>
        <v/>
      </c>
      <c r="G299" s="11"/>
      <c r="H299" s="10" t="str">
        <f t="shared" ca="1" si="9"/>
        <v/>
      </c>
      <c r="I299" s="11"/>
    </row>
    <row r="300" spans="1:9" x14ac:dyDescent="0.25">
      <c r="A300" s="10" t="str">
        <f t="shared" si="8"/>
        <v/>
      </c>
      <c r="B300" s="11"/>
      <c r="C300" s="11"/>
      <c r="D300" s="10" t="str">
        <f>IFERROR(IF(ISBLANK(C300),"",VLOOKUP(C300,Members!$A$2:$B$101,2,FALSE)),"")</f>
        <v/>
      </c>
      <c r="E300" s="11"/>
      <c r="F300" s="10" t="str">
        <f>IF(ISBLANK(E300),"",E300+Settings!$B$7)</f>
        <v/>
      </c>
      <c r="G300" s="11"/>
      <c r="H300" s="10" t="str">
        <f t="shared" ca="1" si="9"/>
        <v/>
      </c>
      <c r="I300" s="11"/>
    </row>
    <row r="301" spans="1:9" x14ac:dyDescent="0.25">
      <c r="A301" s="10" t="str">
        <f t="shared" si="8"/>
        <v/>
      </c>
      <c r="B301" s="11"/>
      <c r="C301" s="11"/>
      <c r="D301" s="10" t="str">
        <f>IFERROR(IF(ISBLANK(C301),"",VLOOKUP(C301,Members!$A$2:$B$101,2,FALSE)),"")</f>
        <v/>
      </c>
      <c r="E301" s="11"/>
      <c r="F301" s="10" t="str">
        <f>IF(ISBLANK(E301),"",E301+Settings!$B$7)</f>
        <v/>
      </c>
      <c r="G301" s="11"/>
      <c r="H301" s="10" t="str">
        <f t="shared" ca="1" si="9"/>
        <v/>
      </c>
      <c r="I301" s="11"/>
    </row>
    <row r="302" spans="1:9" x14ac:dyDescent="0.25">
      <c r="A302" s="10" t="str">
        <f t="shared" si="8"/>
        <v/>
      </c>
      <c r="B302" s="11"/>
      <c r="C302" s="11"/>
      <c r="D302" s="10" t="str">
        <f>IFERROR(IF(ISBLANK(C302),"",VLOOKUP(C302,Members!$A$2:$B$101,2,FALSE)),"")</f>
        <v/>
      </c>
      <c r="E302" s="11"/>
      <c r="F302" s="10" t="str">
        <f>IF(ISBLANK(E302),"",E302+Settings!$B$7)</f>
        <v/>
      </c>
      <c r="G302" s="11"/>
      <c r="H302" s="10" t="str">
        <f t="shared" ca="1" si="9"/>
        <v/>
      </c>
      <c r="I302" s="11"/>
    </row>
    <row r="303" spans="1:9" x14ac:dyDescent="0.25">
      <c r="A303" s="10" t="str">
        <f t="shared" si="8"/>
        <v/>
      </c>
      <c r="B303" s="11"/>
      <c r="C303" s="11"/>
      <c r="D303" s="10" t="str">
        <f>IFERROR(IF(ISBLANK(C303),"",VLOOKUP(C303,Members!$A$2:$B$101,2,FALSE)),"")</f>
        <v/>
      </c>
      <c r="E303" s="11"/>
      <c r="F303" s="10" t="str">
        <f>IF(ISBLANK(E303),"",E303+Settings!$B$7)</f>
        <v/>
      </c>
      <c r="G303" s="11"/>
      <c r="H303" s="10" t="str">
        <f t="shared" ca="1" si="9"/>
        <v/>
      </c>
      <c r="I303" s="11"/>
    </row>
    <row r="304" spans="1:9" x14ac:dyDescent="0.25">
      <c r="A304" s="10" t="str">
        <f t="shared" si="8"/>
        <v/>
      </c>
      <c r="B304" s="11"/>
      <c r="C304" s="11"/>
      <c r="D304" s="10" t="str">
        <f>IFERROR(IF(ISBLANK(C304),"",VLOOKUP(C304,Members!$A$2:$B$101,2,FALSE)),"")</f>
        <v/>
      </c>
      <c r="E304" s="11"/>
      <c r="F304" s="10" t="str">
        <f>IF(ISBLANK(E304),"",E304+Settings!$B$7)</f>
        <v/>
      </c>
      <c r="G304" s="11"/>
      <c r="H304" s="10" t="str">
        <f t="shared" ca="1" si="9"/>
        <v/>
      </c>
      <c r="I304" s="11"/>
    </row>
    <row r="305" spans="1:9" x14ac:dyDescent="0.25">
      <c r="A305" s="10" t="str">
        <f t="shared" si="8"/>
        <v/>
      </c>
      <c r="B305" s="11"/>
      <c r="C305" s="11"/>
      <c r="D305" s="10" t="str">
        <f>IFERROR(IF(ISBLANK(C305),"",VLOOKUP(C305,Members!$A$2:$B$101,2,FALSE)),"")</f>
        <v/>
      </c>
      <c r="E305" s="11"/>
      <c r="F305" s="10" t="str">
        <f>IF(ISBLANK(E305),"",E305+Settings!$B$7)</f>
        <v/>
      </c>
      <c r="G305" s="11"/>
      <c r="H305" s="10" t="str">
        <f t="shared" ca="1" si="9"/>
        <v/>
      </c>
      <c r="I305" s="11"/>
    </row>
    <row r="306" spans="1:9" x14ac:dyDescent="0.25">
      <c r="A306" s="10" t="str">
        <f t="shared" si="8"/>
        <v/>
      </c>
      <c r="B306" s="11"/>
      <c r="C306" s="11"/>
      <c r="D306" s="10" t="str">
        <f>IFERROR(IF(ISBLANK(C306),"",VLOOKUP(C306,Members!$A$2:$B$101,2,FALSE)),"")</f>
        <v/>
      </c>
      <c r="E306" s="11"/>
      <c r="F306" s="10" t="str">
        <f>IF(ISBLANK(E306),"",E306+Settings!$B$7)</f>
        <v/>
      </c>
      <c r="G306" s="11"/>
      <c r="H306" s="10" t="str">
        <f t="shared" ca="1" si="9"/>
        <v/>
      </c>
      <c r="I306" s="11"/>
    </row>
    <row r="307" spans="1:9" x14ac:dyDescent="0.25">
      <c r="A307" s="10" t="str">
        <f t="shared" si="8"/>
        <v/>
      </c>
      <c r="B307" s="11"/>
      <c r="C307" s="11"/>
      <c r="D307" s="10" t="str">
        <f>IFERROR(IF(ISBLANK(C307),"",VLOOKUP(C307,Members!$A$2:$B$101,2,FALSE)),"")</f>
        <v/>
      </c>
      <c r="E307" s="11"/>
      <c r="F307" s="10" t="str">
        <f>IF(ISBLANK(E307),"",E307+Settings!$B$7)</f>
        <v/>
      </c>
      <c r="G307" s="11"/>
      <c r="H307" s="10" t="str">
        <f t="shared" ca="1" si="9"/>
        <v/>
      </c>
      <c r="I307" s="11"/>
    </row>
    <row r="308" spans="1:9" x14ac:dyDescent="0.25">
      <c r="A308" s="10" t="str">
        <f t="shared" si="8"/>
        <v/>
      </c>
      <c r="B308" s="11"/>
      <c r="C308" s="11"/>
      <c r="D308" s="10" t="str">
        <f>IFERROR(IF(ISBLANK(C308),"",VLOOKUP(C308,Members!$A$2:$B$101,2,FALSE)),"")</f>
        <v/>
      </c>
      <c r="E308" s="11"/>
      <c r="F308" s="10" t="str">
        <f>IF(ISBLANK(E308),"",E308+Settings!$B$7)</f>
        <v/>
      </c>
      <c r="G308" s="11"/>
      <c r="H308" s="10" t="str">
        <f t="shared" ca="1" si="9"/>
        <v/>
      </c>
      <c r="I308" s="11"/>
    </row>
    <row r="309" spans="1:9" x14ac:dyDescent="0.25">
      <c r="A309" s="10" t="str">
        <f t="shared" si="8"/>
        <v/>
      </c>
      <c r="B309" s="11"/>
      <c r="C309" s="11"/>
      <c r="D309" s="10" t="str">
        <f>IFERROR(IF(ISBLANK(C309),"",VLOOKUP(C309,Members!$A$2:$B$101,2,FALSE)),"")</f>
        <v/>
      </c>
      <c r="E309" s="11"/>
      <c r="F309" s="10" t="str">
        <f>IF(ISBLANK(E309),"",E309+Settings!$B$7)</f>
        <v/>
      </c>
      <c r="G309" s="11"/>
      <c r="H309" s="10" t="str">
        <f t="shared" ca="1" si="9"/>
        <v/>
      </c>
      <c r="I309" s="11"/>
    </row>
    <row r="310" spans="1:9" x14ac:dyDescent="0.25">
      <c r="A310" s="10" t="str">
        <f t="shared" si="8"/>
        <v/>
      </c>
      <c r="B310" s="11"/>
      <c r="C310" s="11"/>
      <c r="D310" s="10" t="str">
        <f>IFERROR(IF(ISBLANK(C310),"",VLOOKUP(C310,Members!$A$2:$B$101,2,FALSE)),"")</f>
        <v/>
      </c>
      <c r="E310" s="11"/>
      <c r="F310" s="10" t="str">
        <f>IF(ISBLANK(E310),"",E310+Settings!$B$7)</f>
        <v/>
      </c>
      <c r="G310" s="11"/>
      <c r="H310" s="10" t="str">
        <f t="shared" ca="1" si="9"/>
        <v/>
      </c>
      <c r="I310" s="11"/>
    </row>
    <row r="311" spans="1:9" x14ac:dyDescent="0.25">
      <c r="A311" s="10" t="str">
        <f t="shared" si="8"/>
        <v/>
      </c>
      <c r="B311" s="11"/>
      <c r="C311" s="11"/>
      <c r="D311" s="10" t="str">
        <f>IFERROR(IF(ISBLANK(C311),"",VLOOKUP(C311,Members!$A$2:$B$101,2,FALSE)),"")</f>
        <v/>
      </c>
      <c r="E311" s="11"/>
      <c r="F311" s="10" t="str">
        <f>IF(ISBLANK(E311),"",E311+Settings!$B$7)</f>
        <v/>
      </c>
      <c r="G311" s="11"/>
      <c r="H311" s="10" t="str">
        <f t="shared" ca="1" si="9"/>
        <v/>
      </c>
      <c r="I311" s="11"/>
    </row>
    <row r="312" spans="1:9" x14ac:dyDescent="0.25">
      <c r="A312" s="10" t="str">
        <f t="shared" si="8"/>
        <v/>
      </c>
      <c r="B312" s="11"/>
      <c r="C312" s="11"/>
      <c r="D312" s="10" t="str">
        <f>IFERROR(IF(ISBLANK(C312),"",VLOOKUP(C312,Members!$A$2:$B$101,2,FALSE)),"")</f>
        <v/>
      </c>
      <c r="E312" s="11"/>
      <c r="F312" s="10" t="str">
        <f>IF(ISBLANK(E312),"",E312+Settings!$B$7)</f>
        <v/>
      </c>
      <c r="G312" s="11"/>
      <c r="H312" s="10" t="str">
        <f t="shared" ca="1" si="9"/>
        <v/>
      </c>
      <c r="I312" s="11"/>
    </row>
    <row r="313" spans="1:9" x14ac:dyDescent="0.25">
      <c r="A313" s="10" t="str">
        <f t="shared" si="8"/>
        <v/>
      </c>
      <c r="B313" s="11"/>
      <c r="C313" s="11"/>
      <c r="D313" s="10" t="str">
        <f>IFERROR(IF(ISBLANK(C313),"",VLOOKUP(C313,Members!$A$2:$B$101,2,FALSE)),"")</f>
        <v/>
      </c>
      <c r="E313" s="11"/>
      <c r="F313" s="10" t="str">
        <f>IF(ISBLANK(E313),"",E313+Settings!$B$7)</f>
        <v/>
      </c>
      <c r="G313" s="11"/>
      <c r="H313" s="10" t="str">
        <f t="shared" ca="1" si="9"/>
        <v/>
      </c>
      <c r="I313" s="11"/>
    </row>
    <row r="314" spans="1:9" x14ac:dyDescent="0.25">
      <c r="A314" s="10" t="str">
        <f t="shared" si="8"/>
        <v/>
      </c>
      <c r="B314" s="11"/>
      <c r="C314" s="11"/>
      <c r="D314" s="10" t="str">
        <f>IFERROR(IF(ISBLANK(C314),"",VLOOKUP(C314,Members!$A$2:$B$101,2,FALSE)),"")</f>
        <v/>
      </c>
      <c r="E314" s="11"/>
      <c r="F314" s="10" t="str">
        <f>IF(ISBLANK(E314),"",E314+Settings!$B$7)</f>
        <v/>
      </c>
      <c r="G314" s="11"/>
      <c r="H314" s="10" t="str">
        <f t="shared" ca="1" si="9"/>
        <v/>
      </c>
      <c r="I314" s="11"/>
    </row>
    <row r="315" spans="1:9" x14ac:dyDescent="0.25">
      <c r="A315" s="10" t="str">
        <f t="shared" si="8"/>
        <v/>
      </c>
      <c r="B315" s="11"/>
      <c r="C315" s="11"/>
      <c r="D315" s="10" t="str">
        <f>IFERROR(IF(ISBLANK(C315),"",VLOOKUP(C315,Members!$A$2:$B$101,2,FALSE)),"")</f>
        <v/>
      </c>
      <c r="E315" s="11"/>
      <c r="F315" s="10" t="str">
        <f>IF(ISBLANK(E315),"",E315+Settings!$B$7)</f>
        <v/>
      </c>
      <c r="G315" s="11"/>
      <c r="H315" s="10" t="str">
        <f t="shared" ca="1" si="9"/>
        <v/>
      </c>
      <c r="I315" s="11"/>
    </row>
    <row r="316" spans="1:9" x14ac:dyDescent="0.25">
      <c r="A316" s="10" t="str">
        <f t="shared" si="8"/>
        <v/>
      </c>
      <c r="B316" s="11"/>
      <c r="C316" s="11"/>
      <c r="D316" s="10" t="str">
        <f>IFERROR(IF(ISBLANK(C316),"",VLOOKUP(C316,Members!$A$2:$B$101,2,FALSE)),"")</f>
        <v/>
      </c>
      <c r="E316" s="11"/>
      <c r="F316" s="10" t="str">
        <f>IF(ISBLANK(E316),"",E316+Settings!$B$7)</f>
        <v/>
      </c>
      <c r="G316" s="11"/>
      <c r="H316" s="10" t="str">
        <f t="shared" ca="1" si="9"/>
        <v/>
      </c>
      <c r="I316" s="11"/>
    </row>
    <row r="317" spans="1:9" x14ac:dyDescent="0.25">
      <c r="A317" s="10" t="str">
        <f t="shared" si="8"/>
        <v/>
      </c>
      <c r="B317" s="11"/>
      <c r="C317" s="11"/>
      <c r="D317" s="10" t="str">
        <f>IFERROR(IF(ISBLANK(C317),"",VLOOKUP(C317,Members!$A$2:$B$101,2,FALSE)),"")</f>
        <v/>
      </c>
      <c r="E317" s="11"/>
      <c r="F317" s="10" t="str">
        <f>IF(ISBLANK(E317),"",E317+Settings!$B$7)</f>
        <v/>
      </c>
      <c r="G317" s="11"/>
      <c r="H317" s="10" t="str">
        <f t="shared" ca="1" si="9"/>
        <v/>
      </c>
      <c r="I317" s="11"/>
    </row>
    <row r="318" spans="1:9" x14ac:dyDescent="0.25">
      <c r="A318" s="10" t="str">
        <f t="shared" si="8"/>
        <v/>
      </c>
      <c r="B318" s="11"/>
      <c r="C318" s="11"/>
      <c r="D318" s="10" t="str">
        <f>IFERROR(IF(ISBLANK(C318),"",VLOOKUP(C318,Members!$A$2:$B$101,2,FALSE)),"")</f>
        <v/>
      </c>
      <c r="E318" s="11"/>
      <c r="F318" s="10" t="str">
        <f>IF(ISBLANK(E318),"",E318+Settings!$B$7)</f>
        <v/>
      </c>
      <c r="G318" s="11"/>
      <c r="H318" s="10" t="str">
        <f t="shared" ca="1" si="9"/>
        <v/>
      </c>
      <c r="I318" s="11"/>
    </row>
    <row r="319" spans="1:9" x14ac:dyDescent="0.25">
      <c r="A319" s="10" t="str">
        <f t="shared" si="8"/>
        <v/>
      </c>
      <c r="B319" s="11"/>
      <c r="C319" s="11"/>
      <c r="D319" s="10" t="str">
        <f>IFERROR(IF(ISBLANK(C319),"",VLOOKUP(C319,Members!$A$2:$B$101,2,FALSE)),"")</f>
        <v/>
      </c>
      <c r="E319" s="11"/>
      <c r="F319" s="10" t="str">
        <f>IF(ISBLANK(E319),"",E319+Settings!$B$7)</f>
        <v/>
      </c>
      <c r="G319" s="11"/>
      <c r="H319" s="10" t="str">
        <f t="shared" ca="1" si="9"/>
        <v/>
      </c>
      <c r="I319" s="11"/>
    </row>
    <row r="320" spans="1:9" x14ac:dyDescent="0.25">
      <c r="A320" s="10" t="str">
        <f t="shared" si="8"/>
        <v/>
      </c>
      <c r="B320" s="11"/>
      <c r="C320" s="11"/>
      <c r="D320" s="10" t="str">
        <f>IFERROR(IF(ISBLANK(C320),"",VLOOKUP(C320,Members!$A$2:$B$101,2,FALSE)),"")</f>
        <v/>
      </c>
      <c r="E320" s="11"/>
      <c r="F320" s="10" t="str">
        <f>IF(ISBLANK(E320),"",E320+Settings!$B$7)</f>
        <v/>
      </c>
      <c r="G320" s="11"/>
      <c r="H320" s="10" t="str">
        <f t="shared" ca="1" si="9"/>
        <v/>
      </c>
      <c r="I320" s="11"/>
    </row>
    <row r="321" spans="1:9" x14ac:dyDescent="0.25">
      <c r="A321" s="10" t="str">
        <f t="shared" si="8"/>
        <v/>
      </c>
      <c r="B321" s="11"/>
      <c r="C321" s="11"/>
      <c r="D321" s="10" t="str">
        <f>IFERROR(IF(ISBLANK(C321),"",VLOOKUP(C321,Members!$A$2:$B$101,2,FALSE)),"")</f>
        <v/>
      </c>
      <c r="E321" s="11"/>
      <c r="F321" s="10" t="str">
        <f>IF(ISBLANK(E321),"",E321+Settings!$B$7)</f>
        <v/>
      </c>
      <c r="G321" s="11"/>
      <c r="H321" s="10" t="str">
        <f t="shared" ca="1" si="9"/>
        <v/>
      </c>
      <c r="I321" s="11"/>
    </row>
    <row r="322" spans="1:9" x14ac:dyDescent="0.25">
      <c r="A322" s="10" t="str">
        <f t="shared" ref="A322:A385" si="10">IF(ISBLANK(B322),"",ROW()-1)</f>
        <v/>
      </c>
      <c r="B322" s="11"/>
      <c r="C322" s="11"/>
      <c r="D322" s="10" t="str">
        <f>IFERROR(IF(ISBLANK(C322),"",VLOOKUP(C322,Members!$A$2:$B$101,2,FALSE)),"")</f>
        <v/>
      </c>
      <c r="E322" s="11"/>
      <c r="F322" s="10" t="str">
        <f>IF(ISBLANK(E322),"",E322+Settings!$B$7)</f>
        <v/>
      </c>
      <c r="G322" s="11"/>
      <c r="H322" s="10" t="str">
        <f t="shared" ref="H322:H385" ca="1" si="11">IF(ISBLANK(B322),"",IF(NOT(ISBLANK(G322)),"Returned",IF(TODAY()&gt;F322,"Overdue","Active")))</f>
        <v/>
      </c>
      <c r="I322" s="11"/>
    </row>
    <row r="323" spans="1:9" x14ac:dyDescent="0.25">
      <c r="A323" s="10" t="str">
        <f t="shared" si="10"/>
        <v/>
      </c>
      <c r="B323" s="11"/>
      <c r="C323" s="11"/>
      <c r="D323" s="10" t="str">
        <f>IFERROR(IF(ISBLANK(C323),"",VLOOKUP(C323,Members!$A$2:$B$101,2,FALSE)),"")</f>
        <v/>
      </c>
      <c r="E323" s="11"/>
      <c r="F323" s="10" t="str">
        <f>IF(ISBLANK(E323),"",E323+Settings!$B$7)</f>
        <v/>
      </c>
      <c r="G323" s="11"/>
      <c r="H323" s="10" t="str">
        <f t="shared" ca="1" si="11"/>
        <v/>
      </c>
      <c r="I323" s="11"/>
    </row>
    <row r="324" spans="1:9" x14ac:dyDescent="0.25">
      <c r="A324" s="10" t="str">
        <f t="shared" si="10"/>
        <v/>
      </c>
      <c r="B324" s="11"/>
      <c r="C324" s="11"/>
      <c r="D324" s="10" t="str">
        <f>IFERROR(IF(ISBLANK(C324),"",VLOOKUP(C324,Members!$A$2:$B$101,2,FALSE)),"")</f>
        <v/>
      </c>
      <c r="E324" s="11"/>
      <c r="F324" s="10" t="str">
        <f>IF(ISBLANK(E324),"",E324+Settings!$B$7)</f>
        <v/>
      </c>
      <c r="G324" s="11"/>
      <c r="H324" s="10" t="str">
        <f t="shared" ca="1" si="11"/>
        <v/>
      </c>
      <c r="I324" s="11"/>
    </row>
    <row r="325" spans="1:9" x14ac:dyDescent="0.25">
      <c r="A325" s="10" t="str">
        <f t="shared" si="10"/>
        <v/>
      </c>
      <c r="B325" s="11"/>
      <c r="C325" s="11"/>
      <c r="D325" s="10" t="str">
        <f>IFERROR(IF(ISBLANK(C325),"",VLOOKUP(C325,Members!$A$2:$B$101,2,FALSE)),"")</f>
        <v/>
      </c>
      <c r="E325" s="11"/>
      <c r="F325" s="10" t="str">
        <f>IF(ISBLANK(E325),"",E325+Settings!$B$7)</f>
        <v/>
      </c>
      <c r="G325" s="11"/>
      <c r="H325" s="10" t="str">
        <f t="shared" ca="1" si="11"/>
        <v/>
      </c>
      <c r="I325" s="11"/>
    </row>
    <row r="326" spans="1:9" x14ac:dyDescent="0.25">
      <c r="A326" s="10" t="str">
        <f t="shared" si="10"/>
        <v/>
      </c>
      <c r="B326" s="11"/>
      <c r="C326" s="11"/>
      <c r="D326" s="10" t="str">
        <f>IFERROR(IF(ISBLANK(C326),"",VLOOKUP(C326,Members!$A$2:$B$101,2,FALSE)),"")</f>
        <v/>
      </c>
      <c r="E326" s="11"/>
      <c r="F326" s="10" t="str">
        <f>IF(ISBLANK(E326),"",E326+Settings!$B$7)</f>
        <v/>
      </c>
      <c r="G326" s="11"/>
      <c r="H326" s="10" t="str">
        <f t="shared" ca="1" si="11"/>
        <v/>
      </c>
      <c r="I326" s="11"/>
    </row>
    <row r="327" spans="1:9" x14ac:dyDescent="0.25">
      <c r="A327" s="10" t="str">
        <f t="shared" si="10"/>
        <v/>
      </c>
      <c r="B327" s="11"/>
      <c r="C327" s="11"/>
      <c r="D327" s="10" t="str">
        <f>IFERROR(IF(ISBLANK(C327),"",VLOOKUP(C327,Members!$A$2:$B$101,2,FALSE)),"")</f>
        <v/>
      </c>
      <c r="E327" s="11"/>
      <c r="F327" s="10" t="str">
        <f>IF(ISBLANK(E327),"",E327+Settings!$B$7)</f>
        <v/>
      </c>
      <c r="G327" s="11"/>
      <c r="H327" s="10" t="str">
        <f t="shared" ca="1" si="11"/>
        <v/>
      </c>
      <c r="I327" s="11"/>
    </row>
    <row r="328" spans="1:9" x14ac:dyDescent="0.25">
      <c r="A328" s="10" t="str">
        <f t="shared" si="10"/>
        <v/>
      </c>
      <c r="B328" s="11"/>
      <c r="C328" s="11"/>
      <c r="D328" s="10" t="str">
        <f>IFERROR(IF(ISBLANK(C328),"",VLOOKUP(C328,Members!$A$2:$B$101,2,FALSE)),"")</f>
        <v/>
      </c>
      <c r="E328" s="11"/>
      <c r="F328" s="10" t="str">
        <f>IF(ISBLANK(E328),"",E328+Settings!$B$7)</f>
        <v/>
      </c>
      <c r="G328" s="11"/>
      <c r="H328" s="10" t="str">
        <f t="shared" ca="1" si="11"/>
        <v/>
      </c>
      <c r="I328" s="11"/>
    </row>
    <row r="329" spans="1:9" x14ac:dyDescent="0.25">
      <c r="A329" s="10" t="str">
        <f t="shared" si="10"/>
        <v/>
      </c>
      <c r="B329" s="11"/>
      <c r="C329" s="11"/>
      <c r="D329" s="10" t="str">
        <f>IFERROR(IF(ISBLANK(C329),"",VLOOKUP(C329,Members!$A$2:$B$101,2,FALSE)),"")</f>
        <v/>
      </c>
      <c r="E329" s="11"/>
      <c r="F329" s="10" t="str">
        <f>IF(ISBLANK(E329),"",E329+Settings!$B$7)</f>
        <v/>
      </c>
      <c r="G329" s="11"/>
      <c r="H329" s="10" t="str">
        <f t="shared" ca="1" si="11"/>
        <v/>
      </c>
      <c r="I329" s="11"/>
    </row>
    <row r="330" spans="1:9" x14ac:dyDescent="0.25">
      <c r="A330" s="10" t="str">
        <f t="shared" si="10"/>
        <v/>
      </c>
      <c r="B330" s="11"/>
      <c r="C330" s="11"/>
      <c r="D330" s="10" t="str">
        <f>IFERROR(IF(ISBLANK(C330),"",VLOOKUP(C330,Members!$A$2:$B$101,2,FALSE)),"")</f>
        <v/>
      </c>
      <c r="E330" s="11"/>
      <c r="F330" s="10" t="str">
        <f>IF(ISBLANK(E330),"",E330+Settings!$B$7)</f>
        <v/>
      </c>
      <c r="G330" s="11"/>
      <c r="H330" s="10" t="str">
        <f t="shared" ca="1" si="11"/>
        <v/>
      </c>
      <c r="I330" s="11"/>
    </row>
    <row r="331" spans="1:9" x14ac:dyDescent="0.25">
      <c r="A331" s="10" t="str">
        <f t="shared" si="10"/>
        <v/>
      </c>
      <c r="B331" s="11"/>
      <c r="C331" s="11"/>
      <c r="D331" s="10" t="str">
        <f>IFERROR(IF(ISBLANK(C331),"",VLOOKUP(C331,Members!$A$2:$B$101,2,FALSE)),"")</f>
        <v/>
      </c>
      <c r="E331" s="11"/>
      <c r="F331" s="10" t="str">
        <f>IF(ISBLANK(E331),"",E331+Settings!$B$7)</f>
        <v/>
      </c>
      <c r="G331" s="11"/>
      <c r="H331" s="10" t="str">
        <f t="shared" ca="1" si="11"/>
        <v/>
      </c>
      <c r="I331" s="11"/>
    </row>
    <row r="332" spans="1:9" x14ac:dyDescent="0.25">
      <c r="A332" s="10" t="str">
        <f t="shared" si="10"/>
        <v/>
      </c>
      <c r="B332" s="11"/>
      <c r="C332" s="11"/>
      <c r="D332" s="10" t="str">
        <f>IFERROR(IF(ISBLANK(C332),"",VLOOKUP(C332,Members!$A$2:$B$101,2,FALSE)),"")</f>
        <v/>
      </c>
      <c r="E332" s="11"/>
      <c r="F332" s="10" t="str">
        <f>IF(ISBLANK(E332),"",E332+Settings!$B$7)</f>
        <v/>
      </c>
      <c r="G332" s="11"/>
      <c r="H332" s="10" t="str">
        <f t="shared" ca="1" si="11"/>
        <v/>
      </c>
      <c r="I332" s="11"/>
    </row>
    <row r="333" spans="1:9" x14ac:dyDescent="0.25">
      <c r="A333" s="10" t="str">
        <f t="shared" si="10"/>
        <v/>
      </c>
      <c r="B333" s="11"/>
      <c r="C333" s="11"/>
      <c r="D333" s="10" t="str">
        <f>IFERROR(IF(ISBLANK(C333),"",VLOOKUP(C333,Members!$A$2:$B$101,2,FALSE)),"")</f>
        <v/>
      </c>
      <c r="E333" s="11"/>
      <c r="F333" s="10" t="str">
        <f>IF(ISBLANK(E333),"",E333+Settings!$B$7)</f>
        <v/>
      </c>
      <c r="G333" s="11"/>
      <c r="H333" s="10" t="str">
        <f t="shared" ca="1" si="11"/>
        <v/>
      </c>
      <c r="I333" s="11"/>
    </row>
    <row r="334" spans="1:9" x14ac:dyDescent="0.25">
      <c r="A334" s="10" t="str">
        <f t="shared" si="10"/>
        <v/>
      </c>
      <c r="B334" s="11"/>
      <c r="C334" s="11"/>
      <c r="D334" s="10" t="str">
        <f>IFERROR(IF(ISBLANK(C334),"",VLOOKUP(C334,Members!$A$2:$B$101,2,FALSE)),"")</f>
        <v/>
      </c>
      <c r="E334" s="11"/>
      <c r="F334" s="10" t="str">
        <f>IF(ISBLANK(E334),"",E334+Settings!$B$7)</f>
        <v/>
      </c>
      <c r="G334" s="11"/>
      <c r="H334" s="10" t="str">
        <f t="shared" ca="1" si="11"/>
        <v/>
      </c>
      <c r="I334" s="11"/>
    </row>
    <row r="335" spans="1:9" x14ac:dyDescent="0.25">
      <c r="A335" s="10" t="str">
        <f t="shared" si="10"/>
        <v/>
      </c>
      <c r="B335" s="11"/>
      <c r="C335" s="11"/>
      <c r="D335" s="10" t="str">
        <f>IFERROR(IF(ISBLANK(C335),"",VLOOKUP(C335,Members!$A$2:$B$101,2,FALSE)),"")</f>
        <v/>
      </c>
      <c r="E335" s="11"/>
      <c r="F335" s="10" t="str">
        <f>IF(ISBLANK(E335),"",E335+Settings!$B$7)</f>
        <v/>
      </c>
      <c r="G335" s="11"/>
      <c r="H335" s="10" t="str">
        <f t="shared" ca="1" si="11"/>
        <v/>
      </c>
      <c r="I335" s="11"/>
    </row>
    <row r="336" spans="1:9" x14ac:dyDescent="0.25">
      <c r="A336" s="10" t="str">
        <f t="shared" si="10"/>
        <v/>
      </c>
      <c r="B336" s="11"/>
      <c r="C336" s="11"/>
      <c r="D336" s="10" t="str">
        <f>IFERROR(IF(ISBLANK(C336),"",VLOOKUP(C336,Members!$A$2:$B$101,2,FALSE)),"")</f>
        <v/>
      </c>
      <c r="E336" s="11"/>
      <c r="F336" s="10" t="str">
        <f>IF(ISBLANK(E336),"",E336+Settings!$B$7)</f>
        <v/>
      </c>
      <c r="G336" s="11"/>
      <c r="H336" s="10" t="str">
        <f t="shared" ca="1" si="11"/>
        <v/>
      </c>
      <c r="I336" s="11"/>
    </row>
    <row r="337" spans="1:9" x14ac:dyDescent="0.25">
      <c r="A337" s="10" t="str">
        <f t="shared" si="10"/>
        <v/>
      </c>
      <c r="B337" s="11"/>
      <c r="C337" s="11"/>
      <c r="D337" s="10" t="str">
        <f>IFERROR(IF(ISBLANK(C337),"",VLOOKUP(C337,Members!$A$2:$B$101,2,FALSE)),"")</f>
        <v/>
      </c>
      <c r="E337" s="11"/>
      <c r="F337" s="10" t="str">
        <f>IF(ISBLANK(E337),"",E337+Settings!$B$7)</f>
        <v/>
      </c>
      <c r="G337" s="11"/>
      <c r="H337" s="10" t="str">
        <f t="shared" ca="1" si="11"/>
        <v/>
      </c>
      <c r="I337" s="11"/>
    </row>
    <row r="338" spans="1:9" x14ac:dyDescent="0.25">
      <c r="A338" s="10" t="str">
        <f t="shared" si="10"/>
        <v/>
      </c>
      <c r="B338" s="11"/>
      <c r="C338" s="11"/>
      <c r="D338" s="10" t="str">
        <f>IFERROR(IF(ISBLANK(C338),"",VLOOKUP(C338,Members!$A$2:$B$101,2,FALSE)),"")</f>
        <v/>
      </c>
      <c r="E338" s="11"/>
      <c r="F338" s="10" t="str">
        <f>IF(ISBLANK(E338),"",E338+Settings!$B$7)</f>
        <v/>
      </c>
      <c r="G338" s="11"/>
      <c r="H338" s="10" t="str">
        <f t="shared" ca="1" si="11"/>
        <v/>
      </c>
      <c r="I338" s="11"/>
    </row>
    <row r="339" spans="1:9" x14ac:dyDescent="0.25">
      <c r="A339" s="10" t="str">
        <f t="shared" si="10"/>
        <v/>
      </c>
      <c r="B339" s="11"/>
      <c r="C339" s="11"/>
      <c r="D339" s="10" t="str">
        <f>IFERROR(IF(ISBLANK(C339),"",VLOOKUP(C339,Members!$A$2:$B$101,2,FALSE)),"")</f>
        <v/>
      </c>
      <c r="E339" s="11"/>
      <c r="F339" s="10" t="str">
        <f>IF(ISBLANK(E339),"",E339+Settings!$B$7)</f>
        <v/>
      </c>
      <c r="G339" s="11"/>
      <c r="H339" s="10" t="str">
        <f t="shared" ca="1" si="11"/>
        <v/>
      </c>
      <c r="I339" s="11"/>
    </row>
    <row r="340" spans="1:9" x14ac:dyDescent="0.25">
      <c r="A340" s="10" t="str">
        <f t="shared" si="10"/>
        <v/>
      </c>
      <c r="B340" s="11"/>
      <c r="C340" s="11"/>
      <c r="D340" s="10" t="str">
        <f>IFERROR(IF(ISBLANK(C340),"",VLOOKUP(C340,Members!$A$2:$B$101,2,FALSE)),"")</f>
        <v/>
      </c>
      <c r="E340" s="11"/>
      <c r="F340" s="10" t="str">
        <f>IF(ISBLANK(E340),"",E340+Settings!$B$7)</f>
        <v/>
      </c>
      <c r="G340" s="11"/>
      <c r="H340" s="10" t="str">
        <f t="shared" ca="1" si="11"/>
        <v/>
      </c>
      <c r="I340" s="11"/>
    </row>
    <row r="341" spans="1:9" x14ac:dyDescent="0.25">
      <c r="A341" s="10" t="str">
        <f t="shared" si="10"/>
        <v/>
      </c>
      <c r="B341" s="11"/>
      <c r="C341" s="11"/>
      <c r="D341" s="10" t="str">
        <f>IFERROR(IF(ISBLANK(C341),"",VLOOKUP(C341,Members!$A$2:$B$101,2,FALSE)),"")</f>
        <v/>
      </c>
      <c r="E341" s="11"/>
      <c r="F341" s="10" t="str">
        <f>IF(ISBLANK(E341),"",E341+Settings!$B$7)</f>
        <v/>
      </c>
      <c r="G341" s="11"/>
      <c r="H341" s="10" t="str">
        <f t="shared" ca="1" si="11"/>
        <v/>
      </c>
      <c r="I341" s="11"/>
    </row>
    <row r="342" spans="1:9" x14ac:dyDescent="0.25">
      <c r="A342" s="10" t="str">
        <f t="shared" si="10"/>
        <v/>
      </c>
      <c r="B342" s="11"/>
      <c r="C342" s="11"/>
      <c r="D342" s="10" t="str">
        <f>IFERROR(IF(ISBLANK(C342),"",VLOOKUP(C342,Members!$A$2:$B$101,2,FALSE)),"")</f>
        <v/>
      </c>
      <c r="E342" s="11"/>
      <c r="F342" s="10" t="str">
        <f>IF(ISBLANK(E342),"",E342+Settings!$B$7)</f>
        <v/>
      </c>
      <c r="G342" s="11"/>
      <c r="H342" s="10" t="str">
        <f t="shared" ca="1" si="11"/>
        <v/>
      </c>
      <c r="I342" s="11"/>
    </row>
    <row r="343" spans="1:9" x14ac:dyDescent="0.25">
      <c r="A343" s="10" t="str">
        <f t="shared" si="10"/>
        <v/>
      </c>
      <c r="B343" s="11"/>
      <c r="C343" s="11"/>
      <c r="D343" s="10" t="str">
        <f>IFERROR(IF(ISBLANK(C343),"",VLOOKUP(C343,Members!$A$2:$B$101,2,FALSE)),"")</f>
        <v/>
      </c>
      <c r="E343" s="11"/>
      <c r="F343" s="10" t="str">
        <f>IF(ISBLANK(E343),"",E343+Settings!$B$7)</f>
        <v/>
      </c>
      <c r="G343" s="11"/>
      <c r="H343" s="10" t="str">
        <f t="shared" ca="1" si="11"/>
        <v/>
      </c>
      <c r="I343" s="11"/>
    </row>
    <row r="344" spans="1:9" x14ac:dyDescent="0.25">
      <c r="A344" s="10" t="str">
        <f t="shared" si="10"/>
        <v/>
      </c>
      <c r="B344" s="11"/>
      <c r="C344" s="11"/>
      <c r="D344" s="10" t="str">
        <f>IFERROR(IF(ISBLANK(C344),"",VLOOKUP(C344,Members!$A$2:$B$101,2,FALSE)),"")</f>
        <v/>
      </c>
      <c r="E344" s="11"/>
      <c r="F344" s="10" t="str">
        <f>IF(ISBLANK(E344),"",E344+Settings!$B$7)</f>
        <v/>
      </c>
      <c r="G344" s="11"/>
      <c r="H344" s="10" t="str">
        <f t="shared" ca="1" si="11"/>
        <v/>
      </c>
      <c r="I344" s="11"/>
    </row>
    <row r="345" spans="1:9" x14ac:dyDescent="0.25">
      <c r="A345" s="10" t="str">
        <f t="shared" si="10"/>
        <v/>
      </c>
      <c r="B345" s="11"/>
      <c r="C345" s="11"/>
      <c r="D345" s="10" t="str">
        <f>IFERROR(IF(ISBLANK(C345),"",VLOOKUP(C345,Members!$A$2:$B$101,2,FALSE)),"")</f>
        <v/>
      </c>
      <c r="E345" s="11"/>
      <c r="F345" s="10" t="str">
        <f>IF(ISBLANK(E345),"",E345+Settings!$B$7)</f>
        <v/>
      </c>
      <c r="G345" s="11"/>
      <c r="H345" s="10" t="str">
        <f t="shared" ca="1" si="11"/>
        <v/>
      </c>
      <c r="I345" s="11"/>
    </row>
    <row r="346" spans="1:9" x14ac:dyDescent="0.25">
      <c r="A346" s="10" t="str">
        <f t="shared" si="10"/>
        <v/>
      </c>
      <c r="B346" s="11"/>
      <c r="C346" s="11"/>
      <c r="D346" s="10" t="str">
        <f>IFERROR(IF(ISBLANK(C346),"",VLOOKUP(C346,Members!$A$2:$B$101,2,FALSE)),"")</f>
        <v/>
      </c>
      <c r="E346" s="11"/>
      <c r="F346" s="10" t="str">
        <f>IF(ISBLANK(E346),"",E346+Settings!$B$7)</f>
        <v/>
      </c>
      <c r="G346" s="11"/>
      <c r="H346" s="10" t="str">
        <f t="shared" ca="1" si="11"/>
        <v/>
      </c>
      <c r="I346" s="11"/>
    </row>
    <row r="347" spans="1:9" x14ac:dyDescent="0.25">
      <c r="A347" s="10" t="str">
        <f t="shared" si="10"/>
        <v/>
      </c>
      <c r="B347" s="11"/>
      <c r="C347" s="11"/>
      <c r="D347" s="10" t="str">
        <f>IFERROR(IF(ISBLANK(C347),"",VLOOKUP(C347,Members!$A$2:$B$101,2,FALSE)),"")</f>
        <v/>
      </c>
      <c r="E347" s="11"/>
      <c r="F347" s="10" t="str">
        <f>IF(ISBLANK(E347),"",E347+Settings!$B$7)</f>
        <v/>
      </c>
      <c r="G347" s="11"/>
      <c r="H347" s="10" t="str">
        <f t="shared" ca="1" si="11"/>
        <v/>
      </c>
      <c r="I347" s="11"/>
    </row>
    <row r="348" spans="1:9" x14ac:dyDescent="0.25">
      <c r="A348" s="10" t="str">
        <f t="shared" si="10"/>
        <v/>
      </c>
      <c r="B348" s="11"/>
      <c r="C348" s="11"/>
      <c r="D348" s="10" t="str">
        <f>IFERROR(IF(ISBLANK(C348),"",VLOOKUP(C348,Members!$A$2:$B$101,2,FALSE)),"")</f>
        <v/>
      </c>
      <c r="E348" s="11"/>
      <c r="F348" s="10" t="str">
        <f>IF(ISBLANK(E348),"",E348+Settings!$B$7)</f>
        <v/>
      </c>
      <c r="G348" s="11"/>
      <c r="H348" s="10" t="str">
        <f t="shared" ca="1" si="11"/>
        <v/>
      </c>
      <c r="I348" s="11"/>
    </row>
    <row r="349" spans="1:9" x14ac:dyDescent="0.25">
      <c r="A349" s="10" t="str">
        <f t="shared" si="10"/>
        <v/>
      </c>
      <c r="B349" s="11"/>
      <c r="C349" s="11"/>
      <c r="D349" s="10" t="str">
        <f>IFERROR(IF(ISBLANK(C349),"",VLOOKUP(C349,Members!$A$2:$B$101,2,FALSE)),"")</f>
        <v/>
      </c>
      <c r="E349" s="11"/>
      <c r="F349" s="10" t="str">
        <f>IF(ISBLANK(E349),"",E349+Settings!$B$7)</f>
        <v/>
      </c>
      <c r="G349" s="11"/>
      <c r="H349" s="10" t="str">
        <f t="shared" ca="1" si="11"/>
        <v/>
      </c>
      <c r="I349" s="11"/>
    </row>
    <row r="350" spans="1:9" x14ac:dyDescent="0.25">
      <c r="A350" s="10" t="str">
        <f t="shared" si="10"/>
        <v/>
      </c>
      <c r="B350" s="11"/>
      <c r="C350" s="11"/>
      <c r="D350" s="10" t="str">
        <f>IFERROR(IF(ISBLANK(C350),"",VLOOKUP(C350,Members!$A$2:$B$101,2,FALSE)),"")</f>
        <v/>
      </c>
      <c r="E350" s="11"/>
      <c r="F350" s="10" t="str">
        <f>IF(ISBLANK(E350),"",E350+Settings!$B$7)</f>
        <v/>
      </c>
      <c r="G350" s="11"/>
      <c r="H350" s="10" t="str">
        <f t="shared" ca="1" si="11"/>
        <v/>
      </c>
      <c r="I350" s="11"/>
    </row>
    <row r="351" spans="1:9" x14ac:dyDescent="0.25">
      <c r="A351" s="10" t="str">
        <f t="shared" si="10"/>
        <v/>
      </c>
      <c r="B351" s="11"/>
      <c r="C351" s="11"/>
      <c r="D351" s="10" t="str">
        <f>IFERROR(IF(ISBLANK(C351),"",VLOOKUP(C351,Members!$A$2:$B$101,2,FALSE)),"")</f>
        <v/>
      </c>
      <c r="E351" s="11"/>
      <c r="F351" s="10" t="str">
        <f>IF(ISBLANK(E351),"",E351+Settings!$B$7)</f>
        <v/>
      </c>
      <c r="G351" s="11"/>
      <c r="H351" s="10" t="str">
        <f t="shared" ca="1" si="11"/>
        <v/>
      </c>
      <c r="I351" s="11"/>
    </row>
    <row r="352" spans="1:9" x14ac:dyDescent="0.25">
      <c r="A352" s="10" t="str">
        <f t="shared" si="10"/>
        <v/>
      </c>
      <c r="B352" s="11"/>
      <c r="C352" s="11"/>
      <c r="D352" s="10" t="str">
        <f>IFERROR(IF(ISBLANK(C352),"",VLOOKUP(C352,Members!$A$2:$B$101,2,FALSE)),"")</f>
        <v/>
      </c>
      <c r="E352" s="11"/>
      <c r="F352" s="10" t="str">
        <f>IF(ISBLANK(E352),"",E352+Settings!$B$7)</f>
        <v/>
      </c>
      <c r="G352" s="11"/>
      <c r="H352" s="10" t="str">
        <f t="shared" ca="1" si="11"/>
        <v/>
      </c>
      <c r="I352" s="11"/>
    </row>
    <row r="353" spans="1:9" x14ac:dyDescent="0.25">
      <c r="A353" s="10" t="str">
        <f t="shared" si="10"/>
        <v/>
      </c>
      <c r="B353" s="11"/>
      <c r="C353" s="11"/>
      <c r="D353" s="10" t="str">
        <f>IFERROR(IF(ISBLANK(C353),"",VLOOKUP(C353,Members!$A$2:$B$101,2,FALSE)),"")</f>
        <v/>
      </c>
      <c r="E353" s="11"/>
      <c r="F353" s="10" t="str">
        <f>IF(ISBLANK(E353),"",E353+Settings!$B$7)</f>
        <v/>
      </c>
      <c r="G353" s="11"/>
      <c r="H353" s="10" t="str">
        <f t="shared" ca="1" si="11"/>
        <v/>
      </c>
      <c r="I353" s="11"/>
    </row>
    <row r="354" spans="1:9" x14ac:dyDescent="0.25">
      <c r="A354" s="10" t="str">
        <f t="shared" si="10"/>
        <v/>
      </c>
      <c r="B354" s="11"/>
      <c r="C354" s="11"/>
      <c r="D354" s="10" t="str">
        <f>IFERROR(IF(ISBLANK(C354),"",VLOOKUP(C354,Members!$A$2:$B$101,2,FALSE)),"")</f>
        <v/>
      </c>
      <c r="E354" s="11"/>
      <c r="F354" s="10" t="str">
        <f>IF(ISBLANK(E354),"",E354+Settings!$B$7)</f>
        <v/>
      </c>
      <c r="G354" s="11"/>
      <c r="H354" s="10" t="str">
        <f t="shared" ca="1" si="11"/>
        <v/>
      </c>
      <c r="I354" s="11"/>
    </row>
    <row r="355" spans="1:9" x14ac:dyDescent="0.25">
      <c r="A355" s="10" t="str">
        <f t="shared" si="10"/>
        <v/>
      </c>
      <c r="B355" s="11"/>
      <c r="C355" s="11"/>
      <c r="D355" s="10" t="str">
        <f>IFERROR(IF(ISBLANK(C355),"",VLOOKUP(C355,Members!$A$2:$B$101,2,FALSE)),"")</f>
        <v/>
      </c>
      <c r="E355" s="11"/>
      <c r="F355" s="10" t="str">
        <f>IF(ISBLANK(E355),"",E355+Settings!$B$7)</f>
        <v/>
      </c>
      <c r="G355" s="11"/>
      <c r="H355" s="10" t="str">
        <f t="shared" ca="1" si="11"/>
        <v/>
      </c>
      <c r="I355" s="11"/>
    </row>
    <row r="356" spans="1:9" x14ac:dyDescent="0.25">
      <c r="A356" s="10" t="str">
        <f t="shared" si="10"/>
        <v/>
      </c>
      <c r="B356" s="11"/>
      <c r="C356" s="11"/>
      <c r="D356" s="10" t="str">
        <f>IFERROR(IF(ISBLANK(C356),"",VLOOKUP(C356,Members!$A$2:$B$101,2,FALSE)),"")</f>
        <v/>
      </c>
      <c r="E356" s="11"/>
      <c r="F356" s="10" t="str">
        <f>IF(ISBLANK(E356),"",E356+Settings!$B$7)</f>
        <v/>
      </c>
      <c r="G356" s="11"/>
      <c r="H356" s="10" t="str">
        <f t="shared" ca="1" si="11"/>
        <v/>
      </c>
      <c r="I356" s="11"/>
    </row>
    <row r="357" spans="1:9" x14ac:dyDescent="0.25">
      <c r="A357" s="10" t="str">
        <f t="shared" si="10"/>
        <v/>
      </c>
      <c r="B357" s="11"/>
      <c r="C357" s="11"/>
      <c r="D357" s="10" t="str">
        <f>IFERROR(IF(ISBLANK(C357),"",VLOOKUP(C357,Members!$A$2:$B$101,2,FALSE)),"")</f>
        <v/>
      </c>
      <c r="E357" s="11"/>
      <c r="F357" s="10" t="str">
        <f>IF(ISBLANK(E357),"",E357+Settings!$B$7)</f>
        <v/>
      </c>
      <c r="G357" s="11"/>
      <c r="H357" s="10" t="str">
        <f t="shared" ca="1" si="11"/>
        <v/>
      </c>
      <c r="I357" s="11"/>
    </row>
    <row r="358" spans="1:9" x14ac:dyDescent="0.25">
      <c r="A358" s="10" t="str">
        <f t="shared" si="10"/>
        <v/>
      </c>
      <c r="B358" s="11"/>
      <c r="C358" s="11"/>
      <c r="D358" s="10" t="str">
        <f>IFERROR(IF(ISBLANK(C358),"",VLOOKUP(C358,Members!$A$2:$B$101,2,FALSE)),"")</f>
        <v/>
      </c>
      <c r="E358" s="11"/>
      <c r="F358" s="10" t="str">
        <f>IF(ISBLANK(E358),"",E358+Settings!$B$7)</f>
        <v/>
      </c>
      <c r="G358" s="11"/>
      <c r="H358" s="10" t="str">
        <f t="shared" ca="1" si="11"/>
        <v/>
      </c>
      <c r="I358" s="11"/>
    </row>
    <row r="359" spans="1:9" x14ac:dyDescent="0.25">
      <c r="A359" s="10" t="str">
        <f t="shared" si="10"/>
        <v/>
      </c>
      <c r="B359" s="11"/>
      <c r="C359" s="11"/>
      <c r="D359" s="10" t="str">
        <f>IFERROR(IF(ISBLANK(C359),"",VLOOKUP(C359,Members!$A$2:$B$101,2,FALSE)),"")</f>
        <v/>
      </c>
      <c r="E359" s="11"/>
      <c r="F359" s="10" t="str">
        <f>IF(ISBLANK(E359),"",E359+Settings!$B$7)</f>
        <v/>
      </c>
      <c r="G359" s="11"/>
      <c r="H359" s="10" t="str">
        <f t="shared" ca="1" si="11"/>
        <v/>
      </c>
      <c r="I359" s="11"/>
    </row>
    <row r="360" spans="1:9" x14ac:dyDescent="0.25">
      <c r="A360" s="10" t="str">
        <f t="shared" si="10"/>
        <v/>
      </c>
      <c r="B360" s="11"/>
      <c r="C360" s="11"/>
      <c r="D360" s="10" t="str">
        <f>IFERROR(IF(ISBLANK(C360),"",VLOOKUP(C360,Members!$A$2:$B$101,2,FALSE)),"")</f>
        <v/>
      </c>
      <c r="E360" s="11"/>
      <c r="F360" s="10" t="str">
        <f>IF(ISBLANK(E360),"",E360+Settings!$B$7)</f>
        <v/>
      </c>
      <c r="G360" s="11"/>
      <c r="H360" s="10" t="str">
        <f t="shared" ca="1" si="11"/>
        <v/>
      </c>
      <c r="I360" s="11"/>
    </row>
    <row r="361" spans="1:9" x14ac:dyDescent="0.25">
      <c r="A361" s="10" t="str">
        <f t="shared" si="10"/>
        <v/>
      </c>
      <c r="B361" s="11"/>
      <c r="C361" s="11"/>
      <c r="D361" s="10" t="str">
        <f>IFERROR(IF(ISBLANK(C361),"",VLOOKUP(C361,Members!$A$2:$B$101,2,FALSE)),"")</f>
        <v/>
      </c>
      <c r="E361" s="11"/>
      <c r="F361" s="10" t="str">
        <f>IF(ISBLANK(E361),"",E361+Settings!$B$7)</f>
        <v/>
      </c>
      <c r="G361" s="11"/>
      <c r="H361" s="10" t="str">
        <f t="shared" ca="1" si="11"/>
        <v/>
      </c>
      <c r="I361" s="11"/>
    </row>
    <row r="362" spans="1:9" x14ac:dyDescent="0.25">
      <c r="A362" s="10" t="str">
        <f t="shared" si="10"/>
        <v/>
      </c>
      <c r="B362" s="11"/>
      <c r="C362" s="11"/>
      <c r="D362" s="10" t="str">
        <f>IFERROR(IF(ISBLANK(C362),"",VLOOKUP(C362,Members!$A$2:$B$101,2,FALSE)),"")</f>
        <v/>
      </c>
      <c r="E362" s="11"/>
      <c r="F362" s="10" t="str">
        <f>IF(ISBLANK(E362),"",E362+Settings!$B$7)</f>
        <v/>
      </c>
      <c r="G362" s="11"/>
      <c r="H362" s="10" t="str">
        <f t="shared" ca="1" si="11"/>
        <v/>
      </c>
      <c r="I362" s="11"/>
    </row>
    <row r="363" spans="1:9" x14ac:dyDescent="0.25">
      <c r="A363" s="10" t="str">
        <f t="shared" si="10"/>
        <v/>
      </c>
      <c r="B363" s="11"/>
      <c r="C363" s="11"/>
      <c r="D363" s="10" t="str">
        <f>IFERROR(IF(ISBLANK(C363),"",VLOOKUP(C363,Members!$A$2:$B$101,2,FALSE)),"")</f>
        <v/>
      </c>
      <c r="E363" s="11"/>
      <c r="F363" s="10" t="str">
        <f>IF(ISBLANK(E363),"",E363+Settings!$B$7)</f>
        <v/>
      </c>
      <c r="G363" s="11"/>
      <c r="H363" s="10" t="str">
        <f t="shared" ca="1" si="11"/>
        <v/>
      </c>
      <c r="I363" s="11"/>
    </row>
    <row r="364" spans="1:9" x14ac:dyDescent="0.25">
      <c r="A364" s="10" t="str">
        <f t="shared" si="10"/>
        <v/>
      </c>
      <c r="B364" s="11"/>
      <c r="C364" s="11"/>
      <c r="D364" s="10" t="str">
        <f>IFERROR(IF(ISBLANK(C364),"",VLOOKUP(C364,Members!$A$2:$B$101,2,FALSE)),"")</f>
        <v/>
      </c>
      <c r="E364" s="11"/>
      <c r="F364" s="10" t="str">
        <f>IF(ISBLANK(E364),"",E364+Settings!$B$7)</f>
        <v/>
      </c>
      <c r="G364" s="11"/>
      <c r="H364" s="10" t="str">
        <f t="shared" ca="1" si="11"/>
        <v/>
      </c>
      <c r="I364" s="11"/>
    </row>
    <row r="365" spans="1:9" x14ac:dyDescent="0.25">
      <c r="A365" s="10" t="str">
        <f t="shared" si="10"/>
        <v/>
      </c>
      <c r="B365" s="11"/>
      <c r="C365" s="11"/>
      <c r="D365" s="10" t="str">
        <f>IFERROR(IF(ISBLANK(C365),"",VLOOKUP(C365,Members!$A$2:$B$101,2,FALSE)),"")</f>
        <v/>
      </c>
      <c r="E365" s="11"/>
      <c r="F365" s="10" t="str">
        <f>IF(ISBLANK(E365),"",E365+Settings!$B$7)</f>
        <v/>
      </c>
      <c r="G365" s="11"/>
      <c r="H365" s="10" t="str">
        <f t="shared" ca="1" si="11"/>
        <v/>
      </c>
      <c r="I365" s="11"/>
    </row>
    <row r="366" spans="1:9" x14ac:dyDescent="0.25">
      <c r="A366" s="10" t="str">
        <f t="shared" si="10"/>
        <v/>
      </c>
      <c r="B366" s="11"/>
      <c r="C366" s="11"/>
      <c r="D366" s="10" t="str">
        <f>IFERROR(IF(ISBLANK(C366),"",VLOOKUP(C366,Members!$A$2:$B$101,2,FALSE)),"")</f>
        <v/>
      </c>
      <c r="E366" s="11"/>
      <c r="F366" s="10" t="str">
        <f>IF(ISBLANK(E366),"",E366+Settings!$B$7)</f>
        <v/>
      </c>
      <c r="G366" s="11"/>
      <c r="H366" s="10" t="str">
        <f t="shared" ca="1" si="11"/>
        <v/>
      </c>
      <c r="I366" s="11"/>
    </row>
    <row r="367" spans="1:9" x14ac:dyDescent="0.25">
      <c r="A367" s="10" t="str">
        <f t="shared" si="10"/>
        <v/>
      </c>
      <c r="B367" s="11"/>
      <c r="C367" s="11"/>
      <c r="D367" s="10" t="str">
        <f>IFERROR(IF(ISBLANK(C367),"",VLOOKUP(C367,Members!$A$2:$B$101,2,FALSE)),"")</f>
        <v/>
      </c>
      <c r="E367" s="11"/>
      <c r="F367" s="10" t="str">
        <f>IF(ISBLANK(E367),"",E367+Settings!$B$7)</f>
        <v/>
      </c>
      <c r="G367" s="11"/>
      <c r="H367" s="10" t="str">
        <f t="shared" ca="1" si="11"/>
        <v/>
      </c>
      <c r="I367" s="11"/>
    </row>
    <row r="368" spans="1:9" x14ac:dyDescent="0.25">
      <c r="A368" s="10" t="str">
        <f t="shared" si="10"/>
        <v/>
      </c>
      <c r="B368" s="11"/>
      <c r="C368" s="11"/>
      <c r="D368" s="10" t="str">
        <f>IFERROR(IF(ISBLANK(C368),"",VLOOKUP(C368,Members!$A$2:$B$101,2,FALSE)),"")</f>
        <v/>
      </c>
      <c r="E368" s="11"/>
      <c r="F368" s="10" t="str">
        <f>IF(ISBLANK(E368),"",E368+Settings!$B$7)</f>
        <v/>
      </c>
      <c r="G368" s="11"/>
      <c r="H368" s="10" t="str">
        <f t="shared" ca="1" si="11"/>
        <v/>
      </c>
      <c r="I368" s="11"/>
    </row>
    <row r="369" spans="1:9" x14ac:dyDescent="0.25">
      <c r="A369" s="10" t="str">
        <f t="shared" si="10"/>
        <v/>
      </c>
      <c r="B369" s="11"/>
      <c r="C369" s="11"/>
      <c r="D369" s="10" t="str">
        <f>IFERROR(IF(ISBLANK(C369),"",VLOOKUP(C369,Members!$A$2:$B$101,2,FALSE)),"")</f>
        <v/>
      </c>
      <c r="E369" s="11"/>
      <c r="F369" s="10" t="str">
        <f>IF(ISBLANK(E369),"",E369+Settings!$B$7)</f>
        <v/>
      </c>
      <c r="G369" s="11"/>
      <c r="H369" s="10" t="str">
        <f t="shared" ca="1" si="11"/>
        <v/>
      </c>
      <c r="I369" s="11"/>
    </row>
    <row r="370" spans="1:9" x14ac:dyDescent="0.25">
      <c r="A370" s="10" t="str">
        <f t="shared" si="10"/>
        <v/>
      </c>
      <c r="B370" s="11"/>
      <c r="C370" s="11"/>
      <c r="D370" s="10" t="str">
        <f>IFERROR(IF(ISBLANK(C370),"",VLOOKUP(C370,Members!$A$2:$B$101,2,FALSE)),"")</f>
        <v/>
      </c>
      <c r="E370" s="11"/>
      <c r="F370" s="10" t="str">
        <f>IF(ISBLANK(E370),"",E370+Settings!$B$7)</f>
        <v/>
      </c>
      <c r="G370" s="11"/>
      <c r="H370" s="10" t="str">
        <f t="shared" ca="1" si="11"/>
        <v/>
      </c>
      <c r="I370" s="11"/>
    </row>
    <row r="371" spans="1:9" x14ac:dyDescent="0.25">
      <c r="A371" s="10" t="str">
        <f t="shared" si="10"/>
        <v/>
      </c>
      <c r="B371" s="11"/>
      <c r="C371" s="11"/>
      <c r="D371" s="10" t="str">
        <f>IFERROR(IF(ISBLANK(C371),"",VLOOKUP(C371,Members!$A$2:$B$101,2,FALSE)),"")</f>
        <v/>
      </c>
      <c r="E371" s="11"/>
      <c r="F371" s="10" t="str">
        <f>IF(ISBLANK(E371),"",E371+Settings!$B$7)</f>
        <v/>
      </c>
      <c r="G371" s="11"/>
      <c r="H371" s="10" t="str">
        <f t="shared" ca="1" si="11"/>
        <v/>
      </c>
      <c r="I371" s="11"/>
    </row>
    <row r="372" spans="1:9" x14ac:dyDescent="0.25">
      <c r="A372" s="10" t="str">
        <f t="shared" si="10"/>
        <v/>
      </c>
      <c r="B372" s="11"/>
      <c r="C372" s="11"/>
      <c r="D372" s="10" t="str">
        <f>IFERROR(IF(ISBLANK(C372),"",VLOOKUP(C372,Members!$A$2:$B$101,2,FALSE)),"")</f>
        <v/>
      </c>
      <c r="E372" s="11"/>
      <c r="F372" s="10" t="str">
        <f>IF(ISBLANK(E372),"",E372+Settings!$B$7)</f>
        <v/>
      </c>
      <c r="G372" s="11"/>
      <c r="H372" s="10" t="str">
        <f t="shared" ca="1" si="11"/>
        <v/>
      </c>
      <c r="I372" s="11"/>
    </row>
    <row r="373" spans="1:9" x14ac:dyDescent="0.25">
      <c r="A373" s="10" t="str">
        <f t="shared" si="10"/>
        <v/>
      </c>
      <c r="B373" s="11"/>
      <c r="C373" s="11"/>
      <c r="D373" s="10" t="str">
        <f>IFERROR(IF(ISBLANK(C373),"",VLOOKUP(C373,Members!$A$2:$B$101,2,FALSE)),"")</f>
        <v/>
      </c>
      <c r="E373" s="11"/>
      <c r="F373" s="10" t="str">
        <f>IF(ISBLANK(E373),"",E373+Settings!$B$7)</f>
        <v/>
      </c>
      <c r="G373" s="11"/>
      <c r="H373" s="10" t="str">
        <f t="shared" ca="1" si="11"/>
        <v/>
      </c>
      <c r="I373" s="11"/>
    </row>
    <row r="374" spans="1:9" x14ac:dyDescent="0.25">
      <c r="A374" s="10" t="str">
        <f t="shared" si="10"/>
        <v/>
      </c>
      <c r="B374" s="11"/>
      <c r="C374" s="11"/>
      <c r="D374" s="10" t="str">
        <f>IFERROR(IF(ISBLANK(C374),"",VLOOKUP(C374,Members!$A$2:$B$101,2,FALSE)),"")</f>
        <v/>
      </c>
      <c r="E374" s="11"/>
      <c r="F374" s="10" t="str">
        <f>IF(ISBLANK(E374),"",E374+Settings!$B$7)</f>
        <v/>
      </c>
      <c r="G374" s="11"/>
      <c r="H374" s="10" t="str">
        <f t="shared" ca="1" si="11"/>
        <v/>
      </c>
      <c r="I374" s="11"/>
    </row>
    <row r="375" spans="1:9" x14ac:dyDescent="0.25">
      <c r="A375" s="10" t="str">
        <f t="shared" si="10"/>
        <v/>
      </c>
      <c r="B375" s="11"/>
      <c r="C375" s="11"/>
      <c r="D375" s="10" t="str">
        <f>IFERROR(IF(ISBLANK(C375),"",VLOOKUP(C375,Members!$A$2:$B$101,2,FALSE)),"")</f>
        <v/>
      </c>
      <c r="E375" s="11"/>
      <c r="F375" s="10" t="str">
        <f>IF(ISBLANK(E375),"",E375+Settings!$B$7)</f>
        <v/>
      </c>
      <c r="G375" s="11"/>
      <c r="H375" s="10" t="str">
        <f t="shared" ca="1" si="11"/>
        <v/>
      </c>
      <c r="I375" s="11"/>
    </row>
    <row r="376" spans="1:9" x14ac:dyDescent="0.25">
      <c r="A376" s="10" t="str">
        <f t="shared" si="10"/>
        <v/>
      </c>
      <c r="B376" s="11"/>
      <c r="C376" s="11"/>
      <c r="D376" s="10" t="str">
        <f>IFERROR(IF(ISBLANK(C376),"",VLOOKUP(C376,Members!$A$2:$B$101,2,FALSE)),"")</f>
        <v/>
      </c>
      <c r="E376" s="11"/>
      <c r="F376" s="10" t="str">
        <f>IF(ISBLANK(E376),"",E376+Settings!$B$7)</f>
        <v/>
      </c>
      <c r="G376" s="11"/>
      <c r="H376" s="10" t="str">
        <f t="shared" ca="1" si="11"/>
        <v/>
      </c>
      <c r="I376" s="11"/>
    </row>
    <row r="377" spans="1:9" x14ac:dyDescent="0.25">
      <c r="A377" s="10" t="str">
        <f t="shared" si="10"/>
        <v/>
      </c>
      <c r="B377" s="11"/>
      <c r="C377" s="11"/>
      <c r="D377" s="10" t="str">
        <f>IFERROR(IF(ISBLANK(C377),"",VLOOKUP(C377,Members!$A$2:$B$101,2,FALSE)),"")</f>
        <v/>
      </c>
      <c r="E377" s="11"/>
      <c r="F377" s="10" t="str">
        <f>IF(ISBLANK(E377),"",E377+Settings!$B$7)</f>
        <v/>
      </c>
      <c r="G377" s="11"/>
      <c r="H377" s="10" t="str">
        <f t="shared" ca="1" si="11"/>
        <v/>
      </c>
      <c r="I377" s="11"/>
    </row>
    <row r="378" spans="1:9" x14ac:dyDescent="0.25">
      <c r="A378" s="10" t="str">
        <f t="shared" si="10"/>
        <v/>
      </c>
      <c r="B378" s="11"/>
      <c r="C378" s="11"/>
      <c r="D378" s="10" t="str">
        <f>IFERROR(IF(ISBLANK(C378),"",VLOOKUP(C378,Members!$A$2:$B$101,2,FALSE)),"")</f>
        <v/>
      </c>
      <c r="E378" s="11"/>
      <c r="F378" s="10" t="str">
        <f>IF(ISBLANK(E378),"",E378+Settings!$B$7)</f>
        <v/>
      </c>
      <c r="G378" s="11"/>
      <c r="H378" s="10" t="str">
        <f t="shared" ca="1" si="11"/>
        <v/>
      </c>
      <c r="I378" s="11"/>
    </row>
    <row r="379" spans="1:9" x14ac:dyDescent="0.25">
      <c r="A379" s="10" t="str">
        <f t="shared" si="10"/>
        <v/>
      </c>
      <c r="B379" s="11"/>
      <c r="C379" s="11"/>
      <c r="D379" s="10" t="str">
        <f>IFERROR(IF(ISBLANK(C379),"",VLOOKUP(C379,Members!$A$2:$B$101,2,FALSE)),"")</f>
        <v/>
      </c>
      <c r="E379" s="11"/>
      <c r="F379" s="10" t="str">
        <f>IF(ISBLANK(E379),"",E379+Settings!$B$7)</f>
        <v/>
      </c>
      <c r="G379" s="11"/>
      <c r="H379" s="10" t="str">
        <f t="shared" ca="1" si="11"/>
        <v/>
      </c>
      <c r="I379" s="11"/>
    </row>
    <row r="380" spans="1:9" x14ac:dyDescent="0.25">
      <c r="A380" s="10" t="str">
        <f t="shared" si="10"/>
        <v/>
      </c>
      <c r="B380" s="11"/>
      <c r="C380" s="11"/>
      <c r="D380" s="10" t="str">
        <f>IFERROR(IF(ISBLANK(C380),"",VLOOKUP(C380,Members!$A$2:$B$101,2,FALSE)),"")</f>
        <v/>
      </c>
      <c r="E380" s="11"/>
      <c r="F380" s="10" t="str">
        <f>IF(ISBLANK(E380),"",E380+Settings!$B$7)</f>
        <v/>
      </c>
      <c r="G380" s="11"/>
      <c r="H380" s="10" t="str">
        <f t="shared" ca="1" si="11"/>
        <v/>
      </c>
      <c r="I380" s="11"/>
    </row>
    <row r="381" spans="1:9" x14ac:dyDescent="0.25">
      <c r="A381" s="10" t="str">
        <f t="shared" si="10"/>
        <v/>
      </c>
      <c r="B381" s="11"/>
      <c r="C381" s="11"/>
      <c r="D381" s="10" t="str">
        <f>IFERROR(IF(ISBLANK(C381),"",VLOOKUP(C381,Members!$A$2:$B$101,2,FALSE)),"")</f>
        <v/>
      </c>
      <c r="E381" s="11"/>
      <c r="F381" s="10" t="str">
        <f>IF(ISBLANK(E381),"",E381+Settings!$B$7)</f>
        <v/>
      </c>
      <c r="G381" s="11"/>
      <c r="H381" s="10" t="str">
        <f t="shared" ca="1" si="11"/>
        <v/>
      </c>
      <c r="I381" s="11"/>
    </row>
    <row r="382" spans="1:9" x14ac:dyDescent="0.25">
      <c r="A382" s="10" t="str">
        <f t="shared" si="10"/>
        <v/>
      </c>
      <c r="B382" s="11"/>
      <c r="C382" s="11"/>
      <c r="D382" s="10" t="str">
        <f>IFERROR(IF(ISBLANK(C382),"",VLOOKUP(C382,Members!$A$2:$B$101,2,FALSE)),"")</f>
        <v/>
      </c>
      <c r="E382" s="11"/>
      <c r="F382" s="10" t="str">
        <f>IF(ISBLANK(E382),"",E382+Settings!$B$7)</f>
        <v/>
      </c>
      <c r="G382" s="11"/>
      <c r="H382" s="10" t="str">
        <f t="shared" ca="1" si="11"/>
        <v/>
      </c>
      <c r="I382" s="11"/>
    </row>
    <row r="383" spans="1:9" x14ac:dyDescent="0.25">
      <c r="A383" s="10" t="str">
        <f t="shared" si="10"/>
        <v/>
      </c>
      <c r="B383" s="11"/>
      <c r="C383" s="11"/>
      <c r="D383" s="10" t="str">
        <f>IFERROR(IF(ISBLANK(C383),"",VLOOKUP(C383,Members!$A$2:$B$101,2,FALSE)),"")</f>
        <v/>
      </c>
      <c r="E383" s="11"/>
      <c r="F383" s="10" t="str">
        <f>IF(ISBLANK(E383),"",E383+Settings!$B$7)</f>
        <v/>
      </c>
      <c r="G383" s="11"/>
      <c r="H383" s="10" t="str">
        <f t="shared" ca="1" si="11"/>
        <v/>
      </c>
      <c r="I383" s="11"/>
    </row>
    <row r="384" spans="1:9" x14ac:dyDescent="0.25">
      <c r="A384" s="10" t="str">
        <f t="shared" si="10"/>
        <v/>
      </c>
      <c r="B384" s="11"/>
      <c r="C384" s="11"/>
      <c r="D384" s="10" t="str">
        <f>IFERROR(IF(ISBLANK(C384),"",VLOOKUP(C384,Members!$A$2:$B$101,2,FALSE)),"")</f>
        <v/>
      </c>
      <c r="E384" s="11"/>
      <c r="F384" s="10" t="str">
        <f>IF(ISBLANK(E384),"",E384+Settings!$B$7)</f>
        <v/>
      </c>
      <c r="G384" s="11"/>
      <c r="H384" s="10" t="str">
        <f t="shared" ca="1" si="11"/>
        <v/>
      </c>
      <c r="I384" s="11"/>
    </row>
    <row r="385" spans="1:9" x14ac:dyDescent="0.25">
      <c r="A385" s="10" t="str">
        <f t="shared" si="10"/>
        <v/>
      </c>
      <c r="B385" s="11"/>
      <c r="C385" s="11"/>
      <c r="D385" s="10" t="str">
        <f>IFERROR(IF(ISBLANK(C385),"",VLOOKUP(C385,Members!$A$2:$B$101,2,FALSE)),"")</f>
        <v/>
      </c>
      <c r="E385" s="11"/>
      <c r="F385" s="10" t="str">
        <f>IF(ISBLANK(E385),"",E385+Settings!$B$7)</f>
        <v/>
      </c>
      <c r="G385" s="11"/>
      <c r="H385" s="10" t="str">
        <f t="shared" ca="1" si="11"/>
        <v/>
      </c>
      <c r="I385" s="11"/>
    </row>
    <row r="386" spans="1:9" x14ac:dyDescent="0.25">
      <c r="A386" s="10" t="str">
        <f t="shared" ref="A386:A449" si="12">IF(ISBLANK(B386),"",ROW()-1)</f>
        <v/>
      </c>
      <c r="B386" s="11"/>
      <c r="C386" s="11"/>
      <c r="D386" s="10" t="str">
        <f>IFERROR(IF(ISBLANK(C386),"",VLOOKUP(C386,Members!$A$2:$B$101,2,FALSE)),"")</f>
        <v/>
      </c>
      <c r="E386" s="11"/>
      <c r="F386" s="10" t="str">
        <f>IF(ISBLANK(E386),"",E386+Settings!$B$7)</f>
        <v/>
      </c>
      <c r="G386" s="11"/>
      <c r="H386" s="10" t="str">
        <f t="shared" ref="H386:H449" ca="1" si="13">IF(ISBLANK(B386),"",IF(NOT(ISBLANK(G386)),"Returned",IF(TODAY()&gt;F386,"Overdue","Active")))</f>
        <v/>
      </c>
      <c r="I386" s="11"/>
    </row>
    <row r="387" spans="1:9" x14ac:dyDescent="0.25">
      <c r="A387" s="10" t="str">
        <f t="shared" si="12"/>
        <v/>
      </c>
      <c r="B387" s="11"/>
      <c r="C387" s="11"/>
      <c r="D387" s="10" t="str">
        <f>IFERROR(IF(ISBLANK(C387),"",VLOOKUP(C387,Members!$A$2:$B$101,2,FALSE)),"")</f>
        <v/>
      </c>
      <c r="E387" s="11"/>
      <c r="F387" s="10" t="str">
        <f>IF(ISBLANK(E387),"",E387+Settings!$B$7)</f>
        <v/>
      </c>
      <c r="G387" s="11"/>
      <c r="H387" s="10" t="str">
        <f t="shared" ca="1" si="13"/>
        <v/>
      </c>
      <c r="I387" s="11"/>
    </row>
    <row r="388" spans="1:9" x14ac:dyDescent="0.25">
      <c r="A388" s="10" t="str">
        <f t="shared" si="12"/>
        <v/>
      </c>
      <c r="B388" s="11"/>
      <c r="C388" s="11"/>
      <c r="D388" s="10" t="str">
        <f>IFERROR(IF(ISBLANK(C388),"",VLOOKUP(C388,Members!$A$2:$B$101,2,FALSE)),"")</f>
        <v/>
      </c>
      <c r="E388" s="11"/>
      <c r="F388" s="10" t="str">
        <f>IF(ISBLANK(E388),"",E388+Settings!$B$7)</f>
        <v/>
      </c>
      <c r="G388" s="11"/>
      <c r="H388" s="10" t="str">
        <f t="shared" ca="1" si="13"/>
        <v/>
      </c>
      <c r="I388" s="11"/>
    </row>
    <row r="389" spans="1:9" x14ac:dyDescent="0.25">
      <c r="A389" s="10" t="str">
        <f t="shared" si="12"/>
        <v/>
      </c>
      <c r="B389" s="11"/>
      <c r="C389" s="11"/>
      <c r="D389" s="10" t="str">
        <f>IFERROR(IF(ISBLANK(C389),"",VLOOKUP(C389,Members!$A$2:$B$101,2,FALSE)),"")</f>
        <v/>
      </c>
      <c r="E389" s="11"/>
      <c r="F389" s="10" t="str">
        <f>IF(ISBLANK(E389),"",E389+Settings!$B$7)</f>
        <v/>
      </c>
      <c r="G389" s="11"/>
      <c r="H389" s="10" t="str">
        <f t="shared" ca="1" si="13"/>
        <v/>
      </c>
      <c r="I389" s="11"/>
    </row>
    <row r="390" spans="1:9" x14ac:dyDescent="0.25">
      <c r="A390" s="10" t="str">
        <f t="shared" si="12"/>
        <v/>
      </c>
      <c r="B390" s="11"/>
      <c r="C390" s="11"/>
      <c r="D390" s="10" t="str">
        <f>IFERROR(IF(ISBLANK(C390),"",VLOOKUP(C390,Members!$A$2:$B$101,2,FALSE)),"")</f>
        <v/>
      </c>
      <c r="E390" s="11"/>
      <c r="F390" s="10" t="str">
        <f>IF(ISBLANK(E390),"",E390+Settings!$B$7)</f>
        <v/>
      </c>
      <c r="G390" s="11"/>
      <c r="H390" s="10" t="str">
        <f t="shared" ca="1" si="13"/>
        <v/>
      </c>
      <c r="I390" s="11"/>
    </row>
    <row r="391" spans="1:9" x14ac:dyDescent="0.25">
      <c r="A391" s="10" t="str">
        <f t="shared" si="12"/>
        <v/>
      </c>
      <c r="B391" s="11"/>
      <c r="C391" s="11"/>
      <c r="D391" s="10" t="str">
        <f>IFERROR(IF(ISBLANK(C391),"",VLOOKUP(C391,Members!$A$2:$B$101,2,FALSE)),"")</f>
        <v/>
      </c>
      <c r="E391" s="11"/>
      <c r="F391" s="10" t="str">
        <f>IF(ISBLANK(E391),"",E391+Settings!$B$7)</f>
        <v/>
      </c>
      <c r="G391" s="11"/>
      <c r="H391" s="10" t="str">
        <f t="shared" ca="1" si="13"/>
        <v/>
      </c>
      <c r="I391" s="11"/>
    </row>
    <row r="392" spans="1:9" x14ac:dyDescent="0.25">
      <c r="A392" s="10" t="str">
        <f t="shared" si="12"/>
        <v/>
      </c>
      <c r="B392" s="11"/>
      <c r="C392" s="11"/>
      <c r="D392" s="10" t="str">
        <f>IFERROR(IF(ISBLANK(C392),"",VLOOKUP(C392,Members!$A$2:$B$101,2,FALSE)),"")</f>
        <v/>
      </c>
      <c r="E392" s="11"/>
      <c r="F392" s="10" t="str">
        <f>IF(ISBLANK(E392),"",E392+Settings!$B$7)</f>
        <v/>
      </c>
      <c r="G392" s="11"/>
      <c r="H392" s="10" t="str">
        <f t="shared" ca="1" si="13"/>
        <v/>
      </c>
      <c r="I392" s="11"/>
    </row>
    <row r="393" spans="1:9" x14ac:dyDescent="0.25">
      <c r="A393" s="10" t="str">
        <f t="shared" si="12"/>
        <v/>
      </c>
      <c r="B393" s="11"/>
      <c r="C393" s="11"/>
      <c r="D393" s="10" t="str">
        <f>IFERROR(IF(ISBLANK(C393),"",VLOOKUP(C393,Members!$A$2:$B$101,2,FALSE)),"")</f>
        <v/>
      </c>
      <c r="E393" s="11"/>
      <c r="F393" s="10" t="str">
        <f>IF(ISBLANK(E393),"",E393+Settings!$B$7)</f>
        <v/>
      </c>
      <c r="G393" s="11"/>
      <c r="H393" s="10" t="str">
        <f t="shared" ca="1" si="13"/>
        <v/>
      </c>
      <c r="I393" s="11"/>
    </row>
    <row r="394" spans="1:9" x14ac:dyDescent="0.25">
      <c r="A394" s="10" t="str">
        <f t="shared" si="12"/>
        <v/>
      </c>
      <c r="B394" s="11"/>
      <c r="C394" s="11"/>
      <c r="D394" s="10" t="str">
        <f>IFERROR(IF(ISBLANK(C394),"",VLOOKUP(C394,Members!$A$2:$B$101,2,FALSE)),"")</f>
        <v/>
      </c>
      <c r="E394" s="11"/>
      <c r="F394" s="10" t="str">
        <f>IF(ISBLANK(E394),"",E394+Settings!$B$7)</f>
        <v/>
      </c>
      <c r="G394" s="11"/>
      <c r="H394" s="10" t="str">
        <f t="shared" ca="1" si="13"/>
        <v/>
      </c>
      <c r="I394" s="11"/>
    </row>
    <row r="395" spans="1:9" x14ac:dyDescent="0.25">
      <c r="A395" s="10" t="str">
        <f t="shared" si="12"/>
        <v/>
      </c>
      <c r="B395" s="11"/>
      <c r="C395" s="11"/>
      <c r="D395" s="10" t="str">
        <f>IFERROR(IF(ISBLANK(C395),"",VLOOKUP(C395,Members!$A$2:$B$101,2,FALSE)),"")</f>
        <v/>
      </c>
      <c r="E395" s="11"/>
      <c r="F395" s="10" t="str">
        <f>IF(ISBLANK(E395),"",E395+Settings!$B$7)</f>
        <v/>
      </c>
      <c r="G395" s="11"/>
      <c r="H395" s="10" t="str">
        <f t="shared" ca="1" si="13"/>
        <v/>
      </c>
      <c r="I395" s="11"/>
    </row>
    <row r="396" spans="1:9" x14ac:dyDescent="0.25">
      <c r="A396" s="10" t="str">
        <f t="shared" si="12"/>
        <v/>
      </c>
      <c r="B396" s="11"/>
      <c r="C396" s="11"/>
      <c r="D396" s="10" t="str">
        <f>IFERROR(IF(ISBLANK(C396),"",VLOOKUP(C396,Members!$A$2:$B$101,2,FALSE)),"")</f>
        <v/>
      </c>
      <c r="E396" s="11"/>
      <c r="F396" s="10" t="str">
        <f>IF(ISBLANK(E396),"",E396+Settings!$B$7)</f>
        <v/>
      </c>
      <c r="G396" s="11"/>
      <c r="H396" s="10" t="str">
        <f t="shared" ca="1" si="13"/>
        <v/>
      </c>
      <c r="I396" s="11"/>
    </row>
    <row r="397" spans="1:9" x14ac:dyDescent="0.25">
      <c r="A397" s="10" t="str">
        <f t="shared" si="12"/>
        <v/>
      </c>
      <c r="B397" s="11"/>
      <c r="C397" s="11"/>
      <c r="D397" s="10" t="str">
        <f>IFERROR(IF(ISBLANK(C397),"",VLOOKUP(C397,Members!$A$2:$B$101,2,FALSE)),"")</f>
        <v/>
      </c>
      <c r="E397" s="11"/>
      <c r="F397" s="10" t="str">
        <f>IF(ISBLANK(E397),"",E397+Settings!$B$7)</f>
        <v/>
      </c>
      <c r="G397" s="11"/>
      <c r="H397" s="10" t="str">
        <f t="shared" ca="1" si="13"/>
        <v/>
      </c>
      <c r="I397" s="11"/>
    </row>
    <row r="398" spans="1:9" x14ac:dyDescent="0.25">
      <c r="A398" s="10" t="str">
        <f t="shared" si="12"/>
        <v/>
      </c>
      <c r="B398" s="11"/>
      <c r="C398" s="11"/>
      <c r="D398" s="10" t="str">
        <f>IFERROR(IF(ISBLANK(C398),"",VLOOKUP(C398,Members!$A$2:$B$101,2,FALSE)),"")</f>
        <v/>
      </c>
      <c r="E398" s="11"/>
      <c r="F398" s="10" t="str">
        <f>IF(ISBLANK(E398),"",E398+Settings!$B$7)</f>
        <v/>
      </c>
      <c r="G398" s="11"/>
      <c r="H398" s="10" t="str">
        <f t="shared" ca="1" si="13"/>
        <v/>
      </c>
      <c r="I398" s="11"/>
    </row>
    <row r="399" spans="1:9" x14ac:dyDescent="0.25">
      <c r="A399" s="10" t="str">
        <f t="shared" si="12"/>
        <v/>
      </c>
      <c r="B399" s="11"/>
      <c r="C399" s="11"/>
      <c r="D399" s="10" t="str">
        <f>IFERROR(IF(ISBLANK(C399),"",VLOOKUP(C399,Members!$A$2:$B$101,2,FALSE)),"")</f>
        <v/>
      </c>
      <c r="E399" s="11"/>
      <c r="F399" s="10" t="str">
        <f>IF(ISBLANK(E399),"",E399+Settings!$B$7)</f>
        <v/>
      </c>
      <c r="G399" s="11"/>
      <c r="H399" s="10" t="str">
        <f t="shared" ca="1" si="13"/>
        <v/>
      </c>
      <c r="I399" s="11"/>
    </row>
    <row r="400" spans="1:9" x14ac:dyDescent="0.25">
      <c r="A400" s="10" t="str">
        <f t="shared" si="12"/>
        <v/>
      </c>
      <c r="B400" s="11"/>
      <c r="C400" s="11"/>
      <c r="D400" s="10" t="str">
        <f>IFERROR(IF(ISBLANK(C400),"",VLOOKUP(C400,Members!$A$2:$B$101,2,FALSE)),"")</f>
        <v/>
      </c>
      <c r="E400" s="11"/>
      <c r="F400" s="10" t="str">
        <f>IF(ISBLANK(E400),"",E400+Settings!$B$7)</f>
        <v/>
      </c>
      <c r="G400" s="11"/>
      <c r="H400" s="10" t="str">
        <f t="shared" ca="1" si="13"/>
        <v/>
      </c>
      <c r="I400" s="11"/>
    </row>
    <row r="401" spans="1:9" x14ac:dyDescent="0.25">
      <c r="A401" s="10" t="str">
        <f t="shared" si="12"/>
        <v/>
      </c>
      <c r="B401" s="11"/>
      <c r="C401" s="11"/>
      <c r="D401" s="10" t="str">
        <f>IFERROR(IF(ISBLANK(C401),"",VLOOKUP(C401,Members!$A$2:$B$101,2,FALSE)),"")</f>
        <v/>
      </c>
      <c r="E401" s="11"/>
      <c r="F401" s="10" t="str">
        <f>IF(ISBLANK(E401),"",E401+Settings!$B$7)</f>
        <v/>
      </c>
      <c r="G401" s="11"/>
      <c r="H401" s="10" t="str">
        <f t="shared" ca="1" si="13"/>
        <v/>
      </c>
      <c r="I401" s="11"/>
    </row>
    <row r="402" spans="1:9" x14ac:dyDescent="0.25">
      <c r="A402" s="10" t="str">
        <f t="shared" si="12"/>
        <v/>
      </c>
      <c r="B402" s="11"/>
      <c r="C402" s="11"/>
      <c r="D402" s="10" t="str">
        <f>IFERROR(IF(ISBLANK(C402),"",VLOOKUP(C402,Members!$A$2:$B$101,2,FALSE)),"")</f>
        <v/>
      </c>
      <c r="E402" s="11"/>
      <c r="F402" s="10" t="str">
        <f>IF(ISBLANK(E402),"",E402+Settings!$B$7)</f>
        <v/>
      </c>
      <c r="G402" s="11"/>
      <c r="H402" s="10" t="str">
        <f t="shared" ca="1" si="13"/>
        <v/>
      </c>
      <c r="I402" s="11"/>
    </row>
    <row r="403" spans="1:9" x14ac:dyDescent="0.25">
      <c r="A403" s="10" t="str">
        <f t="shared" si="12"/>
        <v/>
      </c>
      <c r="B403" s="11"/>
      <c r="C403" s="11"/>
      <c r="D403" s="10" t="str">
        <f>IFERROR(IF(ISBLANK(C403),"",VLOOKUP(C403,Members!$A$2:$B$101,2,FALSE)),"")</f>
        <v/>
      </c>
      <c r="E403" s="11"/>
      <c r="F403" s="10" t="str">
        <f>IF(ISBLANK(E403),"",E403+Settings!$B$7)</f>
        <v/>
      </c>
      <c r="G403" s="11"/>
      <c r="H403" s="10" t="str">
        <f t="shared" ca="1" si="13"/>
        <v/>
      </c>
      <c r="I403" s="11"/>
    </row>
    <row r="404" spans="1:9" x14ac:dyDescent="0.25">
      <c r="A404" s="10" t="str">
        <f t="shared" si="12"/>
        <v/>
      </c>
      <c r="B404" s="11"/>
      <c r="C404" s="11"/>
      <c r="D404" s="10" t="str">
        <f>IFERROR(IF(ISBLANK(C404),"",VLOOKUP(C404,Members!$A$2:$B$101,2,FALSE)),"")</f>
        <v/>
      </c>
      <c r="E404" s="11"/>
      <c r="F404" s="10" t="str">
        <f>IF(ISBLANK(E404),"",E404+Settings!$B$7)</f>
        <v/>
      </c>
      <c r="G404" s="11"/>
      <c r="H404" s="10" t="str">
        <f t="shared" ca="1" si="13"/>
        <v/>
      </c>
      <c r="I404" s="11"/>
    </row>
    <row r="405" spans="1:9" x14ac:dyDescent="0.25">
      <c r="A405" s="10" t="str">
        <f t="shared" si="12"/>
        <v/>
      </c>
      <c r="B405" s="11"/>
      <c r="C405" s="11"/>
      <c r="D405" s="10" t="str">
        <f>IFERROR(IF(ISBLANK(C405),"",VLOOKUP(C405,Members!$A$2:$B$101,2,FALSE)),"")</f>
        <v/>
      </c>
      <c r="E405" s="11"/>
      <c r="F405" s="10" t="str">
        <f>IF(ISBLANK(E405),"",E405+Settings!$B$7)</f>
        <v/>
      </c>
      <c r="G405" s="11"/>
      <c r="H405" s="10" t="str">
        <f t="shared" ca="1" si="13"/>
        <v/>
      </c>
      <c r="I405" s="11"/>
    </row>
    <row r="406" spans="1:9" x14ac:dyDescent="0.25">
      <c r="A406" s="10" t="str">
        <f t="shared" si="12"/>
        <v/>
      </c>
      <c r="B406" s="11"/>
      <c r="C406" s="11"/>
      <c r="D406" s="10" t="str">
        <f>IFERROR(IF(ISBLANK(C406),"",VLOOKUP(C406,Members!$A$2:$B$101,2,FALSE)),"")</f>
        <v/>
      </c>
      <c r="E406" s="11"/>
      <c r="F406" s="10" t="str">
        <f>IF(ISBLANK(E406),"",E406+Settings!$B$7)</f>
        <v/>
      </c>
      <c r="G406" s="11"/>
      <c r="H406" s="10" t="str">
        <f t="shared" ca="1" si="13"/>
        <v/>
      </c>
      <c r="I406" s="11"/>
    </row>
    <row r="407" spans="1:9" x14ac:dyDescent="0.25">
      <c r="A407" s="10" t="str">
        <f t="shared" si="12"/>
        <v/>
      </c>
      <c r="B407" s="11"/>
      <c r="C407" s="11"/>
      <c r="D407" s="10" t="str">
        <f>IFERROR(IF(ISBLANK(C407),"",VLOOKUP(C407,Members!$A$2:$B$101,2,FALSE)),"")</f>
        <v/>
      </c>
      <c r="E407" s="11"/>
      <c r="F407" s="10" t="str">
        <f>IF(ISBLANK(E407),"",E407+Settings!$B$7)</f>
        <v/>
      </c>
      <c r="G407" s="11"/>
      <c r="H407" s="10" t="str">
        <f t="shared" ca="1" si="13"/>
        <v/>
      </c>
      <c r="I407" s="11"/>
    </row>
    <row r="408" spans="1:9" x14ac:dyDescent="0.25">
      <c r="A408" s="10" t="str">
        <f t="shared" si="12"/>
        <v/>
      </c>
      <c r="B408" s="11"/>
      <c r="C408" s="11"/>
      <c r="D408" s="10" t="str">
        <f>IFERROR(IF(ISBLANK(C408),"",VLOOKUP(C408,Members!$A$2:$B$101,2,FALSE)),"")</f>
        <v/>
      </c>
      <c r="E408" s="11"/>
      <c r="F408" s="10" t="str">
        <f>IF(ISBLANK(E408),"",E408+Settings!$B$7)</f>
        <v/>
      </c>
      <c r="G408" s="11"/>
      <c r="H408" s="10" t="str">
        <f t="shared" ca="1" si="13"/>
        <v/>
      </c>
      <c r="I408" s="11"/>
    </row>
    <row r="409" spans="1:9" x14ac:dyDescent="0.25">
      <c r="A409" s="10" t="str">
        <f t="shared" si="12"/>
        <v/>
      </c>
      <c r="B409" s="11"/>
      <c r="C409" s="11"/>
      <c r="D409" s="10" t="str">
        <f>IFERROR(IF(ISBLANK(C409),"",VLOOKUP(C409,Members!$A$2:$B$101,2,FALSE)),"")</f>
        <v/>
      </c>
      <c r="E409" s="11"/>
      <c r="F409" s="10" t="str">
        <f>IF(ISBLANK(E409),"",E409+Settings!$B$7)</f>
        <v/>
      </c>
      <c r="G409" s="11"/>
      <c r="H409" s="10" t="str">
        <f t="shared" ca="1" si="13"/>
        <v/>
      </c>
      <c r="I409" s="11"/>
    </row>
    <row r="410" spans="1:9" x14ac:dyDescent="0.25">
      <c r="A410" s="10" t="str">
        <f t="shared" si="12"/>
        <v/>
      </c>
      <c r="B410" s="11"/>
      <c r="C410" s="11"/>
      <c r="D410" s="10" t="str">
        <f>IFERROR(IF(ISBLANK(C410),"",VLOOKUP(C410,Members!$A$2:$B$101,2,FALSE)),"")</f>
        <v/>
      </c>
      <c r="E410" s="11"/>
      <c r="F410" s="10" t="str">
        <f>IF(ISBLANK(E410),"",E410+Settings!$B$7)</f>
        <v/>
      </c>
      <c r="G410" s="11"/>
      <c r="H410" s="10" t="str">
        <f t="shared" ca="1" si="13"/>
        <v/>
      </c>
      <c r="I410" s="11"/>
    </row>
    <row r="411" spans="1:9" x14ac:dyDescent="0.25">
      <c r="A411" s="10" t="str">
        <f t="shared" si="12"/>
        <v/>
      </c>
      <c r="B411" s="11"/>
      <c r="C411" s="11"/>
      <c r="D411" s="10" t="str">
        <f>IFERROR(IF(ISBLANK(C411),"",VLOOKUP(C411,Members!$A$2:$B$101,2,FALSE)),"")</f>
        <v/>
      </c>
      <c r="E411" s="11"/>
      <c r="F411" s="10" t="str">
        <f>IF(ISBLANK(E411),"",E411+Settings!$B$7)</f>
        <v/>
      </c>
      <c r="G411" s="11"/>
      <c r="H411" s="10" t="str">
        <f t="shared" ca="1" si="13"/>
        <v/>
      </c>
      <c r="I411" s="11"/>
    </row>
    <row r="412" spans="1:9" x14ac:dyDescent="0.25">
      <c r="A412" s="10" t="str">
        <f t="shared" si="12"/>
        <v/>
      </c>
      <c r="B412" s="11"/>
      <c r="C412" s="11"/>
      <c r="D412" s="10" t="str">
        <f>IFERROR(IF(ISBLANK(C412),"",VLOOKUP(C412,Members!$A$2:$B$101,2,FALSE)),"")</f>
        <v/>
      </c>
      <c r="E412" s="11"/>
      <c r="F412" s="10" t="str">
        <f>IF(ISBLANK(E412),"",E412+Settings!$B$7)</f>
        <v/>
      </c>
      <c r="G412" s="11"/>
      <c r="H412" s="10" t="str">
        <f t="shared" ca="1" si="13"/>
        <v/>
      </c>
      <c r="I412" s="11"/>
    </row>
    <row r="413" spans="1:9" x14ac:dyDescent="0.25">
      <c r="A413" s="10" t="str">
        <f t="shared" si="12"/>
        <v/>
      </c>
      <c r="B413" s="11"/>
      <c r="C413" s="11"/>
      <c r="D413" s="10" t="str">
        <f>IFERROR(IF(ISBLANK(C413),"",VLOOKUP(C413,Members!$A$2:$B$101,2,FALSE)),"")</f>
        <v/>
      </c>
      <c r="E413" s="11"/>
      <c r="F413" s="10" t="str">
        <f>IF(ISBLANK(E413),"",E413+Settings!$B$7)</f>
        <v/>
      </c>
      <c r="G413" s="11"/>
      <c r="H413" s="10" t="str">
        <f t="shared" ca="1" si="13"/>
        <v/>
      </c>
      <c r="I413" s="11"/>
    </row>
    <row r="414" spans="1:9" x14ac:dyDescent="0.25">
      <c r="A414" s="10" t="str">
        <f t="shared" si="12"/>
        <v/>
      </c>
      <c r="B414" s="11"/>
      <c r="C414" s="11"/>
      <c r="D414" s="10" t="str">
        <f>IFERROR(IF(ISBLANK(C414),"",VLOOKUP(C414,Members!$A$2:$B$101,2,FALSE)),"")</f>
        <v/>
      </c>
      <c r="E414" s="11"/>
      <c r="F414" s="10" t="str">
        <f>IF(ISBLANK(E414),"",E414+Settings!$B$7)</f>
        <v/>
      </c>
      <c r="G414" s="11"/>
      <c r="H414" s="10" t="str">
        <f t="shared" ca="1" si="13"/>
        <v/>
      </c>
      <c r="I414" s="11"/>
    </row>
    <row r="415" spans="1:9" x14ac:dyDescent="0.25">
      <c r="A415" s="10" t="str">
        <f t="shared" si="12"/>
        <v/>
      </c>
      <c r="B415" s="11"/>
      <c r="C415" s="11"/>
      <c r="D415" s="10" t="str">
        <f>IFERROR(IF(ISBLANK(C415),"",VLOOKUP(C415,Members!$A$2:$B$101,2,FALSE)),"")</f>
        <v/>
      </c>
      <c r="E415" s="11"/>
      <c r="F415" s="10" t="str">
        <f>IF(ISBLANK(E415),"",E415+Settings!$B$7)</f>
        <v/>
      </c>
      <c r="G415" s="11"/>
      <c r="H415" s="10" t="str">
        <f t="shared" ca="1" si="13"/>
        <v/>
      </c>
      <c r="I415" s="11"/>
    </row>
    <row r="416" spans="1:9" x14ac:dyDescent="0.25">
      <c r="A416" s="10" t="str">
        <f t="shared" si="12"/>
        <v/>
      </c>
      <c r="B416" s="11"/>
      <c r="C416" s="11"/>
      <c r="D416" s="10" t="str">
        <f>IFERROR(IF(ISBLANK(C416),"",VLOOKUP(C416,Members!$A$2:$B$101,2,FALSE)),"")</f>
        <v/>
      </c>
      <c r="E416" s="11"/>
      <c r="F416" s="10" t="str">
        <f>IF(ISBLANK(E416),"",E416+Settings!$B$7)</f>
        <v/>
      </c>
      <c r="G416" s="11"/>
      <c r="H416" s="10" t="str">
        <f t="shared" ca="1" si="13"/>
        <v/>
      </c>
      <c r="I416" s="11"/>
    </row>
    <row r="417" spans="1:9" x14ac:dyDescent="0.25">
      <c r="A417" s="10" t="str">
        <f t="shared" si="12"/>
        <v/>
      </c>
      <c r="B417" s="11"/>
      <c r="C417" s="11"/>
      <c r="D417" s="10" t="str">
        <f>IFERROR(IF(ISBLANK(C417),"",VLOOKUP(C417,Members!$A$2:$B$101,2,FALSE)),"")</f>
        <v/>
      </c>
      <c r="E417" s="11"/>
      <c r="F417" s="10" t="str">
        <f>IF(ISBLANK(E417),"",E417+Settings!$B$7)</f>
        <v/>
      </c>
      <c r="G417" s="11"/>
      <c r="H417" s="10" t="str">
        <f t="shared" ca="1" si="13"/>
        <v/>
      </c>
      <c r="I417" s="11"/>
    </row>
    <row r="418" spans="1:9" x14ac:dyDescent="0.25">
      <c r="A418" s="10" t="str">
        <f t="shared" si="12"/>
        <v/>
      </c>
      <c r="B418" s="11"/>
      <c r="C418" s="11"/>
      <c r="D418" s="10" t="str">
        <f>IFERROR(IF(ISBLANK(C418),"",VLOOKUP(C418,Members!$A$2:$B$101,2,FALSE)),"")</f>
        <v/>
      </c>
      <c r="E418" s="11"/>
      <c r="F418" s="10" t="str">
        <f>IF(ISBLANK(E418),"",E418+Settings!$B$7)</f>
        <v/>
      </c>
      <c r="G418" s="11"/>
      <c r="H418" s="10" t="str">
        <f t="shared" ca="1" si="13"/>
        <v/>
      </c>
      <c r="I418" s="11"/>
    </row>
    <row r="419" spans="1:9" x14ac:dyDescent="0.25">
      <c r="A419" s="10" t="str">
        <f t="shared" si="12"/>
        <v/>
      </c>
      <c r="B419" s="11"/>
      <c r="C419" s="11"/>
      <c r="D419" s="10" t="str">
        <f>IFERROR(IF(ISBLANK(C419),"",VLOOKUP(C419,Members!$A$2:$B$101,2,FALSE)),"")</f>
        <v/>
      </c>
      <c r="E419" s="11"/>
      <c r="F419" s="10" t="str">
        <f>IF(ISBLANK(E419),"",E419+Settings!$B$7)</f>
        <v/>
      </c>
      <c r="G419" s="11"/>
      <c r="H419" s="10" t="str">
        <f t="shared" ca="1" si="13"/>
        <v/>
      </c>
      <c r="I419" s="11"/>
    </row>
    <row r="420" spans="1:9" x14ac:dyDescent="0.25">
      <c r="A420" s="10" t="str">
        <f t="shared" si="12"/>
        <v/>
      </c>
      <c r="B420" s="11"/>
      <c r="C420" s="11"/>
      <c r="D420" s="10" t="str">
        <f>IFERROR(IF(ISBLANK(C420),"",VLOOKUP(C420,Members!$A$2:$B$101,2,FALSE)),"")</f>
        <v/>
      </c>
      <c r="E420" s="11"/>
      <c r="F420" s="10" t="str">
        <f>IF(ISBLANK(E420),"",E420+Settings!$B$7)</f>
        <v/>
      </c>
      <c r="G420" s="11"/>
      <c r="H420" s="10" t="str">
        <f t="shared" ca="1" si="13"/>
        <v/>
      </c>
      <c r="I420" s="11"/>
    </row>
    <row r="421" spans="1:9" x14ac:dyDescent="0.25">
      <c r="A421" s="10" t="str">
        <f t="shared" si="12"/>
        <v/>
      </c>
      <c r="B421" s="11"/>
      <c r="C421" s="11"/>
      <c r="D421" s="10" t="str">
        <f>IFERROR(IF(ISBLANK(C421),"",VLOOKUP(C421,Members!$A$2:$B$101,2,FALSE)),"")</f>
        <v/>
      </c>
      <c r="E421" s="11"/>
      <c r="F421" s="10" t="str">
        <f>IF(ISBLANK(E421),"",E421+Settings!$B$7)</f>
        <v/>
      </c>
      <c r="G421" s="11"/>
      <c r="H421" s="10" t="str">
        <f t="shared" ca="1" si="13"/>
        <v/>
      </c>
      <c r="I421" s="11"/>
    </row>
    <row r="422" spans="1:9" x14ac:dyDescent="0.25">
      <c r="A422" s="10" t="str">
        <f t="shared" si="12"/>
        <v/>
      </c>
      <c r="B422" s="11"/>
      <c r="C422" s="11"/>
      <c r="D422" s="10" t="str">
        <f>IFERROR(IF(ISBLANK(C422),"",VLOOKUP(C422,Members!$A$2:$B$101,2,FALSE)),"")</f>
        <v/>
      </c>
      <c r="E422" s="11"/>
      <c r="F422" s="10" t="str">
        <f>IF(ISBLANK(E422),"",E422+Settings!$B$7)</f>
        <v/>
      </c>
      <c r="G422" s="11"/>
      <c r="H422" s="10" t="str">
        <f t="shared" ca="1" si="13"/>
        <v/>
      </c>
      <c r="I422" s="11"/>
    </row>
    <row r="423" spans="1:9" x14ac:dyDescent="0.25">
      <c r="A423" s="10" t="str">
        <f t="shared" si="12"/>
        <v/>
      </c>
      <c r="B423" s="11"/>
      <c r="C423" s="11"/>
      <c r="D423" s="10" t="str">
        <f>IFERROR(IF(ISBLANK(C423),"",VLOOKUP(C423,Members!$A$2:$B$101,2,FALSE)),"")</f>
        <v/>
      </c>
      <c r="E423" s="11"/>
      <c r="F423" s="10" t="str">
        <f>IF(ISBLANK(E423),"",E423+Settings!$B$7)</f>
        <v/>
      </c>
      <c r="G423" s="11"/>
      <c r="H423" s="10" t="str">
        <f t="shared" ca="1" si="13"/>
        <v/>
      </c>
      <c r="I423" s="11"/>
    </row>
    <row r="424" spans="1:9" x14ac:dyDescent="0.25">
      <c r="A424" s="10" t="str">
        <f t="shared" si="12"/>
        <v/>
      </c>
      <c r="B424" s="11"/>
      <c r="C424" s="11"/>
      <c r="D424" s="10" t="str">
        <f>IFERROR(IF(ISBLANK(C424),"",VLOOKUP(C424,Members!$A$2:$B$101,2,FALSE)),"")</f>
        <v/>
      </c>
      <c r="E424" s="11"/>
      <c r="F424" s="10" t="str">
        <f>IF(ISBLANK(E424),"",E424+Settings!$B$7)</f>
        <v/>
      </c>
      <c r="G424" s="11"/>
      <c r="H424" s="10" t="str">
        <f t="shared" ca="1" si="13"/>
        <v/>
      </c>
      <c r="I424" s="11"/>
    </row>
    <row r="425" spans="1:9" x14ac:dyDescent="0.25">
      <c r="A425" s="10" t="str">
        <f t="shared" si="12"/>
        <v/>
      </c>
      <c r="B425" s="11"/>
      <c r="C425" s="11"/>
      <c r="D425" s="10" t="str">
        <f>IFERROR(IF(ISBLANK(C425),"",VLOOKUP(C425,Members!$A$2:$B$101,2,FALSE)),"")</f>
        <v/>
      </c>
      <c r="E425" s="11"/>
      <c r="F425" s="10" t="str">
        <f>IF(ISBLANK(E425),"",E425+Settings!$B$7)</f>
        <v/>
      </c>
      <c r="G425" s="11"/>
      <c r="H425" s="10" t="str">
        <f t="shared" ca="1" si="13"/>
        <v/>
      </c>
      <c r="I425" s="11"/>
    </row>
    <row r="426" spans="1:9" x14ac:dyDescent="0.25">
      <c r="A426" s="10" t="str">
        <f t="shared" si="12"/>
        <v/>
      </c>
      <c r="B426" s="11"/>
      <c r="C426" s="11"/>
      <c r="D426" s="10" t="str">
        <f>IFERROR(IF(ISBLANK(C426),"",VLOOKUP(C426,Members!$A$2:$B$101,2,FALSE)),"")</f>
        <v/>
      </c>
      <c r="E426" s="11"/>
      <c r="F426" s="10" t="str">
        <f>IF(ISBLANK(E426),"",E426+Settings!$B$7)</f>
        <v/>
      </c>
      <c r="G426" s="11"/>
      <c r="H426" s="10" t="str">
        <f t="shared" ca="1" si="13"/>
        <v/>
      </c>
      <c r="I426" s="11"/>
    </row>
    <row r="427" spans="1:9" x14ac:dyDescent="0.25">
      <c r="A427" s="10" t="str">
        <f t="shared" si="12"/>
        <v/>
      </c>
      <c r="B427" s="11"/>
      <c r="C427" s="11"/>
      <c r="D427" s="10" t="str">
        <f>IFERROR(IF(ISBLANK(C427),"",VLOOKUP(C427,Members!$A$2:$B$101,2,FALSE)),"")</f>
        <v/>
      </c>
      <c r="E427" s="11"/>
      <c r="F427" s="10" t="str">
        <f>IF(ISBLANK(E427),"",E427+Settings!$B$7)</f>
        <v/>
      </c>
      <c r="G427" s="11"/>
      <c r="H427" s="10" t="str">
        <f t="shared" ca="1" si="13"/>
        <v/>
      </c>
      <c r="I427" s="11"/>
    </row>
    <row r="428" spans="1:9" x14ac:dyDescent="0.25">
      <c r="A428" s="10" t="str">
        <f t="shared" si="12"/>
        <v/>
      </c>
      <c r="B428" s="11"/>
      <c r="C428" s="11"/>
      <c r="D428" s="10" t="str">
        <f>IFERROR(IF(ISBLANK(C428),"",VLOOKUP(C428,Members!$A$2:$B$101,2,FALSE)),"")</f>
        <v/>
      </c>
      <c r="E428" s="11"/>
      <c r="F428" s="10" t="str">
        <f>IF(ISBLANK(E428),"",E428+Settings!$B$7)</f>
        <v/>
      </c>
      <c r="G428" s="11"/>
      <c r="H428" s="10" t="str">
        <f t="shared" ca="1" si="13"/>
        <v/>
      </c>
      <c r="I428" s="11"/>
    </row>
    <row r="429" spans="1:9" x14ac:dyDescent="0.25">
      <c r="A429" s="10" t="str">
        <f t="shared" si="12"/>
        <v/>
      </c>
      <c r="B429" s="11"/>
      <c r="C429" s="11"/>
      <c r="D429" s="10" t="str">
        <f>IFERROR(IF(ISBLANK(C429),"",VLOOKUP(C429,Members!$A$2:$B$101,2,FALSE)),"")</f>
        <v/>
      </c>
      <c r="E429" s="11"/>
      <c r="F429" s="10" t="str">
        <f>IF(ISBLANK(E429),"",E429+Settings!$B$7)</f>
        <v/>
      </c>
      <c r="G429" s="11"/>
      <c r="H429" s="10" t="str">
        <f t="shared" ca="1" si="13"/>
        <v/>
      </c>
      <c r="I429" s="11"/>
    </row>
    <row r="430" spans="1:9" x14ac:dyDescent="0.25">
      <c r="A430" s="10" t="str">
        <f t="shared" si="12"/>
        <v/>
      </c>
      <c r="B430" s="11"/>
      <c r="C430" s="11"/>
      <c r="D430" s="10" t="str">
        <f>IFERROR(IF(ISBLANK(C430),"",VLOOKUP(C430,Members!$A$2:$B$101,2,FALSE)),"")</f>
        <v/>
      </c>
      <c r="E430" s="11"/>
      <c r="F430" s="10" t="str">
        <f>IF(ISBLANK(E430),"",E430+Settings!$B$7)</f>
        <v/>
      </c>
      <c r="G430" s="11"/>
      <c r="H430" s="10" t="str">
        <f t="shared" ca="1" si="13"/>
        <v/>
      </c>
      <c r="I430" s="11"/>
    </row>
    <row r="431" spans="1:9" x14ac:dyDescent="0.25">
      <c r="A431" s="10" t="str">
        <f t="shared" si="12"/>
        <v/>
      </c>
      <c r="B431" s="11"/>
      <c r="C431" s="11"/>
      <c r="D431" s="10" t="str">
        <f>IFERROR(IF(ISBLANK(C431),"",VLOOKUP(C431,Members!$A$2:$B$101,2,FALSE)),"")</f>
        <v/>
      </c>
      <c r="E431" s="11"/>
      <c r="F431" s="10" t="str">
        <f>IF(ISBLANK(E431),"",E431+Settings!$B$7)</f>
        <v/>
      </c>
      <c r="G431" s="11"/>
      <c r="H431" s="10" t="str">
        <f t="shared" ca="1" si="13"/>
        <v/>
      </c>
      <c r="I431" s="11"/>
    </row>
    <row r="432" spans="1:9" x14ac:dyDescent="0.25">
      <c r="A432" s="10" t="str">
        <f t="shared" si="12"/>
        <v/>
      </c>
      <c r="B432" s="11"/>
      <c r="C432" s="11"/>
      <c r="D432" s="10" t="str">
        <f>IFERROR(IF(ISBLANK(C432),"",VLOOKUP(C432,Members!$A$2:$B$101,2,FALSE)),"")</f>
        <v/>
      </c>
      <c r="E432" s="11"/>
      <c r="F432" s="10" t="str">
        <f>IF(ISBLANK(E432),"",E432+Settings!$B$7)</f>
        <v/>
      </c>
      <c r="G432" s="11"/>
      <c r="H432" s="10" t="str">
        <f t="shared" ca="1" si="13"/>
        <v/>
      </c>
      <c r="I432" s="11"/>
    </row>
    <row r="433" spans="1:9" x14ac:dyDescent="0.25">
      <c r="A433" s="10" t="str">
        <f t="shared" si="12"/>
        <v/>
      </c>
      <c r="B433" s="11"/>
      <c r="C433" s="11"/>
      <c r="D433" s="10" t="str">
        <f>IFERROR(IF(ISBLANK(C433),"",VLOOKUP(C433,Members!$A$2:$B$101,2,FALSE)),"")</f>
        <v/>
      </c>
      <c r="E433" s="11"/>
      <c r="F433" s="10" t="str">
        <f>IF(ISBLANK(E433),"",E433+Settings!$B$7)</f>
        <v/>
      </c>
      <c r="G433" s="11"/>
      <c r="H433" s="10" t="str">
        <f t="shared" ca="1" si="13"/>
        <v/>
      </c>
      <c r="I433" s="11"/>
    </row>
    <row r="434" spans="1:9" x14ac:dyDescent="0.25">
      <c r="A434" s="10" t="str">
        <f t="shared" si="12"/>
        <v/>
      </c>
      <c r="B434" s="11"/>
      <c r="C434" s="11"/>
      <c r="D434" s="10" t="str">
        <f>IFERROR(IF(ISBLANK(C434),"",VLOOKUP(C434,Members!$A$2:$B$101,2,FALSE)),"")</f>
        <v/>
      </c>
      <c r="E434" s="11"/>
      <c r="F434" s="10" t="str">
        <f>IF(ISBLANK(E434),"",E434+Settings!$B$7)</f>
        <v/>
      </c>
      <c r="G434" s="11"/>
      <c r="H434" s="10" t="str">
        <f t="shared" ca="1" si="13"/>
        <v/>
      </c>
      <c r="I434" s="11"/>
    </row>
    <row r="435" spans="1:9" x14ac:dyDescent="0.25">
      <c r="A435" s="10" t="str">
        <f t="shared" si="12"/>
        <v/>
      </c>
      <c r="B435" s="11"/>
      <c r="C435" s="11"/>
      <c r="D435" s="10" t="str">
        <f>IFERROR(IF(ISBLANK(C435),"",VLOOKUP(C435,Members!$A$2:$B$101,2,FALSE)),"")</f>
        <v/>
      </c>
      <c r="E435" s="11"/>
      <c r="F435" s="10" t="str">
        <f>IF(ISBLANK(E435),"",E435+Settings!$B$7)</f>
        <v/>
      </c>
      <c r="G435" s="11"/>
      <c r="H435" s="10" t="str">
        <f t="shared" ca="1" si="13"/>
        <v/>
      </c>
      <c r="I435" s="11"/>
    </row>
    <row r="436" spans="1:9" x14ac:dyDescent="0.25">
      <c r="A436" s="10" t="str">
        <f t="shared" si="12"/>
        <v/>
      </c>
      <c r="B436" s="11"/>
      <c r="C436" s="11"/>
      <c r="D436" s="10" t="str">
        <f>IFERROR(IF(ISBLANK(C436),"",VLOOKUP(C436,Members!$A$2:$B$101,2,FALSE)),"")</f>
        <v/>
      </c>
      <c r="E436" s="11"/>
      <c r="F436" s="10" t="str">
        <f>IF(ISBLANK(E436),"",E436+Settings!$B$7)</f>
        <v/>
      </c>
      <c r="G436" s="11"/>
      <c r="H436" s="10" t="str">
        <f t="shared" ca="1" si="13"/>
        <v/>
      </c>
      <c r="I436" s="11"/>
    </row>
    <row r="437" spans="1:9" x14ac:dyDescent="0.25">
      <c r="A437" s="10" t="str">
        <f t="shared" si="12"/>
        <v/>
      </c>
      <c r="B437" s="11"/>
      <c r="C437" s="11"/>
      <c r="D437" s="10" t="str">
        <f>IFERROR(IF(ISBLANK(C437),"",VLOOKUP(C437,Members!$A$2:$B$101,2,FALSE)),"")</f>
        <v/>
      </c>
      <c r="E437" s="11"/>
      <c r="F437" s="10" t="str">
        <f>IF(ISBLANK(E437),"",E437+Settings!$B$7)</f>
        <v/>
      </c>
      <c r="G437" s="11"/>
      <c r="H437" s="10" t="str">
        <f t="shared" ca="1" si="13"/>
        <v/>
      </c>
      <c r="I437" s="11"/>
    </row>
    <row r="438" spans="1:9" x14ac:dyDescent="0.25">
      <c r="A438" s="10" t="str">
        <f t="shared" si="12"/>
        <v/>
      </c>
      <c r="B438" s="11"/>
      <c r="C438" s="11"/>
      <c r="D438" s="10" t="str">
        <f>IFERROR(IF(ISBLANK(C438),"",VLOOKUP(C438,Members!$A$2:$B$101,2,FALSE)),"")</f>
        <v/>
      </c>
      <c r="E438" s="11"/>
      <c r="F438" s="10" t="str">
        <f>IF(ISBLANK(E438),"",E438+Settings!$B$7)</f>
        <v/>
      </c>
      <c r="G438" s="11"/>
      <c r="H438" s="10" t="str">
        <f t="shared" ca="1" si="13"/>
        <v/>
      </c>
      <c r="I438" s="11"/>
    </row>
    <row r="439" spans="1:9" x14ac:dyDescent="0.25">
      <c r="A439" s="10" t="str">
        <f t="shared" si="12"/>
        <v/>
      </c>
      <c r="B439" s="11"/>
      <c r="C439" s="11"/>
      <c r="D439" s="10" t="str">
        <f>IFERROR(IF(ISBLANK(C439),"",VLOOKUP(C439,Members!$A$2:$B$101,2,FALSE)),"")</f>
        <v/>
      </c>
      <c r="E439" s="11"/>
      <c r="F439" s="10" t="str">
        <f>IF(ISBLANK(E439),"",E439+Settings!$B$7)</f>
        <v/>
      </c>
      <c r="G439" s="11"/>
      <c r="H439" s="10" t="str">
        <f t="shared" ca="1" si="13"/>
        <v/>
      </c>
      <c r="I439" s="11"/>
    </row>
    <row r="440" spans="1:9" x14ac:dyDescent="0.25">
      <c r="A440" s="10" t="str">
        <f t="shared" si="12"/>
        <v/>
      </c>
      <c r="B440" s="11"/>
      <c r="C440" s="11"/>
      <c r="D440" s="10" t="str">
        <f>IFERROR(IF(ISBLANK(C440),"",VLOOKUP(C440,Members!$A$2:$B$101,2,FALSE)),"")</f>
        <v/>
      </c>
      <c r="E440" s="11"/>
      <c r="F440" s="10" t="str">
        <f>IF(ISBLANK(E440),"",E440+Settings!$B$7)</f>
        <v/>
      </c>
      <c r="G440" s="11"/>
      <c r="H440" s="10" t="str">
        <f t="shared" ca="1" si="13"/>
        <v/>
      </c>
      <c r="I440" s="11"/>
    </row>
    <row r="441" spans="1:9" x14ac:dyDescent="0.25">
      <c r="A441" s="10" t="str">
        <f t="shared" si="12"/>
        <v/>
      </c>
      <c r="B441" s="11"/>
      <c r="C441" s="11"/>
      <c r="D441" s="10" t="str">
        <f>IFERROR(IF(ISBLANK(C441),"",VLOOKUP(C441,Members!$A$2:$B$101,2,FALSE)),"")</f>
        <v/>
      </c>
      <c r="E441" s="11"/>
      <c r="F441" s="10" t="str">
        <f>IF(ISBLANK(E441),"",E441+Settings!$B$7)</f>
        <v/>
      </c>
      <c r="G441" s="11"/>
      <c r="H441" s="10" t="str">
        <f t="shared" ca="1" si="13"/>
        <v/>
      </c>
      <c r="I441" s="11"/>
    </row>
    <row r="442" spans="1:9" x14ac:dyDescent="0.25">
      <c r="A442" s="10" t="str">
        <f t="shared" si="12"/>
        <v/>
      </c>
      <c r="B442" s="11"/>
      <c r="C442" s="11"/>
      <c r="D442" s="10" t="str">
        <f>IFERROR(IF(ISBLANK(C442),"",VLOOKUP(C442,Members!$A$2:$B$101,2,FALSE)),"")</f>
        <v/>
      </c>
      <c r="E442" s="11"/>
      <c r="F442" s="10" t="str">
        <f>IF(ISBLANK(E442),"",E442+Settings!$B$7)</f>
        <v/>
      </c>
      <c r="G442" s="11"/>
      <c r="H442" s="10" t="str">
        <f t="shared" ca="1" si="13"/>
        <v/>
      </c>
      <c r="I442" s="11"/>
    </row>
    <row r="443" spans="1:9" x14ac:dyDescent="0.25">
      <c r="A443" s="10" t="str">
        <f t="shared" si="12"/>
        <v/>
      </c>
      <c r="B443" s="11"/>
      <c r="C443" s="11"/>
      <c r="D443" s="10" t="str">
        <f>IFERROR(IF(ISBLANK(C443),"",VLOOKUP(C443,Members!$A$2:$B$101,2,FALSE)),"")</f>
        <v/>
      </c>
      <c r="E443" s="11"/>
      <c r="F443" s="10" t="str">
        <f>IF(ISBLANK(E443),"",E443+Settings!$B$7)</f>
        <v/>
      </c>
      <c r="G443" s="11"/>
      <c r="H443" s="10" t="str">
        <f t="shared" ca="1" si="13"/>
        <v/>
      </c>
      <c r="I443" s="11"/>
    </row>
    <row r="444" spans="1:9" x14ac:dyDescent="0.25">
      <c r="A444" s="10" t="str">
        <f t="shared" si="12"/>
        <v/>
      </c>
      <c r="B444" s="11"/>
      <c r="C444" s="11"/>
      <c r="D444" s="10" t="str">
        <f>IFERROR(IF(ISBLANK(C444),"",VLOOKUP(C444,Members!$A$2:$B$101,2,FALSE)),"")</f>
        <v/>
      </c>
      <c r="E444" s="11"/>
      <c r="F444" s="10" t="str">
        <f>IF(ISBLANK(E444),"",E444+Settings!$B$7)</f>
        <v/>
      </c>
      <c r="G444" s="11"/>
      <c r="H444" s="10" t="str">
        <f t="shared" ca="1" si="13"/>
        <v/>
      </c>
      <c r="I444" s="11"/>
    </row>
    <row r="445" spans="1:9" x14ac:dyDescent="0.25">
      <c r="A445" s="10" t="str">
        <f t="shared" si="12"/>
        <v/>
      </c>
      <c r="B445" s="11"/>
      <c r="C445" s="11"/>
      <c r="D445" s="10" t="str">
        <f>IFERROR(IF(ISBLANK(C445),"",VLOOKUP(C445,Members!$A$2:$B$101,2,FALSE)),"")</f>
        <v/>
      </c>
      <c r="E445" s="11"/>
      <c r="F445" s="10" t="str">
        <f>IF(ISBLANK(E445),"",E445+Settings!$B$7)</f>
        <v/>
      </c>
      <c r="G445" s="11"/>
      <c r="H445" s="10" t="str">
        <f t="shared" ca="1" si="13"/>
        <v/>
      </c>
      <c r="I445" s="11"/>
    </row>
    <row r="446" spans="1:9" x14ac:dyDescent="0.25">
      <c r="A446" s="10" t="str">
        <f t="shared" si="12"/>
        <v/>
      </c>
      <c r="B446" s="11"/>
      <c r="C446" s="11"/>
      <c r="D446" s="10" t="str">
        <f>IFERROR(IF(ISBLANK(C446),"",VLOOKUP(C446,Members!$A$2:$B$101,2,FALSE)),"")</f>
        <v/>
      </c>
      <c r="E446" s="11"/>
      <c r="F446" s="10" t="str">
        <f>IF(ISBLANK(E446),"",E446+Settings!$B$7)</f>
        <v/>
      </c>
      <c r="G446" s="11"/>
      <c r="H446" s="10" t="str">
        <f t="shared" ca="1" si="13"/>
        <v/>
      </c>
      <c r="I446" s="11"/>
    </row>
    <row r="447" spans="1:9" x14ac:dyDescent="0.25">
      <c r="A447" s="10" t="str">
        <f t="shared" si="12"/>
        <v/>
      </c>
      <c r="B447" s="11"/>
      <c r="C447" s="11"/>
      <c r="D447" s="10" t="str">
        <f>IFERROR(IF(ISBLANK(C447),"",VLOOKUP(C447,Members!$A$2:$B$101,2,FALSE)),"")</f>
        <v/>
      </c>
      <c r="E447" s="11"/>
      <c r="F447" s="10" t="str">
        <f>IF(ISBLANK(E447),"",E447+Settings!$B$7)</f>
        <v/>
      </c>
      <c r="G447" s="11"/>
      <c r="H447" s="10" t="str">
        <f t="shared" ca="1" si="13"/>
        <v/>
      </c>
      <c r="I447" s="11"/>
    </row>
    <row r="448" spans="1:9" x14ac:dyDescent="0.25">
      <c r="A448" s="10" t="str">
        <f t="shared" si="12"/>
        <v/>
      </c>
      <c r="B448" s="11"/>
      <c r="C448" s="11"/>
      <c r="D448" s="10" t="str">
        <f>IFERROR(IF(ISBLANK(C448),"",VLOOKUP(C448,Members!$A$2:$B$101,2,FALSE)),"")</f>
        <v/>
      </c>
      <c r="E448" s="11"/>
      <c r="F448" s="10" t="str">
        <f>IF(ISBLANK(E448),"",E448+Settings!$B$7)</f>
        <v/>
      </c>
      <c r="G448" s="11"/>
      <c r="H448" s="10" t="str">
        <f t="shared" ca="1" si="13"/>
        <v/>
      </c>
      <c r="I448" s="11"/>
    </row>
    <row r="449" spans="1:9" x14ac:dyDescent="0.25">
      <c r="A449" s="10" t="str">
        <f t="shared" si="12"/>
        <v/>
      </c>
      <c r="B449" s="11"/>
      <c r="C449" s="11"/>
      <c r="D449" s="10" t="str">
        <f>IFERROR(IF(ISBLANK(C449),"",VLOOKUP(C449,Members!$A$2:$B$101,2,FALSE)),"")</f>
        <v/>
      </c>
      <c r="E449" s="11"/>
      <c r="F449" s="10" t="str">
        <f>IF(ISBLANK(E449),"",E449+Settings!$B$7)</f>
        <v/>
      </c>
      <c r="G449" s="11"/>
      <c r="H449" s="10" t="str">
        <f t="shared" ca="1" si="13"/>
        <v/>
      </c>
      <c r="I449" s="11"/>
    </row>
    <row r="450" spans="1:9" x14ac:dyDescent="0.25">
      <c r="A450" s="10" t="str">
        <f t="shared" ref="A450:A501" si="14">IF(ISBLANK(B450),"",ROW()-1)</f>
        <v/>
      </c>
      <c r="B450" s="11"/>
      <c r="C450" s="11"/>
      <c r="D450" s="10" t="str">
        <f>IFERROR(IF(ISBLANK(C450),"",VLOOKUP(C450,Members!$A$2:$B$101,2,FALSE)),"")</f>
        <v/>
      </c>
      <c r="E450" s="11"/>
      <c r="F450" s="10" t="str">
        <f>IF(ISBLANK(E450),"",E450+Settings!$B$7)</f>
        <v/>
      </c>
      <c r="G450" s="11"/>
      <c r="H450" s="10" t="str">
        <f t="shared" ref="H450:H501" ca="1" si="15">IF(ISBLANK(B450),"",IF(NOT(ISBLANK(G450)),"Returned",IF(TODAY()&gt;F450,"Overdue","Active")))</f>
        <v/>
      </c>
      <c r="I450" s="11"/>
    </row>
    <row r="451" spans="1:9" x14ac:dyDescent="0.25">
      <c r="A451" s="10" t="str">
        <f t="shared" si="14"/>
        <v/>
      </c>
      <c r="B451" s="11"/>
      <c r="C451" s="11"/>
      <c r="D451" s="10" t="str">
        <f>IFERROR(IF(ISBLANK(C451),"",VLOOKUP(C451,Members!$A$2:$B$101,2,FALSE)),"")</f>
        <v/>
      </c>
      <c r="E451" s="11"/>
      <c r="F451" s="10" t="str">
        <f>IF(ISBLANK(E451),"",E451+Settings!$B$7)</f>
        <v/>
      </c>
      <c r="G451" s="11"/>
      <c r="H451" s="10" t="str">
        <f t="shared" ca="1" si="15"/>
        <v/>
      </c>
      <c r="I451" s="11"/>
    </row>
    <row r="452" spans="1:9" x14ac:dyDescent="0.25">
      <c r="A452" s="10" t="str">
        <f t="shared" si="14"/>
        <v/>
      </c>
      <c r="B452" s="11"/>
      <c r="C452" s="11"/>
      <c r="D452" s="10" t="str">
        <f>IFERROR(IF(ISBLANK(C452),"",VLOOKUP(C452,Members!$A$2:$B$101,2,FALSE)),"")</f>
        <v/>
      </c>
      <c r="E452" s="11"/>
      <c r="F452" s="10" t="str">
        <f>IF(ISBLANK(E452),"",E452+Settings!$B$7)</f>
        <v/>
      </c>
      <c r="G452" s="11"/>
      <c r="H452" s="10" t="str">
        <f t="shared" ca="1" si="15"/>
        <v/>
      </c>
      <c r="I452" s="11"/>
    </row>
    <row r="453" spans="1:9" x14ac:dyDescent="0.25">
      <c r="A453" s="10" t="str">
        <f t="shared" si="14"/>
        <v/>
      </c>
      <c r="B453" s="11"/>
      <c r="C453" s="11"/>
      <c r="D453" s="10" t="str">
        <f>IFERROR(IF(ISBLANK(C453),"",VLOOKUP(C453,Members!$A$2:$B$101,2,FALSE)),"")</f>
        <v/>
      </c>
      <c r="E453" s="11"/>
      <c r="F453" s="10" t="str">
        <f>IF(ISBLANK(E453),"",E453+Settings!$B$7)</f>
        <v/>
      </c>
      <c r="G453" s="11"/>
      <c r="H453" s="10" t="str">
        <f t="shared" ca="1" si="15"/>
        <v/>
      </c>
      <c r="I453" s="11"/>
    </row>
    <row r="454" spans="1:9" x14ac:dyDescent="0.25">
      <c r="A454" s="10" t="str">
        <f t="shared" si="14"/>
        <v/>
      </c>
      <c r="B454" s="11"/>
      <c r="C454" s="11"/>
      <c r="D454" s="10" t="str">
        <f>IFERROR(IF(ISBLANK(C454),"",VLOOKUP(C454,Members!$A$2:$B$101,2,FALSE)),"")</f>
        <v/>
      </c>
      <c r="E454" s="11"/>
      <c r="F454" s="10" t="str">
        <f>IF(ISBLANK(E454),"",E454+Settings!$B$7)</f>
        <v/>
      </c>
      <c r="G454" s="11"/>
      <c r="H454" s="10" t="str">
        <f t="shared" ca="1" si="15"/>
        <v/>
      </c>
      <c r="I454" s="11"/>
    </row>
    <row r="455" spans="1:9" x14ac:dyDescent="0.25">
      <c r="A455" s="10" t="str">
        <f t="shared" si="14"/>
        <v/>
      </c>
      <c r="B455" s="11"/>
      <c r="C455" s="11"/>
      <c r="D455" s="10" t="str">
        <f>IFERROR(IF(ISBLANK(C455),"",VLOOKUP(C455,Members!$A$2:$B$101,2,FALSE)),"")</f>
        <v/>
      </c>
      <c r="E455" s="11"/>
      <c r="F455" s="10" t="str">
        <f>IF(ISBLANK(E455),"",E455+Settings!$B$7)</f>
        <v/>
      </c>
      <c r="G455" s="11"/>
      <c r="H455" s="10" t="str">
        <f t="shared" ca="1" si="15"/>
        <v/>
      </c>
      <c r="I455" s="11"/>
    </row>
    <row r="456" spans="1:9" x14ac:dyDescent="0.25">
      <c r="A456" s="10" t="str">
        <f t="shared" si="14"/>
        <v/>
      </c>
      <c r="B456" s="11"/>
      <c r="C456" s="11"/>
      <c r="D456" s="10" t="str">
        <f>IFERROR(IF(ISBLANK(C456),"",VLOOKUP(C456,Members!$A$2:$B$101,2,FALSE)),"")</f>
        <v/>
      </c>
      <c r="E456" s="11"/>
      <c r="F456" s="10" t="str">
        <f>IF(ISBLANK(E456),"",E456+Settings!$B$7)</f>
        <v/>
      </c>
      <c r="G456" s="11"/>
      <c r="H456" s="10" t="str">
        <f t="shared" ca="1" si="15"/>
        <v/>
      </c>
      <c r="I456" s="11"/>
    </row>
    <row r="457" spans="1:9" x14ac:dyDescent="0.25">
      <c r="A457" s="10" t="str">
        <f t="shared" si="14"/>
        <v/>
      </c>
      <c r="B457" s="11"/>
      <c r="C457" s="11"/>
      <c r="D457" s="10" t="str">
        <f>IFERROR(IF(ISBLANK(C457),"",VLOOKUP(C457,Members!$A$2:$B$101,2,FALSE)),"")</f>
        <v/>
      </c>
      <c r="E457" s="11"/>
      <c r="F457" s="10" t="str">
        <f>IF(ISBLANK(E457),"",E457+Settings!$B$7)</f>
        <v/>
      </c>
      <c r="G457" s="11"/>
      <c r="H457" s="10" t="str">
        <f t="shared" ca="1" si="15"/>
        <v/>
      </c>
      <c r="I457" s="11"/>
    </row>
    <row r="458" spans="1:9" x14ac:dyDescent="0.25">
      <c r="A458" s="10" t="str">
        <f t="shared" si="14"/>
        <v/>
      </c>
      <c r="B458" s="11"/>
      <c r="C458" s="11"/>
      <c r="D458" s="10" t="str">
        <f>IFERROR(IF(ISBLANK(C458),"",VLOOKUP(C458,Members!$A$2:$B$101,2,FALSE)),"")</f>
        <v/>
      </c>
      <c r="E458" s="11"/>
      <c r="F458" s="10" t="str">
        <f>IF(ISBLANK(E458),"",E458+Settings!$B$7)</f>
        <v/>
      </c>
      <c r="G458" s="11"/>
      <c r="H458" s="10" t="str">
        <f t="shared" ca="1" si="15"/>
        <v/>
      </c>
      <c r="I458" s="11"/>
    </row>
    <row r="459" spans="1:9" x14ac:dyDescent="0.25">
      <c r="A459" s="10" t="str">
        <f t="shared" si="14"/>
        <v/>
      </c>
      <c r="B459" s="11"/>
      <c r="C459" s="11"/>
      <c r="D459" s="10" t="str">
        <f>IFERROR(IF(ISBLANK(C459),"",VLOOKUP(C459,Members!$A$2:$B$101,2,FALSE)),"")</f>
        <v/>
      </c>
      <c r="E459" s="11"/>
      <c r="F459" s="10" t="str">
        <f>IF(ISBLANK(E459),"",E459+Settings!$B$7)</f>
        <v/>
      </c>
      <c r="G459" s="11"/>
      <c r="H459" s="10" t="str">
        <f t="shared" ca="1" si="15"/>
        <v/>
      </c>
      <c r="I459" s="11"/>
    </row>
    <row r="460" spans="1:9" x14ac:dyDescent="0.25">
      <c r="A460" s="10" t="str">
        <f t="shared" si="14"/>
        <v/>
      </c>
      <c r="B460" s="11"/>
      <c r="C460" s="11"/>
      <c r="D460" s="10" t="str">
        <f>IFERROR(IF(ISBLANK(C460),"",VLOOKUP(C460,Members!$A$2:$B$101,2,FALSE)),"")</f>
        <v/>
      </c>
      <c r="E460" s="11"/>
      <c r="F460" s="10" t="str">
        <f>IF(ISBLANK(E460),"",E460+Settings!$B$7)</f>
        <v/>
      </c>
      <c r="G460" s="11"/>
      <c r="H460" s="10" t="str">
        <f t="shared" ca="1" si="15"/>
        <v/>
      </c>
      <c r="I460" s="11"/>
    </row>
    <row r="461" spans="1:9" x14ac:dyDescent="0.25">
      <c r="A461" s="10" t="str">
        <f t="shared" si="14"/>
        <v/>
      </c>
      <c r="B461" s="11"/>
      <c r="C461" s="11"/>
      <c r="D461" s="10" t="str">
        <f>IFERROR(IF(ISBLANK(C461),"",VLOOKUP(C461,Members!$A$2:$B$101,2,FALSE)),"")</f>
        <v/>
      </c>
      <c r="E461" s="11"/>
      <c r="F461" s="10" t="str">
        <f>IF(ISBLANK(E461),"",E461+Settings!$B$7)</f>
        <v/>
      </c>
      <c r="G461" s="11"/>
      <c r="H461" s="10" t="str">
        <f t="shared" ca="1" si="15"/>
        <v/>
      </c>
      <c r="I461" s="11"/>
    </row>
    <row r="462" spans="1:9" x14ac:dyDescent="0.25">
      <c r="A462" s="10" t="str">
        <f t="shared" si="14"/>
        <v/>
      </c>
      <c r="B462" s="11"/>
      <c r="C462" s="11"/>
      <c r="D462" s="10" t="str">
        <f>IFERROR(IF(ISBLANK(C462),"",VLOOKUP(C462,Members!$A$2:$B$101,2,FALSE)),"")</f>
        <v/>
      </c>
      <c r="E462" s="11"/>
      <c r="F462" s="10" t="str">
        <f>IF(ISBLANK(E462),"",E462+Settings!$B$7)</f>
        <v/>
      </c>
      <c r="G462" s="11"/>
      <c r="H462" s="10" t="str">
        <f t="shared" ca="1" si="15"/>
        <v/>
      </c>
      <c r="I462" s="11"/>
    </row>
    <row r="463" spans="1:9" x14ac:dyDescent="0.25">
      <c r="A463" s="10" t="str">
        <f t="shared" si="14"/>
        <v/>
      </c>
      <c r="B463" s="11"/>
      <c r="C463" s="11"/>
      <c r="D463" s="10" t="str">
        <f>IFERROR(IF(ISBLANK(C463),"",VLOOKUP(C463,Members!$A$2:$B$101,2,FALSE)),"")</f>
        <v/>
      </c>
      <c r="E463" s="11"/>
      <c r="F463" s="10" t="str">
        <f>IF(ISBLANK(E463),"",E463+Settings!$B$7)</f>
        <v/>
      </c>
      <c r="G463" s="11"/>
      <c r="H463" s="10" t="str">
        <f t="shared" ca="1" si="15"/>
        <v/>
      </c>
      <c r="I463" s="11"/>
    </row>
    <row r="464" spans="1:9" x14ac:dyDescent="0.25">
      <c r="A464" s="10" t="str">
        <f t="shared" si="14"/>
        <v/>
      </c>
      <c r="B464" s="11"/>
      <c r="C464" s="11"/>
      <c r="D464" s="10" t="str">
        <f>IFERROR(IF(ISBLANK(C464),"",VLOOKUP(C464,Members!$A$2:$B$101,2,FALSE)),"")</f>
        <v/>
      </c>
      <c r="E464" s="11"/>
      <c r="F464" s="10" t="str">
        <f>IF(ISBLANK(E464),"",E464+Settings!$B$7)</f>
        <v/>
      </c>
      <c r="G464" s="11"/>
      <c r="H464" s="10" t="str">
        <f t="shared" ca="1" si="15"/>
        <v/>
      </c>
      <c r="I464" s="11"/>
    </row>
    <row r="465" spans="1:9" x14ac:dyDescent="0.25">
      <c r="A465" s="10" t="str">
        <f t="shared" si="14"/>
        <v/>
      </c>
      <c r="B465" s="11"/>
      <c r="C465" s="11"/>
      <c r="D465" s="10" t="str">
        <f>IFERROR(IF(ISBLANK(C465),"",VLOOKUP(C465,Members!$A$2:$B$101,2,FALSE)),"")</f>
        <v/>
      </c>
      <c r="E465" s="11"/>
      <c r="F465" s="10" t="str">
        <f>IF(ISBLANK(E465),"",E465+Settings!$B$7)</f>
        <v/>
      </c>
      <c r="G465" s="11"/>
      <c r="H465" s="10" t="str">
        <f t="shared" ca="1" si="15"/>
        <v/>
      </c>
      <c r="I465" s="11"/>
    </row>
    <row r="466" spans="1:9" x14ac:dyDescent="0.25">
      <c r="A466" s="10" t="str">
        <f t="shared" si="14"/>
        <v/>
      </c>
      <c r="B466" s="11"/>
      <c r="C466" s="11"/>
      <c r="D466" s="10" t="str">
        <f>IFERROR(IF(ISBLANK(C466),"",VLOOKUP(C466,Members!$A$2:$B$101,2,FALSE)),"")</f>
        <v/>
      </c>
      <c r="E466" s="11"/>
      <c r="F466" s="10" t="str">
        <f>IF(ISBLANK(E466),"",E466+Settings!$B$7)</f>
        <v/>
      </c>
      <c r="G466" s="11"/>
      <c r="H466" s="10" t="str">
        <f t="shared" ca="1" si="15"/>
        <v/>
      </c>
      <c r="I466" s="11"/>
    </row>
    <row r="467" spans="1:9" x14ac:dyDescent="0.25">
      <c r="A467" s="10" t="str">
        <f t="shared" si="14"/>
        <v/>
      </c>
      <c r="B467" s="11"/>
      <c r="C467" s="11"/>
      <c r="D467" s="10" t="str">
        <f>IFERROR(IF(ISBLANK(C467),"",VLOOKUP(C467,Members!$A$2:$B$101,2,FALSE)),"")</f>
        <v/>
      </c>
      <c r="E467" s="11"/>
      <c r="F467" s="10" t="str">
        <f>IF(ISBLANK(E467),"",E467+Settings!$B$7)</f>
        <v/>
      </c>
      <c r="G467" s="11"/>
      <c r="H467" s="10" t="str">
        <f t="shared" ca="1" si="15"/>
        <v/>
      </c>
      <c r="I467" s="11"/>
    </row>
    <row r="468" spans="1:9" x14ac:dyDescent="0.25">
      <c r="A468" s="10" t="str">
        <f t="shared" si="14"/>
        <v/>
      </c>
      <c r="B468" s="11"/>
      <c r="C468" s="11"/>
      <c r="D468" s="10" t="str">
        <f>IFERROR(IF(ISBLANK(C468),"",VLOOKUP(C468,Members!$A$2:$B$101,2,FALSE)),"")</f>
        <v/>
      </c>
      <c r="E468" s="11"/>
      <c r="F468" s="10" t="str">
        <f>IF(ISBLANK(E468),"",E468+Settings!$B$7)</f>
        <v/>
      </c>
      <c r="G468" s="11"/>
      <c r="H468" s="10" t="str">
        <f t="shared" ca="1" si="15"/>
        <v/>
      </c>
      <c r="I468" s="11"/>
    </row>
    <row r="469" spans="1:9" x14ac:dyDescent="0.25">
      <c r="A469" s="10" t="str">
        <f t="shared" si="14"/>
        <v/>
      </c>
      <c r="B469" s="11"/>
      <c r="C469" s="11"/>
      <c r="D469" s="10" t="str">
        <f>IFERROR(IF(ISBLANK(C469),"",VLOOKUP(C469,Members!$A$2:$B$101,2,FALSE)),"")</f>
        <v/>
      </c>
      <c r="E469" s="11"/>
      <c r="F469" s="10" t="str">
        <f>IF(ISBLANK(E469),"",E469+Settings!$B$7)</f>
        <v/>
      </c>
      <c r="G469" s="11"/>
      <c r="H469" s="10" t="str">
        <f t="shared" ca="1" si="15"/>
        <v/>
      </c>
      <c r="I469" s="11"/>
    </row>
    <row r="470" spans="1:9" x14ac:dyDescent="0.25">
      <c r="A470" s="10" t="str">
        <f t="shared" si="14"/>
        <v/>
      </c>
      <c r="B470" s="11"/>
      <c r="C470" s="11"/>
      <c r="D470" s="10" t="str">
        <f>IFERROR(IF(ISBLANK(C470),"",VLOOKUP(C470,Members!$A$2:$B$101,2,FALSE)),"")</f>
        <v/>
      </c>
      <c r="E470" s="11"/>
      <c r="F470" s="10" t="str">
        <f>IF(ISBLANK(E470),"",E470+Settings!$B$7)</f>
        <v/>
      </c>
      <c r="G470" s="11"/>
      <c r="H470" s="10" t="str">
        <f t="shared" ca="1" si="15"/>
        <v/>
      </c>
      <c r="I470" s="11"/>
    </row>
    <row r="471" spans="1:9" x14ac:dyDescent="0.25">
      <c r="A471" s="10" t="str">
        <f t="shared" si="14"/>
        <v/>
      </c>
      <c r="B471" s="11"/>
      <c r="C471" s="11"/>
      <c r="D471" s="10" t="str">
        <f>IFERROR(IF(ISBLANK(C471),"",VLOOKUP(C471,Members!$A$2:$B$101,2,FALSE)),"")</f>
        <v/>
      </c>
      <c r="E471" s="11"/>
      <c r="F471" s="10" t="str">
        <f>IF(ISBLANK(E471),"",E471+Settings!$B$7)</f>
        <v/>
      </c>
      <c r="G471" s="11"/>
      <c r="H471" s="10" t="str">
        <f t="shared" ca="1" si="15"/>
        <v/>
      </c>
      <c r="I471" s="11"/>
    </row>
    <row r="472" spans="1:9" x14ac:dyDescent="0.25">
      <c r="A472" s="10" t="str">
        <f t="shared" si="14"/>
        <v/>
      </c>
      <c r="B472" s="11"/>
      <c r="C472" s="11"/>
      <c r="D472" s="10" t="str">
        <f>IFERROR(IF(ISBLANK(C472),"",VLOOKUP(C472,Members!$A$2:$B$101,2,FALSE)),"")</f>
        <v/>
      </c>
      <c r="E472" s="11"/>
      <c r="F472" s="10" t="str">
        <f>IF(ISBLANK(E472),"",E472+Settings!$B$7)</f>
        <v/>
      </c>
      <c r="G472" s="11"/>
      <c r="H472" s="10" t="str">
        <f t="shared" ca="1" si="15"/>
        <v/>
      </c>
      <c r="I472" s="11"/>
    </row>
    <row r="473" spans="1:9" x14ac:dyDescent="0.25">
      <c r="A473" s="10" t="str">
        <f t="shared" si="14"/>
        <v/>
      </c>
      <c r="B473" s="11"/>
      <c r="C473" s="11"/>
      <c r="D473" s="10" t="str">
        <f>IFERROR(IF(ISBLANK(C473),"",VLOOKUP(C473,Members!$A$2:$B$101,2,FALSE)),"")</f>
        <v/>
      </c>
      <c r="E473" s="11"/>
      <c r="F473" s="10" t="str">
        <f>IF(ISBLANK(E473),"",E473+Settings!$B$7)</f>
        <v/>
      </c>
      <c r="G473" s="11"/>
      <c r="H473" s="10" t="str">
        <f t="shared" ca="1" si="15"/>
        <v/>
      </c>
      <c r="I473" s="11"/>
    </row>
    <row r="474" spans="1:9" x14ac:dyDescent="0.25">
      <c r="A474" s="10" t="str">
        <f t="shared" si="14"/>
        <v/>
      </c>
      <c r="B474" s="11"/>
      <c r="C474" s="11"/>
      <c r="D474" s="10" t="str">
        <f>IFERROR(IF(ISBLANK(C474),"",VLOOKUP(C474,Members!$A$2:$B$101,2,FALSE)),"")</f>
        <v/>
      </c>
      <c r="E474" s="11"/>
      <c r="F474" s="10" t="str">
        <f>IF(ISBLANK(E474),"",E474+Settings!$B$7)</f>
        <v/>
      </c>
      <c r="G474" s="11"/>
      <c r="H474" s="10" t="str">
        <f t="shared" ca="1" si="15"/>
        <v/>
      </c>
      <c r="I474" s="11"/>
    </row>
    <row r="475" spans="1:9" x14ac:dyDescent="0.25">
      <c r="A475" s="10" t="str">
        <f t="shared" si="14"/>
        <v/>
      </c>
      <c r="B475" s="11"/>
      <c r="C475" s="11"/>
      <c r="D475" s="10" t="str">
        <f>IFERROR(IF(ISBLANK(C475),"",VLOOKUP(C475,Members!$A$2:$B$101,2,FALSE)),"")</f>
        <v/>
      </c>
      <c r="E475" s="11"/>
      <c r="F475" s="10" t="str">
        <f>IF(ISBLANK(E475),"",E475+Settings!$B$7)</f>
        <v/>
      </c>
      <c r="G475" s="11"/>
      <c r="H475" s="10" t="str">
        <f t="shared" ca="1" si="15"/>
        <v/>
      </c>
      <c r="I475" s="11"/>
    </row>
    <row r="476" spans="1:9" x14ac:dyDescent="0.25">
      <c r="A476" s="10" t="str">
        <f t="shared" si="14"/>
        <v/>
      </c>
      <c r="B476" s="11"/>
      <c r="C476" s="11"/>
      <c r="D476" s="10" t="str">
        <f>IFERROR(IF(ISBLANK(C476),"",VLOOKUP(C476,Members!$A$2:$B$101,2,FALSE)),"")</f>
        <v/>
      </c>
      <c r="E476" s="11"/>
      <c r="F476" s="10" t="str">
        <f>IF(ISBLANK(E476),"",E476+Settings!$B$7)</f>
        <v/>
      </c>
      <c r="G476" s="11"/>
      <c r="H476" s="10" t="str">
        <f t="shared" ca="1" si="15"/>
        <v/>
      </c>
      <c r="I476" s="11"/>
    </row>
    <row r="477" spans="1:9" x14ac:dyDescent="0.25">
      <c r="A477" s="10" t="str">
        <f t="shared" si="14"/>
        <v/>
      </c>
      <c r="B477" s="11"/>
      <c r="C477" s="11"/>
      <c r="D477" s="10" t="str">
        <f>IFERROR(IF(ISBLANK(C477),"",VLOOKUP(C477,Members!$A$2:$B$101,2,FALSE)),"")</f>
        <v/>
      </c>
      <c r="E477" s="11"/>
      <c r="F477" s="10" t="str">
        <f>IF(ISBLANK(E477),"",E477+Settings!$B$7)</f>
        <v/>
      </c>
      <c r="G477" s="11"/>
      <c r="H477" s="10" t="str">
        <f t="shared" ca="1" si="15"/>
        <v/>
      </c>
      <c r="I477" s="11"/>
    </row>
    <row r="478" spans="1:9" x14ac:dyDescent="0.25">
      <c r="A478" s="10" t="str">
        <f t="shared" si="14"/>
        <v/>
      </c>
      <c r="B478" s="11"/>
      <c r="C478" s="11"/>
      <c r="D478" s="10" t="str">
        <f>IFERROR(IF(ISBLANK(C478),"",VLOOKUP(C478,Members!$A$2:$B$101,2,FALSE)),"")</f>
        <v/>
      </c>
      <c r="E478" s="11"/>
      <c r="F478" s="10" t="str">
        <f>IF(ISBLANK(E478),"",E478+Settings!$B$7)</f>
        <v/>
      </c>
      <c r="G478" s="11"/>
      <c r="H478" s="10" t="str">
        <f t="shared" ca="1" si="15"/>
        <v/>
      </c>
      <c r="I478" s="11"/>
    </row>
    <row r="479" spans="1:9" x14ac:dyDescent="0.25">
      <c r="A479" s="10" t="str">
        <f t="shared" si="14"/>
        <v/>
      </c>
      <c r="B479" s="11"/>
      <c r="C479" s="11"/>
      <c r="D479" s="10" t="str">
        <f>IFERROR(IF(ISBLANK(C479),"",VLOOKUP(C479,Members!$A$2:$B$101,2,FALSE)),"")</f>
        <v/>
      </c>
      <c r="E479" s="11"/>
      <c r="F479" s="10" t="str">
        <f>IF(ISBLANK(E479),"",E479+Settings!$B$7)</f>
        <v/>
      </c>
      <c r="G479" s="11"/>
      <c r="H479" s="10" t="str">
        <f t="shared" ca="1" si="15"/>
        <v/>
      </c>
      <c r="I479" s="11"/>
    </row>
    <row r="480" spans="1:9" x14ac:dyDescent="0.25">
      <c r="A480" s="10" t="str">
        <f t="shared" si="14"/>
        <v/>
      </c>
      <c r="B480" s="11"/>
      <c r="C480" s="11"/>
      <c r="D480" s="10" t="str">
        <f>IFERROR(IF(ISBLANK(C480),"",VLOOKUP(C480,Members!$A$2:$B$101,2,FALSE)),"")</f>
        <v/>
      </c>
      <c r="E480" s="11"/>
      <c r="F480" s="10" t="str">
        <f>IF(ISBLANK(E480),"",E480+Settings!$B$7)</f>
        <v/>
      </c>
      <c r="G480" s="11"/>
      <c r="H480" s="10" t="str">
        <f t="shared" ca="1" si="15"/>
        <v/>
      </c>
      <c r="I480" s="11"/>
    </row>
    <row r="481" spans="1:9" x14ac:dyDescent="0.25">
      <c r="A481" s="10" t="str">
        <f t="shared" si="14"/>
        <v/>
      </c>
      <c r="B481" s="11"/>
      <c r="C481" s="11"/>
      <c r="D481" s="10" t="str">
        <f>IFERROR(IF(ISBLANK(C481),"",VLOOKUP(C481,Members!$A$2:$B$101,2,FALSE)),"")</f>
        <v/>
      </c>
      <c r="E481" s="11"/>
      <c r="F481" s="10" t="str">
        <f>IF(ISBLANK(E481),"",E481+Settings!$B$7)</f>
        <v/>
      </c>
      <c r="G481" s="11"/>
      <c r="H481" s="10" t="str">
        <f t="shared" ca="1" si="15"/>
        <v/>
      </c>
      <c r="I481" s="11"/>
    </row>
    <row r="482" spans="1:9" x14ac:dyDescent="0.25">
      <c r="A482" s="10" t="str">
        <f t="shared" si="14"/>
        <v/>
      </c>
      <c r="B482" s="11"/>
      <c r="C482" s="11"/>
      <c r="D482" s="10" t="str">
        <f>IFERROR(IF(ISBLANK(C482),"",VLOOKUP(C482,Members!$A$2:$B$101,2,FALSE)),"")</f>
        <v/>
      </c>
      <c r="E482" s="11"/>
      <c r="F482" s="10" t="str">
        <f>IF(ISBLANK(E482),"",E482+Settings!$B$7)</f>
        <v/>
      </c>
      <c r="G482" s="11"/>
      <c r="H482" s="10" t="str">
        <f t="shared" ca="1" si="15"/>
        <v/>
      </c>
      <c r="I482" s="11"/>
    </row>
    <row r="483" spans="1:9" x14ac:dyDescent="0.25">
      <c r="A483" s="10" t="str">
        <f t="shared" si="14"/>
        <v/>
      </c>
      <c r="B483" s="11"/>
      <c r="C483" s="11"/>
      <c r="D483" s="10" t="str">
        <f>IFERROR(IF(ISBLANK(C483),"",VLOOKUP(C483,Members!$A$2:$B$101,2,FALSE)),"")</f>
        <v/>
      </c>
      <c r="E483" s="11"/>
      <c r="F483" s="10" t="str">
        <f>IF(ISBLANK(E483),"",E483+Settings!$B$7)</f>
        <v/>
      </c>
      <c r="G483" s="11"/>
      <c r="H483" s="10" t="str">
        <f t="shared" ca="1" si="15"/>
        <v/>
      </c>
      <c r="I483" s="11"/>
    </row>
    <row r="484" spans="1:9" x14ac:dyDescent="0.25">
      <c r="A484" s="10" t="str">
        <f t="shared" si="14"/>
        <v/>
      </c>
      <c r="B484" s="11"/>
      <c r="C484" s="11"/>
      <c r="D484" s="10" t="str">
        <f>IFERROR(IF(ISBLANK(C484),"",VLOOKUP(C484,Members!$A$2:$B$101,2,FALSE)),"")</f>
        <v/>
      </c>
      <c r="E484" s="11"/>
      <c r="F484" s="10" t="str">
        <f>IF(ISBLANK(E484),"",E484+Settings!$B$7)</f>
        <v/>
      </c>
      <c r="G484" s="11"/>
      <c r="H484" s="10" t="str">
        <f t="shared" ca="1" si="15"/>
        <v/>
      </c>
      <c r="I484" s="11"/>
    </row>
    <row r="485" spans="1:9" x14ac:dyDescent="0.25">
      <c r="A485" s="10" t="str">
        <f t="shared" si="14"/>
        <v/>
      </c>
      <c r="B485" s="11"/>
      <c r="C485" s="11"/>
      <c r="D485" s="10" t="str">
        <f>IFERROR(IF(ISBLANK(C485),"",VLOOKUP(C485,Members!$A$2:$B$101,2,FALSE)),"")</f>
        <v/>
      </c>
      <c r="E485" s="11"/>
      <c r="F485" s="10" t="str">
        <f>IF(ISBLANK(E485),"",E485+Settings!$B$7)</f>
        <v/>
      </c>
      <c r="G485" s="11"/>
      <c r="H485" s="10" t="str">
        <f t="shared" ca="1" si="15"/>
        <v/>
      </c>
      <c r="I485" s="11"/>
    </row>
    <row r="486" spans="1:9" x14ac:dyDescent="0.25">
      <c r="A486" s="10" t="str">
        <f t="shared" si="14"/>
        <v/>
      </c>
      <c r="B486" s="11"/>
      <c r="C486" s="11"/>
      <c r="D486" s="10" t="str">
        <f>IFERROR(IF(ISBLANK(C486),"",VLOOKUP(C486,Members!$A$2:$B$101,2,FALSE)),"")</f>
        <v/>
      </c>
      <c r="E486" s="11"/>
      <c r="F486" s="10" t="str">
        <f>IF(ISBLANK(E486),"",E486+Settings!$B$7)</f>
        <v/>
      </c>
      <c r="G486" s="11"/>
      <c r="H486" s="10" t="str">
        <f t="shared" ca="1" si="15"/>
        <v/>
      </c>
      <c r="I486" s="11"/>
    </row>
    <row r="487" spans="1:9" x14ac:dyDescent="0.25">
      <c r="A487" s="10" t="str">
        <f t="shared" si="14"/>
        <v/>
      </c>
      <c r="B487" s="11"/>
      <c r="C487" s="11"/>
      <c r="D487" s="10" t="str">
        <f>IFERROR(IF(ISBLANK(C487),"",VLOOKUP(C487,Members!$A$2:$B$101,2,FALSE)),"")</f>
        <v/>
      </c>
      <c r="E487" s="11"/>
      <c r="F487" s="10" t="str">
        <f>IF(ISBLANK(E487),"",E487+Settings!$B$7)</f>
        <v/>
      </c>
      <c r="G487" s="11"/>
      <c r="H487" s="10" t="str">
        <f t="shared" ca="1" si="15"/>
        <v/>
      </c>
      <c r="I487" s="11"/>
    </row>
    <row r="488" spans="1:9" x14ac:dyDescent="0.25">
      <c r="A488" s="10" t="str">
        <f t="shared" si="14"/>
        <v/>
      </c>
      <c r="B488" s="11"/>
      <c r="C488" s="11"/>
      <c r="D488" s="10" t="str">
        <f>IFERROR(IF(ISBLANK(C488),"",VLOOKUP(C488,Members!$A$2:$B$101,2,FALSE)),"")</f>
        <v/>
      </c>
      <c r="E488" s="11"/>
      <c r="F488" s="10" t="str">
        <f>IF(ISBLANK(E488),"",E488+Settings!$B$7)</f>
        <v/>
      </c>
      <c r="G488" s="11"/>
      <c r="H488" s="10" t="str">
        <f t="shared" ca="1" si="15"/>
        <v/>
      </c>
      <c r="I488" s="11"/>
    </row>
    <row r="489" spans="1:9" x14ac:dyDescent="0.25">
      <c r="A489" s="10" t="str">
        <f t="shared" si="14"/>
        <v/>
      </c>
      <c r="B489" s="11"/>
      <c r="C489" s="11"/>
      <c r="D489" s="10" t="str">
        <f>IFERROR(IF(ISBLANK(C489),"",VLOOKUP(C489,Members!$A$2:$B$101,2,FALSE)),"")</f>
        <v/>
      </c>
      <c r="E489" s="11"/>
      <c r="F489" s="10" t="str">
        <f>IF(ISBLANK(E489),"",E489+Settings!$B$7)</f>
        <v/>
      </c>
      <c r="G489" s="11"/>
      <c r="H489" s="10" t="str">
        <f t="shared" ca="1" si="15"/>
        <v/>
      </c>
      <c r="I489" s="11"/>
    </row>
    <row r="490" spans="1:9" x14ac:dyDescent="0.25">
      <c r="A490" s="10" t="str">
        <f t="shared" si="14"/>
        <v/>
      </c>
      <c r="B490" s="11"/>
      <c r="C490" s="11"/>
      <c r="D490" s="10" t="str">
        <f>IFERROR(IF(ISBLANK(C490),"",VLOOKUP(C490,Members!$A$2:$B$101,2,FALSE)),"")</f>
        <v/>
      </c>
      <c r="E490" s="11"/>
      <c r="F490" s="10" t="str">
        <f>IF(ISBLANK(E490),"",E490+Settings!$B$7)</f>
        <v/>
      </c>
      <c r="G490" s="11"/>
      <c r="H490" s="10" t="str">
        <f t="shared" ca="1" si="15"/>
        <v/>
      </c>
      <c r="I490" s="11"/>
    </row>
    <row r="491" spans="1:9" x14ac:dyDescent="0.25">
      <c r="A491" s="10" t="str">
        <f t="shared" si="14"/>
        <v/>
      </c>
      <c r="B491" s="11"/>
      <c r="C491" s="11"/>
      <c r="D491" s="10" t="str">
        <f>IFERROR(IF(ISBLANK(C491),"",VLOOKUP(C491,Members!$A$2:$B$101,2,FALSE)),"")</f>
        <v/>
      </c>
      <c r="E491" s="11"/>
      <c r="F491" s="10" t="str">
        <f>IF(ISBLANK(E491),"",E491+Settings!$B$7)</f>
        <v/>
      </c>
      <c r="G491" s="11"/>
      <c r="H491" s="10" t="str">
        <f t="shared" ca="1" si="15"/>
        <v/>
      </c>
      <c r="I491" s="11"/>
    </row>
    <row r="492" spans="1:9" x14ac:dyDescent="0.25">
      <c r="A492" s="10" t="str">
        <f t="shared" si="14"/>
        <v/>
      </c>
      <c r="B492" s="11"/>
      <c r="C492" s="11"/>
      <c r="D492" s="10" t="str">
        <f>IFERROR(IF(ISBLANK(C492),"",VLOOKUP(C492,Members!$A$2:$B$101,2,FALSE)),"")</f>
        <v/>
      </c>
      <c r="E492" s="11"/>
      <c r="F492" s="10" t="str">
        <f>IF(ISBLANK(E492),"",E492+Settings!$B$7)</f>
        <v/>
      </c>
      <c r="G492" s="11"/>
      <c r="H492" s="10" t="str">
        <f t="shared" ca="1" si="15"/>
        <v/>
      </c>
      <c r="I492" s="11"/>
    </row>
    <row r="493" spans="1:9" x14ac:dyDescent="0.25">
      <c r="A493" s="10" t="str">
        <f t="shared" si="14"/>
        <v/>
      </c>
      <c r="B493" s="11"/>
      <c r="C493" s="11"/>
      <c r="D493" s="10" t="str">
        <f>IFERROR(IF(ISBLANK(C493),"",VLOOKUP(C493,Members!$A$2:$B$101,2,FALSE)),"")</f>
        <v/>
      </c>
      <c r="E493" s="11"/>
      <c r="F493" s="10" t="str">
        <f>IF(ISBLANK(E493),"",E493+Settings!$B$7)</f>
        <v/>
      </c>
      <c r="G493" s="11"/>
      <c r="H493" s="10" t="str">
        <f t="shared" ca="1" si="15"/>
        <v/>
      </c>
      <c r="I493" s="11"/>
    </row>
    <row r="494" spans="1:9" x14ac:dyDescent="0.25">
      <c r="A494" s="10" t="str">
        <f t="shared" si="14"/>
        <v/>
      </c>
      <c r="B494" s="11"/>
      <c r="C494" s="11"/>
      <c r="D494" s="10" t="str">
        <f>IFERROR(IF(ISBLANK(C494),"",VLOOKUP(C494,Members!$A$2:$B$101,2,FALSE)),"")</f>
        <v/>
      </c>
      <c r="E494" s="11"/>
      <c r="F494" s="10" t="str">
        <f>IF(ISBLANK(E494),"",E494+Settings!$B$7)</f>
        <v/>
      </c>
      <c r="G494" s="11"/>
      <c r="H494" s="10" t="str">
        <f t="shared" ca="1" si="15"/>
        <v/>
      </c>
      <c r="I494" s="11"/>
    </row>
    <row r="495" spans="1:9" x14ac:dyDescent="0.25">
      <c r="A495" s="10" t="str">
        <f t="shared" si="14"/>
        <v/>
      </c>
      <c r="B495" s="11"/>
      <c r="C495" s="11"/>
      <c r="D495" s="10" t="str">
        <f>IFERROR(IF(ISBLANK(C495),"",VLOOKUP(C495,Members!$A$2:$B$101,2,FALSE)),"")</f>
        <v/>
      </c>
      <c r="E495" s="11"/>
      <c r="F495" s="10" t="str">
        <f>IF(ISBLANK(E495),"",E495+Settings!$B$7)</f>
        <v/>
      </c>
      <c r="G495" s="11"/>
      <c r="H495" s="10" t="str">
        <f t="shared" ca="1" si="15"/>
        <v/>
      </c>
      <c r="I495" s="11"/>
    </row>
    <row r="496" spans="1:9" x14ac:dyDescent="0.25">
      <c r="A496" s="10" t="str">
        <f t="shared" si="14"/>
        <v/>
      </c>
      <c r="B496" s="11"/>
      <c r="C496" s="11"/>
      <c r="D496" s="10" t="str">
        <f>IFERROR(IF(ISBLANK(C496),"",VLOOKUP(C496,Members!$A$2:$B$101,2,FALSE)),"")</f>
        <v/>
      </c>
      <c r="E496" s="11"/>
      <c r="F496" s="10" t="str">
        <f>IF(ISBLANK(E496),"",E496+Settings!$B$7)</f>
        <v/>
      </c>
      <c r="G496" s="11"/>
      <c r="H496" s="10" t="str">
        <f t="shared" ca="1" si="15"/>
        <v/>
      </c>
      <c r="I496" s="11"/>
    </row>
    <row r="497" spans="1:9" x14ac:dyDescent="0.25">
      <c r="A497" s="10" t="str">
        <f t="shared" si="14"/>
        <v/>
      </c>
      <c r="B497" s="11"/>
      <c r="C497" s="11"/>
      <c r="D497" s="10" t="str">
        <f>IFERROR(IF(ISBLANK(C497),"",VLOOKUP(C497,Members!$A$2:$B$101,2,FALSE)),"")</f>
        <v/>
      </c>
      <c r="E497" s="11"/>
      <c r="F497" s="10" t="str">
        <f>IF(ISBLANK(E497),"",E497+Settings!$B$7)</f>
        <v/>
      </c>
      <c r="G497" s="11"/>
      <c r="H497" s="10" t="str">
        <f t="shared" ca="1" si="15"/>
        <v/>
      </c>
      <c r="I497" s="11"/>
    </row>
    <row r="498" spans="1:9" x14ac:dyDescent="0.25">
      <c r="A498" s="10" t="str">
        <f t="shared" si="14"/>
        <v/>
      </c>
      <c r="B498" s="11"/>
      <c r="C498" s="11"/>
      <c r="D498" s="10" t="str">
        <f>IFERROR(IF(ISBLANK(C498),"",VLOOKUP(C498,Members!$A$2:$B$101,2,FALSE)),"")</f>
        <v/>
      </c>
      <c r="E498" s="11"/>
      <c r="F498" s="10" t="str">
        <f>IF(ISBLANK(E498),"",E498+Settings!$B$7)</f>
        <v/>
      </c>
      <c r="G498" s="11"/>
      <c r="H498" s="10" t="str">
        <f t="shared" ca="1" si="15"/>
        <v/>
      </c>
      <c r="I498" s="11"/>
    </row>
    <row r="499" spans="1:9" x14ac:dyDescent="0.25">
      <c r="A499" s="10" t="str">
        <f t="shared" si="14"/>
        <v/>
      </c>
      <c r="B499" s="11"/>
      <c r="C499" s="11"/>
      <c r="D499" s="10" t="str">
        <f>IFERROR(IF(ISBLANK(C499),"",VLOOKUP(C499,Members!$A$2:$B$101,2,FALSE)),"")</f>
        <v/>
      </c>
      <c r="E499" s="11"/>
      <c r="F499" s="10" t="str">
        <f>IF(ISBLANK(E499),"",E499+Settings!$B$7)</f>
        <v/>
      </c>
      <c r="G499" s="11"/>
      <c r="H499" s="10" t="str">
        <f t="shared" ca="1" si="15"/>
        <v/>
      </c>
      <c r="I499" s="11"/>
    </row>
    <row r="500" spans="1:9" x14ac:dyDescent="0.25">
      <c r="A500" s="10" t="str">
        <f t="shared" si="14"/>
        <v/>
      </c>
      <c r="B500" s="11"/>
      <c r="C500" s="11"/>
      <c r="D500" s="10" t="str">
        <f>IFERROR(IF(ISBLANK(C500),"",VLOOKUP(C500,Members!$A$2:$B$101,2,FALSE)),"")</f>
        <v/>
      </c>
      <c r="E500" s="11"/>
      <c r="F500" s="10" t="str">
        <f>IF(ISBLANK(E500),"",E500+Settings!$B$7)</f>
        <v/>
      </c>
      <c r="G500" s="11"/>
      <c r="H500" s="10" t="str">
        <f t="shared" ca="1" si="15"/>
        <v/>
      </c>
      <c r="I500" s="11"/>
    </row>
    <row r="501" spans="1:9" x14ac:dyDescent="0.25">
      <c r="A501" s="10" t="str">
        <f t="shared" si="14"/>
        <v/>
      </c>
      <c r="B501" s="11"/>
      <c r="C501" s="11"/>
      <c r="D501" s="10" t="str">
        <f>IFERROR(IF(ISBLANK(C501),"",VLOOKUP(C501,Members!$A$2:$B$101,2,FALSE)),"")</f>
        <v/>
      </c>
      <c r="E501" s="11"/>
      <c r="F501" s="10" t="str">
        <f>IF(ISBLANK(E501),"",E501+Settings!$B$7)</f>
        <v/>
      </c>
      <c r="G501" s="11"/>
      <c r="H501" s="10" t="str">
        <f t="shared" ca="1" si="15"/>
        <v/>
      </c>
      <c r="I501" s="11"/>
    </row>
  </sheetData>
  <sheetProtection password="E720" sheet="1"/>
  <autoFilter ref="A1:I501" xr:uid="{00000000-0009-0000-0000-000006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26" customWidth="1"/>
    <col min="4" max="4" width="18" customWidth="1"/>
    <col min="5" max="5" width="14" customWidth="1"/>
    <col min="6" max="6" width="12" customWidth="1"/>
    <col min="7" max="7" width="30" customWidth="1"/>
  </cols>
  <sheetData>
    <row r="1" spans="1:7" x14ac:dyDescent="0.25">
      <c r="A1" s="5" t="s">
        <v>371</v>
      </c>
      <c r="B1" s="5" t="s">
        <v>377</v>
      </c>
      <c r="C1" s="5" t="s">
        <v>378</v>
      </c>
      <c r="D1" s="5" t="s">
        <v>94</v>
      </c>
      <c r="E1" s="5" t="s">
        <v>379</v>
      </c>
      <c r="F1" s="5" t="s">
        <v>376</v>
      </c>
      <c r="G1" s="5" t="s">
        <v>249</v>
      </c>
    </row>
    <row r="2" spans="1:7" x14ac:dyDescent="0.25">
      <c r="A2" s="11" t="s">
        <v>380</v>
      </c>
      <c r="B2" s="11" t="s">
        <v>381</v>
      </c>
      <c r="C2" s="11"/>
      <c r="D2" s="11" t="s">
        <v>104</v>
      </c>
      <c r="E2" s="11" t="s">
        <v>382</v>
      </c>
      <c r="F2" s="11" t="s">
        <v>111</v>
      </c>
      <c r="G2" s="11"/>
    </row>
    <row r="3" spans="1:7" x14ac:dyDescent="0.25">
      <c r="A3" s="11"/>
      <c r="B3" s="11"/>
      <c r="C3" s="11"/>
      <c r="D3" s="11"/>
      <c r="E3" s="11"/>
      <c r="F3" s="11"/>
      <c r="G3" s="11"/>
    </row>
    <row r="4" spans="1:7" x14ac:dyDescent="0.25">
      <c r="A4" s="11"/>
      <c r="B4" s="11"/>
      <c r="C4" s="11"/>
      <c r="D4" s="11"/>
      <c r="E4" s="11"/>
      <c r="F4" s="11"/>
      <c r="G4" s="11"/>
    </row>
    <row r="5" spans="1:7" x14ac:dyDescent="0.25">
      <c r="A5" s="11"/>
      <c r="B5" s="11"/>
      <c r="C5" s="11"/>
      <c r="D5" s="11"/>
      <c r="E5" s="11"/>
      <c r="F5" s="11"/>
      <c r="G5" s="11"/>
    </row>
    <row r="6" spans="1:7" x14ac:dyDescent="0.25">
      <c r="A6" s="11"/>
      <c r="B6" s="11"/>
      <c r="C6" s="11"/>
      <c r="D6" s="11"/>
      <c r="E6" s="11"/>
      <c r="F6" s="11"/>
      <c r="G6" s="11"/>
    </row>
    <row r="7" spans="1:7" x14ac:dyDescent="0.25">
      <c r="A7" s="11"/>
      <c r="B7" s="11"/>
      <c r="C7" s="11"/>
      <c r="D7" s="11"/>
      <c r="E7" s="11"/>
      <c r="F7" s="11"/>
      <c r="G7" s="11"/>
    </row>
    <row r="8" spans="1:7" x14ac:dyDescent="0.25">
      <c r="A8" s="11"/>
      <c r="B8" s="11"/>
      <c r="C8" s="11"/>
      <c r="D8" s="11"/>
      <c r="E8" s="11"/>
      <c r="F8" s="11"/>
      <c r="G8" s="11"/>
    </row>
    <row r="9" spans="1:7" x14ac:dyDescent="0.25">
      <c r="A9" s="11"/>
      <c r="B9" s="11"/>
      <c r="C9" s="11"/>
      <c r="D9" s="11"/>
      <c r="E9" s="11"/>
      <c r="F9" s="11"/>
      <c r="G9" s="11"/>
    </row>
    <row r="10" spans="1:7" x14ac:dyDescent="0.25">
      <c r="A10" s="11"/>
      <c r="B10" s="11"/>
      <c r="C10" s="11"/>
      <c r="D10" s="11"/>
      <c r="E10" s="11"/>
      <c r="F10" s="11"/>
      <c r="G10" s="11"/>
    </row>
    <row r="11" spans="1:7" x14ac:dyDescent="0.25">
      <c r="A11" s="11"/>
      <c r="B11" s="11"/>
      <c r="C11" s="11"/>
      <c r="D11" s="11"/>
      <c r="E11" s="11"/>
      <c r="F11" s="11"/>
      <c r="G11" s="11"/>
    </row>
    <row r="12" spans="1:7" x14ac:dyDescent="0.25">
      <c r="A12" s="11"/>
      <c r="B12" s="11"/>
      <c r="C12" s="11"/>
      <c r="D12" s="11"/>
      <c r="E12" s="11"/>
      <c r="F12" s="11"/>
      <c r="G12" s="11"/>
    </row>
    <row r="13" spans="1:7" x14ac:dyDescent="0.25">
      <c r="A13" s="11"/>
      <c r="B13" s="11"/>
      <c r="C13" s="11"/>
      <c r="D13" s="11"/>
      <c r="E13" s="11"/>
      <c r="F13" s="11"/>
      <c r="G13" s="11"/>
    </row>
    <row r="14" spans="1:7" x14ac:dyDescent="0.25">
      <c r="A14" s="11"/>
      <c r="B14" s="11"/>
      <c r="C14" s="11"/>
      <c r="D14" s="11"/>
      <c r="E14" s="11"/>
      <c r="F14" s="11"/>
      <c r="G14" s="11"/>
    </row>
    <row r="15" spans="1:7" x14ac:dyDescent="0.25">
      <c r="A15" s="11"/>
      <c r="B15" s="11"/>
      <c r="C15" s="11"/>
      <c r="D15" s="11"/>
      <c r="E15" s="11"/>
      <c r="F15" s="11"/>
      <c r="G15" s="11"/>
    </row>
    <row r="16" spans="1:7" x14ac:dyDescent="0.25">
      <c r="A16" s="11"/>
      <c r="B16" s="11"/>
      <c r="C16" s="11"/>
      <c r="D16" s="11"/>
      <c r="E16" s="11"/>
      <c r="F16" s="11"/>
      <c r="G16" s="11"/>
    </row>
    <row r="17" spans="1:7" x14ac:dyDescent="0.25">
      <c r="A17" s="11"/>
      <c r="B17" s="11"/>
      <c r="C17" s="11"/>
      <c r="D17" s="11"/>
      <c r="E17" s="11"/>
      <c r="F17" s="11"/>
      <c r="G17" s="11"/>
    </row>
    <row r="18" spans="1:7" x14ac:dyDescent="0.25">
      <c r="A18" s="11"/>
      <c r="B18" s="11"/>
      <c r="C18" s="11"/>
      <c r="D18" s="11"/>
      <c r="E18" s="11"/>
      <c r="F18" s="11"/>
      <c r="G18" s="11"/>
    </row>
    <row r="19" spans="1:7" x14ac:dyDescent="0.25">
      <c r="A19" s="11"/>
      <c r="B19" s="11"/>
      <c r="C19" s="11"/>
      <c r="D19" s="11"/>
      <c r="E19" s="11"/>
      <c r="F19" s="11"/>
      <c r="G19" s="11"/>
    </row>
    <row r="20" spans="1:7" x14ac:dyDescent="0.25">
      <c r="A20" s="11"/>
      <c r="B20" s="11"/>
      <c r="C20" s="11"/>
      <c r="D20" s="11"/>
      <c r="E20" s="11"/>
      <c r="F20" s="11"/>
      <c r="G20" s="11"/>
    </row>
    <row r="21" spans="1:7" x14ac:dyDescent="0.25">
      <c r="A21" s="11"/>
      <c r="B21" s="11"/>
      <c r="C21" s="11"/>
      <c r="D21" s="11"/>
      <c r="E21" s="11"/>
      <c r="F21" s="11"/>
      <c r="G21" s="11"/>
    </row>
    <row r="22" spans="1:7" x14ac:dyDescent="0.25">
      <c r="A22" s="11"/>
      <c r="B22" s="11"/>
      <c r="C22" s="11"/>
      <c r="D22" s="11"/>
      <c r="E22" s="11"/>
      <c r="F22" s="11"/>
      <c r="G22" s="11"/>
    </row>
    <row r="23" spans="1:7" x14ac:dyDescent="0.25">
      <c r="A23" s="11"/>
      <c r="B23" s="11"/>
      <c r="C23" s="11"/>
      <c r="D23" s="11"/>
      <c r="E23" s="11"/>
      <c r="F23" s="11"/>
      <c r="G23" s="11"/>
    </row>
    <row r="24" spans="1:7" x14ac:dyDescent="0.25">
      <c r="A24" s="11"/>
      <c r="B24" s="11"/>
      <c r="C24" s="11"/>
      <c r="D24" s="11"/>
      <c r="E24" s="11"/>
      <c r="F24" s="11"/>
      <c r="G24" s="11"/>
    </row>
    <row r="25" spans="1:7" x14ac:dyDescent="0.25">
      <c r="A25" s="11"/>
      <c r="B25" s="11"/>
      <c r="C25" s="11"/>
      <c r="D25" s="11"/>
      <c r="E25" s="11"/>
      <c r="F25" s="11"/>
      <c r="G25" s="11"/>
    </row>
    <row r="26" spans="1:7" x14ac:dyDescent="0.25">
      <c r="A26" s="11"/>
      <c r="B26" s="11"/>
      <c r="C26" s="11"/>
      <c r="D26" s="11"/>
      <c r="E26" s="11"/>
      <c r="F26" s="11"/>
      <c r="G26" s="11"/>
    </row>
    <row r="27" spans="1:7" x14ac:dyDescent="0.25">
      <c r="A27" s="11"/>
      <c r="B27" s="11"/>
      <c r="C27" s="11"/>
      <c r="D27" s="11"/>
      <c r="E27" s="11"/>
      <c r="F27" s="11"/>
      <c r="G27" s="11"/>
    </row>
    <row r="28" spans="1:7" x14ac:dyDescent="0.25">
      <c r="A28" s="11"/>
      <c r="B28" s="11"/>
      <c r="C28" s="11"/>
      <c r="D28" s="11"/>
      <c r="E28" s="11"/>
      <c r="F28" s="11"/>
      <c r="G28" s="11"/>
    </row>
    <row r="29" spans="1:7" x14ac:dyDescent="0.25">
      <c r="A29" s="11"/>
      <c r="B29" s="11"/>
      <c r="C29" s="11"/>
      <c r="D29" s="11"/>
      <c r="E29" s="11"/>
      <c r="F29" s="11"/>
      <c r="G29" s="11"/>
    </row>
    <row r="30" spans="1:7" x14ac:dyDescent="0.25">
      <c r="A30" s="11"/>
      <c r="B30" s="11"/>
      <c r="C30" s="11"/>
      <c r="D30" s="11"/>
      <c r="E30" s="11"/>
      <c r="F30" s="11"/>
      <c r="G30" s="11"/>
    </row>
    <row r="31" spans="1:7" x14ac:dyDescent="0.25">
      <c r="A31" s="11"/>
      <c r="B31" s="11"/>
      <c r="C31" s="11"/>
      <c r="D31" s="11"/>
      <c r="E31" s="11"/>
      <c r="F31" s="11"/>
      <c r="G31" s="11"/>
    </row>
    <row r="32" spans="1:7" x14ac:dyDescent="0.25">
      <c r="A32" s="11"/>
      <c r="B32" s="11"/>
      <c r="C32" s="11"/>
      <c r="D32" s="11"/>
      <c r="E32" s="11"/>
      <c r="F32" s="11"/>
      <c r="G32" s="11"/>
    </row>
    <row r="33" spans="1:7" x14ac:dyDescent="0.25">
      <c r="A33" s="11"/>
      <c r="B33" s="11"/>
      <c r="C33" s="11"/>
      <c r="D33" s="11"/>
      <c r="E33" s="11"/>
      <c r="F33" s="11"/>
      <c r="G33" s="11"/>
    </row>
    <row r="34" spans="1:7" x14ac:dyDescent="0.25">
      <c r="A34" s="11"/>
      <c r="B34" s="11"/>
      <c r="C34" s="11"/>
      <c r="D34" s="11"/>
      <c r="E34" s="11"/>
      <c r="F34" s="11"/>
      <c r="G34" s="11"/>
    </row>
    <row r="35" spans="1:7" x14ac:dyDescent="0.25">
      <c r="A35" s="11"/>
      <c r="B35" s="11"/>
      <c r="C35" s="11"/>
      <c r="D35" s="11"/>
      <c r="E35" s="11"/>
      <c r="F35" s="11"/>
      <c r="G35" s="11"/>
    </row>
    <row r="36" spans="1:7" x14ac:dyDescent="0.25">
      <c r="A36" s="11"/>
      <c r="B36" s="11"/>
      <c r="C36" s="11"/>
      <c r="D36" s="11"/>
      <c r="E36" s="11"/>
      <c r="F36" s="11"/>
      <c r="G36" s="11"/>
    </row>
    <row r="37" spans="1:7" x14ac:dyDescent="0.25">
      <c r="A37" s="11"/>
      <c r="B37" s="11"/>
      <c r="C37" s="11"/>
      <c r="D37" s="11"/>
      <c r="E37" s="11"/>
      <c r="F37" s="11"/>
      <c r="G37" s="11"/>
    </row>
    <row r="38" spans="1:7" x14ac:dyDescent="0.25">
      <c r="A38" s="11"/>
      <c r="B38" s="11"/>
      <c r="C38" s="11"/>
      <c r="D38" s="11"/>
      <c r="E38" s="11"/>
      <c r="F38" s="11"/>
      <c r="G38" s="11"/>
    </row>
    <row r="39" spans="1:7" x14ac:dyDescent="0.25">
      <c r="A39" s="11"/>
      <c r="B39" s="11"/>
      <c r="C39" s="11"/>
      <c r="D39" s="11"/>
      <c r="E39" s="11"/>
      <c r="F39" s="11"/>
      <c r="G39" s="11"/>
    </row>
    <row r="40" spans="1:7" x14ac:dyDescent="0.25">
      <c r="A40" s="11"/>
      <c r="B40" s="11"/>
      <c r="C40" s="11"/>
      <c r="D40" s="11"/>
      <c r="E40" s="11"/>
      <c r="F40" s="11"/>
      <c r="G40" s="11"/>
    </row>
    <row r="41" spans="1:7" x14ac:dyDescent="0.25">
      <c r="A41" s="11"/>
      <c r="B41" s="11"/>
      <c r="C41" s="11"/>
      <c r="D41" s="11"/>
      <c r="E41" s="11"/>
      <c r="F41" s="11"/>
      <c r="G41" s="11"/>
    </row>
    <row r="42" spans="1:7" x14ac:dyDescent="0.25">
      <c r="A42" s="11"/>
      <c r="B42" s="11"/>
      <c r="C42" s="11"/>
      <c r="D42" s="11"/>
      <c r="E42" s="11"/>
      <c r="F42" s="11"/>
      <c r="G42" s="11"/>
    </row>
    <row r="43" spans="1:7" x14ac:dyDescent="0.25">
      <c r="A43" s="11"/>
      <c r="B43" s="11"/>
      <c r="C43" s="11"/>
      <c r="D43" s="11"/>
      <c r="E43" s="11"/>
      <c r="F43" s="11"/>
      <c r="G43" s="11"/>
    </row>
    <row r="44" spans="1:7" x14ac:dyDescent="0.25">
      <c r="A44" s="11"/>
      <c r="B44" s="11"/>
      <c r="C44" s="11"/>
      <c r="D44" s="11"/>
      <c r="E44" s="11"/>
      <c r="F44" s="11"/>
      <c r="G44" s="11"/>
    </row>
    <row r="45" spans="1:7" x14ac:dyDescent="0.25">
      <c r="A45" s="11"/>
      <c r="B45" s="11"/>
      <c r="C45" s="11"/>
      <c r="D45" s="11"/>
      <c r="E45" s="11"/>
      <c r="F45" s="11"/>
      <c r="G45" s="11"/>
    </row>
    <row r="46" spans="1:7" x14ac:dyDescent="0.25">
      <c r="A46" s="11"/>
      <c r="B46" s="11"/>
      <c r="C46" s="11"/>
      <c r="D46" s="11"/>
      <c r="E46" s="11"/>
      <c r="F46" s="11"/>
      <c r="G46" s="11"/>
    </row>
    <row r="47" spans="1:7" x14ac:dyDescent="0.25">
      <c r="A47" s="11"/>
      <c r="B47" s="11"/>
      <c r="C47" s="11"/>
      <c r="D47" s="11"/>
      <c r="E47" s="11"/>
      <c r="F47" s="11"/>
      <c r="G47" s="11"/>
    </row>
    <row r="48" spans="1:7" x14ac:dyDescent="0.25">
      <c r="A48" s="11"/>
      <c r="B48" s="11"/>
      <c r="C48" s="11"/>
      <c r="D48" s="11"/>
      <c r="E48" s="11"/>
      <c r="F48" s="11"/>
      <c r="G48" s="11"/>
    </row>
    <row r="49" spans="1:7" x14ac:dyDescent="0.25">
      <c r="A49" s="11"/>
      <c r="B49" s="11"/>
      <c r="C49" s="11"/>
      <c r="D49" s="11"/>
      <c r="E49" s="11"/>
      <c r="F49" s="11"/>
      <c r="G49" s="11"/>
    </row>
    <row r="50" spans="1:7" x14ac:dyDescent="0.25">
      <c r="A50" s="11"/>
      <c r="B50" s="11"/>
      <c r="C50" s="11"/>
      <c r="D50" s="11"/>
      <c r="E50" s="11"/>
      <c r="F50" s="11"/>
      <c r="G50" s="11"/>
    </row>
    <row r="51" spans="1:7" x14ac:dyDescent="0.25">
      <c r="A51" s="11"/>
      <c r="B51" s="11"/>
      <c r="C51" s="11"/>
      <c r="D51" s="11"/>
      <c r="E51" s="11"/>
      <c r="F51" s="11"/>
      <c r="G51" s="11"/>
    </row>
    <row r="52" spans="1:7" x14ac:dyDescent="0.25">
      <c r="A52" s="11"/>
      <c r="B52" s="11"/>
      <c r="C52" s="11"/>
      <c r="D52" s="11"/>
      <c r="E52" s="11"/>
      <c r="F52" s="11"/>
      <c r="G52" s="11"/>
    </row>
    <row r="53" spans="1:7" x14ac:dyDescent="0.25">
      <c r="A53" s="11"/>
      <c r="B53" s="11"/>
      <c r="C53" s="11"/>
      <c r="D53" s="11"/>
      <c r="E53" s="11"/>
      <c r="F53" s="11"/>
      <c r="G53" s="11"/>
    </row>
    <row r="54" spans="1:7" x14ac:dyDescent="0.25">
      <c r="A54" s="11"/>
      <c r="B54" s="11"/>
      <c r="C54" s="11"/>
      <c r="D54" s="11"/>
      <c r="E54" s="11"/>
      <c r="F54" s="11"/>
      <c r="G54" s="11"/>
    </row>
    <row r="55" spans="1:7" x14ac:dyDescent="0.25">
      <c r="A55" s="11"/>
      <c r="B55" s="11"/>
      <c r="C55" s="11"/>
      <c r="D55" s="11"/>
      <c r="E55" s="11"/>
      <c r="F55" s="11"/>
      <c r="G55" s="11"/>
    </row>
    <row r="56" spans="1:7" x14ac:dyDescent="0.25">
      <c r="A56" s="11"/>
      <c r="B56" s="11"/>
      <c r="C56" s="11"/>
      <c r="D56" s="11"/>
      <c r="E56" s="11"/>
      <c r="F56" s="11"/>
      <c r="G56" s="11"/>
    </row>
    <row r="57" spans="1:7" x14ac:dyDescent="0.25">
      <c r="A57" s="11"/>
      <c r="B57" s="11"/>
      <c r="C57" s="11"/>
      <c r="D57" s="11"/>
      <c r="E57" s="11"/>
      <c r="F57" s="11"/>
      <c r="G57" s="11"/>
    </row>
    <row r="58" spans="1:7" x14ac:dyDescent="0.25">
      <c r="A58" s="11"/>
      <c r="B58" s="11"/>
      <c r="C58" s="11"/>
      <c r="D58" s="11"/>
      <c r="E58" s="11"/>
      <c r="F58" s="11"/>
      <c r="G58" s="11"/>
    </row>
    <row r="59" spans="1:7" x14ac:dyDescent="0.25">
      <c r="A59" s="11"/>
      <c r="B59" s="11"/>
      <c r="C59" s="11"/>
      <c r="D59" s="11"/>
      <c r="E59" s="11"/>
      <c r="F59" s="11"/>
      <c r="G59" s="11"/>
    </row>
    <row r="60" spans="1:7" x14ac:dyDescent="0.25">
      <c r="A60" s="11"/>
      <c r="B60" s="11"/>
      <c r="C60" s="11"/>
      <c r="D60" s="11"/>
      <c r="E60" s="11"/>
      <c r="F60" s="11"/>
      <c r="G60" s="11"/>
    </row>
    <row r="61" spans="1:7" x14ac:dyDescent="0.25">
      <c r="A61" s="11"/>
      <c r="B61" s="11"/>
      <c r="C61" s="11"/>
      <c r="D61" s="11"/>
      <c r="E61" s="11"/>
      <c r="F61" s="11"/>
      <c r="G61" s="11"/>
    </row>
    <row r="62" spans="1:7" x14ac:dyDescent="0.25">
      <c r="A62" s="11"/>
      <c r="B62" s="11"/>
      <c r="C62" s="11"/>
      <c r="D62" s="11"/>
      <c r="E62" s="11"/>
      <c r="F62" s="11"/>
      <c r="G62" s="11"/>
    </row>
    <row r="63" spans="1:7" x14ac:dyDescent="0.25">
      <c r="A63" s="11"/>
      <c r="B63" s="11"/>
      <c r="C63" s="11"/>
      <c r="D63" s="11"/>
      <c r="E63" s="11"/>
      <c r="F63" s="11"/>
      <c r="G63" s="11"/>
    </row>
    <row r="64" spans="1:7" x14ac:dyDescent="0.25">
      <c r="A64" s="11"/>
      <c r="B64" s="11"/>
      <c r="C64" s="11"/>
      <c r="D64" s="11"/>
      <c r="E64" s="11"/>
      <c r="F64" s="11"/>
      <c r="G64" s="11"/>
    </row>
    <row r="65" spans="1:7" x14ac:dyDescent="0.25">
      <c r="A65" s="11"/>
      <c r="B65" s="11"/>
      <c r="C65" s="11"/>
      <c r="D65" s="11"/>
      <c r="E65" s="11"/>
      <c r="F65" s="11"/>
      <c r="G65" s="11"/>
    </row>
    <row r="66" spans="1:7" x14ac:dyDescent="0.25">
      <c r="A66" s="11"/>
      <c r="B66" s="11"/>
      <c r="C66" s="11"/>
      <c r="D66" s="11"/>
      <c r="E66" s="11"/>
      <c r="F66" s="11"/>
      <c r="G66" s="11"/>
    </row>
    <row r="67" spans="1:7" x14ac:dyDescent="0.25">
      <c r="A67" s="11"/>
      <c r="B67" s="11"/>
      <c r="C67" s="11"/>
      <c r="D67" s="11"/>
      <c r="E67" s="11"/>
      <c r="F67" s="11"/>
      <c r="G67" s="11"/>
    </row>
    <row r="68" spans="1:7" x14ac:dyDescent="0.25">
      <c r="A68" s="11"/>
      <c r="B68" s="11"/>
      <c r="C68" s="11"/>
      <c r="D68" s="11"/>
      <c r="E68" s="11"/>
      <c r="F68" s="11"/>
      <c r="G68" s="11"/>
    </row>
    <row r="69" spans="1:7" x14ac:dyDescent="0.25">
      <c r="A69" s="11"/>
      <c r="B69" s="11"/>
      <c r="C69" s="11"/>
      <c r="D69" s="11"/>
      <c r="E69" s="11"/>
      <c r="F69" s="11"/>
      <c r="G69" s="11"/>
    </row>
    <row r="70" spans="1:7" x14ac:dyDescent="0.25">
      <c r="A70" s="11"/>
      <c r="B70" s="11"/>
      <c r="C70" s="11"/>
      <c r="D70" s="11"/>
      <c r="E70" s="11"/>
      <c r="F70" s="11"/>
      <c r="G70" s="11"/>
    </row>
    <row r="71" spans="1:7" x14ac:dyDescent="0.25">
      <c r="A71" s="11"/>
      <c r="B71" s="11"/>
      <c r="C71" s="11"/>
      <c r="D71" s="11"/>
      <c r="E71" s="11"/>
      <c r="F71" s="11"/>
      <c r="G71" s="11"/>
    </row>
    <row r="72" spans="1:7" x14ac:dyDescent="0.25">
      <c r="A72" s="11"/>
      <c r="B72" s="11"/>
      <c r="C72" s="11"/>
      <c r="D72" s="11"/>
      <c r="E72" s="11"/>
      <c r="F72" s="11"/>
      <c r="G72" s="11"/>
    </row>
    <row r="73" spans="1:7" x14ac:dyDescent="0.25">
      <c r="A73" s="11"/>
      <c r="B73" s="11"/>
      <c r="C73" s="11"/>
      <c r="D73" s="11"/>
      <c r="E73" s="11"/>
      <c r="F73" s="11"/>
      <c r="G73" s="11"/>
    </row>
    <row r="74" spans="1:7" x14ac:dyDescent="0.25">
      <c r="A74" s="11"/>
      <c r="B74" s="11"/>
      <c r="C74" s="11"/>
      <c r="D74" s="11"/>
      <c r="E74" s="11"/>
      <c r="F74" s="11"/>
      <c r="G74" s="11"/>
    </row>
    <row r="75" spans="1:7" x14ac:dyDescent="0.25">
      <c r="A75" s="11"/>
      <c r="B75" s="11"/>
      <c r="C75" s="11"/>
      <c r="D75" s="11"/>
      <c r="E75" s="11"/>
      <c r="F75" s="11"/>
      <c r="G75" s="11"/>
    </row>
    <row r="76" spans="1:7" x14ac:dyDescent="0.25">
      <c r="A76" s="11"/>
      <c r="B76" s="11"/>
      <c r="C76" s="11"/>
      <c r="D76" s="11"/>
      <c r="E76" s="11"/>
      <c r="F76" s="11"/>
      <c r="G76" s="11"/>
    </row>
    <row r="77" spans="1:7" x14ac:dyDescent="0.25">
      <c r="A77" s="11"/>
      <c r="B77" s="11"/>
      <c r="C77" s="11"/>
      <c r="D77" s="11"/>
      <c r="E77" s="11"/>
      <c r="F77" s="11"/>
      <c r="G77" s="11"/>
    </row>
    <row r="78" spans="1:7" x14ac:dyDescent="0.25">
      <c r="A78" s="11"/>
      <c r="B78" s="11"/>
      <c r="C78" s="11"/>
      <c r="D78" s="11"/>
      <c r="E78" s="11"/>
      <c r="F78" s="11"/>
      <c r="G78" s="11"/>
    </row>
    <row r="79" spans="1:7" x14ac:dyDescent="0.25">
      <c r="A79" s="11"/>
      <c r="B79" s="11"/>
      <c r="C79" s="11"/>
      <c r="D79" s="11"/>
      <c r="E79" s="11"/>
      <c r="F79" s="11"/>
      <c r="G79" s="11"/>
    </row>
    <row r="80" spans="1:7" x14ac:dyDescent="0.25">
      <c r="A80" s="11"/>
      <c r="B80" s="11"/>
      <c r="C80" s="11"/>
      <c r="D80" s="11"/>
      <c r="E80" s="11"/>
      <c r="F80" s="11"/>
      <c r="G80" s="11"/>
    </row>
    <row r="81" spans="1:7" x14ac:dyDescent="0.25">
      <c r="A81" s="11"/>
      <c r="B81" s="11"/>
      <c r="C81" s="11"/>
      <c r="D81" s="11"/>
      <c r="E81" s="11"/>
      <c r="F81" s="11"/>
      <c r="G81" s="11"/>
    </row>
    <row r="82" spans="1:7" x14ac:dyDescent="0.25">
      <c r="A82" s="11"/>
      <c r="B82" s="11"/>
      <c r="C82" s="11"/>
      <c r="D82" s="11"/>
      <c r="E82" s="11"/>
      <c r="F82" s="11"/>
      <c r="G82" s="11"/>
    </row>
    <row r="83" spans="1:7" x14ac:dyDescent="0.25">
      <c r="A83" s="11"/>
      <c r="B83" s="11"/>
      <c r="C83" s="11"/>
      <c r="D83" s="11"/>
      <c r="E83" s="11"/>
      <c r="F83" s="11"/>
      <c r="G83" s="11"/>
    </row>
    <row r="84" spans="1:7" x14ac:dyDescent="0.25">
      <c r="A84" s="11"/>
      <c r="B84" s="11"/>
      <c r="C84" s="11"/>
      <c r="D84" s="11"/>
      <c r="E84" s="11"/>
      <c r="F84" s="11"/>
      <c r="G84" s="11"/>
    </row>
    <row r="85" spans="1:7" x14ac:dyDescent="0.25">
      <c r="A85" s="11"/>
      <c r="B85" s="11"/>
      <c r="C85" s="11"/>
      <c r="D85" s="11"/>
      <c r="E85" s="11"/>
      <c r="F85" s="11"/>
      <c r="G85" s="11"/>
    </row>
    <row r="86" spans="1:7" x14ac:dyDescent="0.25">
      <c r="A86" s="11"/>
      <c r="B86" s="11"/>
      <c r="C86" s="11"/>
      <c r="D86" s="11"/>
      <c r="E86" s="11"/>
      <c r="F86" s="11"/>
      <c r="G86" s="11"/>
    </row>
    <row r="87" spans="1:7" x14ac:dyDescent="0.25">
      <c r="A87" s="11"/>
      <c r="B87" s="11"/>
      <c r="C87" s="11"/>
      <c r="D87" s="11"/>
      <c r="E87" s="11"/>
      <c r="F87" s="11"/>
      <c r="G87" s="11"/>
    </row>
    <row r="88" spans="1:7" x14ac:dyDescent="0.25">
      <c r="A88" s="11"/>
      <c r="B88" s="11"/>
      <c r="C88" s="11"/>
      <c r="D88" s="11"/>
      <c r="E88" s="11"/>
      <c r="F88" s="11"/>
      <c r="G88" s="11"/>
    </row>
    <row r="89" spans="1:7" x14ac:dyDescent="0.25">
      <c r="A89" s="11"/>
      <c r="B89" s="11"/>
      <c r="C89" s="11"/>
      <c r="D89" s="11"/>
      <c r="E89" s="11"/>
      <c r="F89" s="11"/>
      <c r="G89" s="11"/>
    </row>
    <row r="90" spans="1:7" x14ac:dyDescent="0.25">
      <c r="A90" s="11"/>
      <c r="B90" s="11"/>
      <c r="C90" s="11"/>
      <c r="D90" s="11"/>
      <c r="E90" s="11"/>
      <c r="F90" s="11"/>
      <c r="G90" s="11"/>
    </row>
    <row r="91" spans="1:7" x14ac:dyDescent="0.25">
      <c r="A91" s="11"/>
      <c r="B91" s="11"/>
      <c r="C91" s="11"/>
      <c r="D91" s="11"/>
      <c r="E91" s="11"/>
      <c r="F91" s="11"/>
      <c r="G91" s="11"/>
    </row>
    <row r="92" spans="1:7" x14ac:dyDescent="0.25">
      <c r="A92" s="11"/>
      <c r="B92" s="11"/>
      <c r="C92" s="11"/>
      <c r="D92" s="11"/>
      <c r="E92" s="11"/>
      <c r="F92" s="11"/>
      <c r="G92" s="11"/>
    </row>
    <row r="93" spans="1:7" x14ac:dyDescent="0.25">
      <c r="A93" s="11"/>
      <c r="B93" s="11"/>
      <c r="C93" s="11"/>
      <c r="D93" s="11"/>
      <c r="E93" s="11"/>
      <c r="F93" s="11"/>
      <c r="G93" s="11"/>
    </row>
    <row r="94" spans="1:7" x14ac:dyDescent="0.25">
      <c r="A94" s="11"/>
      <c r="B94" s="11"/>
      <c r="C94" s="11"/>
      <c r="D94" s="11"/>
      <c r="E94" s="11"/>
      <c r="F94" s="11"/>
      <c r="G94" s="11"/>
    </row>
    <row r="95" spans="1:7" x14ac:dyDescent="0.25">
      <c r="A95" s="11"/>
      <c r="B95" s="11"/>
      <c r="C95" s="11"/>
      <c r="D95" s="11"/>
      <c r="E95" s="11"/>
      <c r="F95" s="11"/>
      <c r="G95" s="11"/>
    </row>
    <row r="96" spans="1:7" x14ac:dyDescent="0.25">
      <c r="A96" s="11"/>
      <c r="B96" s="11"/>
      <c r="C96" s="11"/>
      <c r="D96" s="11"/>
      <c r="E96" s="11"/>
      <c r="F96" s="11"/>
      <c r="G96" s="11"/>
    </row>
    <row r="97" spans="1:7" x14ac:dyDescent="0.25">
      <c r="A97" s="11"/>
      <c r="B97" s="11"/>
      <c r="C97" s="11"/>
      <c r="D97" s="11"/>
      <c r="E97" s="11"/>
      <c r="F97" s="11"/>
      <c r="G97" s="11"/>
    </row>
    <row r="98" spans="1:7" x14ac:dyDescent="0.25">
      <c r="A98" s="11"/>
      <c r="B98" s="11"/>
      <c r="C98" s="11"/>
      <c r="D98" s="11"/>
      <c r="E98" s="11"/>
      <c r="F98" s="11"/>
      <c r="G98" s="11"/>
    </row>
    <row r="99" spans="1:7" x14ac:dyDescent="0.25">
      <c r="A99" s="11"/>
      <c r="B99" s="11"/>
      <c r="C99" s="11"/>
      <c r="D99" s="11"/>
      <c r="E99" s="11"/>
      <c r="F99" s="11"/>
      <c r="G99" s="11"/>
    </row>
    <row r="100" spans="1:7" x14ac:dyDescent="0.25">
      <c r="A100" s="11"/>
      <c r="B100" s="11"/>
      <c r="C100" s="11"/>
      <c r="D100" s="11"/>
      <c r="E100" s="11"/>
      <c r="F100" s="11"/>
      <c r="G100" s="11"/>
    </row>
    <row r="101" spans="1:7" x14ac:dyDescent="0.25">
      <c r="A101" s="11"/>
      <c r="B101" s="11"/>
      <c r="C101" s="11"/>
      <c r="D101" s="11"/>
      <c r="E101" s="11"/>
      <c r="F101" s="11"/>
      <c r="G101" s="11"/>
    </row>
  </sheetData>
  <sheetProtection password="E720" sheet="1"/>
  <dataValidations count="2">
    <dataValidation type="list" allowBlank="1" sqref="D2:D101" xr:uid="{00000000-0002-0000-0700-000000000000}">
      <formula1>MembershipList</formula1>
    </dataValidation>
    <dataValidation type="list" allowBlank="1" sqref="F2:F101" xr:uid="{00000000-0002-0000-0700-000001000000}">
      <formula1>MemberStatusList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3" width="34" customWidth="1"/>
    <col min="4" max="4" width="12" customWidth="1"/>
    <col min="5" max="5" width="24" customWidth="1"/>
    <col min="6" max="6" width="20" customWidth="1"/>
    <col min="7" max="7" width="18" customWidth="1"/>
  </cols>
  <sheetData>
    <row r="1" spans="1:7" ht="30" x14ac:dyDescent="0.25">
      <c r="A1" s="5" t="s">
        <v>225</v>
      </c>
      <c r="B1" s="5" t="s">
        <v>227</v>
      </c>
      <c r="C1" s="5" t="s">
        <v>228</v>
      </c>
      <c r="D1" s="5" t="s">
        <v>383</v>
      </c>
      <c r="E1" s="5" t="s">
        <v>230</v>
      </c>
      <c r="F1" s="5" t="s">
        <v>384</v>
      </c>
      <c r="G1" s="5" t="s">
        <v>385</v>
      </c>
    </row>
    <row r="2" spans="1:7" x14ac:dyDescent="0.25">
      <c r="A2" s="10">
        <f>Catalog!A2</f>
        <v>1</v>
      </c>
      <c r="B2" s="10" t="str">
        <f>Catalog!C2</f>
        <v>FIC-LIT-TAG-001-Vol1</v>
      </c>
      <c r="C2" s="10" t="str">
        <f>Catalog!D2</f>
        <v>Rabindra Rachanabali</v>
      </c>
      <c r="D2" s="10" t="str">
        <f>Catalog!N2</f>
        <v>Vol 1</v>
      </c>
      <c r="E2" s="10" t="str">
        <f>Catalog!F2</f>
        <v>Rabindranath Tagore</v>
      </c>
      <c r="F2" s="10" t="str">
        <f>IF(Catalog!W2="","",Catalog!W2&amp;" "&amp;Catalog!X2)</f>
        <v>Shelf A2</v>
      </c>
      <c r="G2" s="11"/>
    </row>
    <row r="3" spans="1:7" x14ac:dyDescent="0.25">
      <c r="A3" s="10">
        <f>Catalog!A3</f>
        <v>2</v>
      </c>
      <c r="B3" s="10" t="str">
        <f>Catalog!C3</f>
        <v>FIC-LIT-TAG-002-Vol2</v>
      </c>
      <c r="C3" s="10" t="str">
        <f>Catalog!D3</f>
        <v>Rabindra Rachanabali</v>
      </c>
      <c r="D3" s="10" t="str">
        <f>Catalog!N3</f>
        <v>Vol 2</v>
      </c>
      <c r="E3" s="10" t="str">
        <f>Catalog!F3</f>
        <v>Rabindranath Tagore</v>
      </c>
      <c r="F3" s="10" t="str">
        <f>IF(Catalog!W3="","",Catalog!W3&amp;" "&amp;Catalog!X3)</f>
        <v>Shelf A2</v>
      </c>
      <c r="G3" s="11"/>
    </row>
    <row r="4" spans="1:7" x14ac:dyDescent="0.25">
      <c r="A4" s="10">
        <f>Catalog!A4</f>
        <v>3</v>
      </c>
      <c r="B4" s="10" t="str">
        <f>Catalog!C4</f>
        <v>FIC-LIT-TAG-003-Vol3</v>
      </c>
      <c r="C4" s="10" t="str">
        <f>Catalog!D4</f>
        <v>Rabindra Rachanabali</v>
      </c>
      <c r="D4" s="10" t="str">
        <f>Catalog!N4</f>
        <v>Vol 3</v>
      </c>
      <c r="E4" s="10" t="str">
        <f>Catalog!F4</f>
        <v>Rabindranath Tagore</v>
      </c>
      <c r="F4" s="10" t="str">
        <f>IF(Catalog!W4="","",Catalog!W4&amp;" "&amp;Catalog!X4)</f>
        <v>Shelf A2</v>
      </c>
      <c r="G4" s="11"/>
    </row>
    <row r="5" spans="1:7" x14ac:dyDescent="0.25">
      <c r="A5" s="10">
        <f>Catalog!A5</f>
        <v>4</v>
      </c>
      <c r="B5" s="10" t="str">
        <f>Catalog!C5</f>
        <v>FIC-LIT-TAG-004-Vol4</v>
      </c>
      <c r="C5" s="10" t="str">
        <f>Catalog!D5</f>
        <v>Rabindra Rachanabali</v>
      </c>
      <c r="D5" s="10" t="str">
        <f>Catalog!N5</f>
        <v>Vol 4</v>
      </c>
      <c r="E5" s="10" t="str">
        <f>Catalog!F5</f>
        <v>Rabindranath Tagore</v>
      </c>
      <c r="F5" s="10" t="str">
        <f>IF(Catalog!W5="","",Catalog!W5&amp;" "&amp;Catalog!X5)</f>
        <v>Shelf A2</v>
      </c>
      <c r="G5" s="11"/>
    </row>
    <row r="6" spans="1:7" x14ac:dyDescent="0.25">
      <c r="A6" s="10">
        <f>Catalog!A6</f>
        <v>5</v>
      </c>
      <c r="B6" s="10" t="str">
        <f>Catalog!C6</f>
        <v>FIC-LIT-TAG-005-Vol5</v>
      </c>
      <c r="C6" s="10" t="str">
        <f>Catalog!D6</f>
        <v>Rabindra Rachanabali</v>
      </c>
      <c r="D6" s="10" t="str">
        <f>Catalog!N6</f>
        <v>Vol 5</v>
      </c>
      <c r="E6" s="10" t="str">
        <f>Catalog!F6</f>
        <v>Rabindranath Tagore</v>
      </c>
      <c r="F6" s="10" t="str">
        <f>IF(Catalog!W6="","",Catalog!W6&amp;" "&amp;Catalog!X6)</f>
        <v>Shelf A2</v>
      </c>
      <c r="G6" s="11"/>
    </row>
    <row r="7" spans="1:7" x14ac:dyDescent="0.25">
      <c r="A7" s="10">
        <f>Catalog!A7</f>
        <v>6</v>
      </c>
      <c r="B7" s="10" t="str">
        <f>Catalog!C7</f>
        <v>FIC-LIT-TAG-006-Vol6</v>
      </c>
      <c r="C7" s="10" t="str">
        <f>Catalog!D7</f>
        <v>Rabindra Rachanabali</v>
      </c>
      <c r="D7" s="10" t="str">
        <f>Catalog!N7</f>
        <v>Vol 6</v>
      </c>
      <c r="E7" s="10" t="str">
        <f>Catalog!F7</f>
        <v>Rabindranath Tagore</v>
      </c>
      <c r="F7" s="10" t="str">
        <f>IF(Catalog!W7="","",Catalog!W7&amp;" "&amp;Catalog!X7)</f>
        <v>Shelf A2</v>
      </c>
      <c r="G7" s="11"/>
    </row>
    <row r="8" spans="1:7" x14ac:dyDescent="0.25">
      <c r="A8" s="10">
        <f>Catalog!A8</f>
        <v>7</v>
      </c>
      <c r="B8" s="10" t="str">
        <f>Catalog!C8</f>
        <v>FIC-LIT-TAG-007-Vol7</v>
      </c>
      <c r="C8" s="10" t="str">
        <f>Catalog!D8</f>
        <v>Rabindra Rachanabali</v>
      </c>
      <c r="D8" s="10" t="str">
        <f>Catalog!N8</f>
        <v>Vol 7</v>
      </c>
      <c r="E8" s="10" t="str">
        <f>Catalog!F8</f>
        <v>Rabindranath Tagore</v>
      </c>
      <c r="F8" s="10" t="str">
        <f>IF(Catalog!W8="","",Catalog!W8&amp;" "&amp;Catalog!X8)</f>
        <v>Shelf A2</v>
      </c>
      <c r="G8" s="11"/>
    </row>
    <row r="9" spans="1:7" x14ac:dyDescent="0.25">
      <c r="A9" s="10">
        <f>Catalog!A9</f>
        <v>8</v>
      </c>
      <c r="B9" s="10" t="str">
        <f>Catalog!C9</f>
        <v>FIC-LIT-TAG-008-Vol8</v>
      </c>
      <c r="C9" s="10" t="str">
        <f>Catalog!D9</f>
        <v>Rabindra Rachanabali</v>
      </c>
      <c r="D9" s="10" t="str">
        <f>Catalog!N9</f>
        <v>Vol 8</v>
      </c>
      <c r="E9" s="10" t="str">
        <f>Catalog!F9</f>
        <v>Rabindranath Tagore</v>
      </c>
      <c r="F9" s="10" t="str">
        <f>IF(Catalog!W9="","",Catalog!W9&amp;" "&amp;Catalog!X9)</f>
        <v>Shelf A2</v>
      </c>
      <c r="G9" s="11"/>
    </row>
    <row r="10" spans="1:7" x14ac:dyDescent="0.25">
      <c r="A10" s="10">
        <f>Catalog!A10</f>
        <v>9</v>
      </c>
      <c r="B10" s="10" t="str">
        <f>Catalog!C10</f>
        <v>FIC-LIT-TAG-009-Vol9</v>
      </c>
      <c r="C10" s="10" t="str">
        <f>Catalog!D10</f>
        <v>Rabindra Rachanabali</v>
      </c>
      <c r="D10" s="10" t="str">
        <f>Catalog!N10</f>
        <v>Vol 9</v>
      </c>
      <c r="E10" s="10" t="str">
        <f>Catalog!F10</f>
        <v>Rabindranath Tagore</v>
      </c>
      <c r="F10" s="10" t="str">
        <f>IF(Catalog!W10="","",Catalog!W10&amp;" "&amp;Catalog!X10)</f>
        <v>Shelf A1</v>
      </c>
      <c r="G10" s="11"/>
    </row>
    <row r="11" spans="1:7" x14ac:dyDescent="0.25">
      <c r="A11" s="10">
        <f>Catalog!A11</f>
        <v>10</v>
      </c>
      <c r="B11" s="10" t="str">
        <f>Catalog!C11</f>
        <v>FIC-LIT-TAG-010-Vol10</v>
      </c>
      <c r="C11" s="10" t="str">
        <f>Catalog!D11</f>
        <v>Rabindra Rachanabali</v>
      </c>
      <c r="D11" s="10" t="str">
        <f>Catalog!N11</f>
        <v>Vol 10</v>
      </c>
      <c r="E11" s="10" t="str">
        <f>Catalog!F11</f>
        <v>Rabindranath Tagore</v>
      </c>
      <c r="F11" s="10" t="str">
        <f>IF(Catalog!W11="","",Catalog!W11&amp;" "&amp;Catalog!X11)</f>
        <v>Shelf A1</v>
      </c>
      <c r="G11" s="11"/>
    </row>
    <row r="12" spans="1:7" x14ac:dyDescent="0.25">
      <c r="A12" s="10">
        <f>Catalog!A12</f>
        <v>11</v>
      </c>
      <c r="B12" s="10" t="str">
        <f>Catalog!C12</f>
        <v>FIC-LIT-TAG-011-Vol11</v>
      </c>
      <c r="C12" s="10" t="str">
        <f>Catalog!D12</f>
        <v>Rabindra Rachanabali</v>
      </c>
      <c r="D12" s="10" t="str">
        <f>Catalog!N12</f>
        <v>Vol 11</v>
      </c>
      <c r="E12" s="10" t="str">
        <f>Catalog!F12</f>
        <v>Rabindranath Tagore</v>
      </c>
      <c r="F12" s="10" t="str">
        <f>IF(Catalog!W12="","",Catalog!W12&amp;" "&amp;Catalog!X12)</f>
        <v>Shelf A1</v>
      </c>
      <c r="G12" s="11"/>
    </row>
    <row r="13" spans="1:7" x14ac:dyDescent="0.25">
      <c r="A13" s="10">
        <f>Catalog!A13</f>
        <v>12</v>
      </c>
      <c r="B13" s="10" t="str">
        <f>Catalog!C13</f>
        <v>FIC-LIT-TAG-012-Vol12</v>
      </c>
      <c r="C13" s="10" t="str">
        <f>Catalog!D13</f>
        <v>Rabindra Rachanabali</v>
      </c>
      <c r="D13" s="10" t="str">
        <f>Catalog!N13</f>
        <v>Vol 12</v>
      </c>
      <c r="E13" s="10" t="str">
        <f>Catalog!F13</f>
        <v>Rabindranath Tagore</v>
      </c>
      <c r="F13" s="10" t="str">
        <f>IF(Catalog!W13="","",Catalog!W13&amp;" "&amp;Catalog!X13)</f>
        <v>Shelf A1</v>
      </c>
      <c r="G13" s="11"/>
    </row>
    <row r="14" spans="1:7" x14ac:dyDescent="0.25">
      <c r="A14" s="10">
        <f>Catalog!A14</f>
        <v>13</v>
      </c>
      <c r="B14" s="10" t="str">
        <f>Catalog!C14</f>
        <v>FIC-LIT-TAG-013-Vol13</v>
      </c>
      <c r="C14" s="10" t="str">
        <f>Catalog!D14</f>
        <v>Rabindra Rachanabali</v>
      </c>
      <c r="D14" s="10" t="str">
        <f>Catalog!N14</f>
        <v>Vol 13</v>
      </c>
      <c r="E14" s="10" t="str">
        <f>Catalog!F14</f>
        <v>Rabindranath Tagore</v>
      </c>
      <c r="F14" s="10" t="str">
        <f>IF(Catalog!W14="","",Catalog!W14&amp;" "&amp;Catalog!X14)</f>
        <v>Shelf A1</v>
      </c>
      <c r="G14" s="11"/>
    </row>
    <row r="15" spans="1:7" x14ac:dyDescent="0.25">
      <c r="A15" s="10">
        <f>Catalog!A15</f>
        <v>14</v>
      </c>
      <c r="B15" s="10" t="str">
        <f>Catalog!C15</f>
        <v>FIC-LIT-TAG-014-Vol14</v>
      </c>
      <c r="C15" s="10" t="str">
        <f>Catalog!D15</f>
        <v>Rabindra Rachanabali</v>
      </c>
      <c r="D15" s="10" t="str">
        <f>Catalog!N15</f>
        <v>Vol 14</v>
      </c>
      <c r="E15" s="10" t="str">
        <f>Catalog!F15</f>
        <v>Rabindranath Tagore</v>
      </c>
      <c r="F15" s="10" t="str">
        <f>IF(Catalog!W15="","",Catalog!W15&amp;" "&amp;Catalog!X15)</f>
        <v>Shelf A1</v>
      </c>
      <c r="G15" s="11"/>
    </row>
    <row r="16" spans="1:7" x14ac:dyDescent="0.25">
      <c r="A16" s="10">
        <f>Catalog!A16</f>
        <v>15</v>
      </c>
      <c r="B16" s="10" t="str">
        <f>Catalog!C16</f>
        <v>FIC-LIT-TAG-015-Vol15</v>
      </c>
      <c r="C16" s="10" t="str">
        <f>Catalog!D16</f>
        <v>Rabindra Rachanabali</v>
      </c>
      <c r="D16" s="10" t="str">
        <f>Catalog!N16</f>
        <v>Vol 15</v>
      </c>
      <c r="E16" s="10" t="str">
        <f>Catalog!F16</f>
        <v>Rabindranath Tagore</v>
      </c>
      <c r="F16" s="10" t="str">
        <f>IF(Catalog!W16="","",Catalog!W16&amp;" "&amp;Catalog!X16)</f>
        <v>Shelf A1</v>
      </c>
      <c r="G16" s="11"/>
    </row>
    <row r="17" spans="1:7" x14ac:dyDescent="0.25">
      <c r="A17" s="10">
        <f>Catalog!A17</f>
        <v>16</v>
      </c>
      <c r="B17" s="10" t="str">
        <f>Catalog!C17</f>
        <v>FIC-LIT-TAG-016-Vol16</v>
      </c>
      <c r="C17" s="10" t="str">
        <f>Catalog!D17</f>
        <v>Rabindra Rachanabali</v>
      </c>
      <c r="D17" s="10" t="str">
        <f>Catalog!N17</f>
        <v>Vol 16</v>
      </c>
      <c r="E17" s="10" t="str">
        <f>Catalog!F17</f>
        <v>Rabindranath Tagore</v>
      </c>
      <c r="F17" s="10" t="str">
        <f>IF(Catalog!W17="","",Catalog!W17&amp;" "&amp;Catalog!X17)</f>
        <v>Shelf A1</v>
      </c>
      <c r="G17" s="11"/>
    </row>
    <row r="18" spans="1:7" x14ac:dyDescent="0.25">
      <c r="A18" s="10">
        <f>Catalog!A18</f>
        <v>17</v>
      </c>
      <c r="B18" s="10" t="str">
        <f>Catalog!C18</f>
        <v>FIC-LIT-TAG-017-Vol17</v>
      </c>
      <c r="C18" s="10" t="str">
        <f>Catalog!D18</f>
        <v>Rabindra Rachanabali</v>
      </c>
      <c r="D18" s="10" t="str">
        <f>Catalog!N18</f>
        <v>Vol 17</v>
      </c>
      <c r="E18" s="10" t="str">
        <f>Catalog!F18</f>
        <v>Rabindranath Tagore</v>
      </c>
      <c r="F18" s="10" t="str">
        <f>IF(Catalog!W18="","",Catalog!W18&amp;" "&amp;Catalog!X18)</f>
        <v>Shelf A1</v>
      </c>
      <c r="G18" s="11"/>
    </row>
    <row r="19" spans="1:7" x14ac:dyDescent="0.25">
      <c r="A19" s="10">
        <f>Catalog!A19</f>
        <v>18</v>
      </c>
      <c r="B19" s="10" t="str">
        <f>Catalog!C19</f>
        <v>FIC-LIT-TAG-018-Vol18</v>
      </c>
      <c r="C19" s="10" t="str">
        <f>Catalog!D19</f>
        <v>Rabindra Rachanabali</v>
      </c>
      <c r="D19" s="10" t="str">
        <f>Catalog!N19</f>
        <v>Vol 18</v>
      </c>
      <c r="E19" s="10" t="str">
        <f>Catalog!F19</f>
        <v>Rabindranath Tagore</v>
      </c>
      <c r="F19" s="10" t="str">
        <f>IF(Catalog!W19="","",Catalog!W19&amp;" "&amp;Catalog!X19)</f>
        <v>Shelf A1</v>
      </c>
      <c r="G19" s="11"/>
    </row>
    <row r="20" spans="1:7" x14ac:dyDescent="0.25">
      <c r="A20" s="10">
        <f>Catalog!A20</f>
        <v>19</v>
      </c>
      <c r="B20" s="10" t="str">
        <f>Catalog!C20</f>
        <v>FIC-LIT-বন্-019-Vol1</v>
      </c>
      <c r="C20" s="10" t="str">
        <f>Catalog!D20</f>
        <v>নীলকণ্ঠ পাখির খোঁজে</v>
      </c>
      <c r="D20" s="10" t="str">
        <f>Catalog!N20</f>
        <v>Vol 1</v>
      </c>
      <c r="E20" s="10" t="str">
        <f>Catalog!F20</f>
        <v>অতীন বন্দ্যোপাধ্যায়</v>
      </c>
      <c r="F20" s="10" t="str">
        <f>IF(Catalog!W20="","",Catalog!W20&amp;" "&amp;Catalog!X20)</f>
        <v>Shelf B1</v>
      </c>
      <c r="G20" s="11"/>
    </row>
    <row r="21" spans="1:7" x14ac:dyDescent="0.25">
      <c r="A21" s="10">
        <f>Catalog!A21</f>
        <v>20</v>
      </c>
      <c r="B21" s="10" t="e">
        <f>Catalog!C21</f>
        <v>#VALUE!</v>
      </c>
      <c r="C21" s="10" t="str">
        <f>Catalog!D21</f>
        <v>Desh</v>
      </c>
      <c r="D21" s="10">
        <f>Catalog!N21</f>
        <v>0</v>
      </c>
      <c r="E21" s="10">
        <f>Catalog!F21</f>
        <v>0</v>
      </c>
      <c r="F21" s="10" t="str">
        <f>IF(Catalog!W21="","",Catalog!W21&amp;" "&amp;Catalog!X21)</f>
        <v>Magazine Rack MR1</v>
      </c>
      <c r="G21" s="11"/>
    </row>
    <row r="22" spans="1:7" x14ac:dyDescent="0.25">
      <c r="A22" s="10" t="str">
        <f>Catalog!A22</f>
        <v/>
      </c>
      <c r="B22" s="10" t="str">
        <f>Catalog!C22</f>
        <v/>
      </c>
      <c r="C22" s="10">
        <f>Catalog!D22</f>
        <v>0</v>
      </c>
      <c r="D22" s="10">
        <f>Catalog!N22</f>
        <v>0</v>
      </c>
      <c r="E22" s="10">
        <f>Catalog!F22</f>
        <v>0</v>
      </c>
      <c r="F22" s="10" t="str">
        <f>IF(Catalog!W22="","",Catalog!W22&amp;" "&amp;Catalog!X22)</f>
        <v/>
      </c>
      <c r="G22" s="11"/>
    </row>
    <row r="23" spans="1:7" x14ac:dyDescent="0.25">
      <c r="A23" s="10" t="str">
        <f>Catalog!A23</f>
        <v/>
      </c>
      <c r="B23" s="10" t="str">
        <f>Catalog!C23</f>
        <v/>
      </c>
      <c r="C23" s="10">
        <f>Catalog!D23</f>
        <v>0</v>
      </c>
      <c r="D23" s="10">
        <f>Catalog!N23</f>
        <v>0</v>
      </c>
      <c r="E23" s="10">
        <f>Catalog!F23</f>
        <v>0</v>
      </c>
      <c r="F23" s="10" t="str">
        <f>IF(Catalog!W23="","",Catalog!W23&amp;" "&amp;Catalog!X23)</f>
        <v/>
      </c>
      <c r="G23" s="11"/>
    </row>
    <row r="24" spans="1:7" x14ac:dyDescent="0.25">
      <c r="A24" s="10" t="str">
        <f>Catalog!A24</f>
        <v/>
      </c>
      <c r="B24" s="10" t="str">
        <f>Catalog!C24</f>
        <v/>
      </c>
      <c r="C24" s="10">
        <f>Catalog!D24</f>
        <v>0</v>
      </c>
      <c r="D24" s="10">
        <f>Catalog!N24</f>
        <v>0</v>
      </c>
      <c r="E24" s="10">
        <f>Catalog!F24</f>
        <v>0</v>
      </c>
      <c r="F24" s="10" t="str">
        <f>IF(Catalog!W24="","",Catalog!W24&amp;" "&amp;Catalog!X24)</f>
        <v/>
      </c>
      <c r="G24" s="11"/>
    </row>
    <row r="25" spans="1:7" x14ac:dyDescent="0.25">
      <c r="A25" s="10" t="str">
        <f>Catalog!A25</f>
        <v/>
      </c>
      <c r="B25" s="10" t="str">
        <f>Catalog!C25</f>
        <v/>
      </c>
      <c r="C25" s="10">
        <f>Catalog!D25</f>
        <v>0</v>
      </c>
      <c r="D25" s="10">
        <f>Catalog!N25</f>
        <v>0</v>
      </c>
      <c r="E25" s="10">
        <f>Catalog!F25</f>
        <v>0</v>
      </c>
      <c r="F25" s="10" t="str">
        <f>IF(Catalog!W25="","",Catalog!W25&amp;" "&amp;Catalog!X25)</f>
        <v/>
      </c>
      <c r="G25" s="11"/>
    </row>
    <row r="26" spans="1:7" x14ac:dyDescent="0.25">
      <c r="A26" s="10" t="str">
        <f>Catalog!A26</f>
        <v/>
      </c>
      <c r="B26" s="10" t="str">
        <f>Catalog!C26</f>
        <v/>
      </c>
      <c r="C26" s="10">
        <f>Catalog!D26</f>
        <v>0</v>
      </c>
      <c r="D26" s="10">
        <f>Catalog!N26</f>
        <v>0</v>
      </c>
      <c r="E26" s="10">
        <f>Catalog!F26</f>
        <v>0</v>
      </c>
      <c r="F26" s="10" t="str">
        <f>IF(Catalog!W26="","",Catalog!W26&amp;" "&amp;Catalog!X26)</f>
        <v/>
      </c>
      <c r="G26" s="11"/>
    </row>
    <row r="27" spans="1:7" x14ac:dyDescent="0.25">
      <c r="A27" s="10" t="str">
        <f>Catalog!A27</f>
        <v/>
      </c>
      <c r="B27" s="10" t="str">
        <f>Catalog!C27</f>
        <v/>
      </c>
      <c r="C27" s="10">
        <f>Catalog!D27</f>
        <v>0</v>
      </c>
      <c r="D27" s="10">
        <f>Catalog!N27</f>
        <v>0</v>
      </c>
      <c r="E27" s="10">
        <f>Catalog!F27</f>
        <v>0</v>
      </c>
      <c r="F27" s="10" t="str">
        <f>IF(Catalog!W27="","",Catalog!W27&amp;" "&amp;Catalog!X27)</f>
        <v/>
      </c>
      <c r="G27" s="11"/>
    </row>
    <row r="28" spans="1:7" x14ac:dyDescent="0.25">
      <c r="A28" s="10" t="str">
        <f>Catalog!A28</f>
        <v/>
      </c>
      <c r="B28" s="10" t="str">
        <f>Catalog!C28</f>
        <v/>
      </c>
      <c r="C28" s="10">
        <f>Catalog!D28</f>
        <v>0</v>
      </c>
      <c r="D28" s="10">
        <f>Catalog!N28</f>
        <v>0</v>
      </c>
      <c r="E28" s="10">
        <f>Catalog!F28</f>
        <v>0</v>
      </c>
      <c r="F28" s="10" t="str">
        <f>IF(Catalog!W28="","",Catalog!W28&amp;" "&amp;Catalog!X28)</f>
        <v/>
      </c>
      <c r="G28" s="11"/>
    </row>
    <row r="29" spans="1:7" x14ac:dyDescent="0.25">
      <c r="A29" s="10" t="str">
        <f>Catalog!A29</f>
        <v/>
      </c>
      <c r="B29" s="10" t="str">
        <f>Catalog!C29</f>
        <v/>
      </c>
      <c r="C29" s="10">
        <f>Catalog!D29</f>
        <v>0</v>
      </c>
      <c r="D29" s="10">
        <f>Catalog!N29</f>
        <v>0</v>
      </c>
      <c r="E29" s="10">
        <f>Catalog!F29</f>
        <v>0</v>
      </c>
      <c r="F29" s="10" t="str">
        <f>IF(Catalog!W29="","",Catalog!W29&amp;" "&amp;Catalog!X29)</f>
        <v/>
      </c>
      <c r="G29" s="11"/>
    </row>
    <row r="30" spans="1:7" x14ac:dyDescent="0.25">
      <c r="A30" s="10" t="str">
        <f>Catalog!A30</f>
        <v/>
      </c>
      <c r="B30" s="10" t="str">
        <f>Catalog!C30</f>
        <v/>
      </c>
      <c r="C30" s="10">
        <f>Catalog!D30</f>
        <v>0</v>
      </c>
      <c r="D30" s="10">
        <f>Catalog!N30</f>
        <v>0</v>
      </c>
      <c r="E30" s="10">
        <f>Catalog!F30</f>
        <v>0</v>
      </c>
      <c r="F30" s="10" t="str">
        <f>IF(Catalog!W30="","",Catalog!W30&amp;" "&amp;Catalog!X30)</f>
        <v/>
      </c>
      <c r="G30" s="11"/>
    </row>
    <row r="31" spans="1:7" x14ac:dyDescent="0.25">
      <c r="A31" s="10" t="str">
        <f>Catalog!A31</f>
        <v/>
      </c>
      <c r="B31" s="10" t="str">
        <f>Catalog!C31</f>
        <v/>
      </c>
      <c r="C31" s="10">
        <f>Catalog!D31</f>
        <v>0</v>
      </c>
      <c r="D31" s="10">
        <f>Catalog!N31</f>
        <v>0</v>
      </c>
      <c r="E31" s="10">
        <f>Catalog!F31</f>
        <v>0</v>
      </c>
      <c r="F31" s="10" t="str">
        <f>IF(Catalog!W31="","",Catalog!W31&amp;" "&amp;Catalog!X31)</f>
        <v/>
      </c>
      <c r="G31" s="11"/>
    </row>
    <row r="32" spans="1:7" x14ac:dyDescent="0.25">
      <c r="A32" s="10" t="str">
        <f>Catalog!A32</f>
        <v/>
      </c>
      <c r="B32" s="10" t="str">
        <f>Catalog!C32</f>
        <v/>
      </c>
      <c r="C32" s="10">
        <f>Catalog!D32</f>
        <v>0</v>
      </c>
      <c r="D32" s="10">
        <f>Catalog!N32</f>
        <v>0</v>
      </c>
      <c r="E32" s="10">
        <f>Catalog!F32</f>
        <v>0</v>
      </c>
      <c r="F32" s="10" t="str">
        <f>IF(Catalog!W32="","",Catalog!W32&amp;" "&amp;Catalog!X32)</f>
        <v/>
      </c>
      <c r="G32" s="11"/>
    </row>
    <row r="33" spans="1:7" x14ac:dyDescent="0.25">
      <c r="A33" s="10" t="str">
        <f>Catalog!A33</f>
        <v/>
      </c>
      <c r="B33" s="10" t="str">
        <f>Catalog!C33</f>
        <v/>
      </c>
      <c r="C33" s="10">
        <f>Catalog!D33</f>
        <v>0</v>
      </c>
      <c r="D33" s="10">
        <f>Catalog!N33</f>
        <v>0</v>
      </c>
      <c r="E33" s="10">
        <f>Catalog!F33</f>
        <v>0</v>
      </c>
      <c r="F33" s="10" t="str">
        <f>IF(Catalog!W33="","",Catalog!W33&amp;" "&amp;Catalog!X33)</f>
        <v/>
      </c>
      <c r="G33" s="11"/>
    </row>
    <row r="34" spans="1:7" x14ac:dyDescent="0.25">
      <c r="A34" s="10" t="str">
        <f>Catalog!A34</f>
        <v/>
      </c>
      <c r="B34" s="10" t="str">
        <f>Catalog!C34</f>
        <v/>
      </c>
      <c r="C34" s="10">
        <f>Catalog!D34</f>
        <v>0</v>
      </c>
      <c r="D34" s="10">
        <f>Catalog!N34</f>
        <v>0</v>
      </c>
      <c r="E34" s="10">
        <f>Catalog!F34</f>
        <v>0</v>
      </c>
      <c r="F34" s="10" t="str">
        <f>IF(Catalog!W34="","",Catalog!W34&amp;" "&amp;Catalog!X34)</f>
        <v/>
      </c>
      <c r="G34" s="11"/>
    </row>
    <row r="35" spans="1:7" x14ac:dyDescent="0.25">
      <c r="A35" s="10" t="str">
        <f>Catalog!A35</f>
        <v/>
      </c>
      <c r="B35" s="10" t="str">
        <f>Catalog!C35</f>
        <v/>
      </c>
      <c r="C35" s="10">
        <f>Catalog!D35</f>
        <v>0</v>
      </c>
      <c r="D35" s="10">
        <f>Catalog!N35</f>
        <v>0</v>
      </c>
      <c r="E35" s="10">
        <f>Catalog!F35</f>
        <v>0</v>
      </c>
      <c r="F35" s="10" t="str">
        <f>IF(Catalog!W35="","",Catalog!W35&amp;" "&amp;Catalog!X35)</f>
        <v/>
      </c>
      <c r="G35" s="11"/>
    </row>
    <row r="36" spans="1:7" x14ac:dyDescent="0.25">
      <c r="A36" s="10" t="str">
        <f>Catalog!A36</f>
        <v/>
      </c>
      <c r="B36" s="10" t="str">
        <f>Catalog!C36</f>
        <v/>
      </c>
      <c r="C36" s="10">
        <f>Catalog!D36</f>
        <v>0</v>
      </c>
      <c r="D36" s="10">
        <f>Catalog!N36</f>
        <v>0</v>
      </c>
      <c r="E36" s="10">
        <f>Catalog!F36</f>
        <v>0</v>
      </c>
      <c r="F36" s="10" t="str">
        <f>IF(Catalog!W36="","",Catalog!W36&amp;" "&amp;Catalog!X36)</f>
        <v/>
      </c>
      <c r="G36" s="11"/>
    </row>
    <row r="37" spans="1:7" x14ac:dyDescent="0.25">
      <c r="A37" s="10" t="str">
        <f>Catalog!A37</f>
        <v/>
      </c>
      <c r="B37" s="10" t="str">
        <f>Catalog!C37</f>
        <v/>
      </c>
      <c r="C37" s="10">
        <f>Catalog!D37</f>
        <v>0</v>
      </c>
      <c r="D37" s="10">
        <f>Catalog!N37</f>
        <v>0</v>
      </c>
      <c r="E37" s="10">
        <f>Catalog!F37</f>
        <v>0</v>
      </c>
      <c r="F37" s="10" t="str">
        <f>IF(Catalog!W37="","",Catalog!W37&amp;" "&amp;Catalog!X37)</f>
        <v/>
      </c>
      <c r="G37" s="11"/>
    </row>
    <row r="38" spans="1:7" x14ac:dyDescent="0.25">
      <c r="A38" s="10" t="str">
        <f>Catalog!A38</f>
        <v/>
      </c>
      <c r="B38" s="10" t="str">
        <f>Catalog!C38</f>
        <v/>
      </c>
      <c r="C38" s="10">
        <f>Catalog!D38</f>
        <v>0</v>
      </c>
      <c r="D38" s="10">
        <f>Catalog!N38</f>
        <v>0</v>
      </c>
      <c r="E38" s="10">
        <f>Catalog!F38</f>
        <v>0</v>
      </c>
      <c r="F38" s="10" t="str">
        <f>IF(Catalog!W38="","",Catalog!W38&amp;" "&amp;Catalog!X38)</f>
        <v/>
      </c>
      <c r="G38" s="11"/>
    </row>
    <row r="39" spans="1:7" x14ac:dyDescent="0.25">
      <c r="A39" s="10" t="str">
        <f>Catalog!A39</f>
        <v/>
      </c>
      <c r="B39" s="10" t="str">
        <f>Catalog!C39</f>
        <v/>
      </c>
      <c r="C39" s="10">
        <f>Catalog!D39</f>
        <v>0</v>
      </c>
      <c r="D39" s="10">
        <f>Catalog!N39</f>
        <v>0</v>
      </c>
      <c r="E39" s="10">
        <f>Catalog!F39</f>
        <v>0</v>
      </c>
      <c r="F39" s="10" t="str">
        <f>IF(Catalog!W39="","",Catalog!W39&amp;" "&amp;Catalog!X39)</f>
        <v/>
      </c>
      <c r="G39" s="11"/>
    </row>
    <row r="40" spans="1:7" x14ac:dyDescent="0.25">
      <c r="A40" s="10" t="str">
        <f>Catalog!A40</f>
        <v/>
      </c>
      <c r="B40" s="10" t="str">
        <f>Catalog!C40</f>
        <v/>
      </c>
      <c r="C40" s="10">
        <f>Catalog!D40</f>
        <v>0</v>
      </c>
      <c r="D40" s="10">
        <f>Catalog!N40</f>
        <v>0</v>
      </c>
      <c r="E40" s="10">
        <f>Catalog!F40</f>
        <v>0</v>
      </c>
      <c r="F40" s="10" t="str">
        <f>IF(Catalog!W40="","",Catalog!W40&amp;" "&amp;Catalog!X40)</f>
        <v/>
      </c>
      <c r="G40" s="11"/>
    </row>
    <row r="41" spans="1:7" x14ac:dyDescent="0.25">
      <c r="A41" s="10" t="str">
        <f>Catalog!A41</f>
        <v/>
      </c>
      <c r="B41" s="10" t="str">
        <f>Catalog!C41</f>
        <v/>
      </c>
      <c r="C41" s="10">
        <f>Catalog!D41</f>
        <v>0</v>
      </c>
      <c r="D41" s="10">
        <f>Catalog!N41</f>
        <v>0</v>
      </c>
      <c r="E41" s="10">
        <f>Catalog!F41</f>
        <v>0</v>
      </c>
      <c r="F41" s="10" t="str">
        <f>IF(Catalog!W41="","",Catalog!W41&amp;" "&amp;Catalog!X41)</f>
        <v/>
      </c>
      <c r="G41" s="11"/>
    </row>
    <row r="42" spans="1:7" x14ac:dyDescent="0.25">
      <c r="A42" s="10" t="str">
        <f>Catalog!A42</f>
        <v/>
      </c>
      <c r="B42" s="10" t="str">
        <f>Catalog!C42</f>
        <v/>
      </c>
      <c r="C42" s="10">
        <f>Catalog!D42</f>
        <v>0</v>
      </c>
      <c r="D42" s="10">
        <f>Catalog!N42</f>
        <v>0</v>
      </c>
      <c r="E42" s="10">
        <f>Catalog!F42</f>
        <v>0</v>
      </c>
      <c r="F42" s="10" t="str">
        <f>IF(Catalog!W42="","",Catalog!W42&amp;" "&amp;Catalog!X42)</f>
        <v/>
      </c>
      <c r="G42" s="11"/>
    </row>
    <row r="43" spans="1:7" x14ac:dyDescent="0.25">
      <c r="A43" s="10" t="str">
        <f>Catalog!A43</f>
        <v/>
      </c>
      <c r="B43" s="10" t="str">
        <f>Catalog!C43</f>
        <v/>
      </c>
      <c r="C43" s="10">
        <f>Catalog!D43</f>
        <v>0</v>
      </c>
      <c r="D43" s="10">
        <f>Catalog!N43</f>
        <v>0</v>
      </c>
      <c r="E43" s="10">
        <f>Catalog!F43</f>
        <v>0</v>
      </c>
      <c r="F43" s="10" t="str">
        <f>IF(Catalog!W43="","",Catalog!W43&amp;" "&amp;Catalog!X43)</f>
        <v/>
      </c>
      <c r="G43" s="11"/>
    </row>
    <row r="44" spans="1:7" x14ac:dyDescent="0.25">
      <c r="A44" s="10" t="str">
        <f>Catalog!A44</f>
        <v/>
      </c>
      <c r="B44" s="10" t="str">
        <f>Catalog!C44</f>
        <v/>
      </c>
      <c r="C44" s="10">
        <f>Catalog!D44</f>
        <v>0</v>
      </c>
      <c r="D44" s="10">
        <f>Catalog!N44</f>
        <v>0</v>
      </c>
      <c r="E44" s="10">
        <f>Catalog!F44</f>
        <v>0</v>
      </c>
      <c r="F44" s="10" t="str">
        <f>IF(Catalog!W44="","",Catalog!W44&amp;" "&amp;Catalog!X44)</f>
        <v/>
      </c>
      <c r="G44" s="11"/>
    </row>
    <row r="45" spans="1:7" x14ac:dyDescent="0.25">
      <c r="A45" s="10" t="str">
        <f>Catalog!A45</f>
        <v/>
      </c>
      <c r="B45" s="10" t="str">
        <f>Catalog!C45</f>
        <v/>
      </c>
      <c r="C45" s="10">
        <f>Catalog!D45</f>
        <v>0</v>
      </c>
      <c r="D45" s="10">
        <f>Catalog!N45</f>
        <v>0</v>
      </c>
      <c r="E45" s="10">
        <f>Catalog!F45</f>
        <v>0</v>
      </c>
      <c r="F45" s="10" t="str">
        <f>IF(Catalog!W45="","",Catalog!W45&amp;" "&amp;Catalog!X45)</f>
        <v/>
      </c>
      <c r="G45" s="11"/>
    </row>
    <row r="46" spans="1:7" x14ac:dyDescent="0.25">
      <c r="A46" s="10" t="str">
        <f>Catalog!A46</f>
        <v/>
      </c>
      <c r="B46" s="10" t="str">
        <f>Catalog!C46</f>
        <v/>
      </c>
      <c r="C46" s="10">
        <f>Catalog!D46</f>
        <v>0</v>
      </c>
      <c r="D46" s="10">
        <f>Catalog!N46</f>
        <v>0</v>
      </c>
      <c r="E46" s="10">
        <f>Catalog!F46</f>
        <v>0</v>
      </c>
      <c r="F46" s="10" t="str">
        <f>IF(Catalog!W46="","",Catalog!W46&amp;" "&amp;Catalog!X46)</f>
        <v/>
      </c>
      <c r="G46" s="11"/>
    </row>
    <row r="47" spans="1:7" x14ac:dyDescent="0.25">
      <c r="A47" s="10" t="str">
        <f>Catalog!A47</f>
        <v/>
      </c>
      <c r="B47" s="10" t="str">
        <f>Catalog!C47</f>
        <v/>
      </c>
      <c r="C47" s="10">
        <f>Catalog!D47</f>
        <v>0</v>
      </c>
      <c r="D47" s="10">
        <f>Catalog!N47</f>
        <v>0</v>
      </c>
      <c r="E47" s="10">
        <f>Catalog!F47</f>
        <v>0</v>
      </c>
      <c r="F47" s="10" t="str">
        <f>IF(Catalog!W47="","",Catalog!W47&amp;" "&amp;Catalog!X47)</f>
        <v/>
      </c>
      <c r="G47" s="11"/>
    </row>
    <row r="48" spans="1:7" x14ac:dyDescent="0.25">
      <c r="A48" s="10" t="str">
        <f>Catalog!A48</f>
        <v/>
      </c>
      <c r="B48" s="10" t="str">
        <f>Catalog!C48</f>
        <v/>
      </c>
      <c r="C48" s="10">
        <f>Catalog!D48</f>
        <v>0</v>
      </c>
      <c r="D48" s="10">
        <f>Catalog!N48</f>
        <v>0</v>
      </c>
      <c r="E48" s="10">
        <f>Catalog!F48</f>
        <v>0</v>
      </c>
      <c r="F48" s="10" t="str">
        <f>IF(Catalog!W48="","",Catalog!W48&amp;" "&amp;Catalog!X48)</f>
        <v/>
      </c>
      <c r="G48" s="11"/>
    </row>
    <row r="49" spans="1:7" x14ac:dyDescent="0.25">
      <c r="A49" s="10" t="str">
        <f>Catalog!A49</f>
        <v/>
      </c>
      <c r="B49" s="10" t="str">
        <f>Catalog!C49</f>
        <v/>
      </c>
      <c r="C49" s="10">
        <f>Catalog!D49</f>
        <v>0</v>
      </c>
      <c r="D49" s="10">
        <f>Catalog!N49</f>
        <v>0</v>
      </c>
      <c r="E49" s="10">
        <f>Catalog!F49</f>
        <v>0</v>
      </c>
      <c r="F49" s="10" t="str">
        <f>IF(Catalog!W49="","",Catalog!W49&amp;" "&amp;Catalog!X49)</f>
        <v/>
      </c>
      <c r="G49" s="11"/>
    </row>
    <row r="50" spans="1:7" x14ac:dyDescent="0.25">
      <c r="A50" s="10" t="str">
        <f>Catalog!A50</f>
        <v/>
      </c>
      <c r="B50" s="10" t="str">
        <f>Catalog!C50</f>
        <v/>
      </c>
      <c r="C50" s="10">
        <f>Catalog!D50</f>
        <v>0</v>
      </c>
      <c r="D50" s="10">
        <f>Catalog!N50</f>
        <v>0</v>
      </c>
      <c r="E50" s="10">
        <f>Catalog!F50</f>
        <v>0</v>
      </c>
      <c r="F50" s="10" t="str">
        <f>IF(Catalog!W50="","",Catalog!W50&amp;" "&amp;Catalog!X50)</f>
        <v/>
      </c>
      <c r="G50" s="11"/>
    </row>
    <row r="51" spans="1:7" x14ac:dyDescent="0.25">
      <c r="A51" s="10" t="str">
        <f>Catalog!A51</f>
        <v/>
      </c>
      <c r="B51" s="10" t="str">
        <f>Catalog!C51</f>
        <v/>
      </c>
      <c r="C51" s="10">
        <f>Catalog!D51</f>
        <v>0</v>
      </c>
      <c r="D51" s="10">
        <f>Catalog!N51</f>
        <v>0</v>
      </c>
      <c r="E51" s="10">
        <f>Catalog!F51</f>
        <v>0</v>
      </c>
      <c r="F51" s="10" t="str">
        <f>IF(Catalog!W51="","",Catalog!W51&amp;" "&amp;Catalog!X51)</f>
        <v/>
      </c>
      <c r="G51" s="11"/>
    </row>
    <row r="52" spans="1:7" x14ac:dyDescent="0.25">
      <c r="A52" s="10" t="str">
        <f>Catalog!A52</f>
        <v/>
      </c>
      <c r="B52" s="10" t="str">
        <f>Catalog!C52</f>
        <v/>
      </c>
      <c r="C52" s="10">
        <f>Catalog!D52</f>
        <v>0</v>
      </c>
      <c r="D52" s="10">
        <f>Catalog!N52</f>
        <v>0</v>
      </c>
      <c r="E52" s="10">
        <f>Catalog!F52</f>
        <v>0</v>
      </c>
      <c r="F52" s="10" t="str">
        <f>IF(Catalog!W52="","",Catalog!W52&amp;" "&amp;Catalog!X52)</f>
        <v/>
      </c>
      <c r="G52" s="11"/>
    </row>
    <row r="53" spans="1:7" x14ac:dyDescent="0.25">
      <c r="A53" s="10" t="str">
        <f>Catalog!A53</f>
        <v/>
      </c>
      <c r="B53" s="10" t="str">
        <f>Catalog!C53</f>
        <v/>
      </c>
      <c r="C53" s="10">
        <f>Catalog!D53</f>
        <v>0</v>
      </c>
      <c r="D53" s="10">
        <f>Catalog!N53</f>
        <v>0</v>
      </c>
      <c r="E53" s="10">
        <f>Catalog!F53</f>
        <v>0</v>
      </c>
      <c r="F53" s="10" t="str">
        <f>IF(Catalog!W53="","",Catalog!W53&amp;" "&amp;Catalog!X53)</f>
        <v/>
      </c>
      <c r="G53" s="11"/>
    </row>
    <row r="54" spans="1:7" x14ac:dyDescent="0.25">
      <c r="A54" s="10" t="str">
        <f>Catalog!A54</f>
        <v/>
      </c>
      <c r="B54" s="10" t="str">
        <f>Catalog!C54</f>
        <v/>
      </c>
      <c r="C54" s="10">
        <f>Catalog!D54</f>
        <v>0</v>
      </c>
      <c r="D54" s="10">
        <f>Catalog!N54</f>
        <v>0</v>
      </c>
      <c r="E54" s="10">
        <f>Catalog!F54</f>
        <v>0</v>
      </c>
      <c r="F54" s="10" t="str">
        <f>IF(Catalog!W54="","",Catalog!W54&amp;" "&amp;Catalog!X54)</f>
        <v/>
      </c>
      <c r="G54" s="11"/>
    </row>
    <row r="55" spans="1:7" x14ac:dyDescent="0.25">
      <c r="A55" s="10" t="str">
        <f>Catalog!A55</f>
        <v/>
      </c>
      <c r="B55" s="10" t="str">
        <f>Catalog!C55</f>
        <v/>
      </c>
      <c r="C55" s="10">
        <f>Catalog!D55</f>
        <v>0</v>
      </c>
      <c r="D55" s="10">
        <f>Catalog!N55</f>
        <v>0</v>
      </c>
      <c r="E55" s="10">
        <f>Catalog!F55</f>
        <v>0</v>
      </c>
      <c r="F55" s="10" t="str">
        <f>IF(Catalog!W55="","",Catalog!W55&amp;" "&amp;Catalog!X55)</f>
        <v/>
      </c>
      <c r="G55" s="11"/>
    </row>
    <row r="56" spans="1:7" x14ac:dyDescent="0.25">
      <c r="A56" s="10" t="str">
        <f>Catalog!A56</f>
        <v/>
      </c>
      <c r="B56" s="10" t="str">
        <f>Catalog!C56</f>
        <v/>
      </c>
      <c r="C56" s="10">
        <f>Catalog!D56</f>
        <v>0</v>
      </c>
      <c r="D56" s="10">
        <f>Catalog!N56</f>
        <v>0</v>
      </c>
      <c r="E56" s="10">
        <f>Catalog!F56</f>
        <v>0</v>
      </c>
      <c r="F56" s="10" t="str">
        <f>IF(Catalog!W56="","",Catalog!W56&amp;" "&amp;Catalog!X56)</f>
        <v/>
      </c>
      <c r="G56" s="11"/>
    </row>
    <row r="57" spans="1:7" x14ac:dyDescent="0.25">
      <c r="A57" s="10" t="str">
        <f>Catalog!A57</f>
        <v/>
      </c>
      <c r="B57" s="10" t="str">
        <f>Catalog!C57</f>
        <v/>
      </c>
      <c r="C57" s="10">
        <f>Catalog!D57</f>
        <v>0</v>
      </c>
      <c r="D57" s="10">
        <f>Catalog!N57</f>
        <v>0</v>
      </c>
      <c r="E57" s="10">
        <f>Catalog!F57</f>
        <v>0</v>
      </c>
      <c r="F57" s="10" t="str">
        <f>IF(Catalog!W57="","",Catalog!W57&amp;" "&amp;Catalog!X57)</f>
        <v/>
      </c>
      <c r="G57" s="11"/>
    </row>
    <row r="58" spans="1:7" x14ac:dyDescent="0.25">
      <c r="A58" s="10" t="str">
        <f>Catalog!A58</f>
        <v/>
      </c>
      <c r="B58" s="10" t="str">
        <f>Catalog!C58</f>
        <v/>
      </c>
      <c r="C58" s="10">
        <f>Catalog!D58</f>
        <v>0</v>
      </c>
      <c r="D58" s="10">
        <f>Catalog!N58</f>
        <v>0</v>
      </c>
      <c r="E58" s="10">
        <f>Catalog!F58</f>
        <v>0</v>
      </c>
      <c r="F58" s="10" t="str">
        <f>IF(Catalog!W58="","",Catalog!W58&amp;" "&amp;Catalog!X58)</f>
        <v/>
      </c>
      <c r="G58" s="11"/>
    </row>
    <row r="59" spans="1:7" x14ac:dyDescent="0.25">
      <c r="A59" s="10" t="str">
        <f>Catalog!A59</f>
        <v/>
      </c>
      <c r="B59" s="10" t="str">
        <f>Catalog!C59</f>
        <v/>
      </c>
      <c r="C59" s="10">
        <f>Catalog!D59</f>
        <v>0</v>
      </c>
      <c r="D59" s="10">
        <f>Catalog!N59</f>
        <v>0</v>
      </c>
      <c r="E59" s="10">
        <f>Catalog!F59</f>
        <v>0</v>
      </c>
      <c r="F59" s="10" t="str">
        <f>IF(Catalog!W59="","",Catalog!W59&amp;" "&amp;Catalog!X59)</f>
        <v/>
      </c>
      <c r="G59" s="11"/>
    </row>
    <row r="60" spans="1:7" x14ac:dyDescent="0.25">
      <c r="A60" s="10" t="str">
        <f>Catalog!A60</f>
        <v/>
      </c>
      <c r="B60" s="10" t="str">
        <f>Catalog!C60</f>
        <v/>
      </c>
      <c r="C60" s="10">
        <f>Catalog!D60</f>
        <v>0</v>
      </c>
      <c r="D60" s="10">
        <f>Catalog!N60</f>
        <v>0</v>
      </c>
      <c r="E60" s="10">
        <f>Catalog!F60</f>
        <v>0</v>
      </c>
      <c r="F60" s="10" t="str">
        <f>IF(Catalog!W60="","",Catalog!W60&amp;" "&amp;Catalog!X60)</f>
        <v/>
      </c>
      <c r="G60" s="11"/>
    </row>
    <row r="61" spans="1:7" x14ac:dyDescent="0.25">
      <c r="A61" s="10" t="str">
        <f>Catalog!A61</f>
        <v/>
      </c>
      <c r="B61" s="10" t="str">
        <f>Catalog!C61</f>
        <v/>
      </c>
      <c r="C61" s="10">
        <f>Catalog!D61</f>
        <v>0</v>
      </c>
      <c r="D61" s="10">
        <f>Catalog!N61</f>
        <v>0</v>
      </c>
      <c r="E61" s="10">
        <f>Catalog!F61</f>
        <v>0</v>
      </c>
      <c r="F61" s="10" t="str">
        <f>IF(Catalog!W61="","",Catalog!W61&amp;" "&amp;Catalog!X61)</f>
        <v/>
      </c>
      <c r="G61" s="11"/>
    </row>
    <row r="62" spans="1:7" x14ac:dyDescent="0.25">
      <c r="A62" s="10" t="str">
        <f>Catalog!A62</f>
        <v/>
      </c>
      <c r="B62" s="10" t="str">
        <f>Catalog!C62</f>
        <v/>
      </c>
      <c r="C62" s="10">
        <f>Catalog!D62</f>
        <v>0</v>
      </c>
      <c r="D62" s="10">
        <f>Catalog!N62</f>
        <v>0</v>
      </c>
      <c r="E62" s="10">
        <f>Catalog!F62</f>
        <v>0</v>
      </c>
      <c r="F62" s="10" t="str">
        <f>IF(Catalog!W62="","",Catalog!W62&amp;" "&amp;Catalog!X62)</f>
        <v/>
      </c>
      <c r="G62" s="11"/>
    </row>
    <row r="63" spans="1:7" x14ac:dyDescent="0.25">
      <c r="A63" s="10" t="str">
        <f>Catalog!A63</f>
        <v/>
      </c>
      <c r="B63" s="10" t="str">
        <f>Catalog!C63</f>
        <v/>
      </c>
      <c r="C63" s="10">
        <f>Catalog!D63</f>
        <v>0</v>
      </c>
      <c r="D63" s="10">
        <f>Catalog!N63</f>
        <v>0</v>
      </c>
      <c r="E63" s="10">
        <f>Catalog!F63</f>
        <v>0</v>
      </c>
      <c r="F63" s="10" t="str">
        <f>IF(Catalog!W63="","",Catalog!W63&amp;" "&amp;Catalog!X63)</f>
        <v/>
      </c>
      <c r="G63" s="11"/>
    </row>
    <row r="64" spans="1:7" x14ac:dyDescent="0.25">
      <c r="A64" s="10" t="str">
        <f>Catalog!A64</f>
        <v/>
      </c>
      <c r="B64" s="10" t="str">
        <f>Catalog!C64</f>
        <v/>
      </c>
      <c r="C64" s="10">
        <f>Catalog!D64</f>
        <v>0</v>
      </c>
      <c r="D64" s="10">
        <f>Catalog!N64</f>
        <v>0</v>
      </c>
      <c r="E64" s="10">
        <f>Catalog!F64</f>
        <v>0</v>
      </c>
      <c r="F64" s="10" t="str">
        <f>IF(Catalog!W64="","",Catalog!W64&amp;" "&amp;Catalog!X64)</f>
        <v/>
      </c>
      <c r="G64" s="11"/>
    </row>
    <row r="65" spans="1:7" x14ac:dyDescent="0.25">
      <c r="A65" s="10" t="str">
        <f>Catalog!A65</f>
        <v/>
      </c>
      <c r="B65" s="10" t="str">
        <f>Catalog!C65</f>
        <v/>
      </c>
      <c r="C65" s="10">
        <f>Catalog!D65</f>
        <v>0</v>
      </c>
      <c r="D65" s="10">
        <f>Catalog!N65</f>
        <v>0</v>
      </c>
      <c r="E65" s="10">
        <f>Catalog!F65</f>
        <v>0</v>
      </c>
      <c r="F65" s="10" t="str">
        <f>IF(Catalog!W65="","",Catalog!W65&amp;" "&amp;Catalog!X65)</f>
        <v/>
      </c>
      <c r="G65" s="11"/>
    </row>
    <row r="66" spans="1:7" x14ac:dyDescent="0.25">
      <c r="A66" s="10" t="str">
        <f>Catalog!A66</f>
        <v/>
      </c>
      <c r="B66" s="10" t="str">
        <f>Catalog!C66</f>
        <v/>
      </c>
      <c r="C66" s="10">
        <f>Catalog!D66</f>
        <v>0</v>
      </c>
      <c r="D66" s="10">
        <f>Catalog!N66</f>
        <v>0</v>
      </c>
      <c r="E66" s="10">
        <f>Catalog!F66</f>
        <v>0</v>
      </c>
      <c r="F66" s="10" t="str">
        <f>IF(Catalog!W66="","",Catalog!W66&amp;" "&amp;Catalog!X66)</f>
        <v/>
      </c>
      <c r="G66" s="11"/>
    </row>
    <row r="67" spans="1:7" x14ac:dyDescent="0.25">
      <c r="A67" s="10" t="str">
        <f>Catalog!A67</f>
        <v/>
      </c>
      <c r="B67" s="10" t="str">
        <f>Catalog!C67</f>
        <v/>
      </c>
      <c r="C67" s="10">
        <f>Catalog!D67</f>
        <v>0</v>
      </c>
      <c r="D67" s="10">
        <f>Catalog!N67</f>
        <v>0</v>
      </c>
      <c r="E67" s="10">
        <f>Catalog!F67</f>
        <v>0</v>
      </c>
      <c r="F67" s="10" t="str">
        <f>IF(Catalog!W67="","",Catalog!W67&amp;" "&amp;Catalog!X67)</f>
        <v/>
      </c>
      <c r="G67" s="11"/>
    </row>
    <row r="68" spans="1:7" x14ac:dyDescent="0.25">
      <c r="A68" s="10" t="str">
        <f>Catalog!A68</f>
        <v/>
      </c>
      <c r="B68" s="10" t="str">
        <f>Catalog!C68</f>
        <v/>
      </c>
      <c r="C68" s="10">
        <f>Catalog!D68</f>
        <v>0</v>
      </c>
      <c r="D68" s="10">
        <f>Catalog!N68</f>
        <v>0</v>
      </c>
      <c r="E68" s="10">
        <f>Catalog!F68</f>
        <v>0</v>
      </c>
      <c r="F68" s="10" t="str">
        <f>IF(Catalog!W68="","",Catalog!W68&amp;" "&amp;Catalog!X68)</f>
        <v/>
      </c>
      <c r="G68" s="11"/>
    </row>
    <row r="69" spans="1:7" x14ac:dyDescent="0.25">
      <c r="A69" s="10" t="str">
        <f>Catalog!A69</f>
        <v/>
      </c>
      <c r="B69" s="10" t="str">
        <f>Catalog!C69</f>
        <v/>
      </c>
      <c r="C69" s="10">
        <f>Catalog!D69</f>
        <v>0</v>
      </c>
      <c r="D69" s="10">
        <f>Catalog!N69</f>
        <v>0</v>
      </c>
      <c r="E69" s="10">
        <f>Catalog!F69</f>
        <v>0</v>
      </c>
      <c r="F69" s="10" t="str">
        <f>IF(Catalog!W69="","",Catalog!W69&amp;" "&amp;Catalog!X69)</f>
        <v/>
      </c>
      <c r="G69" s="11"/>
    </row>
    <row r="70" spans="1:7" x14ac:dyDescent="0.25">
      <c r="A70" s="10" t="str">
        <f>Catalog!A70</f>
        <v/>
      </c>
      <c r="B70" s="10" t="str">
        <f>Catalog!C70</f>
        <v/>
      </c>
      <c r="C70" s="10">
        <f>Catalog!D70</f>
        <v>0</v>
      </c>
      <c r="D70" s="10">
        <f>Catalog!N70</f>
        <v>0</v>
      </c>
      <c r="E70" s="10">
        <f>Catalog!F70</f>
        <v>0</v>
      </c>
      <c r="F70" s="10" t="str">
        <f>IF(Catalog!W70="","",Catalog!W70&amp;" "&amp;Catalog!X70)</f>
        <v/>
      </c>
      <c r="G70" s="11"/>
    </row>
    <row r="71" spans="1:7" x14ac:dyDescent="0.25">
      <c r="A71" s="10" t="str">
        <f>Catalog!A71</f>
        <v/>
      </c>
      <c r="B71" s="10" t="str">
        <f>Catalog!C71</f>
        <v/>
      </c>
      <c r="C71" s="10">
        <f>Catalog!D71</f>
        <v>0</v>
      </c>
      <c r="D71" s="10">
        <f>Catalog!N71</f>
        <v>0</v>
      </c>
      <c r="E71" s="10">
        <f>Catalog!F71</f>
        <v>0</v>
      </c>
      <c r="F71" s="10" t="str">
        <f>IF(Catalog!W71="","",Catalog!W71&amp;" "&amp;Catalog!X71)</f>
        <v/>
      </c>
      <c r="G71" s="11"/>
    </row>
    <row r="72" spans="1:7" x14ac:dyDescent="0.25">
      <c r="A72" s="10" t="str">
        <f>Catalog!A72</f>
        <v/>
      </c>
      <c r="B72" s="10" t="str">
        <f>Catalog!C72</f>
        <v/>
      </c>
      <c r="C72" s="10">
        <f>Catalog!D72</f>
        <v>0</v>
      </c>
      <c r="D72" s="10">
        <f>Catalog!N72</f>
        <v>0</v>
      </c>
      <c r="E72" s="10">
        <f>Catalog!F72</f>
        <v>0</v>
      </c>
      <c r="F72" s="10" t="str">
        <f>IF(Catalog!W72="","",Catalog!W72&amp;" "&amp;Catalog!X72)</f>
        <v/>
      </c>
      <c r="G72" s="11"/>
    </row>
    <row r="73" spans="1:7" x14ac:dyDescent="0.25">
      <c r="A73" s="10" t="str">
        <f>Catalog!A73</f>
        <v/>
      </c>
      <c r="B73" s="10" t="str">
        <f>Catalog!C73</f>
        <v/>
      </c>
      <c r="C73" s="10">
        <f>Catalog!D73</f>
        <v>0</v>
      </c>
      <c r="D73" s="10">
        <f>Catalog!N73</f>
        <v>0</v>
      </c>
      <c r="E73" s="10">
        <f>Catalog!F73</f>
        <v>0</v>
      </c>
      <c r="F73" s="10" t="str">
        <f>IF(Catalog!W73="","",Catalog!W73&amp;" "&amp;Catalog!X73)</f>
        <v/>
      </c>
      <c r="G73" s="11"/>
    </row>
    <row r="74" spans="1:7" x14ac:dyDescent="0.25">
      <c r="A74" s="10" t="str">
        <f>Catalog!A74</f>
        <v/>
      </c>
      <c r="B74" s="10" t="str">
        <f>Catalog!C74</f>
        <v/>
      </c>
      <c r="C74" s="10">
        <f>Catalog!D74</f>
        <v>0</v>
      </c>
      <c r="D74" s="10">
        <f>Catalog!N74</f>
        <v>0</v>
      </c>
      <c r="E74" s="10">
        <f>Catalog!F74</f>
        <v>0</v>
      </c>
      <c r="F74" s="10" t="str">
        <f>IF(Catalog!W74="","",Catalog!W74&amp;" "&amp;Catalog!X74)</f>
        <v/>
      </c>
      <c r="G74" s="11"/>
    </row>
    <row r="75" spans="1:7" x14ac:dyDescent="0.25">
      <c r="A75" s="10" t="str">
        <f>Catalog!A75</f>
        <v/>
      </c>
      <c r="B75" s="10" t="str">
        <f>Catalog!C75</f>
        <v/>
      </c>
      <c r="C75" s="10">
        <f>Catalog!D75</f>
        <v>0</v>
      </c>
      <c r="D75" s="10">
        <f>Catalog!N75</f>
        <v>0</v>
      </c>
      <c r="E75" s="10">
        <f>Catalog!F75</f>
        <v>0</v>
      </c>
      <c r="F75" s="10" t="str">
        <f>IF(Catalog!W75="","",Catalog!W75&amp;" "&amp;Catalog!X75)</f>
        <v/>
      </c>
      <c r="G75" s="11"/>
    </row>
    <row r="76" spans="1:7" x14ac:dyDescent="0.25">
      <c r="A76" s="10" t="str">
        <f>Catalog!A76</f>
        <v/>
      </c>
      <c r="B76" s="10" t="str">
        <f>Catalog!C76</f>
        <v/>
      </c>
      <c r="C76" s="10">
        <f>Catalog!D76</f>
        <v>0</v>
      </c>
      <c r="D76" s="10">
        <f>Catalog!N76</f>
        <v>0</v>
      </c>
      <c r="E76" s="10">
        <f>Catalog!F76</f>
        <v>0</v>
      </c>
      <c r="F76" s="10" t="str">
        <f>IF(Catalog!W76="","",Catalog!W76&amp;" "&amp;Catalog!X76)</f>
        <v/>
      </c>
      <c r="G76" s="11"/>
    </row>
    <row r="77" spans="1:7" x14ac:dyDescent="0.25">
      <c r="A77" s="10" t="str">
        <f>Catalog!A77</f>
        <v/>
      </c>
      <c r="B77" s="10" t="str">
        <f>Catalog!C77</f>
        <v/>
      </c>
      <c r="C77" s="10">
        <f>Catalog!D77</f>
        <v>0</v>
      </c>
      <c r="D77" s="10">
        <f>Catalog!N77</f>
        <v>0</v>
      </c>
      <c r="E77" s="10">
        <f>Catalog!F77</f>
        <v>0</v>
      </c>
      <c r="F77" s="10" t="str">
        <f>IF(Catalog!W77="","",Catalog!W77&amp;" "&amp;Catalog!X77)</f>
        <v/>
      </c>
      <c r="G77" s="11"/>
    </row>
    <row r="78" spans="1:7" x14ac:dyDescent="0.25">
      <c r="A78" s="10" t="str">
        <f>Catalog!A78</f>
        <v/>
      </c>
      <c r="B78" s="10" t="str">
        <f>Catalog!C78</f>
        <v/>
      </c>
      <c r="C78" s="10">
        <f>Catalog!D78</f>
        <v>0</v>
      </c>
      <c r="D78" s="10">
        <f>Catalog!N78</f>
        <v>0</v>
      </c>
      <c r="E78" s="10">
        <f>Catalog!F78</f>
        <v>0</v>
      </c>
      <c r="F78" s="10" t="str">
        <f>IF(Catalog!W78="","",Catalog!W78&amp;" "&amp;Catalog!X78)</f>
        <v/>
      </c>
      <c r="G78" s="11"/>
    </row>
    <row r="79" spans="1:7" x14ac:dyDescent="0.25">
      <c r="A79" s="10" t="str">
        <f>Catalog!A79</f>
        <v/>
      </c>
      <c r="B79" s="10" t="str">
        <f>Catalog!C79</f>
        <v/>
      </c>
      <c r="C79" s="10">
        <f>Catalog!D79</f>
        <v>0</v>
      </c>
      <c r="D79" s="10">
        <f>Catalog!N79</f>
        <v>0</v>
      </c>
      <c r="E79" s="10">
        <f>Catalog!F79</f>
        <v>0</v>
      </c>
      <c r="F79" s="10" t="str">
        <f>IF(Catalog!W79="","",Catalog!W79&amp;" "&amp;Catalog!X79)</f>
        <v/>
      </c>
      <c r="G79" s="11"/>
    </row>
    <row r="80" spans="1:7" x14ac:dyDescent="0.25">
      <c r="A80" s="10" t="str">
        <f>Catalog!A80</f>
        <v/>
      </c>
      <c r="B80" s="10" t="str">
        <f>Catalog!C80</f>
        <v/>
      </c>
      <c r="C80" s="10">
        <f>Catalog!D80</f>
        <v>0</v>
      </c>
      <c r="D80" s="10">
        <f>Catalog!N80</f>
        <v>0</v>
      </c>
      <c r="E80" s="10">
        <f>Catalog!F80</f>
        <v>0</v>
      </c>
      <c r="F80" s="10" t="str">
        <f>IF(Catalog!W80="","",Catalog!W80&amp;" "&amp;Catalog!X80)</f>
        <v/>
      </c>
      <c r="G80" s="11"/>
    </row>
    <row r="81" spans="1:7" x14ac:dyDescent="0.25">
      <c r="A81" s="10" t="str">
        <f>Catalog!A81</f>
        <v/>
      </c>
      <c r="B81" s="10" t="str">
        <f>Catalog!C81</f>
        <v/>
      </c>
      <c r="C81" s="10">
        <f>Catalog!D81</f>
        <v>0</v>
      </c>
      <c r="D81" s="10">
        <f>Catalog!N81</f>
        <v>0</v>
      </c>
      <c r="E81" s="10">
        <f>Catalog!F81</f>
        <v>0</v>
      </c>
      <c r="F81" s="10" t="str">
        <f>IF(Catalog!W81="","",Catalog!W81&amp;" "&amp;Catalog!X81)</f>
        <v/>
      </c>
      <c r="G81" s="11"/>
    </row>
    <row r="82" spans="1:7" x14ac:dyDescent="0.25">
      <c r="A82" s="10" t="str">
        <f>Catalog!A82</f>
        <v/>
      </c>
      <c r="B82" s="10" t="str">
        <f>Catalog!C82</f>
        <v/>
      </c>
      <c r="C82" s="10">
        <f>Catalog!D82</f>
        <v>0</v>
      </c>
      <c r="D82" s="10">
        <f>Catalog!N82</f>
        <v>0</v>
      </c>
      <c r="E82" s="10">
        <f>Catalog!F82</f>
        <v>0</v>
      </c>
      <c r="F82" s="10" t="str">
        <f>IF(Catalog!W82="","",Catalog!W82&amp;" "&amp;Catalog!X82)</f>
        <v/>
      </c>
      <c r="G82" s="11"/>
    </row>
    <row r="83" spans="1:7" x14ac:dyDescent="0.25">
      <c r="A83" s="10" t="str">
        <f>Catalog!A83</f>
        <v/>
      </c>
      <c r="B83" s="10" t="str">
        <f>Catalog!C83</f>
        <v/>
      </c>
      <c r="C83" s="10">
        <f>Catalog!D83</f>
        <v>0</v>
      </c>
      <c r="D83" s="10">
        <f>Catalog!N83</f>
        <v>0</v>
      </c>
      <c r="E83" s="10">
        <f>Catalog!F83</f>
        <v>0</v>
      </c>
      <c r="F83" s="10" t="str">
        <f>IF(Catalog!W83="","",Catalog!W83&amp;" "&amp;Catalog!X83)</f>
        <v/>
      </c>
      <c r="G83" s="11"/>
    </row>
    <row r="84" spans="1:7" x14ac:dyDescent="0.25">
      <c r="A84" s="10" t="str">
        <f>Catalog!A84</f>
        <v/>
      </c>
      <c r="B84" s="10" t="str">
        <f>Catalog!C84</f>
        <v/>
      </c>
      <c r="C84" s="10">
        <f>Catalog!D84</f>
        <v>0</v>
      </c>
      <c r="D84" s="10">
        <f>Catalog!N84</f>
        <v>0</v>
      </c>
      <c r="E84" s="10">
        <f>Catalog!F84</f>
        <v>0</v>
      </c>
      <c r="F84" s="10" t="str">
        <f>IF(Catalog!W84="","",Catalog!W84&amp;" "&amp;Catalog!X84)</f>
        <v/>
      </c>
      <c r="G84" s="11"/>
    </row>
    <row r="85" spans="1:7" x14ac:dyDescent="0.25">
      <c r="A85" s="10" t="str">
        <f>Catalog!A85</f>
        <v/>
      </c>
      <c r="B85" s="10" t="str">
        <f>Catalog!C85</f>
        <v/>
      </c>
      <c r="C85" s="10">
        <f>Catalog!D85</f>
        <v>0</v>
      </c>
      <c r="D85" s="10">
        <f>Catalog!N85</f>
        <v>0</v>
      </c>
      <c r="E85" s="10">
        <f>Catalog!F85</f>
        <v>0</v>
      </c>
      <c r="F85" s="10" t="str">
        <f>IF(Catalog!W85="","",Catalog!W85&amp;" "&amp;Catalog!X85)</f>
        <v/>
      </c>
      <c r="G85" s="11"/>
    </row>
    <row r="86" spans="1:7" x14ac:dyDescent="0.25">
      <c r="A86" s="10" t="str">
        <f>Catalog!A86</f>
        <v/>
      </c>
      <c r="B86" s="10" t="str">
        <f>Catalog!C86</f>
        <v/>
      </c>
      <c r="C86" s="10">
        <f>Catalog!D86</f>
        <v>0</v>
      </c>
      <c r="D86" s="10">
        <f>Catalog!N86</f>
        <v>0</v>
      </c>
      <c r="E86" s="10">
        <f>Catalog!F86</f>
        <v>0</v>
      </c>
      <c r="F86" s="10" t="str">
        <f>IF(Catalog!W86="","",Catalog!W86&amp;" "&amp;Catalog!X86)</f>
        <v/>
      </c>
      <c r="G86" s="11"/>
    </row>
    <row r="87" spans="1:7" x14ac:dyDescent="0.25">
      <c r="A87" s="10" t="str">
        <f>Catalog!A87</f>
        <v/>
      </c>
      <c r="B87" s="10" t="str">
        <f>Catalog!C87</f>
        <v/>
      </c>
      <c r="C87" s="10">
        <f>Catalog!D87</f>
        <v>0</v>
      </c>
      <c r="D87" s="10">
        <f>Catalog!N87</f>
        <v>0</v>
      </c>
      <c r="E87" s="10">
        <f>Catalog!F87</f>
        <v>0</v>
      </c>
      <c r="F87" s="10" t="str">
        <f>IF(Catalog!W87="","",Catalog!W87&amp;" "&amp;Catalog!X87)</f>
        <v/>
      </c>
      <c r="G87" s="11"/>
    </row>
    <row r="88" spans="1:7" x14ac:dyDescent="0.25">
      <c r="A88" s="10" t="str">
        <f>Catalog!A88</f>
        <v/>
      </c>
      <c r="B88" s="10" t="str">
        <f>Catalog!C88</f>
        <v/>
      </c>
      <c r="C88" s="10">
        <f>Catalog!D88</f>
        <v>0</v>
      </c>
      <c r="D88" s="10">
        <f>Catalog!N88</f>
        <v>0</v>
      </c>
      <c r="E88" s="10">
        <f>Catalog!F88</f>
        <v>0</v>
      </c>
      <c r="F88" s="10" t="str">
        <f>IF(Catalog!W88="","",Catalog!W88&amp;" "&amp;Catalog!X88)</f>
        <v/>
      </c>
      <c r="G88" s="11"/>
    </row>
    <row r="89" spans="1:7" x14ac:dyDescent="0.25">
      <c r="A89" s="10" t="str">
        <f>Catalog!A89</f>
        <v/>
      </c>
      <c r="B89" s="10" t="str">
        <f>Catalog!C89</f>
        <v/>
      </c>
      <c r="C89" s="10">
        <f>Catalog!D89</f>
        <v>0</v>
      </c>
      <c r="D89" s="10">
        <f>Catalog!N89</f>
        <v>0</v>
      </c>
      <c r="E89" s="10">
        <f>Catalog!F89</f>
        <v>0</v>
      </c>
      <c r="F89" s="10" t="str">
        <f>IF(Catalog!W89="","",Catalog!W89&amp;" "&amp;Catalog!X89)</f>
        <v/>
      </c>
      <c r="G89" s="11"/>
    </row>
    <row r="90" spans="1:7" x14ac:dyDescent="0.25">
      <c r="A90" s="10" t="str">
        <f>Catalog!A90</f>
        <v/>
      </c>
      <c r="B90" s="10" t="str">
        <f>Catalog!C90</f>
        <v/>
      </c>
      <c r="C90" s="10">
        <f>Catalog!D90</f>
        <v>0</v>
      </c>
      <c r="D90" s="10">
        <f>Catalog!N90</f>
        <v>0</v>
      </c>
      <c r="E90" s="10">
        <f>Catalog!F90</f>
        <v>0</v>
      </c>
      <c r="F90" s="10" t="str">
        <f>IF(Catalog!W90="","",Catalog!W90&amp;" "&amp;Catalog!X90)</f>
        <v/>
      </c>
      <c r="G90" s="11"/>
    </row>
    <row r="91" spans="1:7" x14ac:dyDescent="0.25">
      <c r="A91" s="10" t="str">
        <f>Catalog!A91</f>
        <v/>
      </c>
      <c r="B91" s="10" t="str">
        <f>Catalog!C91</f>
        <v/>
      </c>
      <c r="C91" s="10">
        <f>Catalog!D91</f>
        <v>0</v>
      </c>
      <c r="D91" s="10">
        <f>Catalog!N91</f>
        <v>0</v>
      </c>
      <c r="E91" s="10">
        <f>Catalog!F91</f>
        <v>0</v>
      </c>
      <c r="F91" s="10" t="str">
        <f>IF(Catalog!W91="","",Catalog!W91&amp;" "&amp;Catalog!X91)</f>
        <v/>
      </c>
      <c r="G91" s="11"/>
    </row>
    <row r="92" spans="1:7" x14ac:dyDescent="0.25">
      <c r="A92" s="10" t="str">
        <f>Catalog!A92</f>
        <v/>
      </c>
      <c r="B92" s="10" t="str">
        <f>Catalog!C92</f>
        <v/>
      </c>
      <c r="C92" s="10">
        <f>Catalog!D92</f>
        <v>0</v>
      </c>
      <c r="D92" s="10">
        <f>Catalog!N92</f>
        <v>0</v>
      </c>
      <c r="E92" s="10">
        <f>Catalog!F92</f>
        <v>0</v>
      </c>
      <c r="F92" s="10" t="str">
        <f>IF(Catalog!W92="","",Catalog!W92&amp;" "&amp;Catalog!X92)</f>
        <v/>
      </c>
      <c r="G92" s="11"/>
    </row>
    <row r="93" spans="1:7" x14ac:dyDescent="0.25">
      <c r="A93" s="10" t="str">
        <f>Catalog!A93</f>
        <v/>
      </c>
      <c r="B93" s="10" t="str">
        <f>Catalog!C93</f>
        <v/>
      </c>
      <c r="C93" s="10">
        <f>Catalog!D93</f>
        <v>0</v>
      </c>
      <c r="D93" s="10">
        <f>Catalog!N93</f>
        <v>0</v>
      </c>
      <c r="E93" s="10">
        <f>Catalog!F93</f>
        <v>0</v>
      </c>
      <c r="F93" s="10" t="str">
        <f>IF(Catalog!W93="","",Catalog!W93&amp;" "&amp;Catalog!X93)</f>
        <v/>
      </c>
      <c r="G93" s="11"/>
    </row>
    <row r="94" spans="1:7" x14ac:dyDescent="0.25">
      <c r="A94" s="10" t="str">
        <f>Catalog!A94</f>
        <v/>
      </c>
      <c r="B94" s="10" t="str">
        <f>Catalog!C94</f>
        <v/>
      </c>
      <c r="C94" s="10">
        <f>Catalog!D94</f>
        <v>0</v>
      </c>
      <c r="D94" s="10">
        <f>Catalog!N94</f>
        <v>0</v>
      </c>
      <c r="E94" s="10">
        <f>Catalog!F94</f>
        <v>0</v>
      </c>
      <c r="F94" s="10" t="str">
        <f>IF(Catalog!W94="","",Catalog!W94&amp;" "&amp;Catalog!X94)</f>
        <v/>
      </c>
      <c r="G94" s="11"/>
    </row>
    <row r="95" spans="1:7" x14ac:dyDescent="0.25">
      <c r="A95" s="10" t="str">
        <f>Catalog!A95</f>
        <v/>
      </c>
      <c r="B95" s="10" t="str">
        <f>Catalog!C95</f>
        <v/>
      </c>
      <c r="C95" s="10">
        <f>Catalog!D95</f>
        <v>0</v>
      </c>
      <c r="D95" s="10">
        <f>Catalog!N95</f>
        <v>0</v>
      </c>
      <c r="E95" s="10">
        <f>Catalog!F95</f>
        <v>0</v>
      </c>
      <c r="F95" s="10" t="str">
        <f>IF(Catalog!W95="","",Catalog!W95&amp;" "&amp;Catalog!X95)</f>
        <v/>
      </c>
      <c r="G95" s="11"/>
    </row>
    <row r="96" spans="1:7" x14ac:dyDescent="0.25">
      <c r="A96" s="10" t="str">
        <f>Catalog!A96</f>
        <v/>
      </c>
      <c r="B96" s="10" t="str">
        <f>Catalog!C96</f>
        <v/>
      </c>
      <c r="C96" s="10">
        <f>Catalog!D96</f>
        <v>0</v>
      </c>
      <c r="D96" s="10">
        <f>Catalog!N96</f>
        <v>0</v>
      </c>
      <c r="E96" s="10">
        <f>Catalog!F96</f>
        <v>0</v>
      </c>
      <c r="F96" s="10" t="str">
        <f>IF(Catalog!W96="","",Catalog!W96&amp;" "&amp;Catalog!X96)</f>
        <v/>
      </c>
      <c r="G96" s="11"/>
    </row>
    <row r="97" spans="1:7" x14ac:dyDescent="0.25">
      <c r="A97" s="10" t="str">
        <f>Catalog!A97</f>
        <v/>
      </c>
      <c r="B97" s="10" t="str">
        <f>Catalog!C97</f>
        <v/>
      </c>
      <c r="C97" s="10">
        <f>Catalog!D97</f>
        <v>0</v>
      </c>
      <c r="D97" s="10">
        <f>Catalog!N97</f>
        <v>0</v>
      </c>
      <c r="E97" s="10">
        <f>Catalog!F97</f>
        <v>0</v>
      </c>
      <c r="F97" s="10" t="str">
        <f>IF(Catalog!W97="","",Catalog!W97&amp;" "&amp;Catalog!X97)</f>
        <v/>
      </c>
      <c r="G97" s="11"/>
    </row>
    <row r="98" spans="1:7" x14ac:dyDescent="0.25">
      <c r="A98" s="10" t="str">
        <f>Catalog!A98</f>
        <v/>
      </c>
      <c r="B98" s="10" t="str">
        <f>Catalog!C98</f>
        <v/>
      </c>
      <c r="C98" s="10">
        <f>Catalog!D98</f>
        <v>0</v>
      </c>
      <c r="D98" s="10">
        <f>Catalog!N98</f>
        <v>0</v>
      </c>
      <c r="E98" s="10">
        <f>Catalog!F98</f>
        <v>0</v>
      </c>
      <c r="F98" s="10" t="str">
        <f>IF(Catalog!W98="","",Catalog!W98&amp;" "&amp;Catalog!X98)</f>
        <v/>
      </c>
      <c r="G98" s="11"/>
    </row>
    <row r="99" spans="1:7" x14ac:dyDescent="0.25">
      <c r="A99" s="10" t="str">
        <f>Catalog!A99</f>
        <v/>
      </c>
      <c r="B99" s="10" t="str">
        <f>Catalog!C99</f>
        <v/>
      </c>
      <c r="C99" s="10">
        <f>Catalog!D99</f>
        <v>0</v>
      </c>
      <c r="D99" s="10">
        <f>Catalog!N99</f>
        <v>0</v>
      </c>
      <c r="E99" s="10">
        <f>Catalog!F99</f>
        <v>0</v>
      </c>
      <c r="F99" s="10" t="str">
        <f>IF(Catalog!W99="","",Catalog!W99&amp;" "&amp;Catalog!X99)</f>
        <v/>
      </c>
      <c r="G99" s="11"/>
    </row>
    <row r="100" spans="1:7" x14ac:dyDescent="0.25">
      <c r="A100" s="10" t="str">
        <f>Catalog!A100</f>
        <v/>
      </c>
      <c r="B100" s="10" t="str">
        <f>Catalog!C100</f>
        <v/>
      </c>
      <c r="C100" s="10">
        <f>Catalog!D100</f>
        <v>0</v>
      </c>
      <c r="D100" s="10">
        <f>Catalog!N100</f>
        <v>0</v>
      </c>
      <c r="E100" s="10">
        <f>Catalog!F100</f>
        <v>0</v>
      </c>
      <c r="F100" s="10" t="str">
        <f>IF(Catalog!W100="","",Catalog!W100&amp;" "&amp;Catalog!X100)</f>
        <v/>
      </c>
      <c r="G100" s="11"/>
    </row>
    <row r="101" spans="1:7" x14ac:dyDescent="0.25">
      <c r="A101" s="10" t="str">
        <f>Catalog!A101</f>
        <v/>
      </c>
      <c r="B101" s="10" t="str">
        <f>Catalog!C101</f>
        <v/>
      </c>
      <c r="C101" s="10">
        <f>Catalog!D101</f>
        <v>0</v>
      </c>
      <c r="D101" s="10">
        <f>Catalog!N101</f>
        <v>0</v>
      </c>
      <c r="E101" s="10">
        <f>Catalog!F101</f>
        <v>0</v>
      </c>
      <c r="F101" s="10" t="str">
        <f>IF(Catalog!W101="","",Catalog!W101&amp;" "&amp;Catalog!X101)</f>
        <v/>
      </c>
      <c r="G101" s="11"/>
    </row>
    <row r="102" spans="1:7" x14ac:dyDescent="0.25">
      <c r="A102" s="10" t="str">
        <f>Catalog!A102</f>
        <v/>
      </c>
      <c r="B102" s="10" t="str">
        <f>Catalog!C102</f>
        <v/>
      </c>
      <c r="C102" s="10">
        <f>Catalog!D102</f>
        <v>0</v>
      </c>
      <c r="D102" s="10">
        <f>Catalog!N102</f>
        <v>0</v>
      </c>
      <c r="E102" s="10">
        <f>Catalog!F102</f>
        <v>0</v>
      </c>
      <c r="F102" s="10" t="str">
        <f>IF(Catalog!W102="","",Catalog!W102&amp;" "&amp;Catalog!X102)</f>
        <v/>
      </c>
      <c r="G102" s="11"/>
    </row>
    <row r="103" spans="1:7" x14ac:dyDescent="0.25">
      <c r="A103" s="10" t="str">
        <f>Catalog!A103</f>
        <v/>
      </c>
      <c r="B103" s="10" t="str">
        <f>Catalog!C103</f>
        <v/>
      </c>
      <c r="C103" s="10">
        <f>Catalog!D103</f>
        <v>0</v>
      </c>
      <c r="D103" s="10">
        <f>Catalog!N103</f>
        <v>0</v>
      </c>
      <c r="E103" s="10">
        <f>Catalog!F103</f>
        <v>0</v>
      </c>
      <c r="F103" s="10" t="str">
        <f>IF(Catalog!W103="","",Catalog!W103&amp;" "&amp;Catalog!X103)</f>
        <v/>
      </c>
      <c r="G103" s="11"/>
    </row>
    <row r="104" spans="1:7" x14ac:dyDescent="0.25">
      <c r="A104" s="10" t="str">
        <f>Catalog!A104</f>
        <v/>
      </c>
      <c r="B104" s="10" t="str">
        <f>Catalog!C104</f>
        <v/>
      </c>
      <c r="C104" s="10">
        <f>Catalog!D104</f>
        <v>0</v>
      </c>
      <c r="D104" s="10">
        <f>Catalog!N104</f>
        <v>0</v>
      </c>
      <c r="E104" s="10">
        <f>Catalog!F104</f>
        <v>0</v>
      </c>
      <c r="F104" s="10" t="str">
        <f>IF(Catalog!W104="","",Catalog!W104&amp;" "&amp;Catalog!X104)</f>
        <v/>
      </c>
      <c r="G104" s="11"/>
    </row>
    <row r="105" spans="1:7" x14ac:dyDescent="0.25">
      <c r="A105" s="10" t="str">
        <f>Catalog!A105</f>
        <v/>
      </c>
      <c r="B105" s="10" t="str">
        <f>Catalog!C105</f>
        <v/>
      </c>
      <c r="C105" s="10">
        <f>Catalog!D105</f>
        <v>0</v>
      </c>
      <c r="D105" s="10">
        <f>Catalog!N105</f>
        <v>0</v>
      </c>
      <c r="E105" s="10">
        <f>Catalog!F105</f>
        <v>0</v>
      </c>
      <c r="F105" s="10" t="str">
        <f>IF(Catalog!W105="","",Catalog!W105&amp;" "&amp;Catalog!X105)</f>
        <v/>
      </c>
      <c r="G105" s="11"/>
    </row>
    <row r="106" spans="1:7" x14ac:dyDescent="0.25">
      <c r="A106" s="10" t="str">
        <f>Catalog!A106</f>
        <v/>
      </c>
      <c r="B106" s="10" t="str">
        <f>Catalog!C106</f>
        <v/>
      </c>
      <c r="C106" s="10">
        <f>Catalog!D106</f>
        <v>0</v>
      </c>
      <c r="D106" s="10">
        <f>Catalog!N106</f>
        <v>0</v>
      </c>
      <c r="E106" s="10">
        <f>Catalog!F106</f>
        <v>0</v>
      </c>
      <c r="F106" s="10" t="str">
        <f>IF(Catalog!W106="","",Catalog!W106&amp;" "&amp;Catalog!X106)</f>
        <v/>
      </c>
      <c r="G106" s="11"/>
    </row>
    <row r="107" spans="1:7" x14ac:dyDescent="0.25">
      <c r="A107" s="10" t="str">
        <f>Catalog!A107</f>
        <v/>
      </c>
      <c r="B107" s="10" t="str">
        <f>Catalog!C107</f>
        <v/>
      </c>
      <c r="C107" s="10">
        <f>Catalog!D107</f>
        <v>0</v>
      </c>
      <c r="D107" s="10">
        <f>Catalog!N107</f>
        <v>0</v>
      </c>
      <c r="E107" s="10">
        <f>Catalog!F107</f>
        <v>0</v>
      </c>
      <c r="F107" s="10" t="str">
        <f>IF(Catalog!W107="","",Catalog!W107&amp;" "&amp;Catalog!X107)</f>
        <v/>
      </c>
      <c r="G107" s="11"/>
    </row>
    <row r="108" spans="1:7" x14ac:dyDescent="0.25">
      <c r="A108" s="10" t="str">
        <f>Catalog!A108</f>
        <v/>
      </c>
      <c r="B108" s="10" t="str">
        <f>Catalog!C108</f>
        <v/>
      </c>
      <c r="C108" s="10">
        <f>Catalog!D108</f>
        <v>0</v>
      </c>
      <c r="D108" s="10">
        <f>Catalog!N108</f>
        <v>0</v>
      </c>
      <c r="E108" s="10">
        <f>Catalog!F108</f>
        <v>0</v>
      </c>
      <c r="F108" s="10" t="str">
        <f>IF(Catalog!W108="","",Catalog!W108&amp;" "&amp;Catalog!X108)</f>
        <v/>
      </c>
      <c r="G108" s="11"/>
    </row>
    <row r="109" spans="1:7" x14ac:dyDescent="0.25">
      <c r="A109" s="10" t="str">
        <f>Catalog!A109</f>
        <v/>
      </c>
      <c r="B109" s="10" t="str">
        <f>Catalog!C109</f>
        <v/>
      </c>
      <c r="C109" s="10">
        <f>Catalog!D109</f>
        <v>0</v>
      </c>
      <c r="D109" s="10">
        <f>Catalog!N109</f>
        <v>0</v>
      </c>
      <c r="E109" s="10">
        <f>Catalog!F109</f>
        <v>0</v>
      </c>
      <c r="F109" s="10" t="str">
        <f>IF(Catalog!W109="","",Catalog!W109&amp;" "&amp;Catalog!X109)</f>
        <v/>
      </c>
      <c r="G109" s="11"/>
    </row>
    <row r="110" spans="1:7" x14ac:dyDescent="0.25">
      <c r="A110" s="10" t="str">
        <f>Catalog!A110</f>
        <v/>
      </c>
      <c r="B110" s="10" t="str">
        <f>Catalog!C110</f>
        <v/>
      </c>
      <c r="C110" s="10">
        <f>Catalog!D110</f>
        <v>0</v>
      </c>
      <c r="D110" s="10">
        <f>Catalog!N110</f>
        <v>0</v>
      </c>
      <c r="E110" s="10">
        <f>Catalog!F110</f>
        <v>0</v>
      </c>
      <c r="F110" s="10" t="str">
        <f>IF(Catalog!W110="","",Catalog!W110&amp;" "&amp;Catalog!X110)</f>
        <v/>
      </c>
      <c r="G110" s="11"/>
    </row>
    <row r="111" spans="1:7" x14ac:dyDescent="0.25">
      <c r="A111" s="10" t="str">
        <f>Catalog!A111</f>
        <v/>
      </c>
      <c r="B111" s="10" t="str">
        <f>Catalog!C111</f>
        <v/>
      </c>
      <c r="C111" s="10">
        <f>Catalog!D111</f>
        <v>0</v>
      </c>
      <c r="D111" s="10">
        <f>Catalog!N111</f>
        <v>0</v>
      </c>
      <c r="E111" s="10">
        <f>Catalog!F111</f>
        <v>0</v>
      </c>
      <c r="F111" s="10" t="str">
        <f>IF(Catalog!W111="","",Catalog!W111&amp;" "&amp;Catalog!X111)</f>
        <v/>
      </c>
      <c r="G111" s="11"/>
    </row>
    <row r="112" spans="1:7" x14ac:dyDescent="0.25">
      <c r="A112" s="10" t="str">
        <f>Catalog!A112</f>
        <v/>
      </c>
      <c r="B112" s="10" t="str">
        <f>Catalog!C112</f>
        <v/>
      </c>
      <c r="C112" s="10">
        <f>Catalog!D112</f>
        <v>0</v>
      </c>
      <c r="D112" s="10">
        <f>Catalog!N112</f>
        <v>0</v>
      </c>
      <c r="E112" s="10">
        <f>Catalog!F112</f>
        <v>0</v>
      </c>
      <c r="F112" s="10" t="str">
        <f>IF(Catalog!W112="","",Catalog!W112&amp;" "&amp;Catalog!X112)</f>
        <v/>
      </c>
      <c r="G112" s="11"/>
    </row>
    <row r="113" spans="1:7" x14ac:dyDescent="0.25">
      <c r="A113" s="10" t="str">
        <f>Catalog!A113</f>
        <v/>
      </c>
      <c r="B113" s="10" t="str">
        <f>Catalog!C113</f>
        <v/>
      </c>
      <c r="C113" s="10">
        <f>Catalog!D113</f>
        <v>0</v>
      </c>
      <c r="D113" s="10">
        <f>Catalog!N113</f>
        <v>0</v>
      </c>
      <c r="E113" s="10">
        <f>Catalog!F113</f>
        <v>0</v>
      </c>
      <c r="F113" s="10" t="str">
        <f>IF(Catalog!W113="","",Catalog!W113&amp;" "&amp;Catalog!X113)</f>
        <v/>
      </c>
      <c r="G113" s="11"/>
    </row>
    <row r="114" spans="1:7" x14ac:dyDescent="0.25">
      <c r="A114" s="10" t="str">
        <f>Catalog!A114</f>
        <v/>
      </c>
      <c r="B114" s="10" t="str">
        <f>Catalog!C114</f>
        <v/>
      </c>
      <c r="C114" s="10">
        <f>Catalog!D114</f>
        <v>0</v>
      </c>
      <c r="D114" s="10">
        <f>Catalog!N114</f>
        <v>0</v>
      </c>
      <c r="E114" s="10">
        <f>Catalog!F114</f>
        <v>0</v>
      </c>
      <c r="F114" s="10" t="str">
        <f>IF(Catalog!W114="","",Catalog!W114&amp;" "&amp;Catalog!X114)</f>
        <v/>
      </c>
      <c r="G114" s="11"/>
    </row>
    <row r="115" spans="1:7" x14ac:dyDescent="0.25">
      <c r="A115" s="10" t="str">
        <f>Catalog!A115</f>
        <v/>
      </c>
      <c r="B115" s="10" t="str">
        <f>Catalog!C115</f>
        <v/>
      </c>
      <c r="C115" s="10">
        <f>Catalog!D115</f>
        <v>0</v>
      </c>
      <c r="D115" s="10">
        <f>Catalog!N115</f>
        <v>0</v>
      </c>
      <c r="E115" s="10">
        <f>Catalog!F115</f>
        <v>0</v>
      </c>
      <c r="F115" s="10" t="str">
        <f>IF(Catalog!W115="","",Catalog!W115&amp;" "&amp;Catalog!X115)</f>
        <v/>
      </c>
      <c r="G115" s="11"/>
    </row>
    <row r="116" spans="1:7" x14ac:dyDescent="0.25">
      <c r="A116" s="10" t="str">
        <f>Catalog!A116</f>
        <v/>
      </c>
      <c r="B116" s="10" t="str">
        <f>Catalog!C116</f>
        <v/>
      </c>
      <c r="C116" s="10">
        <f>Catalog!D116</f>
        <v>0</v>
      </c>
      <c r="D116" s="10">
        <f>Catalog!N116</f>
        <v>0</v>
      </c>
      <c r="E116" s="10">
        <f>Catalog!F116</f>
        <v>0</v>
      </c>
      <c r="F116" s="10" t="str">
        <f>IF(Catalog!W116="","",Catalog!W116&amp;" "&amp;Catalog!X116)</f>
        <v/>
      </c>
      <c r="G116" s="11"/>
    </row>
    <row r="117" spans="1:7" x14ac:dyDescent="0.25">
      <c r="A117" s="10" t="str">
        <f>Catalog!A117</f>
        <v/>
      </c>
      <c r="B117" s="10" t="str">
        <f>Catalog!C117</f>
        <v/>
      </c>
      <c r="C117" s="10">
        <f>Catalog!D117</f>
        <v>0</v>
      </c>
      <c r="D117" s="10">
        <f>Catalog!N117</f>
        <v>0</v>
      </c>
      <c r="E117" s="10">
        <f>Catalog!F117</f>
        <v>0</v>
      </c>
      <c r="F117" s="10" t="str">
        <f>IF(Catalog!W117="","",Catalog!W117&amp;" "&amp;Catalog!X117)</f>
        <v/>
      </c>
      <c r="G117" s="11"/>
    </row>
    <row r="118" spans="1:7" x14ac:dyDescent="0.25">
      <c r="A118" s="10" t="str">
        <f>Catalog!A118</f>
        <v/>
      </c>
      <c r="B118" s="10" t="str">
        <f>Catalog!C118</f>
        <v/>
      </c>
      <c r="C118" s="10">
        <f>Catalog!D118</f>
        <v>0</v>
      </c>
      <c r="D118" s="10">
        <f>Catalog!N118</f>
        <v>0</v>
      </c>
      <c r="E118" s="10">
        <f>Catalog!F118</f>
        <v>0</v>
      </c>
      <c r="F118" s="10" t="str">
        <f>IF(Catalog!W118="","",Catalog!W118&amp;" "&amp;Catalog!X118)</f>
        <v/>
      </c>
      <c r="G118" s="11"/>
    </row>
    <row r="119" spans="1:7" x14ac:dyDescent="0.25">
      <c r="A119" s="10" t="str">
        <f>Catalog!A119</f>
        <v/>
      </c>
      <c r="B119" s="10" t="str">
        <f>Catalog!C119</f>
        <v/>
      </c>
      <c r="C119" s="10">
        <f>Catalog!D119</f>
        <v>0</v>
      </c>
      <c r="D119" s="10">
        <f>Catalog!N119</f>
        <v>0</v>
      </c>
      <c r="E119" s="10">
        <f>Catalog!F119</f>
        <v>0</v>
      </c>
      <c r="F119" s="10" t="str">
        <f>IF(Catalog!W119="","",Catalog!W119&amp;" "&amp;Catalog!X119)</f>
        <v/>
      </c>
      <c r="G119" s="11"/>
    </row>
    <row r="120" spans="1:7" x14ac:dyDescent="0.25">
      <c r="A120" s="10" t="str">
        <f>Catalog!A120</f>
        <v/>
      </c>
      <c r="B120" s="10" t="str">
        <f>Catalog!C120</f>
        <v/>
      </c>
      <c r="C120" s="10">
        <f>Catalog!D120</f>
        <v>0</v>
      </c>
      <c r="D120" s="10">
        <f>Catalog!N120</f>
        <v>0</v>
      </c>
      <c r="E120" s="10">
        <f>Catalog!F120</f>
        <v>0</v>
      </c>
      <c r="F120" s="10" t="str">
        <f>IF(Catalog!W120="","",Catalog!W120&amp;" "&amp;Catalog!X120)</f>
        <v/>
      </c>
      <c r="G120" s="11"/>
    </row>
    <row r="121" spans="1:7" x14ac:dyDescent="0.25">
      <c r="A121" s="10" t="str">
        <f>Catalog!A121</f>
        <v/>
      </c>
      <c r="B121" s="10" t="str">
        <f>Catalog!C121</f>
        <v/>
      </c>
      <c r="C121" s="10">
        <f>Catalog!D121</f>
        <v>0</v>
      </c>
      <c r="D121" s="10">
        <f>Catalog!N121</f>
        <v>0</v>
      </c>
      <c r="E121" s="10">
        <f>Catalog!F121</f>
        <v>0</v>
      </c>
      <c r="F121" s="10" t="str">
        <f>IF(Catalog!W121="","",Catalog!W121&amp;" "&amp;Catalog!X121)</f>
        <v/>
      </c>
      <c r="G121" s="11"/>
    </row>
    <row r="122" spans="1:7" x14ac:dyDescent="0.25">
      <c r="A122" s="10" t="str">
        <f>Catalog!A122</f>
        <v/>
      </c>
      <c r="B122" s="10" t="str">
        <f>Catalog!C122</f>
        <v/>
      </c>
      <c r="C122" s="10">
        <f>Catalog!D122</f>
        <v>0</v>
      </c>
      <c r="D122" s="10">
        <f>Catalog!N122</f>
        <v>0</v>
      </c>
      <c r="E122" s="10">
        <f>Catalog!F122</f>
        <v>0</v>
      </c>
      <c r="F122" s="10" t="str">
        <f>IF(Catalog!W122="","",Catalog!W122&amp;" "&amp;Catalog!X122)</f>
        <v/>
      </c>
      <c r="G122" s="11"/>
    </row>
    <row r="123" spans="1:7" x14ac:dyDescent="0.25">
      <c r="A123" s="10" t="str">
        <f>Catalog!A123</f>
        <v/>
      </c>
      <c r="B123" s="10" t="str">
        <f>Catalog!C123</f>
        <v/>
      </c>
      <c r="C123" s="10">
        <f>Catalog!D123</f>
        <v>0</v>
      </c>
      <c r="D123" s="10">
        <f>Catalog!N123</f>
        <v>0</v>
      </c>
      <c r="E123" s="10">
        <f>Catalog!F123</f>
        <v>0</v>
      </c>
      <c r="F123" s="10" t="str">
        <f>IF(Catalog!W123="","",Catalog!W123&amp;" "&amp;Catalog!X123)</f>
        <v/>
      </c>
      <c r="G123" s="11"/>
    </row>
    <row r="124" spans="1:7" x14ac:dyDescent="0.25">
      <c r="A124" s="10" t="str">
        <f>Catalog!A124</f>
        <v/>
      </c>
      <c r="B124" s="10" t="str">
        <f>Catalog!C124</f>
        <v/>
      </c>
      <c r="C124" s="10">
        <f>Catalog!D124</f>
        <v>0</v>
      </c>
      <c r="D124" s="10">
        <f>Catalog!N124</f>
        <v>0</v>
      </c>
      <c r="E124" s="10">
        <f>Catalog!F124</f>
        <v>0</v>
      </c>
      <c r="F124" s="10" t="str">
        <f>IF(Catalog!W124="","",Catalog!W124&amp;" "&amp;Catalog!X124)</f>
        <v/>
      </c>
      <c r="G124" s="11"/>
    </row>
    <row r="125" spans="1:7" x14ac:dyDescent="0.25">
      <c r="A125" s="10" t="str">
        <f>Catalog!A125</f>
        <v/>
      </c>
      <c r="B125" s="10" t="str">
        <f>Catalog!C125</f>
        <v/>
      </c>
      <c r="C125" s="10">
        <f>Catalog!D125</f>
        <v>0</v>
      </c>
      <c r="D125" s="10">
        <f>Catalog!N125</f>
        <v>0</v>
      </c>
      <c r="E125" s="10">
        <f>Catalog!F125</f>
        <v>0</v>
      </c>
      <c r="F125" s="10" t="str">
        <f>IF(Catalog!W125="","",Catalog!W125&amp;" "&amp;Catalog!X125)</f>
        <v/>
      </c>
      <c r="G125" s="11"/>
    </row>
    <row r="126" spans="1:7" x14ac:dyDescent="0.25">
      <c r="A126" s="10" t="str">
        <f>Catalog!A126</f>
        <v/>
      </c>
      <c r="B126" s="10" t="str">
        <f>Catalog!C126</f>
        <v/>
      </c>
      <c r="C126" s="10">
        <f>Catalog!D126</f>
        <v>0</v>
      </c>
      <c r="D126" s="10">
        <f>Catalog!N126</f>
        <v>0</v>
      </c>
      <c r="E126" s="10">
        <f>Catalog!F126</f>
        <v>0</v>
      </c>
      <c r="F126" s="10" t="str">
        <f>IF(Catalog!W126="","",Catalog!W126&amp;" "&amp;Catalog!X126)</f>
        <v/>
      </c>
      <c r="G126" s="11"/>
    </row>
    <row r="127" spans="1:7" x14ac:dyDescent="0.25">
      <c r="A127" s="10" t="str">
        <f>Catalog!A127</f>
        <v/>
      </c>
      <c r="B127" s="10" t="str">
        <f>Catalog!C127</f>
        <v/>
      </c>
      <c r="C127" s="10">
        <f>Catalog!D127</f>
        <v>0</v>
      </c>
      <c r="D127" s="10">
        <f>Catalog!N127</f>
        <v>0</v>
      </c>
      <c r="E127" s="10">
        <f>Catalog!F127</f>
        <v>0</v>
      </c>
      <c r="F127" s="10" t="str">
        <f>IF(Catalog!W127="","",Catalog!W127&amp;" "&amp;Catalog!X127)</f>
        <v/>
      </c>
      <c r="G127" s="11"/>
    </row>
    <row r="128" spans="1:7" x14ac:dyDescent="0.25">
      <c r="A128" s="10" t="str">
        <f>Catalog!A128</f>
        <v/>
      </c>
      <c r="B128" s="10" t="str">
        <f>Catalog!C128</f>
        <v/>
      </c>
      <c r="C128" s="10">
        <f>Catalog!D128</f>
        <v>0</v>
      </c>
      <c r="D128" s="10">
        <f>Catalog!N128</f>
        <v>0</v>
      </c>
      <c r="E128" s="10">
        <f>Catalog!F128</f>
        <v>0</v>
      </c>
      <c r="F128" s="10" t="str">
        <f>IF(Catalog!W128="","",Catalog!W128&amp;" "&amp;Catalog!X128)</f>
        <v/>
      </c>
      <c r="G128" s="11"/>
    </row>
    <row r="129" spans="1:7" x14ac:dyDescent="0.25">
      <c r="A129" s="10" t="str">
        <f>Catalog!A129</f>
        <v/>
      </c>
      <c r="B129" s="10" t="str">
        <f>Catalog!C129</f>
        <v/>
      </c>
      <c r="C129" s="10">
        <f>Catalog!D129</f>
        <v>0</v>
      </c>
      <c r="D129" s="10">
        <f>Catalog!N129</f>
        <v>0</v>
      </c>
      <c r="E129" s="10">
        <f>Catalog!F129</f>
        <v>0</v>
      </c>
      <c r="F129" s="10" t="str">
        <f>IF(Catalog!W129="","",Catalog!W129&amp;" "&amp;Catalog!X129)</f>
        <v/>
      </c>
      <c r="G129" s="11"/>
    </row>
    <row r="130" spans="1:7" x14ac:dyDescent="0.25">
      <c r="A130" s="10" t="str">
        <f>Catalog!A130</f>
        <v/>
      </c>
      <c r="B130" s="10" t="str">
        <f>Catalog!C130</f>
        <v/>
      </c>
      <c r="C130" s="10">
        <f>Catalog!D130</f>
        <v>0</v>
      </c>
      <c r="D130" s="10">
        <f>Catalog!N130</f>
        <v>0</v>
      </c>
      <c r="E130" s="10">
        <f>Catalog!F130</f>
        <v>0</v>
      </c>
      <c r="F130" s="10" t="str">
        <f>IF(Catalog!W130="","",Catalog!W130&amp;" "&amp;Catalog!X130)</f>
        <v/>
      </c>
      <c r="G130" s="11"/>
    </row>
    <row r="131" spans="1:7" x14ac:dyDescent="0.25">
      <c r="A131" s="10" t="str">
        <f>Catalog!A131</f>
        <v/>
      </c>
      <c r="B131" s="10" t="str">
        <f>Catalog!C131</f>
        <v/>
      </c>
      <c r="C131" s="10">
        <f>Catalog!D131</f>
        <v>0</v>
      </c>
      <c r="D131" s="10">
        <f>Catalog!N131</f>
        <v>0</v>
      </c>
      <c r="E131" s="10">
        <f>Catalog!F131</f>
        <v>0</v>
      </c>
      <c r="F131" s="10" t="str">
        <f>IF(Catalog!W131="","",Catalog!W131&amp;" "&amp;Catalog!X131)</f>
        <v/>
      </c>
      <c r="G131" s="11"/>
    </row>
    <row r="132" spans="1:7" x14ac:dyDescent="0.25">
      <c r="A132" s="10" t="str">
        <f>Catalog!A132</f>
        <v/>
      </c>
      <c r="B132" s="10" t="str">
        <f>Catalog!C132</f>
        <v/>
      </c>
      <c r="C132" s="10">
        <f>Catalog!D132</f>
        <v>0</v>
      </c>
      <c r="D132" s="10">
        <f>Catalog!N132</f>
        <v>0</v>
      </c>
      <c r="E132" s="10">
        <f>Catalog!F132</f>
        <v>0</v>
      </c>
      <c r="F132" s="10" t="str">
        <f>IF(Catalog!W132="","",Catalog!W132&amp;" "&amp;Catalog!X132)</f>
        <v/>
      </c>
      <c r="G132" s="11"/>
    </row>
    <row r="133" spans="1:7" x14ac:dyDescent="0.25">
      <c r="A133" s="10" t="str">
        <f>Catalog!A133</f>
        <v/>
      </c>
      <c r="B133" s="10" t="str">
        <f>Catalog!C133</f>
        <v/>
      </c>
      <c r="C133" s="10">
        <f>Catalog!D133</f>
        <v>0</v>
      </c>
      <c r="D133" s="10">
        <f>Catalog!N133</f>
        <v>0</v>
      </c>
      <c r="E133" s="10">
        <f>Catalog!F133</f>
        <v>0</v>
      </c>
      <c r="F133" s="10" t="str">
        <f>IF(Catalog!W133="","",Catalog!W133&amp;" "&amp;Catalog!X133)</f>
        <v/>
      </c>
      <c r="G133" s="11"/>
    </row>
    <row r="134" spans="1:7" x14ac:dyDescent="0.25">
      <c r="A134" s="10" t="str">
        <f>Catalog!A134</f>
        <v/>
      </c>
      <c r="B134" s="10" t="str">
        <f>Catalog!C134</f>
        <v/>
      </c>
      <c r="C134" s="10">
        <f>Catalog!D134</f>
        <v>0</v>
      </c>
      <c r="D134" s="10">
        <f>Catalog!N134</f>
        <v>0</v>
      </c>
      <c r="E134" s="10">
        <f>Catalog!F134</f>
        <v>0</v>
      </c>
      <c r="F134" s="10" t="str">
        <f>IF(Catalog!W134="","",Catalog!W134&amp;" "&amp;Catalog!X134)</f>
        <v/>
      </c>
      <c r="G134" s="11"/>
    </row>
    <row r="135" spans="1:7" x14ac:dyDescent="0.25">
      <c r="A135" s="10" t="str">
        <f>Catalog!A135</f>
        <v/>
      </c>
      <c r="B135" s="10" t="str">
        <f>Catalog!C135</f>
        <v/>
      </c>
      <c r="C135" s="10">
        <f>Catalog!D135</f>
        <v>0</v>
      </c>
      <c r="D135" s="10">
        <f>Catalog!N135</f>
        <v>0</v>
      </c>
      <c r="E135" s="10">
        <f>Catalog!F135</f>
        <v>0</v>
      </c>
      <c r="F135" s="10" t="str">
        <f>IF(Catalog!W135="","",Catalog!W135&amp;" "&amp;Catalog!X135)</f>
        <v/>
      </c>
      <c r="G135" s="11"/>
    </row>
    <row r="136" spans="1:7" x14ac:dyDescent="0.25">
      <c r="A136" s="10" t="str">
        <f>Catalog!A136</f>
        <v/>
      </c>
      <c r="B136" s="10" t="str">
        <f>Catalog!C136</f>
        <v/>
      </c>
      <c r="C136" s="10">
        <f>Catalog!D136</f>
        <v>0</v>
      </c>
      <c r="D136" s="10">
        <f>Catalog!N136</f>
        <v>0</v>
      </c>
      <c r="E136" s="10">
        <f>Catalog!F136</f>
        <v>0</v>
      </c>
      <c r="F136" s="10" t="str">
        <f>IF(Catalog!W136="","",Catalog!W136&amp;" "&amp;Catalog!X136)</f>
        <v/>
      </c>
      <c r="G136" s="11"/>
    </row>
    <row r="137" spans="1:7" x14ac:dyDescent="0.25">
      <c r="A137" s="10" t="str">
        <f>Catalog!A137</f>
        <v/>
      </c>
      <c r="B137" s="10" t="str">
        <f>Catalog!C137</f>
        <v/>
      </c>
      <c r="C137" s="10">
        <f>Catalog!D137</f>
        <v>0</v>
      </c>
      <c r="D137" s="10">
        <f>Catalog!N137</f>
        <v>0</v>
      </c>
      <c r="E137" s="10">
        <f>Catalog!F137</f>
        <v>0</v>
      </c>
      <c r="F137" s="10" t="str">
        <f>IF(Catalog!W137="","",Catalog!W137&amp;" "&amp;Catalog!X137)</f>
        <v/>
      </c>
      <c r="G137" s="11"/>
    </row>
    <row r="138" spans="1:7" x14ac:dyDescent="0.25">
      <c r="A138" s="10" t="str">
        <f>Catalog!A138</f>
        <v/>
      </c>
      <c r="B138" s="10" t="str">
        <f>Catalog!C138</f>
        <v/>
      </c>
      <c r="C138" s="10">
        <f>Catalog!D138</f>
        <v>0</v>
      </c>
      <c r="D138" s="10">
        <f>Catalog!N138</f>
        <v>0</v>
      </c>
      <c r="E138" s="10">
        <f>Catalog!F138</f>
        <v>0</v>
      </c>
      <c r="F138" s="10" t="str">
        <f>IF(Catalog!W138="","",Catalog!W138&amp;" "&amp;Catalog!X138)</f>
        <v/>
      </c>
      <c r="G138" s="11"/>
    </row>
    <row r="139" spans="1:7" x14ac:dyDescent="0.25">
      <c r="A139" s="10" t="str">
        <f>Catalog!A139</f>
        <v/>
      </c>
      <c r="B139" s="10" t="str">
        <f>Catalog!C139</f>
        <v/>
      </c>
      <c r="C139" s="10">
        <f>Catalog!D139</f>
        <v>0</v>
      </c>
      <c r="D139" s="10">
        <f>Catalog!N139</f>
        <v>0</v>
      </c>
      <c r="E139" s="10">
        <f>Catalog!F139</f>
        <v>0</v>
      </c>
      <c r="F139" s="10" t="str">
        <f>IF(Catalog!W139="","",Catalog!W139&amp;" "&amp;Catalog!X139)</f>
        <v/>
      </c>
      <c r="G139" s="11"/>
    </row>
    <row r="140" spans="1:7" x14ac:dyDescent="0.25">
      <c r="A140" s="10" t="str">
        <f>Catalog!A140</f>
        <v/>
      </c>
      <c r="B140" s="10" t="str">
        <f>Catalog!C140</f>
        <v/>
      </c>
      <c r="C140" s="10">
        <f>Catalog!D140</f>
        <v>0</v>
      </c>
      <c r="D140" s="10">
        <f>Catalog!N140</f>
        <v>0</v>
      </c>
      <c r="E140" s="10">
        <f>Catalog!F140</f>
        <v>0</v>
      </c>
      <c r="F140" s="10" t="str">
        <f>IF(Catalog!W140="","",Catalog!W140&amp;" "&amp;Catalog!X140)</f>
        <v/>
      </c>
      <c r="G140" s="11"/>
    </row>
    <row r="141" spans="1:7" x14ac:dyDescent="0.25">
      <c r="A141" s="10" t="str">
        <f>Catalog!A141</f>
        <v/>
      </c>
      <c r="B141" s="10" t="str">
        <f>Catalog!C141</f>
        <v/>
      </c>
      <c r="C141" s="10">
        <f>Catalog!D141</f>
        <v>0</v>
      </c>
      <c r="D141" s="10">
        <f>Catalog!N141</f>
        <v>0</v>
      </c>
      <c r="E141" s="10">
        <f>Catalog!F141</f>
        <v>0</v>
      </c>
      <c r="F141" s="10" t="str">
        <f>IF(Catalog!W141="","",Catalog!W141&amp;" "&amp;Catalog!X141)</f>
        <v/>
      </c>
      <c r="G141" s="11"/>
    </row>
    <row r="142" spans="1:7" x14ac:dyDescent="0.25">
      <c r="A142" s="10" t="str">
        <f>Catalog!A142</f>
        <v/>
      </c>
      <c r="B142" s="10" t="str">
        <f>Catalog!C142</f>
        <v/>
      </c>
      <c r="C142" s="10">
        <f>Catalog!D142</f>
        <v>0</v>
      </c>
      <c r="D142" s="10">
        <f>Catalog!N142</f>
        <v>0</v>
      </c>
      <c r="E142" s="10">
        <f>Catalog!F142</f>
        <v>0</v>
      </c>
      <c r="F142" s="10" t="str">
        <f>IF(Catalog!W142="","",Catalog!W142&amp;" "&amp;Catalog!X142)</f>
        <v/>
      </c>
      <c r="G142" s="11"/>
    </row>
    <row r="143" spans="1:7" x14ac:dyDescent="0.25">
      <c r="A143" s="10" t="str">
        <f>Catalog!A143</f>
        <v/>
      </c>
      <c r="B143" s="10" t="str">
        <f>Catalog!C143</f>
        <v/>
      </c>
      <c r="C143" s="10">
        <f>Catalog!D143</f>
        <v>0</v>
      </c>
      <c r="D143" s="10">
        <f>Catalog!N143</f>
        <v>0</v>
      </c>
      <c r="E143" s="10">
        <f>Catalog!F143</f>
        <v>0</v>
      </c>
      <c r="F143" s="10" t="str">
        <f>IF(Catalog!W143="","",Catalog!W143&amp;" "&amp;Catalog!X143)</f>
        <v/>
      </c>
      <c r="G143" s="11"/>
    </row>
    <row r="144" spans="1:7" x14ac:dyDescent="0.25">
      <c r="A144" s="10" t="str">
        <f>Catalog!A144</f>
        <v/>
      </c>
      <c r="B144" s="10" t="str">
        <f>Catalog!C144</f>
        <v/>
      </c>
      <c r="C144" s="10">
        <f>Catalog!D144</f>
        <v>0</v>
      </c>
      <c r="D144" s="10">
        <f>Catalog!N144</f>
        <v>0</v>
      </c>
      <c r="E144" s="10">
        <f>Catalog!F144</f>
        <v>0</v>
      </c>
      <c r="F144" s="10" t="str">
        <f>IF(Catalog!W144="","",Catalog!W144&amp;" "&amp;Catalog!X144)</f>
        <v/>
      </c>
      <c r="G144" s="11"/>
    </row>
    <row r="145" spans="1:7" x14ac:dyDescent="0.25">
      <c r="A145" s="10" t="str">
        <f>Catalog!A145</f>
        <v/>
      </c>
      <c r="B145" s="10" t="str">
        <f>Catalog!C145</f>
        <v/>
      </c>
      <c r="C145" s="10">
        <f>Catalog!D145</f>
        <v>0</v>
      </c>
      <c r="D145" s="10">
        <f>Catalog!N145</f>
        <v>0</v>
      </c>
      <c r="E145" s="10">
        <f>Catalog!F145</f>
        <v>0</v>
      </c>
      <c r="F145" s="10" t="str">
        <f>IF(Catalog!W145="","",Catalog!W145&amp;" "&amp;Catalog!X145)</f>
        <v/>
      </c>
      <c r="G145" s="11"/>
    </row>
    <row r="146" spans="1:7" x14ac:dyDescent="0.25">
      <c r="A146" s="10" t="str">
        <f>Catalog!A146</f>
        <v/>
      </c>
      <c r="B146" s="10" t="str">
        <f>Catalog!C146</f>
        <v/>
      </c>
      <c r="C146" s="10">
        <f>Catalog!D146</f>
        <v>0</v>
      </c>
      <c r="D146" s="10">
        <f>Catalog!N146</f>
        <v>0</v>
      </c>
      <c r="E146" s="10">
        <f>Catalog!F146</f>
        <v>0</v>
      </c>
      <c r="F146" s="10" t="str">
        <f>IF(Catalog!W146="","",Catalog!W146&amp;" "&amp;Catalog!X146)</f>
        <v/>
      </c>
      <c r="G146" s="11"/>
    </row>
    <row r="147" spans="1:7" x14ac:dyDescent="0.25">
      <c r="A147" s="10" t="str">
        <f>Catalog!A147</f>
        <v/>
      </c>
      <c r="B147" s="10" t="str">
        <f>Catalog!C147</f>
        <v/>
      </c>
      <c r="C147" s="10">
        <f>Catalog!D147</f>
        <v>0</v>
      </c>
      <c r="D147" s="10">
        <f>Catalog!N147</f>
        <v>0</v>
      </c>
      <c r="E147" s="10">
        <f>Catalog!F147</f>
        <v>0</v>
      </c>
      <c r="F147" s="10" t="str">
        <f>IF(Catalog!W147="","",Catalog!W147&amp;" "&amp;Catalog!X147)</f>
        <v/>
      </c>
      <c r="G147" s="11"/>
    </row>
    <row r="148" spans="1:7" x14ac:dyDescent="0.25">
      <c r="A148" s="10" t="str">
        <f>Catalog!A148</f>
        <v/>
      </c>
      <c r="B148" s="10" t="str">
        <f>Catalog!C148</f>
        <v/>
      </c>
      <c r="C148" s="10">
        <f>Catalog!D148</f>
        <v>0</v>
      </c>
      <c r="D148" s="10">
        <f>Catalog!N148</f>
        <v>0</v>
      </c>
      <c r="E148" s="10">
        <f>Catalog!F148</f>
        <v>0</v>
      </c>
      <c r="F148" s="10" t="str">
        <f>IF(Catalog!W148="","",Catalog!W148&amp;" "&amp;Catalog!X148)</f>
        <v/>
      </c>
      <c r="G148" s="11"/>
    </row>
    <row r="149" spans="1:7" x14ac:dyDescent="0.25">
      <c r="A149" s="10" t="str">
        <f>Catalog!A149</f>
        <v/>
      </c>
      <c r="B149" s="10" t="str">
        <f>Catalog!C149</f>
        <v/>
      </c>
      <c r="C149" s="10">
        <f>Catalog!D149</f>
        <v>0</v>
      </c>
      <c r="D149" s="10">
        <f>Catalog!N149</f>
        <v>0</v>
      </c>
      <c r="E149" s="10">
        <f>Catalog!F149</f>
        <v>0</v>
      </c>
      <c r="F149" s="10" t="str">
        <f>IF(Catalog!W149="","",Catalog!W149&amp;" "&amp;Catalog!X149)</f>
        <v/>
      </c>
      <c r="G149" s="11"/>
    </row>
    <row r="150" spans="1:7" x14ac:dyDescent="0.25">
      <c r="A150" s="10" t="str">
        <f>Catalog!A150</f>
        <v/>
      </c>
      <c r="B150" s="10" t="str">
        <f>Catalog!C150</f>
        <v/>
      </c>
      <c r="C150" s="10">
        <f>Catalog!D150</f>
        <v>0</v>
      </c>
      <c r="D150" s="10">
        <f>Catalog!N150</f>
        <v>0</v>
      </c>
      <c r="E150" s="10">
        <f>Catalog!F150</f>
        <v>0</v>
      </c>
      <c r="F150" s="10" t="str">
        <f>IF(Catalog!W150="","",Catalog!W150&amp;" "&amp;Catalog!X150)</f>
        <v/>
      </c>
      <c r="G150" s="11"/>
    </row>
    <row r="151" spans="1:7" x14ac:dyDescent="0.25">
      <c r="A151" s="10" t="str">
        <f>Catalog!A151</f>
        <v/>
      </c>
      <c r="B151" s="10" t="str">
        <f>Catalog!C151</f>
        <v/>
      </c>
      <c r="C151" s="10">
        <f>Catalog!D151</f>
        <v>0</v>
      </c>
      <c r="D151" s="10">
        <f>Catalog!N151</f>
        <v>0</v>
      </c>
      <c r="E151" s="10">
        <f>Catalog!F151</f>
        <v>0</v>
      </c>
      <c r="F151" s="10" t="str">
        <f>IF(Catalog!W151="","",Catalog!W151&amp;" "&amp;Catalog!X151)</f>
        <v/>
      </c>
      <c r="G151" s="11"/>
    </row>
    <row r="152" spans="1:7" x14ac:dyDescent="0.25">
      <c r="A152" s="10" t="str">
        <f>Catalog!A152</f>
        <v/>
      </c>
      <c r="B152" s="10" t="str">
        <f>Catalog!C152</f>
        <v/>
      </c>
      <c r="C152" s="10">
        <f>Catalog!D152</f>
        <v>0</v>
      </c>
      <c r="D152" s="10">
        <f>Catalog!N152</f>
        <v>0</v>
      </c>
      <c r="E152" s="10">
        <f>Catalog!F152</f>
        <v>0</v>
      </c>
      <c r="F152" s="10" t="str">
        <f>IF(Catalog!W152="","",Catalog!W152&amp;" "&amp;Catalog!X152)</f>
        <v/>
      </c>
      <c r="G152" s="11"/>
    </row>
    <row r="153" spans="1:7" x14ac:dyDescent="0.25">
      <c r="A153" s="10" t="str">
        <f>Catalog!A153</f>
        <v/>
      </c>
      <c r="B153" s="10" t="str">
        <f>Catalog!C153</f>
        <v/>
      </c>
      <c r="C153" s="10">
        <f>Catalog!D153</f>
        <v>0</v>
      </c>
      <c r="D153" s="10">
        <f>Catalog!N153</f>
        <v>0</v>
      </c>
      <c r="E153" s="10">
        <f>Catalog!F153</f>
        <v>0</v>
      </c>
      <c r="F153" s="10" t="str">
        <f>IF(Catalog!W153="","",Catalog!W153&amp;" "&amp;Catalog!X153)</f>
        <v/>
      </c>
      <c r="G153" s="11"/>
    </row>
    <row r="154" spans="1:7" x14ac:dyDescent="0.25">
      <c r="A154" s="10" t="str">
        <f>Catalog!A154</f>
        <v/>
      </c>
      <c r="B154" s="10" t="str">
        <f>Catalog!C154</f>
        <v/>
      </c>
      <c r="C154" s="10">
        <f>Catalog!D154</f>
        <v>0</v>
      </c>
      <c r="D154" s="10">
        <f>Catalog!N154</f>
        <v>0</v>
      </c>
      <c r="E154" s="10">
        <f>Catalog!F154</f>
        <v>0</v>
      </c>
      <c r="F154" s="10" t="str">
        <f>IF(Catalog!W154="","",Catalog!W154&amp;" "&amp;Catalog!X154)</f>
        <v/>
      </c>
      <c r="G154" s="11"/>
    </row>
    <row r="155" spans="1:7" x14ac:dyDescent="0.25">
      <c r="A155" s="10" t="str">
        <f>Catalog!A155</f>
        <v/>
      </c>
      <c r="B155" s="10" t="str">
        <f>Catalog!C155</f>
        <v/>
      </c>
      <c r="C155" s="10">
        <f>Catalog!D155</f>
        <v>0</v>
      </c>
      <c r="D155" s="10">
        <f>Catalog!N155</f>
        <v>0</v>
      </c>
      <c r="E155" s="10">
        <f>Catalog!F155</f>
        <v>0</v>
      </c>
      <c r="F155" s="10" t="str">
        <f>IF(Catalog!W155="","",Catalog!W155&amp;" "&amp;Catalog!X155)</f>
        <v/>
      </c>
      <c r="G155" s="11"/>
    </row>
    <row r="156" spans="1:7" x14ac:dyDescent="0.25">
      <c r="A156" s="10" t="str">
        <f>Catalog!A156</f>
        <v/>
      </c>
      <c r="B156" s="10" t="str">
        <f>Catalog!C156</f>
        <v/>
      </c>
      <c r="C156" s="10">
        <f>Catalog!D156</f>
        <v>0</v>
      </c>
      <c r="D156" s="10">
        <f>Catalog!N156</f>
        <v>0</v>
      </c>
      <c r="E156" s="10">
        <f>Catalog!F156</f>
        <v>0</v>
      </c>
      <c r="F156" s="10" t="str">
        <f>IF(Catalog!W156="","",Catalog!W156&amp;" "&amp;Catalog!X156)</f>
        <v/>
      </c>
      <c r="G156" s="11"/>
    </row>
    <row r="157" spans="1:7" x14ac:dyDescent="0.25">
      <c r="A157" s="10" t="str">
        <f>Catalog!A157</f>
        <v/>
      </c>
      <c r="B157" s="10" t="str">
        <f>Catalog!C157</f>
        <v/>
      </c>
      <c r="C157" s="10">
        <f>Catalog!D157</f>
        <v>0</v>
      </c>
      <c r="D157" s="10">
        <f>Catalog!N157</f>
        <v>0</v>
      </c>
      <c r="E157" s="10">
        <f>Catalog!F157</f>
        <v>0</v>
      </c>
      <c r="F157" s="10" t="str">
        <f>IF(Catalog!W157="","",Catalog!W157&amp;" "&amp;Catalog!X157)</f>
        <v/>
      </c>
      <c r="G157" s="11"/>
    </row>
    <row r="158" spans="1:7" x14ac:dyDescent="0.25">
      <c r="A158" s="10" t="str">
        <f>Catalog!A158</f>
        <v/>
      </c>
      <c r="B158" s="10" t="str">
        <f>Catalog!C158</f>
        <v/>
      </c>
      <c r="C158" s="10">
        <f>Catalog!D158</f>
        <v>0</v>
      </c>
      <c r="D158" s="10">
        <f>Catalog!N158</f>
        <v>0</v>
      </c>
      <c r="E158" s="10">
        <f>Catalog!F158</f>
        <v>0</v>
      </c>
      <c r="F158" s="10" t="str">
        <f>IF(Catalog!W158="","",Catalog!W158&amp;" "&amp;Catalog!X158)</f>
        <v/>
      </c>
      <c r="G158" s="11"/>
    </row>
    <row r="159" spans="1:7" x14ac:dyDescent="0.25">
      <c r="A159" s="10" t="str">
        <f>Catalog!A159</f>
        <v/>
      </c>
      <c r="B159" s="10" t="str">
        <f>Catalog!C159</f>
        <v/>
      </c>
      <c r="C159" s="10">
        <f>Catalog!D159</f>
        <v>0</v>
      </c>
      <c r="D159" s="10">
        <f>Catalog!N159</f>
        <v>0</v>
      </c>
      <c r="E159" s="10">
        <f>Catalog!F159</f>
        <v>0</v>
      </c>
      <c r="F159" s="10" t="str">
        <f>IF(Catalog!W159="","",Catalog!W159&amp;" "&amp;Catalog!X159)</f>
        <v/>
      </c>
      <c r="G159" s="11"/>
    </row>
    <row r="160" spans="1:7" x14ac:dyDescent="0.25">
      <c r="A160" s="10" t="str">
        <f>Catalog!A160</f>
        <v/>
      </c>
      <c r="B160" s="10" t="str">
        <f>Catalog!C160</f>
        <v/>
      </c>
      <c r="C160" s="10">
        <f>Catalog!D160</f>
        <v>0</v>
      </c>
      <c r="D160" s="10">
        <f>Catalog!N160</f>
        <v>0</v>
      </c>
      <c r="E160" s="10">
        <f>Catalog!F160</f>
        <v>0</v>
      </c>
      <c r="F160" s="10" t="str">
        <f>IF(Catalog!W160="","",Catalog!W160&amp;" "&amp;Catalog!X160)</f>
        <v/>
      </c>
      <c r="G160" s="11"/>
    </row>
    <row r="161" spans="1:7" x14ac:dyDescent="0.25">
      <c r="A161" s="10" t="str">
        <f>Catalog!A161</f>
        <v/>
      </c>
      <c r="B161" s="10" t="str">
        <f>Catalog!C161</f>
        <v/>
      </c>
      <c r="C161" s="10">
        <f>Catalog!D161</f>
        <v>0</v>
      </c>
      <c r="D161" s="10">
        <f>Catalog!N161</f>
        <v>0</v>
      </c>
      <c r="E161" s="10">
        <f>Catalog!F161</f>
        <v>0</v>
      </c>
      <c r="F161" s="10" t="str">
        <f>IF(Catalog!W161="","",Catalog!W161&amp;" "&amp;Catalog!X161)</f>
        <v/>
      </c>
      <c r="G161" s="11"/>
    </row>
    <row r="162" spans="1:7" x14ac:dyDescent="0.25">
      <c r="A162" s="10" t="str">
        <f>Catalog!A162</f>
        <v/>
      </c>
      <c r="B162" s="10" t="str">
        <f>Catalog!C162</f>
        <v/>
      </c>
      <c r="C162" s="10">
        <f>Catalog!D162</f>
        <v>0</v>
      </c>
      <c r="D162" s="10">
        <f>Catalog!N162</f>
        <v>0</v>
      </c>
      <c r="E162" s="10">
        <f>Catalog!F162</f>
        <v>0</v>
      </c>
      <c r="F162" s="10" t="str">
        <f>IF(Catalog!W162="","",Catalog!W162&amp;" "&amp;Catalog!X162)</f>
        <v/>
      </c>
      <c r="G162" s="11"/>
    </row>
    <row r="163" spans="1:7" x14ac:dyDescent="0.25">
      <c r="A163" s="10" t="str">
        <f>Catalog!A163</f>
        <v/>
      </c>
      <c r="B163" s="10" t="str">
        <f>Catalog!C163</f>
        <v/>
      </c>
      <c r="C163" s="10">
        <f>Catalog!D163</f>
        <v>0</v>
      </c>
      <c r="D163" s="10">
        <f>Catalog!N163</f>
        <v>0</v>
      </c>
      <c r="E163" s="10">
        <f>Catalog!F163</f>
        <v>0</v>
      </c>
      <c r="F163" s="10" t="str">
        <f>IF(Catalog!W163="","",Catalog!W163&amp;" "&amp;Catalog!X163)</f>
        <v/>
      </c>
      <c r="G163" s="11"/>
    </row>
    <row r="164" spans="1:7" x14ac:dyDescent="0.25">
      <c r="A164" s="10" t="str">
        <f>Catalog!A164</f>
        <v/>
      </c>
      <c r="B164" s="10" t="str">
        <f>Catalog!C164</f>
        <v/>
      </c>
      <c r="C164" s="10">
        <f>Catalog!D164</f>
        <v>0</v>
      </c>
      <c r="D164" s="10">
        <f>Catalog!N164</f>
        <v>0</v>
      </c>
      <c r="E164" s="10">
        <f>Catalog!F164</f>
        <v>0</v>
      </c>
      <c r="F164" s="10" t="str">
        <f>IF(Catalog!W164="","",Catalog!W164&amp;" "&amp;Catalog!X164)</f>
        <v/>
      </c>
      <c r="G164" s="11"/>
    </row>
    <row r="165" spans="1:7" x14ac:dyDescent="0.25">
      <c r="A165" s="10" t="str">
        <f>Catalog!A165</f>
        <v/>
      </c>
      <c r="B165" s="10" t="str">
        <f>Catalog!C165</f>
        <v/>
      </c>
      <c r="C165" s="10">
        <f>Catalog!D165</f>
        <v>0</v>
      </c>
      <c r="D165" s="10">
        <f>Catalog!N165</f>
        <v>0</v>
      </c>
      <c r="E165" s="10">
        <f>Catalog!F165</f>
        <v>0</v>
      </c>
      <c r="F165" s="10" t="str">
        <f>IF(Catalog!W165="","",Catalog!W165&amp;" "&amp;Catalog!X165)</f>
        <v/>
      </c>
      <c r="G165" s="11"/>
    </row>
    <row r="166" spans="1:7" x14ac:dyDescent="0.25">
      <c r="A166" s="10" t="str">
        <f>Catalog!A166</f>
        <v/>
      </c>
      <c r="B166" s="10" t="str">
        <f>Catalog!C166</f>
        <v/>
      </c>
      <c r="C166" s="10">
        <f>Catalog!D166</f>
        <v>0</v>
      </c>
      <c r="D166" s="10">
        <f>Catalog!N166</f>
        <v>0</v>
      </c>
      <c r="E166" s="10">
        <f>Catalog!F166</f>
        <v>0</v>
      </c>
      <c r="F166" s="10" t="str">
        <f>IF(Catalog!W166="","",Catalog!W166&amp;" "&amp;Catalog!X166)</f>
        <v/>
      </c>
      <c r="G166" s="11"/>
    </row>
    <row r="167" spans="1:7" x14ac:dyDescent="0.25">
      <c r="A167" s="10" t="str">
        <f>Catalog!A167</f>
        <v/>
      </c>
      <c r="B167" s="10" t="str">
        <f>Catalog!C167</f>
        <v/>
      </c>
      <c r="C167" s="10">
        <f>Catalog!D167</f>
        <v>0</v>
      </c>
      <c r="D167" s="10">
        <f>Catalog!N167</f>
        <v>0</v>
      </c>
      <c r="E167" s="10">
        <f>Catalog!F167</f>
        <v>0</v>
      </c>
      <c r="F167" s="10" t="str">
        <f>IF(Catalog!W167="","",Catalog!W167&amp;" "&amp;Catalog!X167)</f>
        <v/>
      </c>
      <c r="G167" s="11"/>
    </row>
    <row r="168" spans="1:7" x14ac:dyDescent="0.25">
      <c r="A168" s="10" t="str">
        <f>Catalog!A168</f>
        <v/>
      </c>
      <c r="B168" s="10" t="str">
        <f>Catalog!C168</f>
        <v/>
      </c>
      <c r="C168" s="10">
        <f>Catalog!D168</f>
        <v>0</v>
      </c>
      <c r="D168" s="10">
        <f>Catalog!N168</f>
        <v>0</v>
      </c>
      <c r="E168" s="10">
        <f>Catalog!F168</f>
        <v>0</v>
      </c>
      <c r="F168" s="10" t="str">
        <f>IF(Catalog!W168="","",Catalog!W168&amp;" "&amp;Catalog!X168)</f>
        <v/>
      </c>
      <c r="G168" s="11"/>
    </row>
    <row r="169" spans="1:7" x14ac:dyDescent="0.25">
      <c r="A169" s="10" t="str">
        <f>Catalog!A169</f>
        <v/>
      </c>
      <c r="B169" s="10" t="str">
        <f>Catalog!C169</f>
        <v/>
      </c>
      <c r="C169" s="10">
        <f>Catalog!D169</f>
        <v>0</v>
      </c>
      <c r="D169" s="10">
        <f>Catalog!N169</f>
        <v>0</v>
      </c>
      <c r="E169" s="10">
        <f>Catalog!F169</f>
        <v>0</v>
      </c>
      <c r="F169" s="10" t="str">
        <f>IF(Catalog!W169="","",Catalog!W169&amp;" "&amp;Catalog!X169)</f>
        <v/>
      </c>
      <c r="G169" s="11"/>
    </row>
    <row r="170" spans="1:7" x14ac:dyDescent="0.25">
      <c r="A170" s="10" t="str">
        <f>Catalog!A170</f>
        <v/>
      </c>
      <c r="B170" s="10" t="str">
        <f>Catalog!C170</f>
        <v/>
      </c>
      <c r="C170" s="10">
        <f>Catalog!D170</f>
        <v>0</v>
      </c>
      <c r="D170" s="10">
        <f>Catalog!N170</f>
        <v>0</v>
      </c>
      <c r="E170" s="10">
        <f>Catalog!F170</f>
        <v>0</v>
      </c>
      <c r="F170" s="10" t="str">
        <f>IF(Catalog!W170="","",Catalog!W170&amp;" "&amp;Catalog!X170)</f>
        <v/>
      </c>
      <c r="G170" s="11"/>
    </row>
    <row r="171" spans="1:7" x14ac:dyDescent="0.25">
      <c r="A171" s="10" t="str">
        <f>Catalog!A171</f>
        <v/>
      </c>
      <c r="B171" s="10" t="str">
        <f>Catalog!C171</f>
        <v/>
      </c>
      <c r="C171" s="10">
        <f>Catalog!D171</f>
        <v>0</v>
      </c>
      <c r="D171" s="10">
        <f>Catalog!N171</f>
        <v>0</v>
      </c>
      <c r="E171" s="10">
        <f>Catalog!F171</f>
        <v>0</v>
      </c>
      <c r="F171" s="10" t="str">
        <f>IF(Catalog!W171="","",Catalog!W171&amp;" "&amp;Catalog!X171)</f>
        <v/>
      </c>
      <c r="G171" s="11"/>
    </row>
    <row r="172" spans="1:7" x14ac:dyDescent="0.25">
      <c r="A172" s="10" t="str">
        <f>Catalog!A172</f>
        <v/>
      </c>
      <c r="B172" s="10" t="str">
        <f>Catalog!C172</f>
        <v/>
      </c>
      <c r="C172" s="10">
        <f>Catalog!D172</f>
        <v>0</v>
      </c>
      <c r="D172" s="10">
        <f>Catalog!N172</f>
        <v>0</v>
      </c>
      <c r="E172" s="10">
        <f>Catalog!F172</f>
        <v>0</v>
      </c>
      <c r="F172" s="10" t="str">
        <f>IF(Catalog!W172="","",Catalog!W172&amp;" "&amp;Catalog!X172)</f>
        <v/>
      </c>
      <c r="G172" s="11"/>
    </row>
    <row r="173" spans="1:7" x14ac:dyDescent="0.25">
      <c r="A173" s="10" t="str">
        <f>Catalog!A173</f>
        <v/>
      </c>
      <c r="B173" s="10" t="str">
        <f>Catalog!C173</f>
        <v/>
      </c>
      <c r="C173" s="10">
        <f>Catalog!D173</f>
        <v>0</v>
      </c>
      <c r="D173" s="10">
        <f>Catalog!N173</f>
        <v>0</v>
      </c>
      <c r="E173" s="10">
        <f>Catalog!F173</f>
        <v>0</v>
      </c>
      <c r="F173" s="10" t="str">
        <f>IF(Catalog!W173="","",Catalog!W173&amp;" "&amp;Catalog!X173)</f>
        <v/>
      </c>
      <c r="G173" s="11"/>
    </row>
    <row r="174" spans="1:7" x14ac:dyDescent="0.25">
      <c r="A174" s="10" t="str">
        <f>Catalog!A174</f>
        <v/>
      </c>
      <c r="B174" s="10" t="str">
        <f>Catalog!C174</f>
        <v/>
      </c>
      <c r="C174" s="10">
        <f>Catalog!D174</f>
        <v>0</v>
      </c>
      <c r="D174" s="10">
        <f>Catalog!N174</f>
        <v>0</v>
      </c>
      <c r="E174" s="10">
        <f>Catalog!F174</f>
        <v>0</v>
      </c>
      <c r="F174" s="10" t="str">
        <f>IF(Catalog!W174="","",Catalog!W174&amp;" "&amp;Catalog!X174)</f>
        <v/>
      </c>
      <c r="G174" s="11"/>
    </row>
    <row r="175" spans="1:7" x14ac:dyDescent="0.25">
      <c r="A175" s="10" t="str">
        <f>Catalog!A175</f>
        <v/>
      </c>
      <c r="B175" s="10" t="str">
        <f>Catalog!C175</f>
        <v/>
      </c>
      <c r="C175" s="10">
        <f>Catalog!D175</f>
        <v>0</v>
      </c>
      <c r="D175" s="10">
        <f>Catalog!N175</f>
        <v>0</v>
      </c>
      <c r="E175" s="10">
        <f>Catalog!F175</f>
        <v>0</v>
      </c>
      <c r="F175" s="10" t="str">
        <f>IF(Catalog!W175="","",Catalog!W175&amp;" "&amp;Catalog!X175)</f>
        <v/>
      </c>
      <c r="G175" s="11"/>
    </row>
    <row r="176" spans="1:7" x14ac:dyDescent="0.25">
      <c r="A176" s="10" t="str">
        <f>Catalog!A176</f>
        <v/>
      </c>
      <c r="B176" s="10" t="str">
        <f>Catalog!C176</f>
        <v/>
      </c>
      <c r="C176" s="10">
        <f>Catalog!D176</f>
        <v>0</v>
      </c>
      <c r="D176" s="10">
        <f>Catalog!N176</f>
        <v>0</v>
      </c>
      <c r="E176" s="10">
        <f>Catalog!F176</f>
        <v>0</v>
      </c>
      <c r="F176" s="10" t="str">
        <f>IF(Catalog!W176="","",Catalog!W176&amp;" "&amp;Catalog!X176)</f>
        <v/>
      </c>
      <c r="G176" s="11"/>
    </row>
    <row r="177" spans="1:7" x14ac:dyDescent="0.25">
      <c r="A177" s="10" t="str">
        <f>Catalog!A177</f>
        <v/>
      </c>
      <c r="B177" s="10" t="str">
        <f>Catalog!C177</f>
        <v/>
      </c>
      <c r="C177" s="10">
        <f>Catalog!D177</f>
        <v>0</v>
      </c>
      <c r="D177" s="10">
        <f>Catalog!N177</f>
        <v>0</v>
      </c>
      <c r="E177" s="10">
        <f>Catalog!F177</f>
        <v>0</v>
      </c>
      <c r="F177" s="10" t="str">
        <f>IF(Catalog!W177="","",Catalog!W177&amp;" "&amp;Catalog!X177)</f>
        <v/>
      </c>
      <c r="G177" s="11"/>
    </row>
    <row r="178" spans="1:7" x14ac:dyDescent="0.25">
      <c r="A178" s="10" t="str">
        <f>Catalog!A178</f>
        <v/>
      </c>
      <c r="B178" s="10" t="str">
        <f>Catalog!C178</f>
        <v/>
      </c>
      <c r="C178" s="10">
        <f>Catalog!D178</f>
        <v>0</v>
      </c>
      <c r="D178" s="10">
        <f>Catalog!N178</f>
        <v>0</v>
      </c>
      <c r="E178" s="10">
        <f>Catalog!F178</f>
        <v>0</v>
      </c>
      <c r="F178" s="10" t="str">
        <f>IF(Catalog!W178="","",Catalog!W178&amp;" "&amp;Catalog!X178)</f>
        <v/>
      </c>
      <c r="G178" s="11"/>
    </row>
    <row r="179" spans="1:7" x14ac:dyDescent="0.25">
      <c r="A179" s="10" t="str">
        <f>Catalog!A179</f>
        <v/>
      </c>
      <c r="B179" s="10" t="str">
        <f>Catalog!C179</f>
        <v/>
      </c>
      <c r="C179" s="10">
        <f>Catalog!D179</f>
        <v>0</v>
      </c>
      <c r="D179" s="10">
        <f>Catalog!N179</f>
        <v>0</v>
      </c>
      <c r="E179" s="10">
        <f>Catalog!F179</f>
        <v>0</v>
      </c>
      <c r="F179" s="10" t="str">
        <f>IF(Catalog!W179="","",Catalog!W179&amp;" "&amp;Catalog!X179)</f>
        <v/>
      </c>
      <c r="G179" s="11"/>
    </row>
    <row r="180" spans="1:7" x14ac:dyDescent="0.25">
      <c r="A180" s="10" t="str">
        <f>Catalog!A180</f>
        <v/>
      </c>
      <c r="B180" s="10" t="str">
        <f>Catalog!C180</f>
        <v/>
      </c>
      <c r="C180" s="10">
        <f>Catalog!D180</f>
        <v>0</v>
      </c>
      <c r="D180" s="10">
        <f>Catalog!N180</f>
        <v>0</v>
      </c>
      <c r="E180" s="10">
        <f>Catalog!F180</f>
        <v>0</v>
      </c>
      <c r="F180" s="10" t="str">
        <f>IF(Catalog!W180="","",Catalog!W180&amp;" "&amp;Catalog!X180)</f>
        <v/>
      </c>
      <c r="G180" s="11"/>
    </row>
    <row r="181" spans="1:7" x14ac:dyDescent="0.25">
      <c r="A181" s="10" t="str">
        <f>Catalog!A181</f>
        <v/>
      </c>
      <c r="B181" s="10" t="str">
        <f>Catalog!C181</f>
        <v/>
      </c>
      <c r="C181" s="10">
        <f>Catalog!D181</f>
        <v>0</v>
      </c>
      <c r="D181" s="10">
        <f>Catalog!N181</f>
        <v>0</v>
      </c>
      <c r="E181" s="10">
        <f>Catalog!F181</f>
        <v>0</v>
      </c>
      <c r="F181" s="10" t="str">
        <f>IF(Catalog!W181="","",Catalog!W181&amp;" "&amp;Catalog!X181)</f>
        <v/>
      </c>
      <c r="G181" s="11"/>
    </row>
    <row r="182" spans="1:7" x14ac:dyDescent="0.25">
      <c r="A182" s="10" t="str">
        <f>Catalog!A182</f>
        <v/>
      </c>
      <c r="B182" s="10" t="str">
        <f>Catalog!C182</f>
        <v/>
      </c>
      <c r="C182" s="10">
        <f>Catalog!D182</f>
        <v>0</v>
      </c>
      <c r="D182" s="10">
        <f>Catalog!N182</f>
        <v>0</v>
      </c>
      <c r="E182" s="10">
        <f>Catalog!F182</f>
        <v>0</v>
      </c>
      <c r="F182" s="10" t="str">
        <f>IF(Catalog!W182="","",Catalog!W182&amp;" "&amp;Catalog!X182)</f>
        <v/>
      </c>
      <c r="G182" s="11"/>
    </row>
    <row r="183" spans="1:7" x14ac:dyDescent="0.25">
      <c r="A183" s="10" t="str">
        <f>Catalog!A183</f>
        <v/>
      </c>
      <c r="B183" s="10" t="str">
        <f>Catalog!C183</f>
        <v/>
      </c>
      <c r="C183" s="10">
        <f>Catalog!D183</f>
        <v>0</v>
      </c>
      <c r="D183" s="10">
        <f>Catalog!N183</f>
        <v>0</v>
      </c>
      <c r="E183" s="10">
        <f>Catalog!F183</f>
        <v>0</v>
      </c>
      <c r="F183" s="10" t="str">
        <f>IF(Catalog!W183="","",Catalog!W183&amp;" "&amp;Catalog!X183)</f>
        <v/>
      </c>
      <c r="G183" s="11"/>
    </row>
    <row r="184" spans="1:7" x14ac:dyDescent="0.25">
      <c r="A184" s="10" t="str">
        <f>Catalog!A184</f>
        <v/>
      </c>
      <c r="B184" s="10" t="str">
        <f>Catalog!C184</f>
        <v/>
      </c>
      <c r="C184" s="10">
        <f>Catalog!D184</f>
        <v>0</v>
      </c>
      <c r="D184" s="10">
        <f>Catalog!N184</f>
        <v>0</v>
      </c>
      <c r="E184" s="10">
        <f>Catalog!F184</f>
        <v>0</v>
      </c>
      <c r="F184" s="10" t="str">
        <f>IF(Catalog!W184="","",Catalog!W184&amp;" "&amp;Catalog!X184)</f>
        <v/>
      </c>
      <c r="G184" s="11"/>
    </row>
    <row r="185" spans="1:7" x14ac:dyDescent="0.25">
      <c r="A185" s="10" t="str">
        <f>Catalog!A185</f>
        <v/>
      </c>
      <c r="B185" s="10" t="str">
        <f>Catalog!C185</f>
        <v/>
      </c>
      <c r="C185" s="10">
        <f>Catalog!D185</f>
        <v>0</v>
      </c>
      <c r="D185" s="10">
        <f>Catalog!N185</f>
        <v>0</v>
      </c>
      <c r="E185" s="10">
        <f>Catalog!F185</f>
        <v>0</v>
      </c>
      <c r="F185" s="10" t="str">
        <f>IF(Catalog!W185="","",Catalog!W185&amp;" "&amp;Catalog!X185)</f>
        <v/>
      </c>
      <c r="G185" s="11"/>
    </row>
    <row r="186" spans="1:7" x14ac:dyDescent="0.25">
      <c r="A186" s="10" t="str">
        <f>Catalog!A186</f>
        <v/>
      </c>
      <c r="B186" s="10" t="str">
        <f>Catalog!C186</f>
        <v/>
      </c>
      <c r="C186" s="10">
        <f>Catalog!D186</f>
        <v>0</v>
      </c>
      <c r="D186" s="10">
        <f>Catalog!N186</f>
        <v>0</v>
      </c>
      <c r="E186" s="10">
        <f>Catalog!F186</f>
        <v>0</v>
      </c>
      <c r="F186" s="10" t="str">
        <f>IF(Catalog!W186="","",Catalog!W186&amp;" "&amp;Catalog!X186)</f>
        <v/>
      </c>
      <c r="G186" s="11"/>
    </row>
    <row r="187" spans="1:7" x14ac:dyDescent="0.25">
      <c r="A187" s="10" t="str">
        <f>Catalog!A187</f>
        <v/>
      </c>
      <c r="B187" s="10" t="str">
        <f>Catalog!C187</f>
        <v/>
      </c>
      <c r="C187" s="10">
        <f>Catalog!D187</f>
        <v>0</v>
      </c>
      <c r="D187" s="10">
        <f>Catalog!N187</f>
        <v>0</v>
      </c>
      <c r="E187" s="10">
        <f>Catalog!F187</f>
        <v>0</v>
      </c>
      <c r="F187" s="10" t="str">
        <f>IF(Catalog!W187="","",Catalog!W187&amp;" "&amp;Catalog!X187)</f>
        <v/>
      </c>
      <c r="G187" s="11"/>
    </row>
    <row r="188" spans="1:7" x14ac:dyDescent="0.25">
      <c r="A188" s="10" t="str">
        <f>Catalog!A188</f>
        <v/>
      </c>
      <c r="B188" s="10" t="str">
        <f>Catalog!C188</f>
        <v/>
      </c>
      <c r="C188" s="10">
        <f>Catalog!D188</f>
        <v>0</v>
      </c>
      <c r="D188" s="10">
        <f>Catalog!N188</f>
        <v>0</v>
      </c>
      <c r="E188" s="10">
        <f>Catalog!F188</f>
        <v>0</v>
      </c>
      <c r="F188" s="10" t="str">
        <f>IF(Catalog!W188="","",Catalog!W188&amp;" "&amp;Catalog!X188)</f>
        <v/>
      </c>
      <c r="G188" s="11"/>
    </row>
    <row r="189" spans="1:7" x14ac:dyDescent="0.25">
      <c r="A189" s="10" t="str">
        <f>Catalog!A189</f>
        <v/>
      </c>
      <c r="B189" s="10" t="str">
        <f>Catalog!C189</f>
        <v/>
      </c>
      <c r="C189" s="10">
        <f>Catalog!D189</f>
        <v>0</v>
      </c>
      <c r="D189" s="10">
        <f>Catalog!N189</f>
        <v>0</v>
      </c>
      <c r="E189" s="10">
        <f>Catalog!F189</f>
        <v>0</v>
      </c>
      <c r="F189" s="10" t="str">
        <f>IF(Catalog!W189="","",Catalog!W189&amp;" "&amp;Catalog!X189)</f>
        <v/>
      </c>
      <c r="G189" s="11"/>
    </row>
    <row r="190" spans="1:7" x14ac:dyDescent="0.25">
      <c r="A190" s="10" t="str">
        <f>Catalog!A190</f>
        <v/>
      </c>
      <c r="B190" s="10" t="str">
        <f>Catalog!C190</f>
        <v/>
      </c>
      <c r="C190" s="10">
        <f>Catalog!D190</f>
        <v>0</v>
      </c>
      <c r="D190" s="10">
        <f>Catalog!N190</f>
        <v>0</v>
      </c>
      <c r="E190" s="10">
        <f>Catalog!F190</f>
        <v>0</v>
      </c>
      <c r="F190" s="10" t="str">
        <f>IF(Catalog!W190="","",Catalog!W190&amp;" "&amp;Catalog!X190)</f>
        <v/>
      </c>
      <c r="G190" s="11"/>
    </row>
    <row r="191" spans="1:7" x14ac:dyDescent="0.25">
      <c r="A191" s="10" t="str">
        <f>Catalog!A191</f>
        <v/>
      </c>
      <c r="B191" s="10" t="str">
        <f>Catalog!C191</f>
        <v/>
      </c>
      <c r="C191" s="10">
        <f>Catalog!D191</f>
        <v>0</v>
      </c>
      <c r="D191" s="10">
        <f>Catalog!N191</f>
        <v>0</v>
      </c>
      <c r="E191" s="10">
        <f>Catalog!F191</f>
        <v>0</v>
      </c>
      <c r="F191" s="10" t="str">
        <f>IF(Catalog!W191="","",Catalog!W191&amp;" "&amp;Catalog!X191)</f>
        <v/>
      </c>
      <c r="G191" s="11"/>
    </row>
    <row r="192" spans="1:7" x14ac:dyDescent="0.25">
      <c r="A192" s="10" t="str">
        <f>Catalog!A192</f>
        <v/>
      </c>
      <c r="B192" s="10" t="str">
        <f>Catalog!C192</f>
        <v/>
      </c>
      <c r="C192" s="10">
        <f>Catalog!D192</f>
        <v>0</v>
      </c>
      <c r="D192" s="10">
        <f>Catalog!N192</f>
        <v>0</v>
      </c>
      <c r="E192" s="10">
        <f>Catalog!F192</f>
        <v>0</v>
      </c>
      <c r="F192" s="10" t="str">
        <f>IF(Catalog!W192="","",Catalog!W192&amp;" "&amp;Catalog!X192)</f>
        <v/>
      </c>
      <c r="G192" s="11"/>
    </row>
    <row r="193" spans="1:7" x14ac:dyDescent="0.25">
      <c r="A193" s="10" t="str">
        <f>Catalog!A193</f>
        <v/>
      </c>
      <c r="B193" s="10" t="str">
        <f>Catalog!C193</f>
        <v/>
      </c>
      <c r="C193" s="10">
        <f>Catalog!D193</f>
        <v>0</v>
      </c>
      <c r="D193" s="10">
        <f>Catalog!N193</f>
        <v>0</v>
      </c>
      <c r="E193" s="10">
        <f>Catalog!F193</f>
        <v>0</v>
      </c>
      <c r="F193" s="10" t="str">
        <f>IF(Catalog!W193="","",Catalog!W193&amp;" "&amp;Catalog!X193)</f>
        <v/>
      </c>
      <c r="G193" s="11"/>
    </row>
    <row r="194" spans="1:7" x14ac:dyDescent="0.25">
      <c r="A194" s="10" t="str">
        <f>Catalog!A194</f>
        <v/>
      </c>
      <c r="B194" s="10" t="str">
        <f>Catalog!C194</f>
        <v/>
      </c>
      <c r="C194" s="10">
        <f>Catalog!D194</f>
        <v>0</v>
      </c>
      <c r="D194" s="10">
        <f>Catalog!N194</f>
        <v>0</v>
      </c>
      <c r="E194" s="10">
        <f>Catalog!F194</f>
        <v>0</v>
      </c>
      <c r="F194" s="10" t="str">
        <f>IF(Catalog!W194="","",Catalog!W194&amp;" "&amp;Catalog!X194)</f>
        <v/>
      </c>
      <c r="G194" s="11"/>
    </row>
    <row r="195" spans="1:7" x14ac:dyDescent="0.25">
      <c r="A195" s="10" t="str">
        <f>Catalog!A195</f>
        <v/>
      </c>
      <c r="B195" s="10" t="str">
        <f>Catalog!C195</f>
        <v/>
      </c>
      <c r="C195" s="10">
        <f>Catalog!D195</f>
        <v>0</v>
      </c>
      <c r="D195" s="10">
        <f>Catalog!N195</f>
        <v>0</v>
      </c>
      <c r="E195" s="10">
        <f>Catalog!F195</f>
        <v>0</v>
      </c>
      <c r="F195" s="10" t="str">
        <f>IF(Catalog!W195="","",Catalog!W195&amp;" "&amp;Catalog!X195)</f>
        <v/>
      </c>
      <c r="G195" s="11"/>
    </row>
    <row r="196" spans="1:7" x14ac:dyDescent="0.25">
      <c r="A196" s="10" t="str">
        <f>Catalog!A196</f>
        <v/>
      </c>
      <c r="B196" s="10" t="str">
        <f>Catalog!C196</f>
        <v/>
      </c>
      <c r="C196" s="10">
        <f>Catalog!D196</f>
        <v>0</v>
      </c>
      <c r="D196" s="10">
        <f>Catalog!N196</f>
        <v>0</v>
      </c>
      <c r="E196" s="10">
        <f>Catalog!F196</f>
        <v>0</v>
      </c>
      <c r="F196" s="10" t="str">
        <f>IF(Catalog!W196="","",Catalog!W196&amp;" "&amp;Catalog!X196)</f>
        <v/>
      </c>
      <c r="G196" s="11"/>
    </row>
    <row r="197" spans="1:7" x14ac:dyDescent="0.25">
      <c r="A197" s="10" t="str">
        <f>Catalog!A197</f>
        <v/>
      </c>
      <c r="B197" s="10" t="str">
        <f>Catalog!C197</f>
        <v/>
      </c>
      <c r="C197" s="10">
        <f>Catalog!D197</f>
        <v>0</v>
      </c>
      <c r="D197" s="10">
        <f>Catalog!N197</f>
        <v>0</v>
      </c>
      <c r="E197" s="10">
        <f>Catalog!F197</f>
        <v>0</v>
      </c>
      <c r="F197" s="10" t="str">
        <f>IF(Catalog!W197="","",Catalog!W197&amp;" "&amp;Catalog!X197)</f>
        <v/>
      </c>
      <c r="G197" s="11"/>
    </row>
    <row r="198" spans="1:7" x14ac:dyDescent="0.25">
      <c r="A198" s="10" t="str">
        <f>Catalog!A198</f>
        <v/>
      </c>
      <c r="B198" s="10" t="str">
        <f>Catalog!C198</f>
        <v/>
      </c>
      <c r="C198" s="10">
        <f>Catalog!D198</f>
        <v>0</v>
      </c>
      <c r="D198" s="10">
        <f>Catalog!N198</f>
        <v>0</v>
      </c>
      <c r="E198" s="10">
        <f>Catalog!F198</f>
        <v>0</v>
      </c>
      <c r="F198" s="10" t="str">
        <f>IF(Catalog!W198="","",Catalog!W198&amp;" "&amp;Catalog!X198)</f>
        <v/>
      </c>
      <c r="G198" s="11"/>
    </row>
    <row r="199" spans="1:7" x14ac:dyDescent="0.25">
      <c r="A199" s="10" t="str">
        <f>Catalog!A199</f>
        <v/>
      </c>
      <c r="B199" s="10" t="str">
        <f>Catalog!C199</f>
        <v/>
      </c>
      <c r="C199" s="10">
        <f>Catalog!D199</f>
        <v>0</v>
      </c>
      <c r="D199" s="10">
        <f>Catalog!N199</f>
        <v>0</v>
      </c>
      <c r="E199" s="10">
        <f>Catalog!F199</f>
        <v>0</v>
      </c>
      <c r="F199" s="10" t="str">
        <f>IF(Catalog!W199="","",Catalog!W199&amp;" "&amp;Catalog!X199)</f>
        <v/>
      </c>
      <c r="G199" s="11"/>
    </row>
    <row r="200" spans="1:7" x14ac:dyDescent="0.25">
      <c r="A200" s="10" t="str">
        <f>Catalog!A200</f>
        <v/>
      </c>
      <c r="B200" s="10" t="str">
        <f>Catalog!C200</f>
        <v/>
      </c>
      <c r="C200" s="10">
        <f>Catalog!D200</f>
        <v>0</v>
      </c>
      <c r="D200" s="10">
        <f>Catalog!N200</f>
        <v>0</v>
      </c>
      <c r="E200" s="10">
        <f>Catalog!F200</f>
        <v>0</v>
      </c>
      <c r="F200" s="10" t="str">
        <f>IF(Catalog!W200="","",Catalog!W200&amp;" "&amp;Catalog!X200)</f>
        <v/>
      </c>
      <c r="G200" s="11"/>
    </row>
    <row r="201" spans="1:7" x14ac:dyDescent="0.25">
      <c r="A201" s="10" t="str">
        <f>Catalog!A201</f>
        <v/>
      </c>
      <c r="B201" s="10" t="str">
        <f>Catalog!C201</f>
        <v/>
      </c>
      <c r="C201" s="10">
        <f>Catalog!D201</f>
        <v>0</v>
      </c>
      <c r="D201" s="10">
        <f>Catalog!N201</f>
        <v>0</v>
      </c>
      <c r="E201" s="10">
        <f>Catalog!F201</f>
        <v>0</v>
      </c>
      <c r="F201" s="10" t="str">
        <f>IF(Catalog!W201="","",Catalog!W201&amp;" "&amp;Catalog!X201)</f>
        <v/>
      </c>
      <c r="G201" s="11"/>
    </row>
    <row r="202" spans="1:7" x14ac:dyDescent="0.25">
      <c r="A202" s="10" t="str">
        <f>Catalog!A202</f>
        <v/>
      </c>
      <c r="B202" s="10" t="str">
        <f>Catalog!C202</f>
        <v/>
      </c>
      <c r="C202" s="10">
        <f>Catalog!D202</f>
        <v>0</v>
      </c>
      <c r="D202" s="10">
        <f>Catalog!N202</f>
        <v>0</v>
      </c>
      <c r="E202" s="10">
        <f>Catalog!F202</f>
        <v>0</v>
      </c>
      <c r="F202" s="10" t="str">
        <f>IF(Catalog!W202="","",Catalog!W202&amp;" "&amp;Catalog!X202)</f>
        <v/>
      </c>
      <c r="G202" s="11"/>
    </row>
    <row r="203" spans="1:7" x14ac:dyDescent="0.25">
      <c r="A203" s="10" t="str">
        <f>Catalog!A203</f>
        <v/>
      </c>
      <c r="B203" s="10" t="str">
        <f>Catalog!C203</f>
        <v/>
      </c>
      <c r="C203" s="10">
        <f>Catalog!D203</f>
        <v>0</v>
      </c>
      <c r="D203" s="10">
        <f>Catalog!N203</f>
        <v>0</v>
      </c>
      <c r="E203" s="10">
        <f>Catalog!F203</f>
        <v>0</v>
      </c>
      <c r="F203" s="10" t="str">
        <f>IF(Catalog!W203="","",Catalog!W203&amp;" "&amp;Catalog!X203)</f>
        <v/>
      </c>
      <c r="G203" s="11"/>
    </row>
    <row r="204" spans="1:7" x14ac:dyDescent="0.25">
      <c r="A204" s="10" t="str">
        <f>Catalog!A204</f>
        <v/>
      </c>
      <c r="B204" s="10" t="str">
        <f>Catalog!C204</f>
        <v/>
      </c>
      <c r="C204" s="10">
        <f>Catalog!D204</f>
        <v>0</v>
      </c>
      <c r="D204" s="10">
        <f>Catalog!N204</f>
        <v>0</v>
      </c>
      <c r="E204" s="10">
        <f>Catalog!F204</f>
        <v>0</v>
      </c>
      <c r="F204" s="10" t="str">
        <f>IF(Catalog!W204="","",Catalog!W204&amp;" "&amp;Catalog!X204)</f>
        <v/>
      </c>
      <c r="G204" s="11"/>
    </row>
    <row r="205" spans="1:7" x14ac:dyDescent="0.25">
      <c r="A205" s="10" t="str">
        <f>Catalog!A205</f>
        <v/>
      </c>
      <c r="B205" s="10" t="str">
        <f>Catalog!C205</f>
        <v/>
      </c>
      <c r="C205" s="10">
        <f>Catalog!D205</f>
        <v>0</v>
      </c>
      <c r="D205" s="10">
        <f>Catalog!N205</f>
        <v>0</v>
      </c>
      <c r="E205" s="10">
        <f>Catalog!F205</f>
        <v>0</v>
      </c>
      <c r="F205" s="10" t="str">
        <f>IF(Catalog!W205="","",Catalog!W205&amp;" "&amp;Catalog!X205)</f>
        <v/>
      </c>
      <c r="G205" s="11"/>
    </row>
    <row r="206" spans="1:7" x14ac:dyDescent="0.25">
      <c r="A206" s="10" t="str">
        <f>Catalog!A206</f>
        <v/>
      </c>
      <c r="B206" s="10" t="str">
        <f>Catalog!C206</f>
        <v/>
      </c>
      <c r="C206" s="10">
        <f>Catalog!D206</f>
        <v>0</v>
      </c>
      <c r="D206" s="10">
        <f>Catalog!N206</f>
        <v>0</v>
      </c>
      <c r="E206" s="10">
        <f>Catalog!F206</f>
        <v>0</v>
      </c>
      <c r="F206" s="10" t="str">
        <f>IF(Catalog!W206="","",Catalog!W206&amp;" "&amp;Catalog!X206)</f>
        <v/>
      </c>
      <c r="G206" s="11"/>
    </row>
    <row r="207" spans="1:7" x14ac:dyDescent="0.25">
      <c r="A207" s="10" t="str">
        <f>Catalog!A207</f>
        <v/>
      </c>
      <c r="B207" s="10" t="str">
        <f>Catalog!C207</f>
        <v/>
      </c>
      <c r="C207" s="10">
        <f>Catalog!D207</f>
        <v>0</v>
      </c>
      <c r="D207" s="10">
        <f>Catalog!N207</f>
        <v>0</v>
      </c>
      <c r="E207" s="10">
        <f>Catalog!F207</f>
        <v>0</v>
      </c>
      <c r="F207" s="10" t="str">
        <f>IF(Catalog!W207="","",Catalog!W207&amp;" "&amp;Catalog!X207)</f>
        <v/>
      </c>
      <c r="G207" s="11"/>
    </row>
    <row r="208" spans="1:7" x14ac:dyDescent="0.25">
      <c r="A208" s="10" t="str">
        <f>Catalog!A208</f>
        <v/>
      </c>
      <c r="B208" s="10" t="str">
        <f>Catalog!C208</f>
        <v/>
      </c>
      <c r="C208" s="10">
        <f>Catalog!D208</f>
        <v>0</v>
      </c>
      <c r="D208" s="10">
        <f>Catalog!N208</f>
        <v>0</v>
      </c>
      <c r="E208" s="10">
        <f>Catalog!F208</f>
        <v>0</v>
      </c>
      <c r="F208" s="10" t="str">
        <f>IF(Catalog!W208="","",Catalog!W208&amp;" "&amp;Catalog!X208)</f>
        <v/>
      </c>
      <c r="G208" s="11"/>
    </row>
    <row r="209" spans="1:7" x14ac:dyDescent="0.25">
      <c r="A209" s="10" t="str">
        <f>Catalog!A209</f>
        <v/>
      </c>
      <c r="B209" s="10" t="str">
        <f>Catalog!C209</f>
        <v/>
      </c>
      <c r="C209" s="10">
        <f>Catalog!D209</f>
        <v>0</v>
      </c>
      <c r="D209" s="10">
        <f>Catalog!N209</f>
        <v>0</v>
      </c>
      <c r="E209" s="10">
        <f>Catalog!F209</f>
        <v>0</v>
      </c>
      <c r="F209" s="10" t="str">
        <f>IF(Catalog!W209="","",Catalog!W209&amp;" "&amp;Catalog!X209)</f>
        <v/>
      </c>
      <c r="G209" s="11"/>
    </row>
    <row r="210" spans="1:7" x14ac:dyDescent="0.25">
      <c r="A210" s="10" t="str">
        <f>Catalog!A210</f>
        <v/>
      </c>
      <c r="B210" s="10" t="str">
        <f>Catalog!C210</f>
        <v/>
      </c>
      <c r="C210" s="10">
        <f>Catalog!D210</f>
        <v>0</v>
      </c>
      <c r="D210" s="10">
        <f>Catalog!N210</f>
        <v>0</v>
      </c>
      <c r="E210" s="10">
        <f>Catalog!F210</f>
        <v>0</v>
      </c>
      <c r="F210" s="10" t="str">
        <f>IF(Catalog!W210="","",Catalog!W210&amp;" "&amp;Catalog!X210)</f>
        <v/>
      </c>
      <c r="G210" s="11"/>
    </row>
    <row r="211" spans="1:7" x14ac:dyDescent="0.25">
      <c r="A211" s="10" t="str">
        <f>Catalog!A211</f>
        <v/>
      </c>
      <c r="B211" s="10" t="str">
        <f>Catalog!C211</f>
        <v/>
      </c>
      <c r="C211" s="10">
        <f>Catalog!D211</f>
        <v>0</v>
      </c>
      <c r="D211" s="10">
        <f>Catalog!N211</f>
        <v>0</v>
      </c>
      <c r="E211" s="10">
        <f>Catalog!F211</f>
        <v>0</v>
      </c>
      <c r="F211" s="10" t="str">
        <f>IF(Catalog!W211="","",Catalog!W211&amp;" "&amp;Catalog!X211)</f>
        <v/>
      </c>
      <c r="G211" s="11"/>
    </row>
    <row r="212" spans="1:7" x14ac:dyDescent="0.25">
      <c r="A212" s="10" t="str">
        <f>Catalog!A212</f>
        <v/>
      </c>
      <c r="B212" s="10" t="str">
        <f>Catalog!C212</f>
        <v/>
      </c>
      <c r="C212" s="10">
        <f>Catalog!D212</f>
        <v>0</v>
      </c>
      <c r="D212" s="10">
        <f>Catalog!N212</f>
        <v>0</v>
      </c>
      <c r="E212" s="10">
        <f>Catalog!F212</f>
        <v>0</v>
      </c>
      <c r="F212" s="10" t="str">
        <f>IF(Catalog!W212="","",Catalog!W212&amp;" "&amp;Catalog!X212)</f>
        <v/>
      </c>
      <c r="G212" s="11"/>
    </row>
    <row r="213" spans="1:7" x14ac:dyDescent="0.25">
      <c r="A213" s="10" t="str">
        <f>Catalog!A213</f>
        <v/>
      </c>
      <c r="B213" s="10" t="str">
        <f>Catalog!C213</f>
        <v/>
      </c>
      <c r="C213" s="10">
        <f>Catalog!D213</f>
        <v>0</v>
      </c>
      <c r="D213" s="10">
        <f>Catalog!N213</f>
        <v>0</v>
      </c>
      <c r="E213" s="10">
        <f>Catalog!F213</f>
        <v>0</v>
      </c>
      <c r="F213" s="10" t="str">
        <f>IF(Catalog!W213="","",Catalog!W213&amp;" "&amp;Catalog!X213)</f>
        <v/>
      </c>
      <c r="G213" s="11"/>
    </row>
    <row r="214" spans="1:7" x14ac:dyDescent="0.25">
      <c r="A214" s="10" t="str">
        <f>Catalog!A214</f>
        <v/>
      </c>
      <c r="B214" s="10" t="str">
        <f>Catalog!C214</f>
        <v/>
      </c>
      <c r="C214" s="10">
        <f>Catalog!D214</f>
        <v>0</v>
      </c>
      <c r="D214" s="10">
        <f>Catalog!N214</f>
        <v>0</v>
      </c>
      <c r="E214" s="10">
        <f>Catalog!F214</f>
        <v>0</v>
      </c>
      <c r="F214" s="10" t="str">
        <f>IF(Catalog!W214="","",Catalog!W214&amp;" "&amp;Catalog!X214)</f>
        <v/>
      </c>
      <c r="G214" s="11"/>
    </row>
    <row r="215" spans="1:7" x14ac:dyDescent="0.25">
      <c r="A215" s="10" t="str">
        <f>Catalog!A215</f>
        <v/>
      </c>
      <c r="B215" s="10" t="str">
        <f>Catalog!C215</f>
        <v/>
      </c>
      <c r="C215" s="10">
        <f>Catalog!D215</f>
        <v>0</v>
      </c>
      <c r="D215" s="10">
        <f>Catalog!N215</f>
        <v>0</v>
      </c>
      <c r="E215" s="10">
        <f>Catalog!F215</f>
        <v>0</v>
      </c>
      <c r="F215" s="10" t="str">
        <f>IF(Catalog!W215="","",Catalog!W215&amp;" "&amp;Catalog!X215)</f>
        <v/>
      </c>
      <c r="G215" s="11"/>
    </row>
    <row r="216" spans="1:7" x14ac:dyDescent="0.25">
      <c r="A216" s="10" t="str">
        <f>Catalog!A216</f>
        <v/>
      </c>
      <c r="B216" s="10" t="str">
        <f>Catalog!C216</f>
        <v/>
      </c>
      <c r="C216" s="10">
        <f>Catalog!D216</f>
        <v>0</v>
      </c>
      <c r="D216" s="10">
        <f>Catalog!N216</f>
        <v>0</v>
      </c>
      <c r="E216" s="10">
        <f>Catalog!F216</f>
        <v>0</v>
      </c>
      <c r="F216" s="10" t="str">
        <f>IF(Catalog!W216="","",Catalog!W216&amp;" "&amp;Catalog!X216)</f>
        <v/>
      </c>
      <c r="G216" s="11"/>
    </row>
    <row r="217" spans="1:7" x14ac:dyDescent="0.25">
      <c r="A217" s="10" t="str">
        <f>Catalog!A217</f>
        <v/>
      </c>
      <c r="B217" s="10" t="str">
        <f>Catalog!C217</f>
        <v/>
      </c>
      <c r="C217" s="10">
        <f>Catalog!D217</f>
        <v>0</v>
      </c>
      <c r="D217" s="10">
        <f>Catalog!N217</f>
        <v>0</v>
      </c>
      <c r="E217" s="10">
        <f>Catalog!F217</f>
        <v>0</v>
      </c>
      <c r="F217" s="10" t="str">
        <f>IF(Catalog!W217="","",Catalog!W217&amp;" "&amp;Catalog!X217)</f>
        <v/>
      </c>
      <c r="G217" s="11"/>
    </row>
    <row r="218" spans="1:7" x14ac:dyDescent="0.25">
      <c r="A218" s="10" t="str">
        <f>Catalog!A218</f>
        <v/>
      </c>
      <c r="B218" s="10" t="str">
        <f>Catalog!C218</f>
        <v/>
      </c>
      <c r="C218" s="10">
        <f>Catalog!D218</f>
        <v>0</v>
      </c>
      <c r="D218" s="10">
        <f>Catalog!N218</f>
        <v>0</v>
      </c>
      <c r="E218" s="10">
        <f>Catalog!F218</f>
        <v>0</v>
      </c>
      <c r="F218" s="10" t="str">
        <f>IF(Catalog!W218="","",Catalog!W218&amp;" "&amp;Catalog!X218)</f>
        <v/>
      </c>
      <c r="G218" s="11"/>
    </row>
    <row r="219" spans="1:7" x14ac:dyDescent="0.25">
      <c r="A219" s="10" t="str">
        <f>Catalog!A219</f>
        <v/>
      </c>
      <c r="B219" s="10" t="str">
        <f>Catalog!C219</f>
        <v/>
      </c>
      <c r="C219" s="10">
        <f>Catalog!D219</f>
        <v>0</v>
      </c>
      <c r="D219" s="10">
        <f>Catalog!N219</f>
        <v>0</v>
      </c>
      <c r="E219" s="10">
        <f>Catalog!F219</f>
        <v>0</v>
      </c>
      <c r="F219" s="10" t="str">
        <f>IF(Catalog!W219="","",Catalog!W219&amp;" "&amp;Catalog!X219)</f>
        <v/>
      </c>
      <c r="G219" s="11"/>
    </row>
    <row r="220" spans="1:7" x14ac:dyDescent="0.25">
      <c r="A220" s="10" t="str">
        <f>Catalog!A220</f>
        <v/>
      </c>
      <c r="B220" s="10" t="str">
        <f>Catalog!C220</f>
        <v/>
      </c>
      <c r="C220" s="10">
        <f>Catalog!D220</f>
        <v>0</v>
      </c>
      <c r="D220" s="10">
        <f>Catalog!N220</f>
        <v>0</v>
      </c>
      <c r="E220" s="10">
        <f>Catalog!F220</f>
        <v>0</v>
      </c>
      <c r="F220" s="10" t="str">
        <f>IF(Catalog!W220="","",Catalog!W220&amp;" "&amp;Catalog!X220)</f>
        <v/>
      </c>
      <c r="G220" s="11"/>
    </row>
    <row r="221" spans="1:7" x14ac:dyDescent="0.25">
      <c r="A221" s="10" t="str">
        <f>Catalog!A221</f>
        <v/>
      </c>
      <c r="B221" s="10" t="str">
        <f>Catalog!C221</f>
        <v/>
      </c>
      <c r="C221" s="10">
        <f>Catalog!D221</f>
        <v>0</v>
      </c>
      <c r="D221" s="10">
        <f>Catalog!N221</f>
        <v>0</v>
      </c>
      <c r="E221" s="10">
        <f>Catalog!F221</f>
        <v>0</v>
      </c>
      <c r="F221" s="10" t="str">
        <f>IF(Catalog!W221="","",Catalog!W221&amp;" "&amp;Catalog!X221)</f>
        <v/>
      </c>
      <c r="G221" s="11"/>
    </row>
    <row r="222" spans="1:7" x14ac:dyDescent="0.25">
      <c r="A222" s="10" t="str">
        <f>Catalog!A222</f>
        <v/>
      </c>
      <c r="B222" s="10" t="str">
        <f>Catalog!C222</f>
        <v/>
      </c>
      <c r="C222" s="10">
        <f>Catalog!D222</f>
        <v>0</v>
      </c>
      <c r="D222" s="10">
        <f>Catalog!N222</f>
        <v>0</v>
      </c>
      <c r="E222" s="10">
        <f>Catalog!F222</f>
        <v>0</v>
      </c>
      <c r="F222" s="10" t="str">
        <f>IF(Catalog!W222="","",Catalog!W222&amp;" "&amp;Catalog!X222)</f>
        <v/>
      </c>
      <c r="G222" s="11"/>
    </row>
    <row r="223" spans="1:7" x14ac:dyDescent="0.25">
      <c r="A223" s="10" t="str">
        <f>Catalog!A223</f>
        <v/>
      </c>
      <c r="B223" s="10" t="str">
        <f>Catalog!C223</f>
        <v/>
      </c>
      <c r="C223" s="10">
        <f>Catalog!D223</f>
        <v>0</v>
      </c>
      <c r="D223" s="10">
        <f>Catalog!N223</f>
        <v>0</v>
      </c>
      <c r="E223" s="10">
        <f>Catalog!F223</f>
        <v>0</v>
      </c>
      <c r="F223" s="10" t="str">
        <f>IF(Catalog!W223="","",Catalog!W223&amp;" "&amp;Catalog!X223)</f>
        <v/>
      </c>
      <c r="G223" s="11"/>
    </row>
    <row r="224" spans="1:7" x14ac:dyDescent="0.25">
      <c r="A224" s="10" t="str">
        <f>Catalog!A224</f>
        <v/>
      </c>
      <c r="B224" s="10" t="str">
        <f>Catalog!C224</f>
        <v/>
      </c>
      <c r="C224" s="10">
        <f>Catalog!D224</f>
        <v>0</v>
      </c>
      <c r="D224" s="10">
        <f>Catalog!N224</f>
        <v>0</v>
      </c>
      <c r="E224" s="10">
        <f>Catalog!F224</f>
        <v>0</v>
      </c>
      <c r="F224" s="10" t="str">
        <f>IF(Catalog!W224="","",Catalog!W224&amp;" "&amp;Catalog!X224)</f>
        <v/>
      </c>
      <c r="G224" s="11"/>
    </row>
    <row r="225" spans="1:7" x14ac:dyDescent="0.25">
      <c r="A225" s="10" t="str">
        <f>Catalog!A225</f>
        <v/>
      </c>
      <c r="B225" s="10" t="str">
        <f>Catalog!C225</f>
        <v/>
      </c>
      <c r="C225" s="10">
        <f>Catalog!D225</f>
        <v>0</v>
      </c>
      <c r="D225" s="10">
        <f>Catalog!N225</f>
        <v>0</v>
      </c>
      <c r="E225" s="10">
        <f>Catalog!F225</f>
        <v>0</v>
      </c>
      <c r="F225" s="10" t="str">
        <f>IF(Catalog!W225="","",Catalog!W225&amp;" "&amp;Catalog!X225)</f>
        <v/>
      </c>
      <c r="G225" s="11"/>
    </row>
    <row r="226" spans="1:7" x14ac:dyDescent="0.25">
      <c r="A226" s="10" t="str">
        <f>Catalog!A226</f>
        <v/>
      </c>
      <c r="B226" s="10" t="str">
        <f>Catalog!C226</f>
        <v/>
      </c>
      <c r="C226" s="10">
        <f>Catalog!D226</f>
        <v>0</v>
      </c>
      <c r="D226" s="10">
        <f>Catalog!N226</f>
        <v>0</v>
      </c>
      <c r="E226" s="10">
        <f>Catalog!F226</f>
        <v>0</v>
      </c>
      <c r="F226" s="10" t="str">
        <f>IF(Catalog!W226="","",Catalog!W226&amp;" "&amp;Catalog!X226)</f>
        <v/>
      </c>
      <c r="G226" s="11"/>
    </row>
    <row r="227" spans="1:7" x14ac:dyDescent="0.25">
      <c r="A227" s="10" t="str">
        <f>Catalog!A227</f>
        <v/>
      </c>
      <c r="B227" s="10" t="str">
        <f>Catalog!C227</f>
        <v/>
      </c>
      <c r="C227" s="10">
        <f>Catalog!D227</f>
        <v>0</v>
      </c>
      <c r="D227" s="10">
        <f>Catalog!N227</f>
        <v>0</v>
      </c>
      <c r="E227" s="10">
        <f>Catalog!F227</f>
        <v>0</v>
      </c>
      <c r="F227" s="10" t="str">
        <f>IF(Catalog!W227="","",Catalog!W227&amp;" "&amp;Catalog!X227)</f>
        <v/>
      </c>
      <c r="G227" s="11"/>
    </row>
    <row r="228" spans="1:7" x14ac:dyDescent="0.25">
      <c r="A228" s="10" t="str">
        <f>Catalog!A228</f>
        <v/>
      </c>
      <c r="B228" s="10" t="str">
        <f>Catalog!C228</f>
        <v/>
      </c>
      <c r="C228" s="10">
        <f>Catalog!D228</f>
        <v>0</v>
      </c>
      <c r="D228" s="10">
        <f>Catalog!N228</f>
        <v>0</v>
      </c>
      <c r="E228" s="10">
        <f>Catalog!F228</f>
        <v>0</v>
      </c>
      <c r="F228" s="10" t="str">
        <f>IF(Catalog!W228="","",Catalog!W228&amp;" "&amp;Catalog!X228)</f>
        <v/>
      </c>
      <c r="G228" s="11"/>
    </row>
    <row r="229" spans="1:7" x14ac:dyDescent="0.25">
      <c r="A229" s="10" t="str">
        <f>Catalog!A229</f>
        <v/>
      </c>
      <c r="B229" s="10" t="str">
        <f>Catalog!C229</f>
        <v/>
      </c>
      <c r="C229" s="10">
        <f>Catalog!D229</f>
        <v>0</v>
      </c>
      <c r="D229" s="10">
        <f>Catalog!N229</f>
        <v>0</v>
      </c>
      <c r="E229" s="10">
        <f>Catalog!F229</f>
        <v>0</v>
      </c>
      <c r="F229" s="10" t="str">
        <f>IF(Catalog!W229="","",Catalog!W229&amp;" "&amp;Catalog!X229)</f>
        <v/>
      </c>
      <c r="G229" s="11"/>
    </row>
    <row r="230" spans="1:7" x14ac:dyDescent="0.25">
      <c r="A230" s="10" t="str">
        <f>Catalog!A230</f>
        <v/>
      </c>
      <c r="B230" s="10" t="str">
        <f>Catalog!C230</f>
        <v/>
      </c>
      <c r="C230" s="10">
        <f>Catalog!D230</f>
        <v>0</v>
      </c>
      <c r="D230" s="10">
        <f>Catalog!N230</f>
        <v>0</v>
      </c>
      <c r="E230" s="10">
        <f>Catalog!F230</f>
        <v>0</v>
      </c>
      <c r="F230" s="10" t="str">
        <f>IF(Catalog!W230="","",Catalog!W230&amp;" "&amp;Catalog!X230)</f>
        <v/>
      </c>
      <c r="G230" s="11"/>
    </row>
    <row r="231" spans="1:7" x14ac:dyDescent="0.25">
      <c r="A231" s="10" t="str">
        <f>Catalog!A231</f>
        <v/>
      </c>
      <c r="B231" s="10" t="str">
        <f>Catalog!C231</f>
        <v/>
      </c>
      <c r="C231" s="10">
        <f>Catalog!D231</f>
        <v>0</v>
      </c>
      <c r="D231" s="10">
        <f>Catalog!N231</f>
        <v>0</v>
      </c>
      <c r="E231" s="10">
        <f>Catalog!F231</f>
        <v>0</v>
      </c>
      <c r="F231" s="10" t="str">
        <f>IF(Catalog!W231="","",Catalog!W231&amp;" "&amp;Catalog!X231)</f>
        <v/>
      </c>
      <c r="G231" s="11"/>
    </row>
    <row r="232" spans="1:7" x14ac:dyDescent="0.25">
      <c r="A232" s="10" t="str">
        <f>Catalog!A232</f>
        <v/>
      </c>
      <c r="B232" s="10" t="str">
        <f>Catalog!C232</f>
        <v/>
      </c>
      <c r="C232" s="10">
        <f>Catalog!D232</f>
        <v>0</v>
      </c>
      <c r="D232" s="10">
        <f>Catalog!N232</f>
        <v>0</v>
      </c>
      <c r="E232" s="10">
        <f>Catalog!F232</f>
        <v>0</v>
      </c>
      <c r="F232" s="10" t="str">
        <f>IF(Catalog!W232="","",Catalog!W232&amp;" "&amp;Catalog!X232)</f>
        <v/>
      </c>
      <c r="G232" s="11"/>
    </row>
    <row r="233" spans="1:7" x14ac:dyDescent="0.25">
      <c r="A233" s="10" t="str">
        <f>Catalog!A233</f>
        <v/>
      </c>
      <c r="B233" s="10" t="str">
        <f>Catalog!C233</f>
        <v/>
      </c>
      <c r="C233" s="10">
        <f>Catalog!D233</f>
        <v>0</v>
      </c>
      <c r="D233" s="10">
        <f>Catalog!N233</f>
        <v>0</v>
      </c>
      <c r="E233" s="10">
        <f>Catalog!F233</f>
        <v>0</v>
      </c>
      <c r="F233" s="10" t="str">
        <f>IF(Catalog!W233="","",Catalog!W233&amp;" "&amp;Catalog!X233)</f>
        <v/>
      </c>
      <c r="G233" s="11"/>
    </row>
    <row r="234" spans="1:7" x14ac:dyDescent="0.25">
      <c r="A234" s="10" t="str">
        <f>Catalog!A234</f>
        <v/>
      </c>
      <c r="B234" s="10" t="str">
        <f>Catalog!C234</f>
        <v/>
      </c>
      <c r="C234" s="10">
        <f>Catalog!D234</f>
        <v>0</v>
      </c>
      <c r="D234" s="10">
        <f>Catalog!N234</f>
        <v>0</v>
      </c>
      <c r="E234" s="10">
        <f>Catalog!F234</f>
        <v>0</v>
      </c>
      <c r="F234" s="10" t="str">
        <f>IF(Catalog!W234="","",Catalog!W234&amp;" "&amp;Catalog!X234)</f>
        <v/>
      </c>
      <c r="G234" s="11"/>
    </row>
    <row r="235" spans="1:7" x14ac:dyDescent="0.25">
      <c r="A235" s="10" t="str">
        <f>Catalog!A235</f>
        <v/>
      </c>
      <c r="B235" s="10" t="str">
        <f>Catalog!C235</f>
        <v/>
      </c>
      <c r="C235" s="10">
        <f>Catalog!D235</f>
        <v>0</v>
      </c>
      <c r="D235" s="10">
        <f>Catalog!N235</f>
        <v>0</v>
      </c>
      <c r="E235" s="10">
        <f>Catalog!F235</f>
        <v>0</v>
      </c>
      <c r="F235" s="10" t="str">
        <f>IF(Catalog!W235="","",Catalog!W235&amp;" "&amp;Catalog!X235)</f>
        <v/>
      </c>
      <c r="G235" s="11"/>
    </row>
    <row r="236" spans="1:7" x14ac:dyDescent="0.25">
      <c r="A236" s="10" t="str">
        <f>Catalog!A236</f>
        <v/>
      </c>
      <c r="B236" s="10" t="str">
        <f>Catalog!C236</f>
        <v/>
      </c>
      <c r="C236" s="10">
        <f>Catalog!D236</f>
        <v>0</v>
      </c>
      <c r="D236" s="10">
        <f>Catalog!N236</f>
        <v>0</v>
      </c>
      <c r="E236" s="10">
        <f>Catalog!F236</f>
        <v>0</v>
      </c>
      <c r="F236" s="10" t="str">
        <f>IF(Catalog!W236="","",Catalog!W236&amp;" "&amp;Catalog!X236)</f>
        <v/>
      </c>
      <c r="G236" s="11"/>
    </row>
    <row r="237" spans="1:7" x14ac:dyDescent="0.25">
      <c r="A237" s="10" t="str">
        <f>Catalog!A237</f>
        <v/>
      </c>
      <c r="B237" s="10" t="str">
        <f>Catalog!C237</f>
        <v/>
      </c>
      <c r="C237" s="10">
        <f>Catalog!D237</f>
        <v>0</v>
      </c>
      <c r="D237" s="10">
        <f>Catalog!N237</f>
        <v>0</v>
      </c>
      <c r="E237" s="10">
        <f>Catalog!F237</f>
        <v>0</v>
      </c>
      <c r="F237" s="10" t="str">
        <f>IF(Catalog!W237="","",Catalog!W237&amp;" "&amp;Catalog!X237)</f>
        <v/>
      </c>
      <c r="G237" s="11"/>
    </row>
    <row r="238" spans="1:7" x14ac:dyDescent="0.25">
      <c r="A238" s="10" t="str">
        <f>Catalog!A238</f>
        <v/>
      </c>
      <c r="B238" s="10" t="str">
        <f>Catalog!C238</f>
        <v/>
      </c>
      <c r="C238" s="10">
        <f>Catalog!D238</f>
        <v>0</v>
      </c>
      <c r="D238" s="10">
        <f>Catalog!N238</f>
        <v>0</v>
      </c>
      <c r="E238" s="10">
        <f>Catalog!F238</f>
        <v>0</v>
      </c>
      <c r="F238" s="10" t="str">
        <f>IF(Catalog!W238="","",Catalog!W238&amp;" "&amp;Catalog!X238)</f>
        <v/>
      </c>
      <c r="G238" s="11"/>
    </row>
    <row r="239" spans="1:7" x14ac:dyDescent="0.25">
      <c r="A239" s="10" t="str">
        <f>Catalog!A239</f>
        <v/>
      </c>
      <c r="B239" s="10" t="str">
        <f>Catalog!C239</f>
        <v/>
      </c>
      <c r="C239" s="10">
        <f>Catalog!D239</f>
        <v>0</v>
      </c>
      <c r="D239" s="10">
        <f>Catalog!N239</f>
        <v>0</v>
      </c>
      <c r="E239" s="10">
        <f>Catalog!F239</f>
        <v>0</v>
      </c>
      <c r="F239" s="10" t="str">
        <f>IF(Catalog!W239="","",Catalog!W239&amp;" "&amp;Catalog!X239)</f>
        <v/>
      </c>
      <c r="G239" s="11"/>
    </row>
    <row r="240" spans="1:7" x14ac:dyDescent="0.25">
      <c r="A240" s="10" t="str">
        <f>Catalog!A240</f>
        <v/>
      </c>
      <c r="B240" s="10" t="str">
        <f>Catalog!C240</f>
        <v/>
      </c>
      <c r="C240" s="10">
        <f>Catalog!D240</f>
        <v>0</v>
      </c>
      <c r="D240" s="10">
        <f>Catalog!N240</f>
        <v>0</v>
      </c>
      <c r="E240" s="10">
        <f>Catalog!F240</f>
        <v>0</v>
      </c>
      <c r="F240" s="10" t="str">
        <f>IF(Catalog!W240="","",Catalog!W240&amp;" "&amp;Catalog!X240)</f>
        <v/>
      </c>
      <c r="G240" s="11"/>
    </row>
    <row r="241" spans="1:7" x14ac:dyDescent="0.25">
      <c r="A241" s="10" t="str">
        <f>Catalog!A241</f>
        <v/>
      </c>
      <c r="B241" s="10" t="str">
        <f>Catalog!C241</f>
        <v/>
      </c>
      <c r="C241" s="10">
        <f>Catalog!D241</f>
        <v>0</v>
      </c>
      <c r="D241" s="10">
        <f>Catalog!N241</f>
        <v>0</v>
      </c>
      <c r="E241" s="10">
        <f>Catalog!F241</f>
        <v>0</v>
      </c>
      <c r="F241" s="10" t="str">
        <f>IF(Catalog!W241="","",Catalog!W241&amp;" "&amp;Catalog!X241)</f>
        <v/>
      </c>
      <c r="G241" s="11"/>
    </row>
    <row r="242" spans="1:7" x14ac:dyDescent="0.25">
      <c r="A242" s="10" t="str">
        <f>Catalog!A242</f>
        <v/>
      </c>
      <c r="B242" s="10" t="str">
        <f>Catalog!C242</f>
        <v/>
      </c>
      <c r="C242" s="10">
        <f>Catalog!D242</f>
        <v>0</v>
      </c>
      <c r="D242" s="10">
        <f>Catalog!N242</f>
        <v>0</v>
      </c>
      <c r="E242" s="10">
        <f>Catalog!F242</f>
        <v>0</v>
      </c>
      <c r="F242" s="10" t="str">
        <f>IF(Catalog!W242="","",Catalog!W242&amp;" "&amp;Catalog!X242)</f>
        <v/>
      </c>
      <c r="G242" s="11"/>
    </row>
    <row r="243" spans="1:7" x14ac:dyDescent="0.25">
      <c r="A243" s="10" t="str">
        <f>Catalog!A243</f>
        <v/>
      </c>
      <c r="B243" s="10" t="str">
        <f>Catalog!C243</f>
        <v/>
      </c>
      <c r="C243" s="10">
        <f>Catalog!D243</f>
        <v>0</v>
      </c>
      <c r="D243" s="10">
        <f>Catalog!N243</f>
        <v>0</v>
      </c>
      <c r="E243" s="10">
        <f>Catalog!F243</f>
        <v>0</v>
      </c>
      <c r="F243" s="10" t="str">
        <f>IF(Catalog!W243="","",Catalog!W243&amp;" "&amp;Catalog!X243)</f>
        <v/>
      </c>
      <c r="G243" s="11"/>
    </row>
    <row r="244" spans="1:7" x14ac:dyDescent="0.25">
      <c r="A244" s="10" t="str">
        <f>Catalog!A244</f>
        <v/>
      </c>
      <c r="B244" s="10" t="str">
        <f>Catalog!C244</f>
        <v/>
      </c>
      <c r="C244" s="10">
        <f>Catalog!D244</f>
        <v>0</v>
      </c>
      <c r="D244" s="10">
        <f>Catalog!N244</f>
        <v>0</v>
      </c>
      <c r="E244" s="10">
        <f>Catalog!F244</f>
        <v>0</v>
      </c>
      <c r="F244" s="10" t="str">
        <f>IF(Catalog!W244="","",Catalog!W244&amp;" "&amp;Catalog!X244)</f>
        <v/>
      </c>
      <c r="G244" s="11"/>
    </row>
    <row r="245" spans="1:7" x14ac:dyDescent="0.25">
      <c r="A245" s="10" t="str">
        <f>Catalog!A245</f>
        <v/>
      </c>
      <c r="B245" s="10" t="str">
        <f>Catalog!C245</f>
        <v/>
      </c>
      <c r="C245" s="10">
        <f>Catalog!D245</f>
        <v>0</v>
      </c>
      <c r="D245" s="10">
        <f>Catalog!N245</f>
        <v>0</v>
      </c>
      <c r="E245" s="10">
        <f>Catalog!F245</f>
        <v>0</v>
      </c>
      <c r="F245" s="10" t="str">
        <f>IF(Catalog!W245="","",Catalog!W245&amp;" "&amp;Catalog!X245)</f>
        <v/>
      </c>
      <c r="G245" s="11"/>
    </row>
    <row r="246" spans="1:7" x14ac:dyDescent="0.25">
      <c r="A246" s="10" t="str">
        <f>Catalog!A246</f>
        <v/>
      </c>
      <c r="B246" s="10" t="str">
        <f>Catalog!C246</f>
        <v/>
      </c>
      <c r="C246" s="10">
        <f>Catalog!D246</f>
        <v>0</v>
      </c>
      <c r="D246" s="10">
        <f>Catalog!N246</f>
        <v>0</v>
      </c>
      <c r="E246" s="10">
        <f>Catalog!F246</f>
        <v>0</v>
      </c>
      <c r="F246" s="10" t="str">
        <f>IF(Catalog!W246="","",Catalog!W246&amp;" "&amp;Catalog!X246)</f>
        <v/>
      </c>
      <c r="G246" s="11"/>
    </row>
    <row r="247" spans="1:7" x14ac:dyDescent="0.25">
      <c r="A247" s="10" t="str">
        <f>Catalog!A247</f>
        <v/>
      </c>
      <c r="B247" s="10" t="str">
        <f>Catalog!C247</f>
        <v/>
      </c>
      <c r="C247" s="10">
        <f>Catalog!D247</f>
        <v>0</v>
      </c>
      <c r="D247" s="10">
        <f>Catalog!N247</f>
        <v>0</v>
      </c>
      <c r="E247" s="10">
        <f>Catalog!F247</f>
        <v>0</v>
      </c>
      <c r="F247" s="10" t="str">
        <f>IF(Catalog!W247="","",Catalog!W247&amp;" "&amp;Catalog!X247)</f>
        <v/>
      </c>
      <c r="G247" s="11"/>
    </row>
    <row r="248" spans="1:7" x14ac:dyDescent="0.25">
      <c r="A248" s="10" t="str">
        <f>Catalog!A248</f>
        <v/>
      </c>
      <c r="B248" s="10" t="str">
        <f>Catalog!C248</f>
        <v/>
      </c>
      <c r="C248" s="10">
        <f>Catalog!D248</f>
        <v>0</v>
      </c>
      <c r="D248" s="10">
        <f>Catalog!N248</f>
        <v>0</v>
      </c>
      <c r="E248" s="10">
        <f>Catalog!F248</f>
        <v>0</v>
      </c>
      <c r="F248" s="10" t="str">
        <f>IF(Catalog!W248="","",Catalog!W248&amp;" "&amp;Catalog!X248)</f>
        <v/>
      </c>
      <c r="G248" s="11"/>
    </row>
    <row r="249" spans="1:7" x14ac:dyDescent="0.25">
      <c r="A249" s="10" t="str">
        <f>Catalog!A249</f>
        <v/>
      </c>
      <c r="B249" s="10" t="str">
        <f>Catalog!C249</f>
        <v/>
      </c>
      <c r="C249" s="10">
        <f>Catalog!D249</f>
        <v>0</v>
      </c>
      <c r="D249" s="10">
        <f>Catalog!N249</f>
        <v>0</v>
      </c>
      <c r="E249" s="10">
        <f>Catalog!F249</f>
        <v>0</v>
      </c>
      <c r="F249" s="10" t="str">
        <f>IF(Catalog!W249="","",Catalog!W249&amp;" "&amp;Catalog!X249)</f>
        <v/>
      </c>
      <c r="G249" s="11"/>
    </row>
    <row r="250" spans="1:7" x14ac:dyDescent="0.25">
      <c r="A250" s="10" t="str">
        <f>Catalog!A250</f>
        <v/>
      </c>
      <c r="B250" s="10" t="str">
        <f>Catalog!C250</f>
        <v/>
      </c>
      <c r="C250" s="10">
        <f>Catalog!D250</f>
        <v>0</v>
      </c>
      <c r="D250" s="10">
        <f>Catalog!N250</f>
        <v>0</v>
      </c>
      <c r="E250" s="10">
        <f>Catalog!F250</f>
        <v>0</v>
      </c>
      <c r="F250" s="10" t="str">
        <f>IF(Catalog!W250="","",Catalog!W250&amp;" "&amp;Catalog!X250)</f>
        <v/>
      </c>
      <c r="G250" s="11"/>
    </row>
    <row r="251" spans="1:7" x14ac:dyDescent="0.25">
      <c r="A251" s="10" t="str">
        <f>Catalog!A251</f>
        <v/>
      </c>
      <c r="B251" s="10" t="str">
        <f>Catalog!C251</f>
        <v/>
      </c>
      <c r="C251" s="10">
        <f>Catalog!D251</f>
        <v>0</v>
      </c>
      <c r="D251" s="10">
        <f>Catalog!N251</f>
        <v>0</v>
      </c>
      <c r="E251" s="10">
        <f>Catalog!F251</f>
        <v>0</v>
      </c>
      <c r="F251" s="10" t="str">
        <f>IF(Catalog!W251="","",Catalog!W251&amp;" "&amp;Catalog!X251)</f>
        <v/>
      </c>
      <c r="G251" s="11"/>
    </row>
    <row r="252" spans="1:7" x14ac:dyDescent="0.25">
      <c r="A252" s="10" t="str">
        <f>Catalog!A252</f>
        <v/>
      </c>
      <c r="B252" s="10" t="str">
        <f>Catalog!C252</f>
        <v/>
      </c>
      <c r="C252" s="10">
        <f>Catalog!D252</f>
        <v>0</v>
      </c>
      <c r="D252" s="10">
        <f>Catalog!N252</f>
        <v>0</v>
      </c>
      <c r="E252" s="10">
        <f>Catalog!F252</f>
        <v>0</v>
      </c>
      <c r="F252" s="10" t="str">
        <f>IF(Catalog!W252="","",Catalog!W252&amp;" "&amp;Catalog!X252)</f>
        <v/>
      </c>
      <c r="G252" s="11"/>
    </row>
    <row r="253" spans="1:7" x14ac:dyDescent="0.25">
      <c r="A253" s="10" t="str">
        <f>Catalog!A253</f>
        <v/>
      </c>
      <c r="B253" s="10" t="str">
        <f>Catalog!C253</f>
        <v/>
      </c>
      <c r="C253" s="10">
        <f>Catalog!D253</f>
        <v>0</v>
      </c>
      <c r="D253" s="10">
        <f>Catalog!N253</f>
        <v>0</v>
      </c>
      <c r="E253" s="10">
        <f>Catalog!F253</f>
        <v>0</v>
      </c>
      <c r="F253" s="10" t="str">
        <f>IF(Catalog!W253="","",Catalog!W253&amp;" "&amp;Catalog!X253)</f>
        <v/>
      </c>
      <c r="G253" s="11"/>
    </row>
    <row r="254" spans="1:7" x14ac:dyDescent="0.25">
      <c r="A254" s="10" t="str">
        <f>Catalog!A254</f>
        <v/>
      </c>
      <c r="B254" s="10" t="str">
        <f>Catalog!C254</f>
        <v/>
      </c>
      <c r="C254" s="10">
        <f>Catalog!D254</f>
        <v>0</v>
      </c>
      <c r="D254" s="10">
        <f>Catalog!N254</f>
        <v>0</v>
      </c>
      <c r="E254" s="10">
        <f>Catalog!F254</f>
        <v>0</v>
      </c>
      <c r="F254" s="10" t="str">
        <f>IF(Catalog!W254="","",Catalog!W254&amp;" "&amp;Catalog!X254)</f>
        <v/>
      </c>
      <c r="G254" s="11"/>
    </row>
    <row r="255" spans="1:7" x14ac:dyDescent="0.25">
      <c r="A255" s="10" t="str">
        <f>Catalog!A255</f>
        <v/>
      </c>
      <c r="B255" s="10" t="str">
        <f>Catalog!C255</f>
        <v/>
      </c>
      <c r="C255" s="10">
        <f>Catalog!D255</f>
        <v>0</v>
      </c>
      <c r="D255" s="10">
        <f>Catalog!N255</f>
        <v>0</v>
      </c>
      <c r="E255" s="10">
        <f>Catalog!F255</f>
        <v>0</v>
      </c>
      <c r="F255" s="10" t="str">
        <f>IF(Catalog!W255="","",Catalog!W255&amp;" "&amp;Catalog!X255)</f>
        <v/>
      </c>
      <c r="G255" s="11"/>
    </row>
    <row r="256" spans="1:7" x14ac:dyDescent="0.25">
      <c r="A256" s="10" t="str">
        <f>Catalog!A256</f>
        <v/>
      </c>
      <c r="B256" s="10" t="str">
        <f>Catalog!C256</f>
        <v/>
      </c>
      <c r="C256" s="10">
        <f>Catalog!D256</f>
        <v>0</v>
      </c>
      <c r="D256" s="10">
        <f>Catalog!N256</f>
        <v>0</v>
      </c>
      <c r="E256" s="10">
        <f>Catalog!F256</f>
        <v>0</v>
      </c>
      <c r="F256" s="10" t="str">
        <f>IF(Catalog!W256="","",Catalog!W256&amp;" "&amp;Catalog!X256)</f>
        <v/>
      </c>
      <c r="G256" s="11"/>
    </row>
    <row r="257" spans="1:7" x14ac:dyDescent="0.25">
      <c r="A257" s="10" t="str">
        <f>Catalog!A257</f>
        <v/>
      </c>
      <c r="B257" s="10" t="str">
        <f>Catalog!C257</f>
        <v/>
      </c>
      <c r="C257" s="10">
        <f>Catalog!D257</f>
        <v>0</v>
      </c>
      <c r="D257" s="10">
        <f>Catalog!N257</f>
        <v>0</v>
      </c>
      <c r="E257" s="10">
        <f>Catalog!F257</f>
        <v>0</v>
      </c>
      <c r="F257" s="10" t="str">
        <f>IF(Catalog!W257="","",Catalog!W257&amp;" "&amp;Catalog!X257)</f>
        <v/>
      </c>
      <c r="G257" s="11"/>
    </row>
    <row r="258" spans="1:7" x14ac:dyDescent="0.25">
      <c r="A258" s="10" t="str">
        <f>Catalog!A258</f>
        <v/>
      </c>
      <c r="B258" s="10" t="str">
        <f>Catalog!C258</f>
        <v/>
      </c>
      <c r="C258" s="10">
        <f>Catalog!D258</f>
        <v>0</v>
      </c>
      <c r="D258" s="10">
        <f>Catalog!N258</f>
        <v>0</v>
      </c>
      <c r="E258" s="10">
        <f>Catalog!F258</f>
        <v>0</v>
      </c>
      <c r="F258" s="10" t="str">
        <f>IF(Catalog!W258="","",Catalog!W258&amp;" "&amp;Catalog!X258)</f>
        <v/>
      </c>
      <c r="G258" s="11"/>
    </row>
    <row r="259" spans="1:7" x14ac:dyDescent="0.25">
      <c r="A259" s="10" t="str">
        <f>Catalog!A259</f>
        <v/>
      </c>
      <c r="B259" s="10" t="str">
        <f>Catalog!C259</f>
        <v/>
      </c>
      <c r="C259" s="10">
        <f>Catalog!D259</f>
        <v>0</v>
      </c>
      <c r="D259" s="10">
        <f>Catalog!N259</f>
        <v>0</v>
      </c>
      <c r="E259" s="10">
        <f>Catalog!F259</f>
        <v>0</v>
      </c>
      <c r="F259" s="10" t="str">
        <f>IF(Catalog!W259="","",Catalog!W259&amp;" "&amp;Catalog!X259)</f>
        <v/>
      </c>
      <c r="G259" s="11"/>
    </row>
    <row r="260" spans="1:7" x14ac:dyDescent="0.25">
      <c r="A260" s="10" t="str">
        <f>Catalog!A260</f>
        <v/>
      </c>
      <c r="B260" s="10" t="str">
        <f>Catalog!C260</f>
        <v/>
      </c>
      <c r="C260" s="10">
        <f>Catalog!D260</f>
        <v>0</v>
      </c>
      <c r="D260" s="10">
        <f>Catalog!N260</f>
        <v>0</v>
      </c>
      <c r="E260" s="10">
        <f>Catalog!F260</f>
        <v>0</v>
      </c>
      <c r="F260" s="10" t="str">
        <f>IF(Catalog!W260="","",Catalog!W260&amp;" "&amp;Catalog!X260)</f>
        <v/>
      </c>
      <c r="G260" s="11"/>
    </row>
    <row r="261" spans="1:7" x14ac:dyDescent="0.25">
      <c r="A261" s="10" t="str">
        <f>Catalog!A261</f>
        <v/>
      </c>
      <c r="B261" s="10" t="str">
        <f>Catalog!C261</f>
        <v/>
      </c>
      <c r="C261" s="10">
        <f>Catalog!D261</f>
        <v>0</v>
      </c>
      <c r="D261" s="10">
        <f>Catalog!N261</f>
        <v>0</v>
      </c>
      <c r="E261" s="10">
        <f>Catalog!F261</f>
        <v>0</v>
      </c>
      <c r="F261" s="10" t="str">
        <f>IF(Catalog!W261="","",Catalog!W261&amp;" "&amp;Catalog!X261)</f>
        <v/>
      </c>
      <c r="G261" s="11"/>
    </row>
    <row r="262" spans="1:7" x14ac:dyDescent="0.25">
      <c r="A262" s="10" t="str">
        <f>Catalog!A262</f>
        <v/>
      </c>
      <c r="B262" s="10" t="str">
        <f>Catalog!C262</f>
        <v/>
      </c>
      <c r="C262" s="10">
        <f>Catalog!D262</f>
        <v>0</v>
      </c>
      <c r="D262" s="10">
        <f>Catalog!N262</f>
        <v>0</v>
      </c>
      <c r="E262" s="10">
        <f>Catalog!F262</f>
        <v>0</v>
      </c>
      <c r="F262" s="10" t="str">
        <f>IF(Catalog!W262="","",Catalog!W262&amp;" "&amp;Catalog!X262)</f>
        <v/>
      </c>
      <c r="G262" s="11"/>
    </row>
    <row r="263" spans="1:7" x14ac:dyDescent="0.25">
      <c r="A263" s="10" t="str">
        <f>Catalog!A263</f>
        <v/>
      </c>
      <c r="B263" s="10" t="str">
        <f>Catalog!C263</f>
        <v/>
      </c>
      <c r="C263" s="10">
        <f>Catalog!D263</f>
        <v>0</v>
      </c>
      <c r="D263" s="10">
        <f>Catalog!N263</f>
        <v>0</v>
      </c>
      <c r="E263" s="10">
        <f>Catalog!F263</f>
        <v>0</v>
      </c>
      <c r="F263" s="10" t="str">
        <f>IF(Catalog!W263="","",Catalog!W263&amp;" "&amp;Catalog!X263)</f>
        <v/>
      </c>
      <c r="G263" s="11"/>
    </row>
    <row r="264" spans="1:7" x14ac:dyDescent="0.25">
      <c r="A264" s="10" t="str">
        <f>Catalog!A264</f>
        <v/>
      </c>
      <c r="B264" s="10" t="str">
        <f>Catalog!C264</f>
        <v/>
      </c>
      <c r="C264" s="10">
        <f>Catalog!D264</f>
        <v>0</v>
      </c>
      <c r="D264" s="10">
        <f>Catalog!N264</f>
        <v>0</v>
      </c>
      <c r="E264" s="10">
        <f>Catalog!F264</f>
        <v>0</v>
      </c>
      <c r="F264" s="10" t="str">
        <f>IF(Catalog!W264="","",Catalog!W264&amp;" "&amp;Catalog!X264)</f>
        <v/>
      </c>
      <c r="G264" s="11"/>
    </row>
    <row r="265" spans="1:7" x14ac:dyDescent="0.25">
      <c r="A265" s="10" t="str">
        <f>Catalog!A265</f>
        <v/>
      </c>
      <c r="B265" s="10" t="str">
        <f>Catalog!C265</f>
        <v/>
      </c>
      <c r="C265" s="10">
        <f>Catalog!D265</f>
        <v>0</v>
      </c>
      <c r="D265" s="10">
        <f>Catalog!N265</f>
        <v>0</v>
      </c>
      <c r="E265" s="10">
        <f>Catalog!F265</f>
        <v>0</v>
      </c>
      <c r="F265" s="10" t="str">
        <f>IF(Catalog!W265="","",Catalog!W265&amp;" "&amp;Catalog!X265)</f>
        <v/>
      </c>
      <c r="G265" s="11"/>
    </row>
    <row r="266" spans="1:7" x14ac:dyDescent="0.25">
      <c r="A266" s="10" t="str">
        <f>Catalog!A266</f>
        <v/>
      </c>
      <c r="B266" s="10" t="str">
        <f>Catalog!C266</f>
        <v/>
      </c>
      <c r="C266" s="10">
        <f>Catalog!D266</f>
        <v>0</v>
      </c>
      <c r="D266" s="10">
        <f>Catalog!N266</f>
        <v>0</v>
      </c>
      <c r="E266" s="10">
        <f>Catalog!F266</f>
        <v>0</v>
      </c>
      <c r="F266" s="10" t="str">
        <f>IF(Catalog!W266="","",Catalog!W266&amp;" "&amp;Catalog!X266)</f>
        <v/>
      </c>
      <c r="G266" s="11"/>
    </row>
    <row r="267" spans="1:7" x14ac:dyDescent="0.25">
      <c r="A267" s="10" t="str">
        <f>Catalog!A267</f>
        <v/>
      </c>
      <c r="B267" s="10" t="str">
        <f>Catalog!C267</f>
        <v/>
      </c>
      <c r="C267" s="10">
        <f>Catalog!D267</f>
        <v>0</v>
      </c>
      <c r="D267" s="10">
        <f>Catalog!N267</f>
        <v>0</v>
      </c>
      <c r="E267" s="10">
        <f>Catalog!F267</f>
        <v>0</v>
      </c>
      <c r="F267" s="10" t="str">
        <f>IF(Catalog!W267="","",Catalog!W267&amp;" "&amp;Catalog!X267)</f>
        <v/>
      </c>
      <c r="G267" s="11"/>
    </row>
    <row r="268" spans="1:7" x14ac:dyDescent="0.25">
      <c r="A268" s="10" t="str">
        <f>Catalog!A268</f>
        <v/>
      </c>
      <c r="B268" s="10" t="str">
        <f>Catalog!C268</f>
        <v/>
      </c>
      <c r="C268" s="10">
        <f>Catalog!D268</f>
        <v>0</v>
      </c>
      <c r="D268" s="10">
        <f>Catalog!N268</f>
        <v>0</v>
      </c>
      <c r="E268" s="10">
        <f>Catalog!F268</f>
        <v>0</v>
      </c>
      <c r="F268" s="10" t="str">
        <f>IF(Catalog!W268="","",Catalog!W268&amp;" "&amp;Catalog!X268)</f>
        <v/>
      </c>
      <c r="G268" s="11"/>
    </row>
    <row r="269" spans="1:7" x14ac:dyDescent="0.25">
      <c r="A269" s="10" t="str">
        <f>Catalog!A269</f>
        <v/>
      </c>
      <c r="B269" s="10" t="str">
        <f>Catalog!C269</f>
        <v/>
      </c>
      <c r="C269" s="10">
        <f>Catalog!D269</f>
        <v>0</v>
      </c>
      <c r="D269" s="10">
        <f>Catalog!N269</f>
        <v>0</v>
      </c>
      <c r="E269" s="10">
        <f>Catalog!F269</f>
        <v>0</v>
      </c>
      <c r="F269" s="10" t="str">
        <f>IF(Catalog!W269="","",Catalog!W269&amp;" "&amp;Catalog!X269)</f>
        <v/>
      </c>
      <c r="G269" s="11"/>
    </row>
    <row r="270" spans="1:7" x14ac:dyDescent="0.25">
      <c r="A270" s="10" t="str">
        <f>Catalog!A270</f>
        <v/>
      </c>
      <c r="B270" s="10" t="str">
        <f>Catalog!C270</f>
        <v/>
      </c>
      <c r="C270" s="10">
        <f>Catalog!D270</f>
        <v>0</v>
      </c>
      <c r="D270" s="10">
        <f>Catalog!N270</f>
        <v>0</v>
      </c>
      <c r="E270" s="10">
        <f>Catalog!F270</f>
        <v>0</v>
      </c>
      <c r="F270" s="10" t="str">
        <f>IF(Catalog!W270="","",Catalog!W270&amp;" "&amp;Catalog!X270)</f>
        <v/>
      </c>
      <c r="G270" s="11"/>
    </row>
    <row r="271" spans="1:7" x14ac:dyDescent="0.25">
      <c r="A271" s="10" t="str">
        <f>Catalog!A271</f>
        <v/>
      </c>
      <c r="B271" s="10" t="str">
        <f>Catalog!C271</f>
        <v/>
      </c>
      <c r="C271" s="10">
        <f>Catalog!D271</f>
        <v>0</v>
      </c>
      <c r="D271" s="10">
        <f>Catalog!N271</f>
        <v>0</v>
      </c>
      <c r="E271" s="10">
        <f>Catalog!F271</f>
        <v>0</v>
      </c>
      <c r="F271" s="10" t="str">
        <f>IF(Catalog!W271="","",Catalog!W271&amp;" "&amp;Catalog!X271)</f>
        <v/>
      </c>
      <c r="G271" s="11"/>
    </row>
    <row r="272" spans="1:7" x14ac:dyDescent="0.25">
      <c r="A272" s="10" t="str">
        <f>Catalog!A272</f>
        <v/>
      </c>
      <c r="B272" s="10" t="str">
        <f>Catalog!C272</f>
        <v/>
      </c>
      <c r="C272" s="10">
        <f>Catalog!D272</f>
        <v>0</v>
      </c>
      <c r="D272" s="10">
        <f>Catalog!N272</f>
        <v>0</v>
      </c>
      <c r="E272" s="10">
        <f>Catalog!F272</f>
        <v>0</v>
      </c>
      <c r="F272" s="10" t="str">
        <f>IF(Catalog!W272="","",Catalog!W272&amp;" "&amp;Catalog!X272)</f>
        <v/>
      </c>
      <c r="G272" s="11"/>
    </row>
    <row r="273" spans="1:7" x14ac:dyDescent="0.25">
      <c r="A273" s="10" t="str">
        <f>Catalog!A273</f>
        <v/>
      </c>
      <c r="B273" s="10" t="str">
        <f>Catalog!C273</f>
        <v/>
      </c>
      <c r="C273" s="10">
        <f>Catalog!D273</f>
        <v>0</v>
      </c>
      <c r="D273" s="10">
        <f>Catalog!N273</f>
        <v>0</v>
      </c>
      <c r="E273" s="10">
        <f>Catalog!F273</f>
        <v>0</v>
      </c>
      <c r="F273" s="10" t="str">
        <f>IF(Catalog!W273="","",Catalog!W273&amp;" "&amp;Catalog!X273)</f>
        <v/>
      </c>
      <c r="G273" s="11"/>
    </row>
    <row r="274" spans="1:7" x14ac:dyDescent="0.25">
      <c r="A274" s="10" t="str">
        <f>Catalog!A274</f>
        <v/>
      </c>
      <c r="B274" s="10" t="str">
        <f>Catalog!C274</f>
        <v/>
      </c>
      <c r="C274" s="10">
        <f>Catalog!D274</f>
        <v>0</v>
      </c>
      <c r="D274" s="10">
        <f>Catalog!N274</f>
        <v>0</v>
      </c>
      <c r="E274" s="10">
        <f>Catalog!F274</f>
        <v>0</v>
      </c>
      <c r="F274" s="10" t="str">
        <f>IF(Catalog!W274="","",Catalog!W274&amp;" "&amp;Catalog!X274)</f>
        <v/>
      </c>
      <c r="G274" s="11"/>
    </row>
    <row r="275" spans="1:7" x14ac:dyDescent="0.25">
      <c r="A275" s="10" t="str">
        <f>Catalog!A275</f>
        <v/>
      </c>
      <c r="B275" s="10" t="str">
        <f>Catalog!C275</f>
        <v/>
      </c>
      <c r="C275" s="10">
        <f>Catalog!D275</f>
        <v>0</v>
      </c>
      <c r="D275" s="10">
        <f>Catalog!N275</f>
        <v>0</v>
      </c>
      <c r="E275" s="10">
        <f>Catalog!F275</f>
        <v>0</v>
      </c>
      <c r="F275" s="10" t="str">
        <f>IF(Catalog!W275="","",Catalog!W275&amp;" "&amp;Catalog!X275)</f>
        <v/>
      </c>
      <c r="G275" s="11"/>
    </row>
    <row r="276" spans="1:7" x14ac:dyDescent="0.25">
      <c r="A276" s="10" t="str">
        <f>Catalog!A276</f>
        <v/>
      </c>
      <c r="B276" s="10" t="str">
        <f>Catalog!C276</f>
        <v/>
      </c>
      <c r="C276" s="10">
        <f>Catalog!D276</f>
        <v>0</v>
      </c>
      <c r="D276" s="10">
        <f>Catalog!N276</f>
        <v>0</v>
      </c>
      <c r="E276" s="10">
        <f>Catalog!F276</f>
        <v>0</v>
      </c>
      <c r="F276" s="10" t="str">
        <f>IF(Catalog!W276="","",Catalog!W276&amp;" "&amp;Catalog!X276)</f>
        <v/>
      </c>
      <c r="G276" s="11"/>
    </row>
    <row r="277" spans="1:7" x14ac:dyDescent="0.25">
      <c r="A277" s="10" t="str">
        <f>Catalog!A277</f>
        <v/>
      </c>
      <c r="B277" s="10" t="str">
        <f>Catalog!C277</f>
        <v/>
      </c>
      <c r="C277" s="10">
        <f>Catalog!D277</f>
        <v>0</v>
      </c>
      <c r="D277" s="10">
        <f>Catalog!N277</f>
        <v>0</v>
      </c>
      <c r="E277" s="10">
        <f>Catalog!F277</f>
        <v>0</v>
      </c>
      <c r="F277" s="10" t="str">
        <f>IF(Catalog!W277="","",Catalog!W277&amp;" "&amp;Catalog!X277)</f>
        <v/>
      </c>
      <c r="G277" s="11"/>
    </row>
    <row r="278" spans="1:7" x14ac:dyDescent="0.25">
      <c r="A278" s="10" t="str">
        <f>Catalog!A278</f>
        <v/>
      </c>
      <c r="B278" s="10" t="str">
        <f>Catalog!C278</f>
        <v/>
      </c>
      <c r="C278" s="10">
        <f>Catalog!D278</f>
        <v>0</v>
      </c>
      <c r="D278" s="10">
        <f>Catalog!N278</f>
        <v>0</v>
      </c>
      <c r="E278" s="10">
        <f>Catalog!F278</f>
        <v>0</v>
      </c>
      <c r="F278" s="10" t="str">
        <f>IF(Catalog!W278="","",Catalog!W278&amp;" "&amp;Catalog!X278)</f>
        <v/>
      </c>
      <c r="G278" s="11"/>
    </row>
    <row r="279" spans="1:7" x14ac:dyDescent="0.25">
      <c r="A279" s="10" t="str">
        <f>Catalog!A279</f>
        <v/>
      </c>
      <c r="B279" s="10" t="str">
        <f>Catalog!C279</f>
        <v/>
      </c>
      <c r="C279" s="10">
        <f>Catalog!D279</f>
        <v>0</v>
      </c>
      <c r="D279" s="10">
        <f>Catalog!N279</f>
        <v>0</v>
      </c>
      <c r="E279" s="10">
        <f>Catalog!F279</f>
        <v>0</v>
      </c>
      <c r="F279" s="10" t="str">
        <f>IF(Catalog!W279="","",Catalog!W279&amp;" "&amp;Catalog!X279)</f>
        <v/>
      </c>
      <c r="G279" s="11"/>
    </row>
    <row r="280" spans="1:7" x14ac:dyDescent="0.25">
      <c r="A280" s="10" t="str">
        <f>Catalog!A280</f>
        <v/>
      </c>
      <c r="B280" s="10" t="str">
        <f>Catalog!C280</f>
        <v/>
      </c>
      <c r="C280" s="10">
        <f>Catalog!D280</f>
        <v>0</v>
      </c>
      <c r="D280" s="10">
        <f>Catalog!N280</f>
        <v>0</v>
      </c>
      <c r="E280" s="10">
        <f>Catalog!F280</f>
        <v>0</v>
      </c>
      <c r="F280" s="10" t="str">
        <f>IF(Catalog!W280="","",Catalog!W280&amp;" "&amp;Catalog!X280)</f>
        <v/>
      </c>
      <c r="G280" s="11"/>
    </row>
    <row r="281" spans="1:7" x14ac:dyDescent="0.25">
      <c r="A281" s="10" t="str">
        <f>Catalog!A281</f>
        <v/>
      </c>
      <c r="B281" s="10" t="str">
        <f>Catalog!C281</f>
        <v/>
      </c>
      <c r="C281" s="10">
        <f>Catalog!D281</f>
        <v>0</v>
      </c>
      <c r="D281" s="10">
        <f>Catalog!N281</f>
        <v>0</v>
      </c>
      <c r="E281" s="10">
        <f>Catalog!F281</f>
        <v>0</v>
      </c>
      <c r="F281" s="10" t="str">
        <f>IF(Catalog!W281="","",Catalog!W281&amp;" "&amp;Catalog!X281)</f>
        <v/>
      </c>
      <c r="G281" s="11"/>
    </row>
    <row r="282" spans="1:7" x14ac:dyDescent="0.25">
      <c r="A282" s="10" t="str">
        <f>Catalog!A282</f>
        <v/>
      </c>
      <c r="B282" s="10" t="str">
        <f>Catalog!C282</f>
        <v/>
      </c>
      <c r="C282" s="10">
        <f>Catalog!D282</f>
        <v>0</v>
      </c>
      <c r="D282" s="10">
        <f>Catalog!N282</f>
        <v>0</v>
      </c>
      <c r="E282" s="10">
        <f>Catalog!F282</f>
        <v>0</v>
      </c>
      <c r="F282" s="10" t="str">
        <f>IF(Catalog!W282="","",Catalog!W282&amp;" "&amp;Catalog!X282)</f>
        <v/>
      </c>
      <c r="G282" s="11"/>
    </row>
    <row r="283" spans="1:7" x14ac:dyDescent="0.25">
      <c r="A283" s="10" t="str">
        <f>Catalog!A283</f>
        <v/>
      </c>
      <c r="B283" s="10" t="str">
        <f>Catalog!C283</f>
        <v/>
      </c>
      <c r="C283" s="10">
        <f>Catalog!D283</f>
        <v>0</v>
      </c>
      <c r="D283" s="10">
        <f>Catalog!N283</f>
        <v>0</v>
      </c>
      <c r="E283" s="10">
        <f>Catalog!F283</f>
        <v>0</v>
      </c>
      <c r="F283" s="10" t="str">
        <f>IF(Catalog!W283="","",Catalog!W283&amp;" "&amp;Catalog!X283)</f>
        <v/>
      </c>
      <c r="G283" s="11"/>
    </row>
    <row r="284" spans="1:7" x14ac:dyDescent="0.25">
      <c r="A284" s="10" t="str">
        <f>Catalog!A284</f>
        <v/>
      </c>
      <c r="B284" s="10" t="str">
        <f>Catalog!C284</f>
        <v/>
      </c>
      <c r="C284" s="10">
        <f>Catalog!D284</f>
        <v>0</v>
      </c>
      <c r="D284" s="10">
        <f>Catalog!N284</f>
        <v>0</v>
      </c>
      <c r="E284" s="10">
        <f>Catalog!F284</f>
        <v>0</v>
      </c>
      <c r="F284" s="10" t="str">
        <f>IF(Catalog!W284="","",Catalog!W284&amp;" "&amp;Catalog!X284)</f>
        <v/>
      </c>
      <c r="G284" s="11"/>
    </row>
    <row r="285" spans="1:7" x14ac:dyDescent="0.25">
      <c r="A285" s="10" t="str">
        <f>Catalog!A285</f>
        <v/>
      </c>
      <c r="B285" s="10" t="str">
        <f>Catalog!C285</f>
        <v/>
      </c>
      <c r="C285" s="10">
        <f>Catalog!D285</f>
        <v>0</v>
      </c>
      <c r="D285" s="10">
        <f>Catalog!N285</f>
        <v>0</v>
      </c>
      <c r="E285" s="10">
        <f>Catalog!F285</f>
        <v>0</v>
      </c>
      <c r="F285" s="10" t="str">
        <f>IF(Catalog!W285="","",Catalog!W285&amp;" "&amp;Catalog!X285)</f>
        <v/>
      </c>
      <c r="G285" s="11"/>
    </row>
    <row r="286" spans="1:7" x14ac:dyDescent="0.25">
      <c r="A286" s="10" t="str">
        <f>Catalog!A286</f>
        <v/>
      </c>
      <c r="B286" s="10" t="str">
        <f>Catalog!C286</f>
        <v/>
      </c>
      <c r="C286" s="10">
        <f>Catalog!D286</f>
        <v>0</v>
      </c>
      <c r="D286" s="10">
        <f>Catalog!N286</f>
        <v>0</v>
      </c>
      <c r="E286" s="10">
        <f>Catalog!F286</f>
        <v>0</v>
      </c>
      <c r="F286" s="10" t="str">
        <f>IF(Catalog!W286="","",Catalog!W286&amp;" "&amp;Catalog!X286)</f>
        <v/>
      </c>
      <c r="G286" s="11"/>
    </row>
    <row r="287" spans="1:7" x14ac:dyDescent="0.25">
      <c r="A287" s="10" t="str">
        <f>Catalog!A287</f>
        <v/>
      </c>
      <c r="B287" s="10" t="str">
        <f>Catalog!C287</f>
        <v/>
      </c>
      <c r="C287" s="10">
        <f>Catalog!D287</f>
        <v>0</v>
      </c>
      <c r="D287" s="10">
        <f>Catalog!N287</f>
        <v>0</v>
      </c>
      <c r="E287" s="10">
        <f>Catalog!F287</f>
        <v>0</v>
      </c>
      <c r="F287" s="10" t="str">
        <f>IF(Catalog!W287="","",Catalog!W287&amp;" "&amp;Catalog!X287)</f>
        <v/>
      </c>
      <c r="G287" s="11"/>
    </row>
    <row r="288" spans="1:7" x14ac:dyDescent="0.25">
      <c r="A288" s="10" t="str">
        <f>Catalog!A288</f>
        <v/>
      </c>
      <c r="B288" s="10" t="str">
        <f>Catalog!C288</f>
        <v/>
      </c>
      <c r="C288" s="10">
        <f>Catalog!D288</f>
        <v>0</v>
      </c>
      <c r="D288" s="10">
        <f>Catalog!N288</f>
        <v>0</v>
      </c>
      <c r="E288" s="10">
        <f>Catalog!F288</f>
        <v>0</v>
      </c>
      <c r="F288" s="10" t="str">
        <f>IF(Catalog!W288="","",Catalog!W288&amp;" "&amp;Catalog!X288)</f>
        <v/>
      </c>
      <c r="G288" s="11"/>
    </row>
    <row r="289" spans="1:7" x14ac:dyDescent="0.25">
      <c r="A289" s="10" t="str">
        <f>Catalog!A289</f>
        <v/>
      </c>
      <c r="B289" s="10" t="str">
        <f>Catalog!C289</f>
        <v/>
      </c>
      <c r="C289" s="10">
        <f>Catalog!D289</f>
        <v>0</v>
      </c>
      <c r="D289" s="10">
        <f>Catalog!N289</f>
        <v>0</v>
      </c>
      <c r="E289" s="10">
        <f>Catalog!F289</f>
        <v>0</v>
      </c>
      <c r="F289" s="10" t="str">
        <f>IF(Catalog!W289="","",Catalog!W289&amp;" "&amp;Catalog!X289)</f>
        <v/>
      </c>
      <c r="G289" s="11"/>
    </row>
    <row r="290" spans="1:7" x14ac:dyDescent="0.25">
      <c r="A290" s="10" t="str">
        <f>Catalog!A290</f>
        <v/>
      </c>
      <c r="B290" s="10" t="str">
        <f>Catalog!C290</f>
        <v/>
      </c>
      <c r="C290" s="10">
        <f>Catalog!D290</f>
        <v>0</v>
      </c>
      <c r="D290" s="10">
        <f>Catalog!N290</f>
        <v>0</v>
      </c>
      <c r="E290" s="10">
        <f>Catalog!F290</f>
        <v>0</v>
      </c>
      <c r="F290" s="10" t="str">
        <f>IF(Catalog!W290="","",Catalog!W290&amp;" "&amp;Catalog!X290)</f>
        <v/>
      </c>
      <c r="G290" s="11"/>
    </row>
    <row r="291" spans="1:7" x14ac:dyDescent="0.25">
      <c r="A291" s="10" t="str">
        <f>Catalog!A291</f>
        <v/>
      </c>
      <c r="B291" s="10" t="str">
        <f>Catalog!C291</f>
        <v/>
      </c>
      <c r="C291" s="10">
        <f>Catalog!D291</f>
        <v>0</v>
      </c>
      <c r="D291" s="10">
        <f>Catalog!N291</f>
        <v>0</v>
      </c>
      <c r="E291" s="10">
        <f>Catalog!F291</f>
        <v>0</v>
      </c>
      <c r="F291" s="10" t="str">
        <f>IF(Catalog!W291="","",Catalog!W291&amp;" "&amp;Catalog!X291)</f>
        <v/>
      </c>
      <c r="G291" s="11"/>
    </row>
    <row r="292" spans="1:7" x14ac:dyDescent="0.25">
      <c r="A292" s="10" t="str">
        <f>Catalog!A292</f>
        <v/>
      </c>
      <c r="B292" s="10" t="str">
        <f>Catalog!C292</f>
        <v/>
      </c>
      <c r="C292" s="10">
        <f>Catalog!D292</f>
        <v>0</v>
      </c>
      <c r="D292" s="10">
        <f>Catalog!N292</f>
        <v>0</v>
      </c>
      <c r="E292" s="10">
        <f>Catalog!F292</f>
        <v>0</v>
      </c>
      <c r="F292" s="10" t="str">
        <f>IF(Catalog!W292="","",Catalog!W292&amp;" "&amp;Catalog!X292)</f>
        <v/>
      </c>
      <c r="G292" s="11"/>
    </row>
    <row r="293" spans="1:7" x14ac:dyDescent="0.25">
      <c r="A293" s="10" t="str">
        <f>Catalog!A293</f>
        <v/>
      </c>
      <c r="B293" s="10" t="str">
        <f>Catalog!C293</f>
        <v/>
      </c>
      <c r="C293" s="10">
        <f>Catalog!D293</f>
        <v>0</v>
      </c>
      <c r="D293" s="10">
        <f>Catalog!N293</f>
        <v>0</v>
      </c>
      <c r="E293" s="10">
        <f>Catalog!F293</f>
        <v>0</v>
      </c>
      <c r="F293" s="10" t="str">
        <f>IF(Catalog!W293="","",Catalog!W293&amp;" "&amp;Catalog!X293)</f>
        <v/>
      </c>
      <c r="G293" s="11"/>
    </row>
    <row r="294" spans="1:7" x14ac:dyDescent="0.25">
      <c r="A294" s="10" t="str">
        <f>Catalog!A294</f>
        <v/>
      </c>
      <c r="B294" s="10" t="str">
        <f>Catalog!C294</f>
        <v/>
      </c>
      <c r="C294" s="10">
        <f>Catalog!D294</f>
        <v>0</v>
      </c>
      <c r="D294" s="10">
        <f>Catalog!N294</f>
        <v>0</v>
      </c>
      <c r="E294" s="10">
        <f>Catalog!F294</f>
        <v>0</v>
      </c>
      <c r="F294" s="10" t="str">
        <f>IF(Catalog!W294="","",Catalog!W294&amp;" "&amp;Catalog!X294)</f>
        <v/>
      </c>
      <c r="G294" s="11"/>
    </row>
    <row r="295" spans="1:7" x14ac:dyDescent="0.25">
      <c r="A295" s="10" t="str">
        <f>Catalog!A295</f>
        <v/>
      </c>
      <c r="B295" s="10" t="str">
        <f>Catalog!C295</f>
        <v/>
      </c>
      <c r="C295" s="10">
        <f>Catalog!D295</f>
        <v>0</v>
      </c>
      <c r="D295" s="10">
        <f>Catalog!N295</f>
        <v>0</v>
      </c>
      <c r="E295" s="10">
        <f>Catalog!F295</f>
        <v>0</v>
      </c>
      <c r="F295" s="10" t="str">
        <f>IF(Catalog!W295="","",Catalog!W295&amp;" "&amp;Catalog!X295)</f>
        <v/>
      </c>
      <c r="G295" s="11"/>
    </row>
    <row r="296" spans="1:7" x14ac:dyDescent="0.25">
      <c r="A296" s="10" t="str">
        <f>Catalog!A296</f>
        <v/>
      </c>
      <c r="B296" s="10" t="str">
        <f>Catalog!C296</f>
        <v/>
      </c>
      <c r="C296" s="10">
        <f>Catalog!D296</f>
        <v>0</v>
      </c>
      <c r="D296" s="10">
        <f>Catalog!N296</f>
        <v>0</v>
      </c>
      <c r="E296" s="10">
        <f>Catalog!F296</f>
        <v>0</v>
      </c>
      <c r="F296" s="10" t="str">
        <f>IF(Catalog!W296="","",Catalog!W296&amp;" "&amp;Catalog!X296)</f>
        <v/>
      </c>
      <c r="G296" s="11"/>
    </row>
    <row r="297" spans="1:7" x14ac:dyDescent="0.25">
      <c r="A297" s="10" t="str">
        <f>Catalog!A297</f>
        <v/>
      </c>
      <c r="B297" s="10" t="str">
        <f>Catalog!C297</f>
        <v/>
      </c>
      <c r="C297" s="10">
        <f>Catalog!D297</f>
        <v>0</v>
      </c>
      <c r="D297" s="10">
        <f>Catalog!N297</f>
        <v>0</v>
      </c>
      <c r="E297" s="10">
        <f>Catalog!F297</f>
        <v>0</v>
      </c>
      <c r="F297" s="10" t="str">
        <f>IF(Catalog!W297="","",Catalog!W297&amp;" "&amp;Catalog!X297)</f>
        <v/>
      </c>
      <c r="G297" s="11"/>
    </row>
    <row r="298" spans="1:7" x14ac:dyDescent="0.25">
      <c r="A298" s="10" t="str">
        <f>Catalog!A298</f>
        <v/>
      </c>
      <c r="B298" s="10" t="str">
        <f>Catalog!C298</f>
        <v/>
      </c>
      <c r="C298" s="10">
        <f>Catalog!D298</f>
        <v>0</v>
      </c>
      <c r="D298" s="10">
        <f>Catalog!N298</f>
        <v>0</v>
      </c>
      <c r="E298" s="10">
        <f>Catalog!F298</f>
        <v>0</v>
      </c>
      <c r="F298" s="10" t="str">
        <f>IF(Catalog!W298="","",Catalog!W298&amp;" "&amp;Catalog!X298)</f>
        <v/>
      </c>
      <c r="G298" s="11"/>
    </row>
    <row r="299" spans="1:7" x14ac:dyDescent="0.25">
      <c r="A299" s="10" t="str">
        <f>Catalog!A299</f>
        <v/>
      </c>
      <c r="B299" s="10" t="str">
        <f>Catalog!C299</f>
        <v/>
      </c>
      <c r="C299" s="10">
        <f>Catalog!D299</f>
        <v>0</v>
      </c>
      <c r="D299" s="10">
        <f>Catalog!N299</f>
        <v>0</v>
      </c>
      <c r="E299" s="10">
        <f>Catalog!F299</f>
        <v>0</v>
      </c>
      <c r="F299" s="10" t="str">
        <f>IF(Catalog!W299="","",Catalog!W299&amp;" "&amp;Catalog!X299)</f>
        <v/>
      </c>
      <c r="G299" s="11"/>
    </row>
    <row r="300" spans="1:7" x14ac:dyDescent="0.25">
      <c r="A300" s="10" t="str">
        <f>Catalog!A300</f>
        <v/>
      </c>
      <c r="B300" s="10" t="str">
        <f>Catalog!C300</f>
        <v/>
      </c>
      <c r="C300" s="10">
        <f>Catalog!D300</f>
        <v>0</v>
      </c>
      <c r="D300" s="10">
        <f>Catalog!N300</f>
        <v>0</v>
      </c>
      <c r="E300" s="10">
        <f>Catalog!F300</f>
        <v>0</v>
      </c>
      <c r="F300" s="10" t="str">
        <f>IF(Catalog!W300="","",Catalog!W300&amp;" "&amp;Catalog!X300)</f>
        <v/>
      </c>
      <c r="G300" s="11"/>
    </row>
    <row r="301" spans="1:7" x14ac:dyDescent="0.25">
      <c r="A301" s="10" t="str">
        <f>Catalog!A301</f>
        <v/>
      </c>
      <c r="B301" s="10" t="str">
        <f>Catalog!C301</f>
        <v/>
      </c>
      <c r="C301" s="10">
        <f>Catalog!D301</f>
        <v>0</v>
      </c>
      <c r="D301" s="10">
        <f>Catalog!N301</f>
        <v>0</v>
      </c>
      <c r="E301" s="10">
        <f>Catalog!F301</f>
        <v>0</v>
      </c>
      <c r="F301" s="10" t="str">
        <f>IF(Catalog!W301="","",Catalog!W301&amp;" "&amp;Catalog!X301)</f>
        <v/>
      </c>
      <c r="G301" s="11"/>
    </row>
    <row r="302" spans="1:7" x14ac:dyDescent="0.25">
      <c r="A302" s="10" t="str">
        <f>Catalog!A302</f>
        <v/>
      </c>
      <c r="B302" s="10" t="str">
        <f>Catalog!C302</f>
        <v/>
      </c>
      <c r="C302" s="10">
        <f>Catalog!D302</f>
        <v>0</v>
      </c>
      <c r="D302" s="10">
        <f>Catalog!N302</f>
        <v>0</v>
      </c>
      <c r="E302" s="10">
        <f>Catalog!F302</f>
        <v>0</v>
      </c>
      <c r="F302" s="10" t="str">
        <f>IF(Catalog!W302="","",Catalog!W302&amp;" "&amp;Catalog!X302)</f>
        <v/>
      </c>
      <c r="G302" s="11"/>
    </row>
    <row r="303" spans="1:7" x14ac:dyDescent="0.25">
      <c r="A303" s="10" t="str">
        <f>Catalog!A303</f>
        <v/>
      </c>
      <c r="B303" s="10" t="str">
        <f>Catalog!C303</f>
        <v/>
      </c>
      <c r="C303" s="10">
        <f>Catalog!D303</f>
        <v>0</v>
      </c>
      <c r="D303" s="10">
        <f>Catalog!N303</f>
        <v>0</v>
      </c>
      <c r="E303" s="10">
        <f>Catalog!F303</f>
        <v>0</v>
      </c>
      <c r="F303" s="10" t="str">
        <f>IF(Catalog!W303="","",Catalog!W303&amp;" "&amp;Catalog!X303)</f>
        <v/>
      </c>
      <c r="G303" s="11"/>
    </row>
    <row r="304" spans="1:7" x14ac:dyDescent="0.25">
      <c r="A304" s="10" t="str">
        <f>Catalog!A304</f>
        <v/>
      </c>
      <c r="B304" s="10" t="str">
        <f>Catalog!C304</f>
        <v/>
      </c>
      <c r="C304" s="10">
        <f>Catalog!D304</f>
        <v>0</v>
      </c>
      <c r="D304" s="10">
        <f>Catalog!N304</f>
        <v>0</v>
      </c>
      <c r="E304" s="10">
        <f>Catalog!F304</f>
        <v>0</v>
      </c>
      <c r="F304" s="10" t="str">
        <f>IF(Catalog!W304="","",Catalog!W304&amp;" "&amp;Catalog!X304)</f>
        <v/>
      </c>
      <c r="G304" s="11"/>
    </row>
    <row r="305" spans="1:7" x14ac:dyDescent="0.25">
      <c r="A305" s="10" t="str">
        <f>Catalog!A305</f>
        <v/>
      </c>
      <c r="B305" s="10" t="str">
        <f>Catalog!C305</f>
        <v/>
      </c>
      <c r="C305" s="10">
        <f>Catalog!D305</f>
        <v>0</v>
      </c>
      <c r="D305" s="10">
        <f>Catalog!N305</f>
        <v>0</v>
      </c>
      <c r="E305" s="10">
        <f>Catalog!F305</f>
        <v>0</v>
      </c>
      <c r="F305" s="10" t="str">
        <f>IF(Catalog!W305="","",Catalog!W305&amp;" "&amp;Catalog!X305)</f>
        <v/>
      </c>
      <c r="G305" s="11"/>
    </row>
    <row r="306" spans="1:7" x14ac:dyDescent="0.25">
      <c r="A306" s="10" t="str">
        <f>Catalog!A306</f>
        <v/>
      </c>
      <c r="B306" s="10" t="str">
        <f>Catalog!C306</f>
        <v/>
      </c>
      <c r="C306" s="10">
        <f>Catalog!D306</f>
        <v>0</v>
      </c>
      <c r="D306" s="10">
        <f>Catalog!N306</f>
        <v>0</v>
      </c>
      <c r="E306" s="10">
        <f>Catalog!F306</f>
        <v>0</v>
      </c>
      <c r="F306" s="10" t="str">
        <f>IF(Catalog!W306="","",Catalog!W306&amp;" "&amp;Catalog!X306)</f>
        <v/>
      </c>
      <c r="G306" s="11"/>
    </row>
    <row r="307" spans="1:7" x14ac:dyDescent="0.25">
      <c r="A307" s="10" t="str">
        <f>Catalog!A307</f>
        <v/>
      </c>
      <c r="B307" s="10" t="str">
        <f>Catalog!C307</f>
        <v/>
      </c>
      <c r="C307" s="10">
        <f>Catalog!D307</f>
        <v>0</v>
      </c>
      <c r="D307" s="10">
        <f>Catalog!N307</f>
        <v>0</v>
      </c>
      <c r="E307" s="10">
        <f>Catalog!F307</f>
        <v>0</v>
      </c>
      <c r="F307" s="10" t="str">
        <f>IF(Catalog!W307="","",Catalog!W307&amp;" "&amp;Catalog!X307)</f>
        <v/>
      </c>
      <c r="G307" s="11"/>
    </row>
    <row r="308" spans="1:7" x14ac:dyDescent="0.25">
      <c r="A308" s="10" t="str">
        <f>Catalog!A308</f>
        <v/>
      </c>
      <c r="B308" s="10" t="str">
        <f>Catalog!C308</f>
        <v/>
      </c>
      <c r="C308" s="10">
        <f>Catalog!D308</f>
        <v>0</v>
      </c>
      <c r="D308" s="10">
        <f>Catalog!N308</f>
        <v>0</v>
      </c>
      <c r="E308" s="10">
        <f>Catalog!F308</f>
        <v>0</v>
      </c>
      <c r="F308" s="10" t="str">
        <f>IF(Catalog!W308="","",Catalog!W308&amp;" "&amp;Catalog!X308)</f>
        <v/>
      </c>
      <c r="G308" s="11"/>
    </row>
    <row r="309" spans="1:7" x14ac:dyDescent="0.25">
      <c r="A309" s="10" t="str">
        <f>Catalog!A309</f>
        <v/>
      </c>
      <c r="B309" s="10" t="str">
        <f>Catalog!C309</f>
        <v/>
      </c>
      <c r="C309" s="10">
        <f>Catalog!D309</f>
        <v>0</v>
      </c>
      <c r="D309" s="10">
        <f>Catalog!N309</f>
        <v>0</v>
      </c>
      <c r="E309" s="10">
        <f>Catalog!F309</f>
        <v>0</v>
      </c>
      <c r="F309" s="10" t="str">
        <f>IF(Catalog!W309="","",Catalog!W309&amp;" "&amp;Catalog!X309)</f>
        <v/>
      </c>
      <c r="G309" s="11"/>
    </row>
    <row r="310" spans="1:7" x14ac:dyDescent="0.25">
      <c r="A310" s="10" t="str">
        <f>Catalog!A310</f>
        <v/>
      </c>
      <c r="B310" s="10" t="str">
        <f>Catalog!C310</f>
        <v/>
      </c>
      <c r="C310" s="10">
        <f>Catalog!D310</f>
        <v>0</v>
      </c>
      <c r="D310" s="10">
        <f>Catalog!N310</f>
        <v>0</v>
      </c>
      <c r="E310" s="10">
        <f>Catalog!F310</f>
        <v>0</v>
      </c>
      <c r="F310" s="10" t="str">
        <f>IF(Catalog!W310="","",Catalog!W310&amp;" "&amp;Catalog!X310)</f>
        <v/>
      </c>
      <c r="G310" s="11"/>
    </row>
    <row r="311" spans="1:7" x14ac:dyDescent="0.25">
      <c r="A311" s="10" t="str">
        <f>Catalog!A311</f>
        <v/>
      </c>
      <c r="B311" s="10" t="str">
        <f>Catalog!C311</f>
        <v/>
      </c>
      <c r="C311" s="10">
        <f>Catalog!D311</f>
        <v>0</v>
      </c>
      <c r="D311" s="10">
        <f>Catalog!N311</f>
        <v>0</v>
      </c>
      <c r="E311" s="10">
        <f>Catalog!F311</f>
        <v>0</v>
      </c>
      <c r="F311" s="10" t="str">
        <f>IF(Catalog!W311="","",Catalog!W311&amp;" "&amp;Catalog!X311)</f>
        <v/>
      </c>
      <c r="G311" s="11"/>
    </row>
    <row r="312" spans="1:7" x14ac:dyDescent="0.25">
      <c r="A312" s="10" t="str">
        <f>Catalog!A312</f>
        <v/>
      </c>
      <c r="B312" s="10" t="str">
        <f>Catalog!C312</f>
        <v/>
      </c>
      <c r="C312" s="10">
        <f>Catalog!D312</f>
        <v>0</v>
      </c>
      <c r="D312" s="10">
        <f>Catalog!N312</f>
        <v>0</v>
      </c>
      <c r="E312" s="10">
        <f>Catalog!F312</f>
        <v>0</v>
      </c>
      <c r="F312" s="10" t="str">
        <f>IF(Catalog!W312="","",Catalog!W312&amp;" "&amp;Catalog!X312)</f>
        <v/>
      </c>
      <c r="G312" s="11"/>
    </row>
    <row r="313" spans="1:7" x14ac:dyDescent="0.25">
      <c r="A313" s="10" t="str">
        <f>Catalog!A313</f>
        <v/>
      </c>
      <c r="B313" s="10" t="str">
        <f>Catalog!C313</f>
        <v/>
      </c>
      <c r="C313" s="10">
        <f>Catalog!D313</f>
        <v>0</v>
      </c>
      <c r="D313" s="10">
        <f>Catalog!N313</f>
        <v>0</v>
      </c>
      <c r="E313" s="10">
        <f>Catalog!F313</f>
        <v>0</v>
      </c>
      <c r="F313" s="10" t="str">
        <f>IF(Catalog!W313="","",Catalog!W313&amp;" "&amp;Catalog!X313)</f>
        <v/>
      </c>
      <c r="G313" s="11"/>
    </row>
    <row r="314" spans="1:7" x14ac:dyDescent="0.25">
      <c r="A314" s="10" t="str">
        <f>Catalog!A314</f>
        <v/>
      </c>
      <c r="B314" s="10" t="str">
        <f>Catalog!C314</f>
        <v/>
      </c>
      <c r="C314" s="10">
        <f>Catalog!D314</f>
        <v>0</v>
      </c>
      <c r="D314" s="10">
        <f>Catalog!N314</f>
        <v>0</v>
      </c>
      <c r="E314" s="10">
        <f>Catalog!F314</f>
        <v>0</v>
      </c>
      <c r="F314" s="10" t="str">
        <f>IF(Catalog!W314="","",Catalog!W314&amp;" "&amp;Catalog!X314)</f>
        <v/>
      </c>
      <c r="G314" s="11"/>
    </row>
    <row r="315" spans="1:7" x14ac:dyDescent="0.25">
      <c r="A315" s="10" t="str">
        <f>Catalog!A315</f>
        <v/>
      </c>
      <c r="B315" s="10" t="str">
        <f>Catalog!C315</f>
        <v/>
      </c>
      <c r="C315" s="10">
        <f>Catalog!D315</f>
        <v>0</v>
      </c>
      <c r="D315" s="10">
        <f>Catalog!N315</f>
        <v>0</v>
      </c>
      <c r="E315" s="10">
        <f>Catalog!F315</f>
        <v>0</v>
      </c>
      <c r="F315" s="10" t="str">
        <f>IF(Catalog!W315="","",Catalog!W315&amp;" "&amp;Catalog!X315)</f>
        <v/>
      </c>
      <c r="G315" s="11"/>
    </row>
    <row r="316" spans="1:7" x14ac:dyDescent="0.25">
      <c r="A316" s="10" t="str">
        <f>Catalog!A316</f>
        <v/>
      </c>
      <c r="B316" s="10" t="str">
        <f>Catalog!C316</f>
        <v/>
      </c>
      <c r="C316" s="10">
        <f>Catalog!D316</f>
        <v>0</v>
      </c>
      <c r="D316" s="10">
        <f>Catalog!N316</f>
        <v>0</v>
      </c>
      <c r="E316" s="10">
        <f>Catalog!F316</f>
        <v>0</v>
      </c>
      <c r="F316" s="10" t="str">
        <f>IF(Catalog!W316="","",Catalog!W316&amp;" "&amp;Catalog!X316)</f>
        <v/>
      </c>
      <c r="G316" s="11"/>
    </row>
    <row r="317" spans="1:7" x14ac:dyDescent="0.25">
      <c r="A317" s="10" t="str">
        <f>Catalog!A317</f>
        <v/>
      </c>
      <c r="B317" s="10" t="str">
        <f>Catalog!C317</f>
        <v/>
      </c>
      <c r="C317" s="10">
        <f>Catalog!D317</f>
        <v>0</v>
      </c>
      <c r="D317" s="10">
        <f>Catalog!N317</f>
        <v>0</v>
      </c>
      <c r="E317" s="10">
        <f>Catalog!F317</f>
        <v>0</v>
      </c>
      <c r="F317" s="10" t="str">
        <f>IF(Catalog!W317="","",Catalog!W317&amp;" "&amp;Catalog!X317)</f>
        <v/>
      </c>
      <c r="G317" s="11"/>
    </row>
    <row r="318" spans="1:7" x14ac:dyDescent="0.25">
      <c r="A318" s="10" t="str">
        <f>Catalog!A318</f>
        <v/>
      </c>
      <c r="B318" s="10" t="str">
        <f>Catalog!C318</f>
        <v/>
      </c>
      <c r="C318" s="10">
        <f>Catalog!D318</f>
        <v>0</v>
      </c>
      <c r="D318" s="10">
        <f>Catalog!N318</f>
        <v>0</v>
      </c>
      <c r="E318" s="10">
        <f>Catalog!F318</f>
        <v>0</v>
      </c>
      <c r="F318" s="10" t="str">
        <f>IF(Catalog!W318="","",Catalog!W318&amp;" "&amp;Catalog!X318)</f>
        <v/>
      </c>
      <c r="G318" s="11"/>
    </row>
    <row r="319" spans="1:7" x14ac:dyDescent="0.25">
      <c r="A319" s="10" t="str">
        <f>Catalog!A319</f>
        <v/>
      </c>
      <c r="B319" s="10" t="str">
        <f>Catalog!C319</f>
        <v/>
      </c>
      <c r="C319" s="10">
        <f>Catalog!D319</f>
        <v>0</v>
      </c>
      <c r="D319" s="10">
        <f>Catalog!N319</f>
        <v>0</v>
      </c>
      <c r="E319" s="10">
        <f>Catalog!F319</f>
        <v>0</v>
      </c>
      <c r="F319" s="10" t="str">
        <f>IF(Catalog!W319="","",Catalog!W319&amp;" "&amp;Catalog!X319)</f>
        <v/>
      </c>
      <c r="G319" s="11"/>
    </row>
    <row r="320" spans="1:7" x14ac:dyDescent="0.25">
      <c r="A320" s="10" t="str">
        <f>Catalog!A320</f>
        <v/>
      </c>
      <c r="B320" s="10" t="str">
        <f>Catalog!C320</f>
        <v/>
      </c>
      <c r="C320" s="10">
        <f>Catalog!D320</f>
        <v>0</v>
      </c>
      <c r="D320" s="10">
        <f>Catalog!N320</f>
        <v>0</v>
      </c>
      <c r="E320" s="10">
        <f>Catalog!F320</f>
        <v>0</v>
      </c>
      <c r="F320" s="10" t="str">
        <f>IF(Catalog!W320="","",Catalog!W320&amp;" "&amp;Catalog!X320)</f>
        <v/>
      </c>
      <c r="G320" s="11"/>
    </row>
    <row r="321" spans="1:7" x14ac:dyDescent="0.25">
      <c r="A321" s="10" t="str">
        <f>Catalog!A321</f>
        <v/>
      </c>
      <c r="B321" s="10" t="str">
        <f>Catalog!C321</f>
        <v/>
      </c>
      <c r="C321" s="10">
        <f>Catalog!D321</f>
        <v>0</v>
      </c>
      <c r="D321" s="10">
        <f>Catalog!N321</f>
        <v>0</v>
      </c>
      <c r="E321" s="10">
        <f>Catalog!F321</f>
        <v>0</v>
      </c>
      <c r="F321" s="10" t="str">
        <f>IF(Catalog!W321="","",Catalog!W321&amp;" "&amp;Catalog!X321)</f>
        <v/>
      </c>
      <c r="G321" s="11"/>
    </row>
    <row r="322" spans="1:7" x14ac:dyDescent="0.25">
      <c r="A322" s="10" t="str">
        <f>Catalog!A322</f>
        <v/>
      </c>
      <c r="B322" s="10" t="str">
        <f>Catalog!C322</f>
        <v/>
      </c>
      <c r="C322" s="10">
        <f>Catalog!D322</f>
        <v>0</v>
      </c>
      <c r="D322" s="10">
        <f>Catalog!N322</f>
        <v>0</v>
      </c>
      <c r="E322" s="10">
        <f>Catalog!F322</f>
        <v>0</v>
      </c>
      <c r="F322" s="10" t="str">
        <f>IF(Catalog!W322="","",Catalog!W322&amp;" "&amp;Catalog!X322)</f>
        <v/>
      </c>
      <c r="G322" s="11"/>
    </row>
    <row r="323" spans="1:7" x14ac:dyDescent="0.25">
      <c r="A323" s="10" t="str">
        <f>Catalog!A323</f>
        <v/>
      </c>
      <c r="B323" s="10" t="str">
        <f>Catalog!C323</f>
        <v/>
      </c>
      <c r="C323" s="10">
        <f>Catalog!D323</f>
        <v>0</v>
      </c>
      <c r="D323" s="10">
        <f>Catalog!N323</f>
        <v>0</v>
      </c>
      <c r="E323" s="10">
        <f>Catalog!F323</f>
        <v>0</v>
      </c>
      <c r="F323" s="10" t="str">
        <f>IF(Catalog!W323="","",Catalog!W323&amp;" "&amp;Catalog!X323)</f>
        <v/>
      </c>
      <c r="G323" s="11"/>
    </row>
    <row r="324" spans="1:7" x14ac:dyDescent="0.25">
      <c r="A324" s="10" t="str">
        <f>Catalog!A324</f>
        <v/>
      </c>
      <c r="B324" s="10" t="str">
        <f>Catalog!C324</f>
        <v/>
      </c>
      <c r="C324" s="10">
        <f>Catalog!D324</f>
        <v>0</v>
      </c>
      <c r="D324" s="10">
        <f>Catalog!N324</f>
        <v>0</v>
      </c>
      <c r="E324" s="10">
        <f>Catalog!F324</f>
        <v>0</v>
      </c>
      <c r="F324" s="10" t="str">
        <f>IF(Catalog!W324="","",Catalog!W324&amp;" "&amp;Catalog!X324)</f>
        <v/>
      </c>
      <c r="G324" s="11"/>
    </row>
    <row r="325" spans="1:7" x14ac:dyDescent="0.25">
      <c r="A325" s="10" t="str">
        <f>Catalog!A325</f>
        <v/>
      </c>
      <c r="B325" s="10" t="str">
        <f>Catalog!C325</f>
        <v/>
      </c>
      <c r="C325" s="10">
        <f>Catalog!D325</f>
        <v>0</v>
      </c>
      <c r="D325" s="10">
        <f>Catalog!N325</f>
        <v>0</v>
      </c>
      <c r="E325" s="10">
        <f>Catalog!F325</f>
        <v>0</v>
      </c>
      <c r="F325" s="10" t="str">
        <f>IF(Catalog!W325="","",Catalog!W325&amp;" "&amp;Catalog!X325)</f>
        <v/>
      </c>
      <c r="G325" s="11"/>
    </row>
    <row r="326" spans="1:7" x14ac:dyDescent="0.25">
      <c r="A326" s="10" t="str">
        <f>Catalog!A326</f>
        <v/>
      </c>
      <c r="B326" s="10" t="str">
        <f>Catalog!C326</f>
        <v/>
      </c>
      <c r="C326" s="10">
        <f>Catalog!D326</f>
        <v>0</v>
      </c>
      <c r="D326" s="10">
        <f>Catalog!N326</f>
        <v>0</v>
      </c>
      <c r="E326" s="10">
        <f>Catalog!F326</f>
        <v>0</v>
      </c>
      <c r="F326" s="10" t="str">
        <f>IF(Catalog!W326="","",Catalog!W326&amp;" "&amp;Catalog!X326)</f>
        <v/>
      </c>
      <c r="G326" s="11"/>
    </row>
    <row r="327" spans="1:7" x14ac:dyDescent="0.25">
      <c r="A327" s="10" t="str">
        <f>Catalog!A327</f>
        <v/>
      </c>
      <c r="B327" s="10" t="str">
        <f>Catalog!C327</f>
        <v/>
      </c>
      <c r="C327" s="10">
        <f>Catalog!D327</f>
        <v>0</v>
      </c>
      <c r="D327" s="10">
        <f>Catalog!N327</f>
        <v>0</v>
      </c>
      <c r="E327" s="10">
        <f>Catalog!F327</f>
        <v>0</v>
      </c>
      <c r="F327" s="10" t="str">
        <f>IF(Catalog!W327="","",Catalog!W327&amp;" "&amp;Catalog!X327)</f>
        <v/>
      </c>
      <c r="G327" s="11"/>
    </row>
    <row r="328" spans="1:7" x14ac:dyDescent="0.25">
      <c r="A328" s="10" t="str">
        <f>Catalog!A328</f>
        <v/>
      </c>
      <c r="B328" s="10" t="str">
        <f>Catalog!C328</f>
        <v/>
      </c>
      <c r="C328" s="10">
        <f>Catalog!D328</f>
        <v>0</v>
      </c>
      <c r="D328" s="10">
        <f>Catalog!N328</f>
        <v>0</v>
      </c>
      <c r="E328" s="10">
        <f>Catalog!F328</f>
        <v>0</v>
      </c>
      <c r="F328" s="10" t="str">
        <f>IF(Catalog!W328="","",Catalog!W328&amp;" "&amp;Catalog!X328)</f>
        <v/>
      </c>
      <c r="G328" s="11"/>
    </row>
    <row r="329" spans="1:7" x14ac:dyDescent="0.25">
      <c r="A329" s="10" t="str">
        <f>Catalog!A329</f>
        <v/>
      </c>
      <c r="B329" s="10" t="str">
        <f>Catalog!C329</f>
        <v/>
      </c>
      <c r="C329" s="10">
        <f>Catalog!D329</f>
        <v>0</v>
      </c>
      <c r="D329" s="10">
        <f>Catalog!N329</f>
        <v>0</v>
      </c>
      <c r="E329" s="10">
        <f>Catalog!F329</f>
        <v>0</v>
      </c>
      <c r="F329" s="10" t="str">
        <f>IF(Catalog!W329="","",Catalog!W329&amp;" "&amp;Catalog!X329)</f>
        <v/>
      </c>
      <c r="G329" s="11"/>
    </row>
    <row r="330" spans="1:7" x14ac:dyDescent="0.25">
      <c r="A330" s="10" t="str">
        <f>Catalog!A330</f>
        <v/>
      </c>
      <c r="B330" s="10" t="str">
        <f>Catalog!C330</f>
        <v/>
      </c>
      <c r="C330" s="10">
        <f>Catalog!D330</f>
        <v>0</v>
      </c>
      <c r="D330" s="10">
        <f>Catalog!N330</f>
        <v>0</v>
      </c>
      <c r="E330" s="10">
        <f>Catalog!F330</f>
        <v>0</v>
      </c>
      <c r="F330" s="10" t="str">
        <f>IF(Catalog!W330="","",Catalog!W330&amp;" "&amp;Catalog!X330)</f>
        <v/>
      </c>
      <c r="G330" s="11"/>
    </row>
    <row r="331" spans="1:7" x14ac:dyDescent="0.25">
      <c r="A331" s="10" t="str">
        <f>Catalog!A331</f>
        <v/>
      </c>
      <c r="B331" s="10" t="str">
        <f>Catalog!C331</f>
        <v/>
      </c>
      <c r="C331" s="10">
        <f>Catalog!D331</f>
        <v>0</v>
      </c>
      <c r="D331" s="10">
        <f>Catalog!N331</f>
        <v>0</v>
      </c>
      <c r="E331" s="10">
        <f>Catalog!F331</f>
        <v>0</v>
      </c>
      <c r="F331" s="10" t="str">
        <f>IF(Catalog!W331="","",Catalog!W331&amp;" "&amp;Catalog!X331)</f>
        <v/>
      </c>
      <c r="G331" s="11"/>
    </row>
    <row r="332" spans="1:7" x14ac:dyDescent="0.25">
      <c r="A332" s="10" t="str">
        <f>Catalog!A332</f>
        <v/>
      </c>
      <c r="B332" s="10" t="str">
        <f>Catalog!C332</f>
        <v/>
      </c>
      <c r="C332" s="10">
        <f>Catalog!D332</f>
        <v>0</v>
      </c>
      <c r="D332" s="10">
        <f>Catalog!N332</f>
        <v>0</v>
      </c>
      <c r="E332" s="10">
        <f>Catalog!F332</f>
        <v>0</v>
      </c>
      <c r="F332" s="10" t="str">
        <f>IF(Catalog!W332="","",Catalog!W332&amp;" "&amp;Catalog!X332)</f>
        <v/>
      </c>
      <c r="G332" s="11"/>
    </row>
    <row r="333" spans="1:7" x14ac:dyDescent="0.25">
      <c r="A333" s="10" t="str">
        <f>Catalog!A333</f>
        <v/>
      </c>
      <c r="B333" s="10" t="str">
        <f>Catalog!C333</f>
        <v/>
      </c>
      <c r="C333" s="10">
        <f>Catalog!D333</f>
        <v>0</v>
      </c>
      <c r="D333" s="10">
        <f>Catalog!N333</f>
        <v>0</v>
      </c>
      <c r="E333" s="10">
        <f>Catalog!F333</f>
        <v>0</v>
      </c>
      <c r="F333" s="10" t="str">
        <f>IF(Catalog!W333="","",Catalog!W333&amp;" "&amp;Catalog!X333)</f>
        <v/>
      </c>
      <c r="G333" s="11"/>
    </row>
    <row r="334" spans="1:7" x14ac:dyDescent="0.25">
      <c r="A334" s="10" t="str">
        <f>Catalog!A334</f>
        <v/>
      </c>
      <c r="B334" s="10" t="str">
        <f>Catalog!C334</f>
        <v/>
      </c>
      <c r="C334" s="10">
        <f>Catalog!D334</f>
        <v>0</v>
      </c>
      <c r="D334" s="10">
        <f>Catalog!N334</f>
        <v>0</v>
      </c>
      <c r="E334" s="10">
        <f>Catalog!F334</f>
        <v>0</v>
      </c>
      <c r="F334" s="10" t="str">
        <f>IF(Catalog!W334="","",Catalog!W334&amp;" "&amp;Catalog!X334)</f>
        <v/>
      </c>
      <c r="G334" s="11"/>
    </row>
    <row r="335" spans="1:7" x14ac:dyDescent="0.25">
      <c r="A335" s="10" t="str">
        <f>Catalog!A335</f>
        <v/>
      </c>
      <c r="B335" s="10" t="str">
        <f>Catalog!C335</f>
        <v/>
      </c>
      <c r="C335" s="10">
        <f>Catalog!D335</f>
        <v>0</v>
      </c>
      <c r="D335" s="10">
        <f>Catalog!N335</f>
        <v>0</v>
      </c>
      <c r="E335" s="10">
        <f>Catalog!F335</f>
        <v>0</v>
      </c>
      <c r="F335" s="10" t="str">
        <f>IF(Catalog!W335="","",Catalog!W335&amp;" "&amp;Catalog!X335)</f>
        <v/>
      </c>
      <c r="G335" s="11"/>
    </row>
    <row r="336" spans="1:7" x14ac:dyDescent="0.25">
      <c r="A336" s="10" t="str">
        <f>Catalog!A336</f>
        <v/>
      </c>
      <c r="B336" s="10" t="str">
        <f>Catalog!C336</f>
        <v/>
      </c>
      <c r="C336" s="10">
        <f>Catalog!D336</f>
        <v>0</v>
      </c>
      <c r="D336" s="10">
        <f>Catalog!N336</f>
        <v>0</v>
      </c>
      <c r="E336" s="10">
        <f>Catalog!F336</f>
        <v>0</v>
      </c>
      <c r="F336" s="10" t="str">
        <f>IF(Catalog!W336="","",Catalog!W336&amp;" "&amp;Catalog!X336)</f>
        <v/>
      </c>
      <c r="G336" s="11"/>
    </row>
    <row r="337" spans="1:7" x14ac:dyDescent="0.25">
      <c r="A337" s="10" t="str">
        <f>Catalog!A337</f>
        <v/>
      </c>
      <c r="B337" s="10" t="str">
        <f>Catalog!C337</f>
        <v/>
      </c>
      <c r="C337" s="10">
        <f>Catalog!D337</f>
        <v>0</v>
      </c>
      <c r="D337" s="10">
        <f>Catalog!N337</f>
        <v>0</v>
      </c>
      <c r="E337" s="10">
        <f>Catalog!F337</f>
        <v>0</v>
      </c>
      <c r="F337" s="10" t="str">
        <f>IF(Catalog!W337="","",Catalog!W337&amp;" "&amp;Catalog!X337)</f>
        <v/>
      </c>
      <c r="G337" s="11"/>
    </row>
    <row r="338" spans="1:7" x14ac:dyDescent="0.25">
      <c r="A338" s="10" t="str">
        <f>Catalog!A338</f>
        <v/>
      </c>
      <c r="B338" s="10" t="str">
        <f>Catalog!C338</f>
        <v/>
      </c>
      <c r="C338" s="10">
        <f>Catalog!D338</f>
        <v>0</v>
      </c>
      <c r="D338" s="10">
        <f>Catalog!N338</f>
        <v>0</v>
      </c>
      <c r="E338" s="10">
        <f>Catalog!F338</f>
        <v>0</v>
      </c>
      <c r="F338" s="10" t="str">
        <f>IF(Catalog!W338="","",Catalog!W338&amp;" "&amp;Catalog!X338)</f>
        <v/>
      </c>
      <c r="G338" s="11"/>
    </row>
    <row r="339" spans="1:7" x14ac:dyDescent="0.25">
      <c r="A339" s="10" t="str">
        <f>Catalog!A339</f>
        <v/>
      </c>
      <c r="B339" s="10" t="str">
        <f>Catalog!C339</f>
        <v/>
      </c>
      <c r="C339" s="10">
        <f>Catalog!D339</f>
        <v>0</v>
      </c>
      <c r="D339" s="10">
        <f>Catalog!N339</f>
        <v>0</v>
      </c>
      <c r="E339" s="10">
        <f>Catalog!F339</f>
        <v>0</v>
      </c>
      <c r="F339" s="10" t="str">
        <f>IF(Catalog!W339="","",Catalog!W339&amp;" "&amp;Catalog!X339)</f>
        <v/>
      </c>
      <c r="G339" s="11"/>
    </row>
    <row r="340" spans="1:7" x14ac:dyDescent="0.25">
      <c r="A340" s="10" t="str">
        <f>Catalog!A340</f>
        <v/>
      </c>
      <c r="B340" s="10" t="str">
        <f>Catalog!C340</f>
        <v/>
      </c>
      <c r="C340" s="10">
        <f>Catalog!D340</f>
        <v>0</v>
      </c>
      <c r="D340" s="10">
        <f>Catalog!N340</f>
        <v>0</v>
      </c>
      <c r="E340" s="10">
        <f>Catalog!F340</f>
        <v>0</v>
      </c>
      <c r="F340" s="10" t="str">
        <f>IF(Catalog!W340="","",Catalog!W340&amp;" "&amp;Catalog!X340)</f>
        <v/>
      </c>
      <c r="G340" s="11"/>
    </row>
    <row r="341" spans="1:7" x14ac:dyDescent="0.25">
      <c r="A341" s="10" t="str">
        <f>Catalog!A341</f>
        <v/>
      </c>
      <c r="B341" s="10" t="str">
        <f>Catalog!C341</f>
        <v/>
      </c>
      <c r="C341" s="10">
        <f>Catalog!D341</f>
        <v>0</v>
      </c>
      <c r="D341" s="10">
        <f>Catalog!N341</f>
        <v>0</v>
      </c>
      <c r="E341" s="10">
        <f>Catalog!F341</f>
        <v>0</v>
      </c>
      <c r="F341" s="10" t="str">
        <f>IF(Catalog!W341="","",Catalog!W341&amp;" "&amp;Catalog!X341)</f>
        <v/>
      </c>
      <c r="G341" s="11"/>
    </row>
    <row r="342" spans="1:7" x14ac:dyDescent="0.25">
      <c r="A342" s="10" t="str">
        <f>Catalog!A342</f>
        <v/>
      </c>
      <c r="B342" s="10" t="str">
        <f>Catalog!C342</f>
        <v/>
      </c>
      <c r="C342" s="10">
        <f>Catalog!D342</f>
        <v>0</v>
      </c>
      <c r="D342" s="10">
        <f>Catalog!N342</f>
        <v>0</v>
      </c>
      <c r="E342" s="10">
        <f>Catalog!F342</f>
        <v>0</v>
      </c>
      <c r="F342" s="10" t="str">
        <f>IF(Catalog!W342="","",Catalog!W342&amp;" "&amp;Catalog!X342)</f>
        <v/>
      </c>
      <c r="G342" s="11"/>
    </row>
    <row r="343" spans="1:7" x14ac:dyDescent="0.25">
      <c r="A343" s="10" t="str">
        <f>Catalog!A343</f>
        <v/>
      </c>
      <c r="B343" s="10" t="str">
        <f>Catalog!C343</f>
        <v/>
      </c>
      <c r="C343" s="10">
        <f>Catalog!D343</f>
        <v>0</v>
      </c>
      <c r="D343" s="10">
        <f>Catalog!N343</f>
        <v>0</v>
      </c>
      <c r="E343" s="10">
        <f>Catalog!F343</f>
        <v>0</v>
      </c>
      <c r="F343" s="10" t="str">
        <f>IF(Catalog!W343="","",Catalog!W343&amp;" "&amp;Catalog!X343)</f>
        <v/>
      </c>
      <c r="G343" s="11"/>
    </row>
    <row r="344" spans="1:7" x14ac:dyDescent="0.25">
      <c r="A344" s="10" t="str">
        <f>Catalog!A344</f>
        <v/>
      </c>
      <c r="B344" s="10" t="str">
        <f>Catalog!C344</f>
        <v/>
      </c>
      <c r="C344" s="10">
        <f>Catalog!D344</f>
        <v>0</v>
      </c>
      <c r="D344" s="10">
        <f>Catalog!N344</f>
        <v>0</v>
      </c>
      <c r="E344" s="10">
        <f>Catalog!F344</f>
        <v>0</v>
      </c>
      <c r="F344" s="10" t="str">
        <f>IF(Catalog!W344="","",Catalog!W344&amp;" "&amp;Catalog!X344)</f>
        <v/>
      </c>
      <c r="G344" s="11"/>
    </row>
    <row r="345" spans="1:7" x14ac:dyDescent="0.25">
      <c r="A345" s="10" t="str">
        <f>Catalog!A345</f>
        <v/>
      </c>
      <c r="B345" s="10" t="str">
        <f>Catalog!C345</f>
        <v/>
      </c>
      <c r="C345" s="10">
        <f>Catalog!D345</f>
        <v>0</v>
      </c>
      <c r="D345" s="10">
        <f>Catalog!N345</f>
        <v>0</v>
      </c>
      <c r="E345" s="10">
        <f>Catalog!F345</f>
        <v>0</v>
      </c>
      <c r="F345" s="10" t="str">
        <f>IF(Catalog!W345="","",Catalog!W345&amp;" "&amp;Catalog!X345)</f>
        <v/>
      </c>
      <c r="G345" s="11"/>
    </row>
    <row r="346" spans="1:7" x14ac:dyDescent="0.25">
      <c r="A346" s="10" t="str">
        <f>Catalog!A346</f>
        <v/>
      </c>
      <c r="B346" s="10" t="str">
        <f>Catalog!C346</f>
        <v/>
      </c>
      <c r="C346" s="10">
        <f>Catalog!D346</f>
        <v>0</v>
      </c>
      <c r="D346" s="10">
        <f>Catalog!N346</f>
        <v>0</v>
      </c>
      <c r="E346" s="10">
        <f>Catalog!F346</f>
        <v>0</v>
      </c>
      <c r="F346" s="10" t="str">
        <f>IF(Catalog!W346="","",Catalog!W346&amp;" "&amp;Catalog!X346)</f>
        <v/>
      </c>
      <c r="G346" s="11"/>
    </row>
    <row r="347" spans="1:7" x14ac:dyDescent="0.25">
      <c r="A347" s="10" t="str">
        <f>Catalog!A347</f>
        <v/>
      </c>
      <c r="B347" s="10" t="str">
        <f>Catalog!C347</f>
        <v/>
      </c>
      <c r="C347" s="10">
        <f>Catalog!D347</f>
        <v>0</v>
      </c>
      <c r="D347" s="10">
        <f>Catalog!N347</f>
        <v>0</v>
      </c>
      <c r="E347" s="10">
        <f>Catalog!F347</f>
        <v>0</v>
      </c>
      <c r="F347" s="10" t="str">
        <f>IF(Catalog!W347="","",Catalog!W347&amp;" "&amp;Catalog!X347)</f>
        <v/>
      </c>
      <c r="G347" s="11"/>
    </row>
    <row r="348" spans="1:7" x14ac:dyDescent="0.25">
      <c r="A348" s="10" t="str">
        <f>Catalog!A348</f>
        <v/>
      </c>
      <c r="B348" s="10" t="str">
        <f>Catalog!C348</f>
        <v/>
      </c>
      <c r="C348" s="10">
        <f>Catalog!D348</f>
        <v>0</v>
      </c>
      <c r="D348" s="10">
        <f>Catalog!N348</f>
        <v>0</v>
      </c>
      <c r="E348" s="10">
        <f>Catalog!F348</f>
        <v>0</v>
      </c>
      <c r="F348" s="10" t="str">
        <f>IF(Catalog!W348="","",Catalog!W348&amp;" "&amp;Catalog!X348)</f>
        <v/>
      </c>
      <c r="G348" s="11"/>
    </row>
    <row r="349" spans="1:7" x14ac:dyDescent="0.25">
      <c r="A349" s="10" t="str">
        <f>Catalog!A349</f>
        <v/>
      </c>
      <c r="B349" s="10" t="str">
        <f>Catalog!C349</f>
        <v/>
      </c>
      <c r="C349" s="10">
        <f>Catalog!D349</f>
        <v>0</v>
      </c>
      <c r="D349" s="10">
        <f>Catalog!N349</f>
        <v>0</v>
      </c>
      <c r="E349" s="10">
        <f>Catalog!F349</f>
        <v>0</v>
      </c>
      <c r="F349" s="10" t="str">
        <f>IF(Catalog!W349="","",Catalog!W349&amp;" "&amp;Catalog!X349)</f>
        <v/>
      </c>
      <c r="G349" s="11"/>
    </row>
    <row r="350" spans="1:7" x14ac:dyDescent="0.25">
      <c r="A350" s="10" t="str">
        <f>Catalog!A350</f>
        <v/>
      </c>
      <c r="B350" s="10" t="str">
        <f>Catalog!C350</f>
        <v/>
      </c>
      <c r="C350" s="10">
        <f>Catalog!D350</f>
        <v>0</v>
      </c>
      <c r="D350" s="10">
        <f>Catalog!N350</f>
        <v>0</v>
      </c>
      <c r="E350" s="10">
        <f>Catalog!F350</f>
        <v>0</v>
      </c>
      <c r="F350" s="10" t="str">
        <f>IF(Catalog!W350="","",Catalog!W350&amp;" "&amp;Catalog!X350)</f>
        <v/>
      </c>
      <c r="G350" s="11"/>
    </row>
    <row r="351" spans="1:7" x14ac:dyDescent="0.25">
      <c r="A351" s="10" t="str">
        <f>Catalog!A351</f>
        <v/>
      </c>
      <c r="B351" s="10" t="str">
        <f>Catalog!C351</f>
        <v/>
      </c>
      <c r="C351" s="10">
        <f>Catalog!D351</f>
        <v>0</v>
      </c>
      <c r="D351" s="10">
        <f>Catalog!N351</f>
        <v>0</v>
      </c>
      <c r="E351" s="10">
        <f>Catalog!F351</f>
        <v>0</v>
      </c>
      <c r="F351" s="10" t="str">
        <f>IF(Catalog!W351="","",Catalog!W351&amp;" "&amp;Catalog!X351)</f>
        <v/>
      </c>
      <c r="G351" s="11"/>
    </row>
    <row r="352" spans="1:7" x14ac:dyDescent="0.25">
      <c r="A352" s="10" t="str">
        <f>Catalog!A352</f>
        <v/>
      </c>
      <c r="B352" s="10" t="str">
        <f>Catalog!C352</f>
        <v/>
      </c>
      <c r="C352" s="10">
        <f>Catalog!D352</f>
        <v>0</v>
      </c>
      <c r="D352" s="10">
        <f>Catalog!N352</f>
        <v>0</v>
      </c>
      <c r="E352" s="10">
        <f>Catalog!F352</f>
        <v>0</v>
      </c>
      <c r="F352" s="10" t="str">
        <f>IF(Catalog!W352="","",Catalog!W352&amp;" "&amp;Catalog!X352)</f>
        <v/>
      </c>
      <c r="G352" s="11"/>
    </row>
    <row r="353" spans="1:7" x14ac:dyDescent="0.25">
      <c r="A353" s="10" t="str">
        <f>Catalog!A353</f>
        <v/>
      </c>
      <c r="B353" s="10" t="str">
        <f>Catalog!C353</f>
        <v/>
      </c>
      <c r="C353" s="10">
        <f>Catalog!D353</f>
        <v>0</v>
      </c>
      <c r="D353" s="10">
        <f>Catalog!N353</f>
        <v>0</v>
      </c>
      <c r="E353" s="10">
        <f>Catalog!F353</f>
        <v>0</v>
      </c>
      <c r="F353" s="10" t="str">
        <f>IF(Catalog!W353="","",Catalog!W353&amp;" "&amp;Catalog!X353)</f>
        <v/>
      </c>
      <c r="G353" s="11"/>
    </row>
    <row r="354" spans="1:7" x14ac:dyDescent="0.25">
      <c r="A354" s="10" t="str">
        <f>Catalog!A354</f>
        <v/>
      </c>
      <c r="B354" s="10" t="str">
        <f>Catalog!C354</f>
        <v/>
      </c>
      <c r="C354" s="10">
        <f>Catalog!D354</f>
        <v>0</v>
      </c>
      <c r="D354" s="10">
        <f>Catalog!N354</f>
        <v>0</v>
      </c>
      <c r="E354" s="10">
        <f>Catalog!F354</f>
        <v>0</v>
      </c>
      <c r="F354" s="10" t="str">
        <f>IF(Catalog!W354="","",Catalog!W354&amp;" "&amp;Catalog!X354)</f>
        <v/>
      </c>
      <c r="G354" s="11"/>
    </row>
    <row r="355" spans="1:7" x14ac:dyDescent="0.25">
      <c r="A355" s="10" t="str">
        <f>Catalog!A355</f>
        <v/>
      </c>
      <c r="B355" s="10" t="str">
        <f>Catalog!C355</f>
        <v/>
      </c>
      <c r="C355" s="10">
        <f>Catalog!D355</f>
        <v>0</v>
      </c>
      <c r="D355" s="10">
        <f>Catalog!N355</f>
        <v>0</v>
      </c>
      <c r="E355" s="10">
        <f>Catalog!F355</f>
        <v>0</v>
      </c>
      <c r="F355" s="10" t="str">
        <f>IF(Catalog!W355="","",Catalog!W355&amp;" "&amp;Catalog!X355)</f>
        <v/>
      </c>
      <c r="G355" s="11"/>
    </row>
    <row r="356" spans="1:7" x14ac:dyDescent="0.25">
      <c r="A356" s="10" t="str">
        <f>Catalog!A356</f>
        <v/>
      </c>
      <c r="B356" s="10" t="str">
        <f>Catalog!C356</f>
        <v/>
      </c>
      <c r="C356" s="10">
        <f>Catalog!D356</f>
        <v>0</v>
      </c>
      <c r="D356" s="10">
        <f>Catalog!N356</f>
        <v>0</v>
      </c>
      <c r="E356" s="10">
        <f>Catalog!F356</f>
        <v>0</v>
      </c>
      <c r="F356" s="10" t="str">
        <f>IF(Catalog!W356="","",Catalog!W356&amp;" "&amp;Catalog!X356)</f>
        <v/>
      </c>
      <c r="G356" s="11"/>
    </row>
    <row r="357" spans="1:7" x14ac:dyDescent="0.25">
      <c r="A357" s="10" t="str">
        <f>Catalog!A357</f>
        <v/>
      </c>
      <c r="B357" s="10" t="str">
        <f>Catalog!C357</f>
        <v/>
      </c>
      <c r="C357" s="10">
        <f>Catalog!D357</f>
        <v>0</v>
      </c>
      <c r="D357" s="10">
        <f>Catalog!N357</f>
        <v>0</v>
      </c>
      <c r="E357" s="10">
        <f>Catalog!F357</f>
        <v>0</v>
      </c>
      <c r="F357" s="10" t="str">
        <f>IF(Catalog!W357="","",Catalog!W357&amp;" "&amp;Catalog!X357)</f>
        <v/>
      </c>
      <c r="G357" s="11"/>
    </row>
    <row r="358" spans="1:7" x14ac:dyDescent="0.25">
      <c r="A358" s="10" t="str">
        <f>Catalog!A358</f>
        <v/>
      </c>
      <c r="B358" s="10" t="str">
        <f>Catalog!C358</f>
        <v/>
      </c>
      <c r="C358" s="10">
        <f>Catalog!D358</f>
        <v>0</v>
      </c>
      <c r="D358" s="10">
        <f>Catalog!N358</f>
        <v>0</v>
      </c>
      <c r="E358" s="10">
        <f>Catalog!F358</f>
        <v>0</v>
      </c>
      <c r="F358" s="10" t="str">
        <f>IF(Catalog!W358="","",Catalog!W358&amp;" "&amp;Catalog!X358)</f>
        <v/>
      </c>
      <c r="G358" s="11"/>
    </row>
    <row r="359" spans="1:7" x14ac:dyDescent="0.25">
      <c r="A359" s="10" t="str">
        <f>Catalog!A359</f>
        <v/>
      </c>
      <c r="B359" s="10" t="str">
        <f>Catalog!C359</f>
        <v/>
      </c>
      <c r="C359" s="10">
        <f>Catalog!D359</f>
        <v>0</v>
      </c>
      <c r="D359" s="10">
        <f>Catalog!N359</f>
        <v>0</v>
      </c>
      <c r="E359" s="10">
        <f>Catalog!F359</f>
        <v>0</v>
      </c>
      <c r="F359" s="10" t="str">
        <f>IF(Catalog!W359="","",Catalog!W359&amp;" "&amp;Catalog!X359)</f>
        <v/>
      </c>
      <c r="G359" s="11"/>
    </row>
    <row r="360" spans="1:7" x14ac:dyDescent="0.25">
      <c r="A360" s="10" t="str">
        <f>Catalog!A360</f>
        <v/>
      </c>
      <c r="B360" s="10" t="str">
        <f>Catalog!C360</f>
        <v/>
      </c>
      <c r="C360" s="10">
        <f>Catalog!D360</f>
        <v>0</v>
      </c>
      <c r="D360" s="10">
        <f>Catalog!N360</f>
        <v>0</v>
      </c>
      <c r="E360" s="10">
        <f>Catalog!F360</f>
        <v>0</v>
      </c>
      <c r="F360" s="10" t="str">
        <f>IF(Catalog!W360="","",Catalog!W360&amp;" "&amp;Catalog!X360)</f>
        <v/>
      </c>
      <c r="G360" s="11"/>
    </row>
    <row r="361" spans="1:7" x14ac:dyDescent="0.25">
      <c r="A361" s="10" t="str">
        <f>Catalog!A361</f>
        <v/>
      </c>
      <c r="B361" s="10" t="str">
        <f>Catalog!C361</f>
        <v/>
      </c>
      <c r="C361" s="10">
        <f>Catalog!D361</f>
        <v>0</v>
      </c>
      <c r="D361" s="10">
        <f>Catalog!N361</f>
        <v>0</v>
      </c>
      <c r="E361" s="10">
        <f>Catalog!F361</f>
        <v>0</v>
      </c>
      <c r="F361" s="10" t="str">
        <f>IF(Catalog!W361="","",Catalog!W361&amp;" "&amp;Catalog!X361)</f>
        <v/>
      </c>
      <c r="G361" s="11"/>
    </row>
    <row r="362" spans="1:7" x14ac:dyDescent="0.25">
      <c r="A362" s="10" t="str">
        <f>Catalog!A362</f>
        <v/>
      </c>
      <c r="B362" s="10" t="str">
        <f>Catalog!C362</f>
        <v/>
      </c>
      <c r="C362" s="10">
        <f>Catalog!D362</f>
        <v>0</v>
      </c>
      <c r="D362" s="10">
        <f>Catalog!N362</f>
        <v>0</v>
      </c>
      <c r="E362" s="10">
        <f>Catalog!F362</f>
        <v>0</v>
      </c>
      <c r="F362" s="10" t="str">
        <f>IF(Catalog!W362="","",Catalog!W362&amp;" "&amp;Catalog!X362)</f>
        <v/>
      </c>
      <c r="G362" s="11"/>
    </row>
    <row r="363" spans="1:7" x14ac:dyDescent="0.25">
      <c r="A363" s="10" t="str">
        <f>Catalog!A363</f>
        <v/>
      </c>
      <c r="B363" s="10" t="str">
        <f>Catalog!C363</f>
        <v/>
      </c>
      <c r="C363" s="10">
        <f>Catalog!D363</f>
        <v>0</v>
      </c>
      <c r="D363" s="10">
        <f>Catalog!N363</f>
        <v>0</v>
      </c>
      <c r="E363" s="10">
        <f>Catalog!F363</f>
        <v>0</v>
      </c>
      <c r="F363" s="10" t="str">
        <f>IF(Catalog!W363="","",Catalog!W363&amp;" "&amp;Catalog!X363)</f>
        <v/>
      </c>
      <c r="G363" s="11"/>
    </row>
    <row r="364" spans="1:7" x14ac:dyDescent="0.25">
      <c r="A364" s="10" t="str">
        <f>Catalog!A364</f>
        <v/>
      </c>
      <c r="B364" s="10" t="str">
        <f>Catalog!C364</f>
        <v/>
      </c>
      <c r="C364" s="10">
        <f>Catalog!D364</f>
        <v>0</v>
      </c>
      <c r="D364" s="10">
        <f>Catalog!N364</f>
        <v>0</v>
      </c>
      <c r="E364" s="10">
        <f>Catalog!F364</f>
        <v>0</v>
      </c>
      <c r="F364" s="10" t="str">
        <f>IF(Catalog!W364="","",Catalog!W364&amp;" "&amp;Catalog!X364)</f>
        <v/>
      </c>
      <c r="G364" s="11"/>
    </row>
    <row r="365" spans="1:7" x14ac:dyDescent="0.25">
      <c r="A365" s="10" t="str">
        <f>Catalog!A365</f>
        <v/>
      </c>
      <c r="B365" s="10" t="str">
        <f>Catalog!C365</f>
        <v/>
      </c>
      <c r="C365" s="10">
        <f>Catalog!D365</f>
        <v>0</v>
      </c>
      <c r="D365" s="10">
        <f>Catalog!N365</f>
        <v>0</v>
      </c>
      <c r="E365" s="10">
        <f>Catalog!F365</f>
        <v>0</v>
      </c>
      <c r="F365" s="10" t="str">
        <f>IF(Catalog!W365="","",Catalog!W365&amp;" "&amp;Catalog!X365)</f>
        <v/>
      </c>
      <c r="G365" s="11"/>
    </row>
    <row r="366" spans="1:7" x14ac:dyDescent="0.25">
      <c r="A366" s="10" t="str">
        <f>Catalog!A366</f>
        <v/>
      </c>
      <c r="B366" s="10" t="str">
        <f>Catalog!C366</f>
        <v/>
      </c>
      <c r="C366" s="10">
        <f>Catalog!D366</f>
        <v>0</v>
      </c>
      <c r="D366" s="10">
        <f>Catalog!N366</f>
        <v>0</v>
      </c>
      <c r="E366" s="10">
        <f>Catalog!F366</f>
        <v>0</v>
      </c>
      <c r="F366" s="10" t="str">
        <f>IF(Catalog!W366="","",Catalog!W366&amp;" "&amp;Catalog!X366)</f>
        <v/>
      </c>
      <c r="G366" s="11"/>
    </row>
    <row r="367" spans="1:7" x14ac:dyDescent="0.25">
      <c r="A367" s="10" t="str">
        <f>Catalog!A367</f>
        <v/>
      </c>
      <c r="B367" s="10" t="str">
        <f>Catalog!C367</f>
        <v/>
      </c>
      <c r="C367" s="10">
        <f>Catalog!D367</f>
        <v>0</v>
      </c>
      <c r="D367" s="10">
        <f>Catalog!N367</f>
        <v>0</v>
      </c>
      <c r="E367" s="10">
        <f>Catalog!F367</f>
        <v>0</v>
      </c>
      <c r="F367" s="10" t="str">
        <f>IF(Catalog!W367="","",Catalog!W367&amp;" "&amp;Catalog!X367)</f>
        <v/>
      </c>
      <c r="G367" s="11"/>
    </row>
    <row r="368" spans="1:7" x14ac:dyDescent="0.25">
      <c r="A368" s="10" t="str">
        <f>Catalog!A368</f>
        <v/>
      </c>
      <c r="B368" s="10" t="str">
        <f>Catalog!C368</f>
        <v/>
      </c>
      <c r="C368" s="10">
        <f>Catalog!D368</f>
        <v>0</v>
      </c>
      <c r="D368" s="10">
        <f>Catalog!N368</f>
        <v>0</v>
      </c>
      <c r="E368" s="10">
        <f>Catalog!F368</f>
        <v>0</v>
      </c>
      <c r="F368" s="10" t="str">
        <f>IF(Catalog!W368="","",Catalog!W368&amp;" "&amp;Catalog!X368)</f>
        <v/>
      </c>
      <c r="G368" s="11"/>
    </row>
    <row r="369" spans="1:7" x14ac:dyDescent="0.25">
      <c r="A369" s="10" t="str">
        <f>Catalog!A369</f>
        <v/>
      </c>
      <c r="B369" s="10" t="str">
        <f>Catalog!C369</f>
        <v/>
      </c>
      <c r="C369" s="10">
        <f>Catalog!D369</f>
        <v>0</v>
      </c>
      <c r="D369" s="10">
        <f>Catalog!N369</f>
        <v>0</v>
      </c>
      <c r="E369" s="10">
        <f>Catalog!F369</f>
        <v>0</v>
      </c>
      <c r="F369" s="10" t="str">
        <f>IF(Catalog!W369="","",Catalog!W369&amp;" "&amp;Catalog!X369)</f>
        <v/>
      </c>
      <c r="G369" s="11"/>
    </row>
    <row r="370" spans="1:7" x14ac:dyDescent="0.25">
      <c r="A370" s="10" t="str">
        <f>Catalog!A370</f>
        <v/>
      </c>
      <c r="B370" s="10" t="str">
        <f>Catalog!C370</f>
        <v/>
      </c>
      <c r="C370" s="10">
        <f>Catalog!D370</f>
        <v>0</v>
      </c>
      <c r="D370" s="10">
        <f>Catalog!N370</f>
        <v>0</v>
      </c>
      <c r="E370" s="10">
        <f>Catalog!F370</f>
        <v>0</v>
      </c>
      <c r="F370" s="10" t="str">
        <f>IF(Catalog!W370="","",Catalog!W370&amp;" "&amp;Catalog!X370)</f>
        <v/>
      </c>
      <c r="G370" s="11"/>
    </row>
    <row r="371" spans="1:7" x14ac:dyDescent="0.25">
      <c r="A371" s="10" t="str">
        <f>Catalog!A371</f>
        <v/>
      </c>
      <c r="B371" s="10" t="str">
        <f>Catalog!C371</f>
        <v/>
      </c>
      <c r="C371" s="10">
        <f>Catalog!D371</f>
        <v>0</v>
      </c>
      <c r="D371" s="10">
        <f>Catalog!N371</f>
        <v>0</v>
      </c>
      <c r="E371" s="10">
        <f>Catalog!F371</f>
        <v>0</v>
      </c>
      <c r="F371" s="10" t="str">
        <f>IF(Catalog!W371="","",Catalog!W371&amp;" "&amp;Catalog!X371)</f>
        <v/>
      </c>
      <c r="G371" s="11"/>
    </row>
    <row r="372" spans="1:7" x14ac:dyDescent="0.25">
      <c r="A372" s="10" t="str">
        <f>Catalog!A372</f>
        <v/>
      </c>
      <c r="B372" s="10" t="str">
        <f>Catalog!C372</f>
        <v/>
      </c>
      <c r="C372" s="10">
        <f>Catalog!D372</f>
        <v>0</v>
      </c>
      <c r="D372" s="10">
        <f>Catalog!N372</f>
        <v>0</v>
      </c>
      <c r="E372" s="10">
        <f>Catalog!F372</f>
        <v>0</v>
      </c>
      <c r="F372" s="10" t="str">
        <f>IF(Catalog!W372="","",Catalog!W372&amp;" "&amp;Catalog!X372)</f>
        <v/>
      </c>
      <c r="G372" s="11"/>
    </row>
    <row r="373" spans="1:7" x14ac:dyDescent="0.25">
      <c r="A373" s="10" t="str">
        <f>Catalog!A373</f>
        <v/>
      </c>
      <c r="B373" s="10" t="str">
        <f>Catalog!C373</f>
        <v/>
      </c>
      <c r="C373" s="10">
        <f>Catalog!D373</f>
        <v>0</v>
      </c>
      <c r="D373" s="10">
        <f>Catalog!N373</f>
        <v>0</v>
      </c>
      <c r="E373" s="10">
        <f>Catalog!F373</f>
        <v>0</v>
      </c>
      <c r="F373" s="10" t="str">
        <f>IF(Catalog!W373="","",Catalog!W373&amp;" "&amp;Catalog!X373)</f>
        <v/>
      </c>
      <c r="G373" s="11"/>
    </row>
    <row r="374" spans="1:7" x14ac:dyDescent="0.25">
      <c r="A374" s="10" t="str">
        <f>Catalog!A374</f>
        <v/>
      </c>
      <c r="B374" s="10" t="str">
        <f>Catalog!C374</f>
        <v/>
      </c>
      <c r="C374" s="10">
        <f>Catalog!D374</f>
        <v>0</v>
      </c>
      <c r="D374" s="10">
        <f>Catalog!N374</f>
        <v>0</v>
      </c>
      <c r="E374" s="10">
        <f>Catalog!F374</f>
        <v>0</v>
      </c>
      <c r="F374" s="10" t="str">
        <f>IF(Catalog!W374="","",Catalog!W374&amp;" "&amp;Catalog!X374)</f>
        <v/>
      </c>
      <c r="G374" s="11"/>
    </row>
    <row r="375" spans="1:7" x14ac:dyDescent="0.25">
      <c r="A375" s="10" t="str">
        <f>Catalog!A375</f>
        <v/>
      </c>
      <c r="B375" s="10" t="str">
        <f>Catalog!C375</f>
        <v/>
      </c>
      <c r="C375" s="10">
        <f>Catalog!D375</f>
        <v>0</v>
      </c>
      <c r="D375" s="10">
        <f>Catalog!N375</f>
        <v>0</v>
      </c>
      <c r="E375" s="10">
        <f>Catalog!F375</f>
        <v>0</v>
      </c>
      <c r="F375" s="10" t="str">
        <f>IF(Catalog!W375="","",Catalog!W375&amp;" "&amp;Catalog!X375)</f>
        <v/>
      </c>
      <c r="G375" s="11"/>
    </row>
    <row r="376" spans="1:7" x14ac:dyDescent="0.25">
      <c r="A376" s="10" t="str">
        <f>Catalog!A376</f>
        <v/>
      </c>
      <c r="B376" s="10" t="str">
        <f>Catalog!C376</f>
        <v/>
      </c>
      <c r="C376" s="10">
        <f>Catalog!D376</f>
        <v>0</v>
      </c>
      <c r="D376" s="10">
        <f>Catalog!N376</f>
        <v>0</v>
      </c>
      <c r="E376" s="10">
        <f>Catalog!F376</f>
        <v>0</v>
      </c>
      <c r="F376" s="10" t="str">
        <f>IF(Catalog!W376="","",Catalog!W376&amp;" "&amp;Catalog!X376)</f>
        <v/>
      </c>
      <c r="G376" s="11"/>
    </row>
    <row r="377" spans="1:7" x14ac:dyDescent="0.25">
      <c r="A377" s="10" t="str">
        <f>Catalog!A377</f>
        <v/>
      </c>
      <c r="B377" s="10" t="str">
        <f>Catalog!C377</f>
        <v/>
      </c>
      <c r="C377" s="10">
        <f>Catalog!D377</f>
        <v>0</v>
      </c>
      <c r="D377" s="10">
        <f>Catalog!N377</f>
        <v>0</v>
      </c>
      <c r="E377" s="10">
        <f>Catalog!F377</f>
        <v>0</v>
      </c>
      <c r="F377" s="10" t="str">
        <f>IF(Catalog!W377="","",Catalog!W377&amp;" "&amp;Catalog!X377)</f>
        <v/>
      </c>
      <c r="G377" s="11"/>
    </row>
    <row r="378" spans="1:7" x14ac:dyDescent="0.25">
      <c r="A378" s="10" t="str">
        <f>Catalog!A378</f>
        <v/>
      </c>
      <c r="B378" s="10" t="str">
        <f>Catalog!C378</f>
        <v/>
      </c>
      <c r="C378" s="10">
        <f>Catalog!D378</f>
        <v>0</v>
      </c>
      <c r="D378" s="10">
        <f>Catalog!N378</f>
        <v>0</v>
      </c>
      <c r="E378" s="10">
        <f>Catalog!F378</f>
        <v>0</v>
      </c>
      <c r="F378" s="10" t="str">
        <f>IF(Catalog!W378="","",Catalog!W378&amp;" "&amp;Catalog!X378)</f>
        <v/>
      </c>
      <c r="G378" s="11"/>
    </row>
    <row r="379" spans="1:7" x14ac:dyDescent="0.25">
      <c r="A379" s="10" t="str">
        <f>Catalog!A379</f>
        <v/>
      </c>
      <c r="B379" s="10" t="str">
        <f>Catalog!C379</f>
        <v/>
      </c>
      <c r="C379" s="10">
        <f>Catalog!D379</f>
        <v>0</v>
      </c>
      <c r="D379" s="10">
        <f>Catalog!N379</f>
        <v>0</v>
      </c>
      <c r="E379" s="10">
        <f>Catalog!F379</f>
        <v>0</v>
      </c>
      <c r="F379" s="10" t="str">
        <f>IF(Catalog!W379="","",Catalog!W379&amp;" "&amp;Catalog!X379)</f>
        <v/>
      </c>
      <c r="G379" s="11"/>
    </row>
    <row r="380" spans="1:7" x14ac:dyDescent="0.25">
      <c r="A380" s="10" t="str">
        <f>Catalog!A380</f>
        <v/>
      </c>
      <c r="B380" s="10" t="str">
        <f>Catalog!C380</f>
        <v/>
      </c>
      <c r="C380" s="10">
        <f>Catalog!D380</f>
        <v>0</v>
      </c>
      <c r="D380" s="10">
        <f>Catalog!N380</f>
        <v>0</v>
      </c>
      <c r="E380" s="10">
        <f>Catalog!F380</f>
        <v>0</v>
      </c>
      <c r="F380" s="10" t="str">
        <f>IF(Catalog!W380="","",Catalog!W380&amp;" "&amp;Catalog!X380)</f>
        <v/>
      </c>
      <c r="G380" s="11"/>
    </row>
    <row r="381" spans="1:7" x14ac:dyDescent="0.25">
      <c r="A381" s="10" t="str">
        <f>Catalog!A381</f>
        <v/>
      </c>
      <c r="B381" s="10" t="str">
        <f>Catalog!C381</f>
        <v/>
      </c>
      <c r="C381" s="10">
        <f>Catalog!D381</f>
        <v>0</v>
      </c>
      <c r="D381" s="10">
        <f>Catalog!N381</f>
        <v>0</v>
      </c>
      <c r="E381" s="10">
        <f>Catalog!F381</f>
        <v>0</v>
      </c>
      <c r="F381" s="10" t="str">
        <f>IF(Catalog!W381="","",Catalog!W381&amp;" "&amp;Catalog!X381)</f>
        <v/>
      </c>
      <c r="G381" s="11"/>
    </row>
    <row r="382" spans="1:7" x14ac:dyDescent="0.25">
      <c r="A382" s="10" t="str">
        <f>Catalog!A382</f>
        <v/>
      </c>
      <c r="B382" s="10" t="str">
        <f>Catalog!C382</f>
        <v/>
      </c>
      <c r="C382" s="10">
        <f>Catalog!D382</f>
        <v>0</v>
      </c>
      <c r="D382" s="10">
        <f>Catalog!N382</f>
        <v>0</v>
      </c>
      <c r="E382" s="10">
        <f>Catalog!F382</f>
        <v>0</v>
      </c>
      <c r="F382" s="10" t="str">
        <f>IF(Catalog!W382="","",Catalog!W382&amp;" "&amp;Catalog!X382)</f>
        <v/>
      </c>
      <c r="G382" s="11"/>
    </row>
    <row r="383" spans="1:7" x14ac:dyDescent="0.25">
      <c r="A383" s="10" t="str">
        <f>Catalog!A383</f>
        <v/>
      </c>
      <c r="B383" s="10" t="str">
        <f>Catalog!C383</f>
        <v/>
      </c>
      <c r="C383" s="10">
        <f>Catalog!D383</f>
        <v>0</v>
      </c>
      <c r="D383" s="10">
        <f>Catalog!N383</f>
        <v>0</v>
      </c>
      <c r="E383" s="10">
        <f>Catalog!F383</f>
        <v>0</v>
      </c>
      <c r="F383" s="10" t="str">
        <f>IF(Catalog!W383="","",Catalog!W383&amp;" "&amp;Catalog!X383)</f>
        <v/>
      </c>
      <c r="G383" s="11"/>
    </row>
    <row r="384" spans="1:7" x14ac:dyDescent="0.25">
      <c r="A384" s="10" t="str">
        <f>Catalog!A384</f>
        <v/>
      </c>
      <c r="B384" s="10" t="str">
        <f>Catalog!C384</f>
        <v/>
      </c>
      <c r="C384" s="10">
        <f>Catalog!D384</f>
        <v>0</v>
      </c>
      <c r="D384" s="10">
        <f>Catalog!N384</f>
        <v>0</v>
      </c>
      <c r="E384" s="10">
        <f>Catalog!F384</f>
        <v>0</v>
      </c>
      <c r="F384" s="10" t="str">
        <f>IF(Catalog!W384="","",Catalog!W384&amp;" "&amp;Catalog!X384)</f>
        <v/>
      </c>
      <c r="G384" s="11"/>
    </row>
    <row r="385" spans="1:7" x14ac:dyDescent="0.25">
      <c r="A385" s="10" t="str">
        <f>Catalog!A385</f>
        <v/>
      </c>
      <c r="B385" s="10" t="str">
        <f>Catalog!C385</f>
        <v/>
      </c>
      <c r="C385" s="10">
        <f>Catalog!D385</f>
        <v>0</v>
      </c>
      <c r="D385" s="10">
        <f>Catalog!N385</f>
        <v>0</v>
      </c>
      <c r="E385" s="10">
        <f>Catalog!F385</f>
        <v>0</v>
      </c>
      <c r="F385" s="10" t="str">
        <f>IF(Catalog!W385="","",Catalog!W385&amp;" "&amp;Catalog!X385)</f>
        <v/>
      </c>
      <c r="G385" s="11"/>
    </row>
    <row r="386" spans="1:7" x14ac:dyDescent="0.25">
      <c r="A386" s="10" t="str">
        <f>Catalog!A386</f>
        <v/>
      </c>
      <c r="B386" s="10" t="str">
        <f>Catalog!C386</f>
        <v/>
      </c>
      <c r="C386" s="10">
        <f>Catalog!D386</f>
        <v>0</v>
      </c>
      <c r="D386" s="10">
        <f>Catalog!N386</f>
        <v>0</v>
      </c>
      <c r="E386" s="10">
        <f>Catalog!F386</f>
        <v>0</v>
      </c>
      <c r="F386" s="10" t="str">
        <f>IF(Catalog!W386="","",Catalog!W386&amp;" "&amp;Catalog!X386)</f>
        <v/>
      </c>
      <c r="G386" s="11"/>
    </row>
    <row r="387" spans="1:7" x14ac:dyDescent="0.25">
      <c r="A387" s="10" t="str">
        <f>Catalog!A387</f>
        <v/>
      </c>
      <c r="B387" s="10" t="str">
        <f>Catalog!C387</f>
        <v/>
      </c>
      <c r="C387" s="10">
        <f>Catalog!D387</f>
        <v>0</v>
      </c>
      <c r="D387" s="10">
        <f>Catalog!N387</f>
        <v>0</v>
      </c>
      <c r="E387" s="10">
        <f>Catalog!F387</f>
        <v>0</v>
      </c>
      <c r="F387" s="10" t="str">
        <f>IF(Catalog!W387="","",Catalog!W387&amp;" "&amp;Catalog!X387)</f>
        <v/>
      </c>
      <c r="G387" s="11"/>
    </row>
    <row r="388" spans="1:7" x14ac:dyDescent="0.25">
      <c r="A388" s="10" t="str">
        <f>Catalog!A388</f>
        <v/>
      </c>
      <c r="B388" s="10" t="str">
        <f>Catalog!C388</f>
        <v/>
      </c>
      <c r="C388" s="10">
        <f>Catalog!D388</f>
        <v>0</v>
      </c>
      <c r="D388" s="10">
        <f>Catalog!N388</f>
        <v>0</v>
      </c>
      <c r="E388" s="10">
        <f>Catalog!F388</f>
        <v>0</v>
      </c>
      <c r="F388" s="10" t="str">
        <f>IF(Catalog!W388="","",Catalog!W388&amp;" "&amp;Catalog!X388)</f>
        <v/>
      </c>
      <c r="G388" s="11"/>
    </row>
    <row r="389" spans="1:7" x14ac:dyDescent="0.25">
      <c r="A389" s="10" t="str">
        <f>Catalog!A389</f>
        <v/>
      </c>
      <c r="B389" s="10" t="str">
        <f>Catalog!C389</f>
        <v/>
      </c>
      <c r="C389" s="10">
        <f>Catalog!D389</f>
        <v>0</v>
      </c>
      <c r="D389" s="10">
        <f>Catalog!N389</f>
        <v>0</v>
      </c>
      <c r="E389" s="10">
        <f>Catalog!F389</f>
        <v>0</v>
      </c>
      <c r="F389" s="10" t="str">
        <f>IF(Catalog!W389="","",Catalog!W389&amp;" "&amp;Catalog!X389)</f>
        <v/>
      </c>
      <c r="G389" s="11"/>
    </row>
    <row r="390" spans="1:7" x14ac:dyDescent="0.25">
      <c r="A390" s="10" t="str">
        <f>Catalog!A390</f>
        <v/>
      </c>
      <c r="B390" s="10" t="str">
        <f>Catalog!C390</f>
        <v/>
      </c>
      <c r="C390" s="10">
        <f>Catalog!D390</f>
        <v>0</v>
      </c>
      <c r="D390" s="10">
        <f>Catalog!N390</f>
        <v>0</v>
      </c>
      <c r="E390" s="10">
        <f>Catalog!F390</f>
        <v>0</v>
      </c>
      <c r="F390" s="10" t="str">
        <f>IF(Catalog!W390="","",Catalog!W390&amp;" "&amp;Catalog!X390)</f>
        <v/>
      </c>
      <c r="G390" s="11"/>
    </row>
    <row r="391" spans="1:7" x14ac:dyDescent="0.25">
      <c r="A391" s="10" t="str">
        <f>Catalog!A391</f>
        <v/>
      </c>
      <c r="B391" s="10" t="str">
        <f>Catalog!C391</f>
        <v/>
      </c>
      <c r="C391" s="10">
        <f>Catalog!D391</f>
        <v>0</v>
      </c>
      <c r="D391" s="10">
        <f>Catalog!N391</f>
        <v>0</v>
      </c>
      <c r="E391" s="10">
        <f>Catalog!F391</f>
        <v>0</v>
      </c>
      <c r="F391" s="10" t="str">
        <f>IF(Catalog!W391="","",Catalog!W391&amp;" "&amp;Catalog!X391)</f>
        <v/>
      </c>
      <c r="G391" s="11"/>
    </row>
    <row r="392" spans="1:7" x14ac:dyDescent="0.25">
      <c r="A392" s="10" t="str">
        <f>Catalog!A392</f>
        <v/>
      </c>
      <c r="B392" s="10" t="str">
        <f>Catalog!C392</f>
        <v/>
      </c>
      <c r="C392" s="10">
        <f>Catalog!D392</f>
        <v>0</v>
      </c>
      <c r="D392" s="10">
        <f>Catalog!N392</f>
        <v>0</v>
      </c>
      <c r="E392" s="10">
        <f>Catalog!F392</f>
        <v>0</v>
      </c>
      <c r="F392" s="10" t="str">
        <f>IF(Catalog!W392="","",Catalog!W392&amp;" "&amp;Catalog!X392)</f>
        <v/>
      </c>
      <c r="G392" s="11"/>
    </row>
    <row r="393" spans="1:7" x14ac:dyDescent="0.25">
      <c r="A393" s="10" t="str">
        <f>Catalog!A393</f>
        <v/>
      </c>
      <c r="B393" s="10" t="str">
        <f>Catalog!C393</f>
        <v/>
      </c>
      <c r="C393" s="10">
        <f>Catalog!D393</f>
        <v>0</v>
      </c>
      <c r="D393" s="10">
        <f>Catalog!N393</f>
        <v>0</v>
      </c>
      <c r="E393" s="10">
        <f>Catalog!F393</f>
        <v>0</v>
      </c>
      <c r="F393" s="10" t="str">
        <f>IF(Catalog!W393="","",Catalog!W393&amp;" "&amp;Catalog!X393)</f>
        <v/>
      </c>
      <c r="G393" s="11"/>
    </row>
    <row r="394" spans="1:7" x14ac:dyDescent="0.25">
      <c r="A394" s="10" t="str">
        <f>Catalog!A394</f>
        <v/>
      </c>
      <c r="B394" s="10" t="str">
        <f>Catalog!C394</f>
        <v/>
      </c>
      <c r="C394" s="10">
        <f>Catalog!D394</f>
        <v>0</v>
      </c>
      <c r="D394" s="10">
        <f>Catalog!N394</f>
        <v>0</v>
      </c>
      <c r="E394" s="10">
        <f>Catalog!F394</f>
        <v>0</v>
      </c>
      <c r="F394" s="10" t="str">
        <f>IF(Catalog!W394="","",Catalog!W394&amp;" "&amp;Catalog!X394)</f>
        <v/>
      </c>
      <c r="G394" s="11"/>
    </row>
    <row r="395" spans="1:7" x14ac:dyDescent="0.25">
      <c r="A395" s="10" t="str">
        <f>Catalog!A395</f>
        <v/>
      </c>
      <c r="B395" s="10" t="str">
        <f>Catalog!C395</f>
        <v/>
      </c>
      <c r="C395" s="10">
        <f>Catalog!D395</f>
        <v>0</v>
      </c>
      <c r="D395" s="10">
        <f>Catalog!N395</f>
        <v>0</v>
      </c>
      <c r="E395" s="10">
        <f>Catalog!F395</f>
        <v>0</v>
      </c>
      <c r="F395" s="10" t="str">
        <f>IF(Catalog!W395="","",Catalog!W395&amp;" "&amp;Catalog!X395)</f>
        <v/>
      </c>
      <c r="G395" s="11"/>
    </row>
    <row r="396" spans="1:7" x14ac:dyDescent="0.25">
      <c r="A396" s="10" t="str">
        <f>Catalog!A396</f>
        <v/>
      </c>
      <c r="B396" s="10" t="str">
        <f>Catalog!C396</f>
        <v/>
      </c>
      <c r="C396" s="10">
        <f>Catalog!D396</f>
        <v>0</v>
      </c>
      <c r="D396" s="10">
        <f>Catalog!N396</f>
        <v>0</v>
      </c>
      <c r="E396" s="10">
        <f>Catalog!F396</f>
        <v>0</v>
      </c>
      <c r="F396" s="10" t="str">
        <f>IF(Catalog!W396="","",Catalog!W396&amp;" "&amp;Catalog!X396)</f>
        <v/>
      </c>
      <c r="G396" s="11"/>
    </row>
    <row r="397" spans="1:7" x14ac:dyDescent="0.25">
      <c r="A397" s="10" t="str">
        <f>Catalog!A397</f>
        <v/>
      </c>
      <c r="B397" s="10" t="str">
        <f>Catalog!C397</f>
        <v/>
      </c>
      <c r="C397" s="10">
        <f>Catalog!D397</f>
        <v>0</v>
      </c>
      <c r="D397" s="10">
        <f>Catalog!N397</f>
        <v>0</v>
      </c>
      <c r="E397" s="10">
        <f>Catalog!F397</f>
        <v>0</v>
      </c>
      <c r="F397" s="10" t="str">
        <f>IF(Catalog!W397="","",Catalog!W397&amp;" "&amp;Catalog!X397)</f>
        <v/>
      </c>
      <c r="G397" s="11"/>
    </row>
    <row r="398" spans="1:7" x14ac:dyDescent="0.25">
      <c r="A398" s="10" t="str">
        <f>Catalog!A398</f>
        <v/>
      </c>
      <c r="B398" s="10" t="str">
        <f>Catalog!C398</f>
        <v/>
      </c>
      <c r="C398" s="10">
        <f>Catalog!D398</f>
        <v>0</v>
      </c>
      <c r="D398" s="10">
        <f>Catalog!N398</f>
        <v>0</v>
      </c>
      <c r="E398" s="10">
        <f>Catalog!F398</f>
        <v>0</v>
      </c>
      <c r="F398" s="10" t="str">
        <f>IF(Catalog!W398="","",Catalog!W398&amp;" "&amp;Catalog!X398)</f>
        <v/>
      </c>
      <c r="G398" s="11"/>
    </row>
    <row r="399" spans="1:7" x14ac:dyDescent="0.25">
      <c r="A399" s="10" t="str">
        <f>Catalog!A399</f>
        <v/>
      </c>
      <c r="B399" s="10" t="str">
        <f>Catalog!C399</f>
        <v/>
      </c>
      <c r="C399" s="10">
        <f>Catalog!D399</f>
        <v>0</v>
      </c>
      <c r="D399" s="10">
        <f>Catalog!N399</f>
        <v>0</v>
      </c>
      <c r="E399" s="10">
        <f>Catalog!F399</f>
        <v>0</v>
      </c>
      <c r="F399" s="10" t="str">
        <f>IF(Catalog!W399="","",Catalog!W399&amp;" "&amp;Catalog!X399)</f>
        <v/>
      </c>
      <c r="G399" s="11"/>
    </row>
    <row r="400" spans="1:7" x14ac:dyDescent="0.25">
      <c r="A400" s="10" t="str">
        <f>Catalog!A400</f>
        <v/>
      </c>
      <c r="B400" s="10" t="str">
        <f>Catalog!C400</f>
        <v/>
      </c>
      <c r="C400" s="10">
        <f>Catalog!D400</f>
        <v>0</v>
      </c>
      <c r="D400" s="10">
        <f>Catalog!N400</f>
        <v>0</v>
      </c>
      <c r="E400" s="10">
        <f>Catalog!F400</f>
        <v>0</v>
      </c>
      <c r="F400" s="10" t="str">
        <f>IF(Catalog!W400="","",Catalog!W400&amp;" "&amp;Catalog!X400)</f>
        <v/>
      </c>
      <c r="G400" s="11"/>
    </row>
    <row r="401" spans="1:7" x14ac:dyDescent="0.25">
      <c r="A401" s="10" t="str">
        <f>Catalog!A401</f>
        <v/>
      </c>
      <c r="B401" s="10" t="str">
        <f>Catalog!C401</f>
        <v/>
      </c>
      <c r="C401" s="10">
        <f>Catalog!D401</f>
        <v>0</v>
      </c>
      <c r="D401" s="10">
        <f>Catalog!N401</f>
        <v>0</v>
      </c>
      <c r="E401" s="10">
        <f>Catalog!F401</f>
        <v>0</v>
      </c>
      <c r="F401" s="10" t="str">
        <f>IF(Catalog!W401="","",Catalog!W401&amp;" "&amp;Catalog!X401)</f>
        <v/>
      </c>
      <c r="G401" s="11"/>
    </row>
    <row r="402" spans="1:7" x14ac:dyDescent="0.25">
      <c r="A402" s="10" t="str">
        <f>Catalog!A402</f>
        <v/>
      </c>
      <c r="B402" s="10" t="str">
        <f>Catalog!C402</f>
        <v/>
      </c>
      <c r="C402" s="10">
        <f>Catalog!D402</f>
        <v>0</v>
      </c>
      <c r="D402" s="10">
        <f>Catalog!N402</f>
        <v>0</v>
      </c>
      <c r="E402" s="10">
        <f>Catalog!F402</f>
        <v>0</v>
      </c>
      <c r="F402" s="10" t="str">
        <f>IF(Catalog!W402="","",Catalog!W402&amp;" "&amp;Catalog!X402)</f>
        <v/>
      </c>
      <c r="G402" s="11"/>
    </row>
    <row r="403" spans="1:7" x14ac:dyDescent="0.25">
      <c r="A403" s="10" t="str">
        <f>Catalog!A403</f>
        <v/>
      </c>
      <c r="B403" s="10" t="str">
        <f>Catalog!C403</f>
        <v/>
      </c>
      <c r="C403" s="10">
        <f>Catalog!D403</f>
        <v>0</v>
      </c>
      <c r="D403" s="10">
        <f>Catalog!N403</f>
        <v>0</v>
      </c>
      <c r="E403" s="10">
        <f>Catalog!F403</f>
        <v>0</v>
      </c>
      <c r="F403" s="10" t="str">
        <f>IF(Catalog!W403="","",Catalog!W403&amp;" "&amp;Catalog!X403)</f>
        <v/>
      </c>
      <c r="G403" s="11"/>
    </row>
    <row r="404" spans="1:7" x14ac:dyDescent="0.25">
      <c r="A404" s="10" t="str">
        <f>Catalog!A404</f>
        <v/>
      </c>
      <c r="B404" s="10" t="str">
        <f>Catalog!C404</f>
        <v/>
      </c>
      <c r="C404" s="10">
        <f>Catalog!D404</f>
        <v>0</v>
      </c>
      <c r="D404" s="10">
        <f>Catalog!N404</f>
        <v>0</v>
      </c>
      <c r="E404" s="10">
        <f>Catalog!F404</f>
        <v>0</v>
      </c>
      <c r="F404" s="10" t="str">
        <f>IF(Catalog!W404="","",Catalog!W404&amp;" "&amp;Catalog!X404)</f>
        <v/>
      </c>
      <c r="G404" s="11"/>
    </row>
    <row r="405" spans="1:7" x14ac:dyDescent="0.25">
      <c r="A405" s="10" t="str">
        <f>Catalog!A405</f>
        <v/>
      </c>
      <c r="B405" s="10" t="str">
        <f>Catalog!C405</f>
        <v/>
      </c>
      <c r="C405" s="10">
        <f>Catalog!D405</f>
        <v>0</v>
      </c>
      <c r="D405" s="10">
        <f>Catalog!N405</f>
        <v>0</v>
      </c>
      <c r="E405" s="10">
        <f>Catalog!F405</f>
        <v>0</v>
      </c>
      <c r="F405" s="10" t="str">
        <f>IF(Catalog!W405="","",Catalog!W405&amp;" "&amp;Catalog!X405)</f>
        <v/>
      </c>
      <c r="G405" s="11"/>
    </row>
    <row r="406" spans="1:7" x14ac:dyDescent="0.25">
      <c r="A406" s="10" t="str">
        <f>Catalog!A406</f>
        <v/>
      </c>
      <c r="B406" s="10" t="str">
        <f>Catalog!C406</f>
        <v/>
      </c>
      <c r="C406" s="10">
        <f>Catalog!D406</f>
        <v>0</v>
      </c>
      <c r="D406" s="10">
        <f>Catalog!N406</f>
        <v>0</v>
      </c>
      <c r="E406" s="10">
        <f>Catalog!F406</f>
        <v>0</v>
      </c>
      <c r="F406" s="10" t="str">
        <f>IF(Catalog!W406="","",Catalog!W406&amp;" "&amp;Catalog!X406)</f>
        <v/>
      </c>
      <c r="G406" s="11"/>
    </row>
    <row r="407" spans="1:7" x14ac:dyDescent="0.25">
      <c r="A407" s="10" t="str">
        <f>Catalog!A407</f>
        <v/>
      </c>
      <c r="B407" s="10" t="str">
        <f>Catalog!C407</f>
        <v/>
      </c>
      <c r="C407" s="10">
        <f>Catalog!D407</f>
        <v>0</v>
      </c>
      <c r="D407" s="10">
        <f>Catalog!N407</f>
        <v>0</v>
      </c>
      <c r="E407" s="10">
        <f>Catalog!F407</f>
        <v>0</v>
      </c>
      <c r="F407" s="10" t="str">
        <f>IF(Catalog!W407="","",Catalog!W407&amp;" "&amp;Catalog!X407)</f>
        <v/>
      </c>
      <c r="G407" s="11"/>
    </row>
    <row r="408" spans="1:7" x14ac:dyDescent="0.25">
      <c r="A408" s="10" t="str">
        <f>Catalog!A408</f>
        <v/>
      </c>
      <c r="B408" s="10" t="str">
        <f>Catalog!C408</f>
        <v/>
      </c>
      <c r="C408" s="10">
        <f>Catalog!D408</f>
        <v>0</v>
      </c>
      <c r="D408" s="10">
        <f>Catalog!N408</f>
        <v>0</v>
      </c>
      <c r="E408" s="10">
        <f>Catalog!F408</f>
        <v>0</v>
      </c>
      <c r="F408" s="10" t="str">
        <f>IF(Catalog!W408="","",Catalog!W408&amp;" "&amp;Catalog!X408)</f>
        <v/>
      </c>
      <c r="G408" s="11"/>
    </row>
    <row r="409" spans="1:7" x14ac:dyDescent="0.25">
      <c r="A409" s="10" t="str">
        <f>Catalog!A409</f>
        <v/>
      </c>
      <c r="B409" s="10" t="str">
        <f>Catalog!C409</f>
        <v/>
      </c>
      <c r="C409" s="10">
        <f>Catalog!D409</f>
        <v>0</v>
      </c>
      <c r="D409" s="10">
        <f>Catalog!N409</f>
        <v>0</v>
      </c>
      <c r="E409" s="10">
        <f>Catalog!F409</f>
        <v>0</v>
      </c>
      <c r="F409" s="10" t="str">
        <f>IF(Catalog!W409="","",Catalog!W409&amp;" "&amp;Catalog!X409)</f>
        <v/>
      </c>
      <c r="G409" s="11"/>
    </row>
    <row r="410" spans="1:7" x14ac:dyDescent="0.25">
      <c r="A410" s="10" t="str">
        <f>Catalog!A410</f>
        <v/>
      </c>
      <c r="B410" s="10" t="str">
        <f>Catalog!C410</f>
        <v/>
      </c>
      <c r="C410" s="10">
        <f>Catalog!D410</f>
        <v>0</v>
      </c>
      <c r="D410" s="10">
        <f>Catalog!N410</f>
        <v>0</v>
      </c>
      <c r="E410" s="10">
        <f>Catalog!F410</f>
        <v>0</v>
      </c>
      <c r="F410" s="10" t="str">
        <f>IF(Catalog!W410="","",Catalog!W410&amp;" "&amp;Catalog!X410)</f>
        <v/>
      </c>
      <c r="G410" s="11"/>
    </row>
    <row r="411" spans="1:7" x14ac:dyDescent="0.25">
      <c r="A411" s="10" t="str">
        <f>Catalog!A411</f>
        <v/>
      </c>
      <c r="B411" s="10" t="str">
        <f>Catalog!C411</f>
        <v/>
      </c>
      <c r="C411" s="10">
        <f>Catalog!D411</f>
        <v>0</v>
      </c>
      <c r="D411" s="10">
        <f>Catalog!N411</f>
        <v>0</v>
      </c>
      <c r="E411" s="10">
        <f>Catalog!F411</f>
        <v>0</v>
      </c>
      <c r="F411" s="10" t="str">
        <f>IF(Catalog!W411="","",Catalog!W411&amp;" "&amp;Catalog!X411)</f>
        <v/>
      </c>
      <c r="G411" s="11"/>
    </row>
    <row r="412" spans="1:7" x14ac:dyDescent="0.25">
      <c r="A412" s="10" t="str">
        <f>Catalog!A412</f>
        <v/>
      </c>
      <c r="B412" s="10" t="str">
        <f>Catalog!C412</f>
        <v/>
      </c>
      <c r="C412" s="10">
        <f>Catalog!D412</f>
        <v>0</v>
      </c>
      <c r="D412" s="10">
        <f>Catalog!N412</f>
        <v>0</v>
      </c>
      <c r="E412" s="10">
        <f>Catalog!F412</f>
        <v>0</v>
      </c>
      <c r="F412" s="10" t="str">
        <f>IF(Catalog!W412="","",Catalog!W412&amp;" "&amp;Catalog!X412)</f>
        <v/>
      </c>
      <c r="G412" s="11"/>
    </row>
    <row r="413" spans="1:7" x14ac:dyDescent="0.25">
      <c r="A413" s="10" t="str">
        <f>Catalog!A413</f>
        <v/>
      </c>
      <c r="B413" s="10" t="str">
        <f>Catalog!C413</f>
        <v/>
      </c>
      <c r="C413" s="10">
        <f>Catalog!D413</f>
        <v>0</v>
      </c>
      <c r="D413" s="10">
        <f>Catalog!N413</f>
        <v>0</v>
      </c>
      <c r="E413" s="10">
        <f>Catalog!F413</f>
        <v>0</v>
      </c>
      <c r="F413" s="10" t="str">
        <f>IF(Catalog!W413="","",Catalog!W413&amp;" "&amp;Catalog!X413)</f>
        <v/>
      </c>
      <c r="G413" s="11"/>
    </row>
    <row r="414" spans="1:7" x14ac:dyDescent="0.25">
      <c r="A414" s="10" t="str">
        <f>Catalog!A414</f>
        <v/>
      </c>
      <c r="B414" s="10" t="str">
        <f>Catalog!C414</f>
        <v/>
      </c>
      <c r="C414" s="10">
        <f>Catalog!D414</f>
        <v>0</v>
      </c>
      <c r="D414" s="10">
        <f>Catalog!N414</f>
        <v>0</v>
      </c>
      <c r="E414" s="10">
        <f>Catalog!F414</f>
        <v>0</v>
      </c>
      <c r="F414" s="10" t="str">
        <f>IF(Catalog!W414="","",Catalog!W414&amp;" "&amp;Catalog!X414)</f>
        <v/>
      </c>
      <c r="G414" s="11"/>
    </row>
    <row r="415" spans="1:7" x14ac:dyDescent="0.25">
      <c r="A415" s="10" t="str">
        <f>Catalog!A415</f>
        <v/>
      </c>
      <c r="B415" s="10" t="str">
        <f>Catalog!C415</f>
        <v/>
      </c>
      <c r="C415" s="10">
        <f>Catalog!D415</f>
        <v>0</v>
      </c>
      <c r="D415" s="10">
        <f>Catalog!N415</f>
        <v>0</v>
      </c>
      <c r="E415" s="10">
        <f>Catalog!F415</f>
        <v>0</v>
      </c>
      <c r="F415" s="10" t="str">
        <f>IF(Catalog!W415="","",Catalog!W415&amp;" "&amp;Catalog!X415)</f>
        <v/>
      </c>
      <c r="G415" s="11"/>
    </row>
    <row r="416" spans="1:7" x14ac:dyDescent="0.25">
      <c r="A416" s="10" t="str">
        <f>Catalog!A416</f>
        <v/>
      </c>
      <c r="B416" s="10" t="str">
        <f>Catalog!C416</f>
        <v/>
      </c>
      <c r="C416" s="10">
        <f>Catalog!D416</f>
        <v>0</v>
      </c>
      <c r="D416" s="10">
        <f>Catalog!N416</f>
        <v>0</v>
      </c>
      <c r="E416" s="10">
        <f>Catalog!F416</f>
        <v>0</v>
      </c>
      <c r="F416" s="10" t="str">
        <f>IF(Catalog!W416="","",Catalog!W416&amp;" "&amp;Catalog!X416)</f>
        <v/>
      </c>
      <c r="G416" s="11"/>
    </row>
    <row r="417" spans="1:7" x14ac:dyDescent="0.25">
      <c r="A417" s="10" t="str">
        <f>Catalog!A417</f>
        <v/>
      </c>
      <c r="B417" s="10" t="str">
        <f>Catalog!C417</f>
        <v/>
      </c>
      <c r="C417" s="10">
        <f>Catalog!D417</f>
        <v>0</v>
      </c>
      <c r="D417" s="10">
        <f>Catalog!N417</f>
        <v>0</v>
      </c>
      <c r="E417" s="10">
        <f>Catalog!F417</f>
        <v>0</v>
      </c>
      <c r="F417" s="10" t="str">
        <f>IF(Catalog!W417="","",Catalog!W417&amp;" "&amp;Catalog!X417)</f>
        <v/>
      </c>
      <c r="G417" s="11"/>
    </row>
    <row r="418" spans="1:7" x14ac:dyDescent="0.25">
      <c r="A418" s="10" t="str">
        <f>Catalog!A418</f>
        <v/>
      </c>
      <c r="B418" s="10" t="str">
        <f>Catalog!C418</f>
        <v/>
      </c>
      <c r="C418" s="10">
        <f>Catalog!D418</f>
        <v>0</v>
      </c>
      <c r="D418" s="10">
        <f>Catalog!N418</f>
        <v>0</v>
      </c>
      <c r="E418" s="10">
        <f>Catalog!F418</f>
        <v>0</v>
      </c>
      <c r="F418" s="10" t="str">
        <f>IF(Catalog!W418="","",Catalog!W418&amp;" "&amp;Catalog!X418)</f>
        <v/>
      </c>
      <c r="G418" s="11"/>
    </row>
    <row r="419" spans="1:7" x14ac:dyDescent="0.25">
      <c r="A419" s="10" t="str">
        <f>Catalog!A419</f>
        <v/>
      </c>
      <c r="B419" s="10" t="str">
        <f>Catalog!C419</f>
        <v/>
      </c>
      <c r="C419" s="10">
        <f>Catalog!D419</f>
        <v>0</v>
      </c>
      <c r="D419" s="10">
        <f>Catalog!N419</f>
        <v>0</v>
      </c>
      <c r="E419" s="10">
        <f>Catalog!F419</f>
        <v>0</v>
      </c>
      <c r="F419" s="10" t="str">
        <f>IF(Catalog!W419="","",Catalog!W419&amp;" "&amp;Catalog!X419)</f>
        <v/>
      </c>
      <c r="G419" s="11"/>
    </row>
    <row r="420" spans="1:7" x14ac:dyDescent="0.25">
      <c r="A420" s="10" t="str">
        <f>Catalog!A420</f>
        <v/>
      </c>
      <c r="B420" s="10" t="str">
        <f>Catalog!C420</f>
        <v/>
      </c>
      <c r="C420" s="10">
        <f>Catalog!D420</f>
        <v>0</v>
      </c>
      <c r="D420" s="10">
        <f>Catalog!N420</f>
        <v>0</v>
      </c>
      <c r="E420" s="10">
        <f>Catalog!F420</f>
        <v>0</v>
      </c>
      <c r="F420" s="10" t="str">
        <f>IF(Catalog!W420="","",Catalog!W420&amp;" "&amp;Catalog!X420)</f>
        <v/>
      </c>
      <c r="G420" s="11"/>
    </row>
    <row r="421" spans="1:7" x14ac:dyDescent="0.25">
      <c r="A421" s="10" t="str">
        <f>Catalog!A421</f>
        <v/>
      </c>
      <c r="B421" s="10" t="str">
        <f>Catalog!C421</f>
        <v/>
      </c>
      <c r="C421" s="10">
        <f>Catalog!D421</f>
        <v>0</v>
      </c>
      <c r="D421" s="10">
        <f>Catalog!N421</f>
        <v>0</v>
      </c>
      <c r="E421" s="10">
        <f>Catalog!F421</f>
        <v>0</v>
      </c>
      <c r="F421" s="10" t="str">
        <f>IF(Catalog!W421="","",Catalog!W421&amp;" "&amp;Catalog!X421)</f>
        <v/>
      </c>
      <c r="G421" s="11"/>
    </row>
    <row r="422" spans="1:7" x14ac:dyDescent="0.25">
      <c r="A422" s="10" t="str">
        <f>Catalog!A422</f>
        <v/>
      </c>
      <c r="B422" s="10" t="str">
        <f>Catalog!C422</f>
        <v/>
      </c>
      <c r="C422" s="10">
        <f>Catalog!D422</f>
        <v>0</v>
      </c>
      <c r="D422" s="10">
        <f>Catalog!N422</f>
        <v>0</v>
      </c>
      <c r="E422" s="10">
        <f>Catalog!F422</f>
        <v>0</v>
      </c>
      <c r="F422" s="10" t="str">
        <f>IF(Catalog!W422="","",Catalog!W422&amp;" "&amp;Catalog!X422)</f>
        <v/>
      </c>
      <c r="G422" s="11"/>
    </row>
    <row r="423" spans="1:7" x14ac:dyDescent="0.25">
      <c r="A423" s="10" t="str">
        <f>Catalog!A423</f>
        <v/>
      </c>
      <c r="B423" s="10" t="str">
        <f>Catalog!C423</f>
        <v/>
      </c>
      <c r="C423" s="10">
        <f>Catalog!D423</f>
        <v>0</v>
      </c>
      <c r="D423" s="10">
        <f>Catalog!N423</f>
        <v>0</v>
      </c>
      <c r="E423" s="10">
        <f>Catalog!F423</f>
        <v>0</v>
      </c>
      <c r="F423" s="10" t="str">
        <f>IF(Catalog!W423="","",Catalog!W423&amp;" "&amp;Catalog!X423)</f>
        <v/>
      </c>
      <c r="G423" s="11"/>
    </row>
    <row r="424" spans="1:7" x14ac:dyDescent="0.25">
      <c r="A424" s="10" t="str">
        <f>Catalog!A424</f>
        <v/>
      </c>
      <c r="B424" s="10" t="str">
        <f>Catalog!C424</f>
        <v/>
      </c>
      <c r="C424" s="10">
        <f>Catalog!D424</f>
        <v>0</v>
      </c>
      <c r="D424" s="10">
        <f>Catalog!N424</f>
        <v>0</v>
      </c>
      <c r="E424" s="10">
        <f>Catalog!F424</f>
        <v>0</v>
      </c>
      <c r="F424" s="10" t="str">
        <f>IF(Catalog!W424="","",Catalog!W424&amp;" "&amp;Catalog!X424)</f>
        <v/>
      </c>
      <c r="G424" s="11"/>
    </row>
    <row r="425" spans="1:7" x14ac:dyDescent="0.25">
      <c r="A425" s="10" t="str">
        <f>Catalog!A425</f>
        <v/>
      </c>
      <c r="B425" s="10" t="str">
        <f>Catalog!C425</f>
        <v/>
      </c>
      <c r="C425" s="10">
        <f>Catalog!D425</f>
        <v>0</v>
      </c>
      <c r="D425" s="10">
        <f>Catalog!N425</f>
        <v>0</v>
      </c>
      <c r="E425" s="10">
        <f>Catalog!F425</f>
        <v>0</v>
      </c>
      <c r="F425" s="10" t="str">
        <f>IF(Catalog!W425="","",Catalog!W425&amp;" "&amp;Catalog!X425)</f>
        <v/>
      </c>
      <c r="G425" s="11"/>
    </row>
    <row r="426" spans="1:7" x14ac:dyDescent="0.25">
      <c r="A426" s="10" t="str">
        <f>Catalog!A426</f>
        <v/>
      </c>
      <c r="B426" s="10" t="str">
        <f>Catalog!C426</f>
        <v/>
      </c>
      <c r="C426" s="10">
        <f>Catalog!D426</f>
        <v>0</v>
      </c>
      <c r="D426" s="10">
        <f>Catalog!N426</f>
        <v>0</v>
      </c>
      <c r="E426" s="10">
        <f>Catalog!F426</f>
        <v>0</v>
      </c>
      <c r="F426" s="10" t="str">
        <f>IF(Catalog!W426="","",Catalog!W426&amp;" "&amp;Catalog!X426)</f>
        <v/>
      </c>
      <c r="G426" s="11"/>
    </row>
    <row r="427" spans="1:7" x14ac:dyDescent="0.25">
      <c r="A427" s="10" t="str">
        <f>Catalog!A427</f>
        <v/>
      </c>
      <c r="B427" s="10" t="str">
        <f>Catalog!C427</f>
        <v/>
      </c>
      <c r="C427" s="10">
        <f>Catalog!D427</f>
        <v>0</v>
      </c>
      <c r="D427" s="10">
        <f>Catalog!N427</f>
        <v>0</v>
      </c>
      <c r="E427" s="10">
        <f>Catalog!F427</f>
        <v>0</v>
      </c>
      <c r="F427" s="10" t="str">
        <f>IF(Catalog!W427="","",Catalog!W427&amp;" "&amp;Catalog!X427)</f>
        <v/>
      </c>
      <c r="G427" s="11"/>
    </row>
    <row r="428" spans="1:7" x14ac:dyDescent="0.25">
      <c r="A428" s="10" t="str">
        <f>Catalog!A428</f>
        <v/>
      </c>
      <c r="B428" s="10" t="str">
        <f>Catalog!C428</f>
        <v/>
      </c>
      <c r="C428" s="10">
        <f>Catalog!D428</f>
        <v>0</v>
      </c>
      <c r="D428" s="10">
        <f>Catalog!N428</f>
        <v>0</v>
      </c>
      <c r="E428" s="10">
        <f>Catalog!F428</f>
        <v>0</v>
      </c>
      <c r="F428" s="10" t="str">
        <f>IF(Catalog!W428="","",Catalog!W428&amp;" "&amp;Catalog!X428)</f>
        <v/>
      </c>
      <c r="G428" s="11"/>
    </row>
    <row r="429" spans="1:7" x14ac:dyDescent="0.25">
      <c r="A429" s="10" t="str">
        <f>Catalog!A429</f>
        <v/>
      </c>
      <c r="B429" s="10" t="str">
        <f>Catalog!C429</f>
        <v/>
      </c>
      <c r="C429" s="10">
        <f>Catalog!D429</f>
        <v>0</v>
      </c>
      <c r="D429" s="10">
        <f>Catalog!N429</f>
        <v>0</v>
      </c>
      <c r="E429" s="10">
        <f>Catalog!F429</f>
        <v>0</v>
      </c>
      <c r="F429" s="10" t="str">
        <f>IF(Catalog!W429="","",Catalog!W429&amp;" "&amp;Catalog!X429)</f>
        <v/>
      </c>
      <c r="G429" s="11"/>
    </row>
    <row r="430" spans="1:7" x14ac:dyDescent="0.25">
      <c r="A430" s="10" t="str">
        <f>Catalog!A430</f>
        <v/>
      </c>
      <c r="B430" s="10" t="str">
        <f>Catalog!C430</f>
        <v/>
      </c>
      <c r="C430" s="10">
        <f>Catalog!D430</f>
        <v>0</v>
      </c>
      <c r="D430" s="10">
        <f>Catalog!N430</f>
        <v>0</v>
      </c>
      <c r="E430" s="10">
        <f>Catalog!F430</f>
        <v>0</v>
      </c>
      <c r="F430" s="10" t="str">
        <f>IF(Catalog!W430="","",Catalog!W430&amp;" "&amp;Catalog!X430)</f>
        <v/>
      </c>
      <c r="G430" s="11"/>
    </row>
    <row r="431" spans="1:7" x14ac:dyDescent="0.25">
      <c r="A431" s="10" t="str">
        <f>Catalog!A431</f>
        <v/>
      </c>
      <c r="B431" s="10" t="str">
        <f>Catalog!C431</f>
        <v/>
      </c>
      <c r="C431" s="10">
        <f>Catalog!D431</f>
        <v>0</v>
      </c>
      <c r="D431" s="10">
        <f>Catalog!N431</f>
        <v>0</v>
      </c>
      <c r="E431" s="10">
        <f>Catalog!F431</f>
        <v>0</v>
      </c>
      <c r="F431" s="10" t="str">
        <f>IF(Catalog!W431="","",Catalog!W431&amp;" "&amp;Catalog!X431)</f>
        <v/>
      </c>
      <c r="G431" s="11"/>
    </row>
    <row r="432" spans="1:7" x14ac:dyDescent="0.25">
      <c r="A432" s="10" t="str">
        <f>Catalog!A432</f>
        <v/>
      </c>
      <c r="B432" s="10" t="str">
        <f>Catalog!C432</f>
        <v/>
      </c>
      <c r="C432" s="10">
        <f>Catalog!D432</f>
        <v>0</v>
      </c>
      <c r="D432" s="10">
        <f>Catalog!N432</f>
        <v>0</v>
      </c>
      <c r="E432" s="10">
        <f>Catalog!F432</f>
        <v>0</v>
      </c>
      <c r="F432" s="10" t="str">
        <f>IF(Catalog!W432="","",Catalog!W432&amp;" "&amp;Catalog!X432)</f>
        <v/>
      </c>
      <c r="G432" s="11"/>
    </row>
    <row r="433" spans="1:7" x14ac:dyDescent="0.25">
      <c r="A433" s="10" t="str">
        <f>Catalog!A433</f>
        <v/>
      </c>
      <c r="B433" s="10" t="str">
        <f>Catalog!C433</f>
        <v/>
      </c>
      <c r="C433" s="10">
        <f>Catalog!D433</f>
        <v>0</v>
      </c>
      <c r="D433" s="10">
        <f>Catalog!N433</f>
        <v>0</v>
      </c>
      <c r="E433" s="10">
        <f>Catalog!F433</f>
        <v>0</v>
      </c>
      <c r="F433" s="10" t="str">
        <f>IF(Catalog!W433="","",Catalog!W433&amp;" "&amp;Catalog!X433)</f>
        <v/>
      </c>
      <c r="G433" s="11"/>
    </row>
    <row r="434" spans="1:7" x14ac:dyDescent="0.25">
      <c r="A434" s="10" t="str">
        <f>Catalog!A434</f>
        <v/>
      </c>
      <c r="B434" s="10" t="str">
        <f>Catalog!C434</f>
        <v/>
      </c>
      <c r="C434" s="10">
        <f>Catalog!D434</f>
        <v>0</v>
      </c>
      <c r="D434" s="10">
        <f>Catalog!N434</f>
        <v>0</v>
      </c>
      <c r="E434" s="10">
        <f>Catalog!F434</f>
        <v>0</v>
      </c>
      <c r="F434" s="10" t="str">
        <f>IF(Catalog!W434="","",Catalog!W434&amp;" "&amp;Catalog!X434)</f>
        <v/>
      </c>
      <c r="G434" s="11"/>
    </row>
    <row r="435" spans="1:7" x14ac:dyDescent="0.25">
      <c r="A435" s="10" t="str">
        <f>Catalog!A435</f>
        <v/>
      </c>
      <c r="B435" s="10" t="str">
        <f>Catalog!C435</f>
        <v/>
      </c>
      <c r="C435" s="10">
        <f>Catalog!D435</f>
        <v>0</v>
      </c>
      <c r="D435" s="10">
        <f>Catalog!N435</f>
        <v>0</v>
      </c>
      <c r="E435" s="10">
        <f>Catalog!F435</f>
        <v>0</v>
      </c>
      <c r="F435" s="10" t="str">
        <f>IF(Catalog!W435="","",Catalog!W435&amp;" "&amp;Catalog!X435)</f>
        <v/>
      </c>
      <c r="G435" s="11"/>
    </row>
    <row r="436" spans="1:7" x14ac:dyDescent="0.25">
      <c r="A436" s="10" t="str">
        <f>Catalog!A436</f>
        <v/>
      </c>
      <c r="B436" s="10" t="str">
        <f>Catalog!C436</f>
        <v/>
      </c>
      <c r="C436" s="10">
        <f>Catalog!D436</f>
        <v>0</v>
      </c>
      <c r="D436" s="10">
        <f>Catalog!N436</f>
        <v>0</v>
      </c>
      <c r="E436" s="10">
        <f>Catalog!F436</f>
        <v>0</v>
      </c>
      <c r="F436" s="10" t="str">
        <f>IF(Catalog!W436="","",Catalog!W436&amp;" "&amp;Catalog!X436)</f>
        <v/>
      </c>
      <c r="G436" s="11"/>
    </row>
    <row r="437" spans="1:7" x14ac:dyDescent="0.25">
      <c r="A437" s="10" t="str">
        <f>Catalog!A437</f>
        <v/>
      </c>
      <c r="B437" s="10" t="str">
        <f>Catalog!C437</f>
        <v/>
      </c>
      <c r="C437" s="10">
        <f>Catalog!D437</f>
        <v>0</v>
      </c>
      <c r="D437" s="10">
        <f>Catalog!N437</f>
        <v>0</v>
      </c>
      <c r="E437" s="10">
        <f>Catalog!F437</f>
        <v>0</v>
      </c>
      <c r="F437" s="10" t="str">
        <f>IF(Catalog!W437="","",Catalog!W437&amp;" "&amp;Catalog!X437)</f>
        <v/>
      </c>
      <c r="G437" s="11"/>
    </row>
    <row r="438" spans="1:7" x14ac:dyDescent="0.25">
      <c r="A438" s="10" t="str">
        <f>Catalog!A438</f>
        <v/>
      </c>
      <c r="B438" s="10" t="str">
        <f>Catalog!C438</f>
        <v/>
      </c>
      <c r="C438" s="10">
        <f>Catalog!D438</f>
        <v>0</v>
      </c>
      <c r="D438" s="10">
        <f>Catalog!N438</f>
        <v>0</v>
      </c>
      <c r="E438" s="10">
        <f>Catalog!F438</f>
        <v>0</v>
      </c>
      <c r="F438" s="10" t="str">
        <f>IF(Catalog!W438="","",Catalog!W438&amp;" "&amp;Catalog!X438)</f>
        <v/>
      </c>
      <c r="G438" s="11"/>
    </row>
    <row r="439" spans="1:7" x14ac:dyDescent="0.25">
      <c r="A439" s="10" t="str">
        <f>Catalog!A439</f>
        <v/>
      </c>
      <c r="B439" s="10" t="str">
        <f>Catalog!C439</f>
        <v/>
      </c>
      <c r="C439" s="10">
        <f>Catalog!D439</f>
        <v>0</v>
      </c>
      <c r="D439" s="10">
        <f>Catalog!N439</f>
        <v>0</v>
      </c>
      <c r="E439" s="10">
        <f>Catalog!F439</f>
        <v>0</v>
      </c>
      <c r="F439" s="10" t="str">
        <f>IF(Catalog!W439="","",Catalog!W439&amp;" "&amp;Catalog!X439)</f>
        <v/>
      </c>
      <c r="G439" s="11"/>
    </row>
    <row r="440" spans="1:7" x14ac:dyDescent="0.25">
      <c r="A440" s="10" t="str">
        <f>Catalog!A440</f>
        <v/>
      </c>
      <c r="B440" s="10" t="str">
        <f>Catalog!C440</f>
        <v/>
      </c>
      <c r="C440" s="10">
        <f>Catalog!D440</f>
        <v>0</v>
      </c>
      <c r="D440" s="10">
        <f>Catalog!N440</f>
        <v>0</v>
      </c>
      <c r="E440" s="10">
        <f>Catalog!F440</f>
        <v>0</v>
      </c>
      <c r="F440" s="10" t="str">
        <f>IF(Catalog!W440="","",Catalog!W440&amp;" "&amp;Catalog!X440)</f>
        <v/>
      </c>
      <c r="G440" s="11"/>
    </row>
    <row r="441" spans="1:7" x14ac:dyDescent="0.25">
      <c r="A441" s="10" t="str">
        <f>Catalog!A441</f>
        <v/>
      </c>
      <c r="B441" s="10" t="str">
        <f>Catalog!C441</f>
        <v/>
      </c>
      <c r="C441" s="10">
        <f>Catalog!D441</f>
        <v>0</v>
      </c>
      <c r="D441" s="10">
        <f>Catalog!N441</f>
        <v>0</v>
      </c>
      <c r="E441" s="10">
        <f>Catalog!F441</f>
        <v>0</v>
      </c>
      <c r="F441" s="10" t="str">
        <f>IF(Catalog!W441="","",Catalog!W441&amp;" "&amp;Catalog!X441)</f>
        <v/>
      </c>
      <c r="G441" s="11"/>
    </row>
    <row r="442" spans="1:7" x14ac:dyDescent="0.25">
      <c r="A442" s="10" t="str">
        <f>Catalog!A442</f>
        <v/>
      </c>
      <c r="B442" s="10" t="str">
        <f>Catalog!C442</f>
        <v/>
      </c>
      <c r="C442" s="10">
        <f>Catalog!D442</f>
        <v>0</v>
      </c>
      <c r="D442" s="10">
        <f>Catalog!N442</f>
        <v>0</v>
      </c>
      <c r="E442" s="10">
        <f>Catalog!F442</f>
        <v>0</v>
      </c>
      <c r="F442" s="10" t="str">
        <f>IF(Catalog!W442="","",Catalog!W442&amp;" "&amp;Catalog!X442)</f>
        <v/>
      </c>
      <c r="G442" s="11"/>
    </row>
    <row r="443" spans="1:7" x14ac:dyDescent="0.25">
      <c r="A443" s="10" t="str">
        <f>Catalog!A443</f>
        <v/>
      </c>
      <c r="B443" s="10" t="str">
        <f>Catalog!C443</f>
        <v/>
      </c>
      <c r="C443" s="10">
        <f>Catalog!D443</f>
        <v>0</v>
      </c>
      <c r="D443" s="10">
        <f>Catalog!N443</f>
        <v>0</v>
      </c>
      <c r="E443" s="10">
        <f>Catalog!F443</f>
        <v>0</v>
      </c>
      <c r="F443" s="10" t="str">
        <f>IF(Catalog!W443="","",Catalog!W443&amp;" "&amp;Catalog!X443)</f>
        <v/>
      </c>
      <c r="G443" s="11"/>
    </row>
    <row r="444" spans="1:7" x14ac:dyDescent="0.25">
      <c r="A444" s="10" t="str">
        <f>Catalog!A444</f>
        <v/>
      </c>
      <c r="B444" s="10" t="str">
        <f>Catalog!C444</f>
        <v/>
      </c>
      <c r="C444" s="10">
        <f>Catalog!D444</f>
        <v>0</v>
      </c>
      <c r="D444" s="10">
        <f>Catalog!N444</f>
        <v>0</v>
      </c>
      <c r="E444" s="10">
        <f>Catalog!F444</f>
        <v>0</v>
      </c>
      <c r="F444" s="10" t="str">
        <f>IF(Catalog!W444="","",Catalog!W444&amp;" "&amp;Catalog!X444)</f>
        <v/>
      </c>
      <c r="G444" s="11"/>
    </row>
    <row r="445" spans="1:7" x14ac:dyDescent="0.25">
      <c r="A445" s="10" t="str">
        <f>Catalog!A445</f>
        <v/>
      </c>
      <c r="B445" s="10" t="str">
        <f>Catalog!C445</f>
        <v/>
      </c>
      <c r="C445" s="10">
        <f>Catalog!D445</f>
        <v>0</v>
      </c>
      <c r="D445" s="10">
        <f>Catalog!N445</f>
        <v>0</v>
      </c>
      <c r="E445" s="10">
        <f>Catalog!F445</f>
        <v>0</v>
      </c>
      <c r="F445" s="10" t="str">
        <f>IF(Catalog!W445="","",Catalog!W445&amp;" "&amp;Catalog!X445)</f>
        <v/>
      </c>
      <c r="G445" s="11"/>
    </row>
    <row r="446" spans="1:7" x14ac:dyDescent="0.25">
      <c r="A446" s="10" t="str">
        <f>Catalog!A446</f>
        <v/>
      </c>
      <c r="B446" s="10" t="str">
        <f>Catalog!C446</f>
        <v/>
      </c>
      <c r="C446" s="10">
        <f>Catalog!D446</f>
        <v>0</v>
      </c>
      <c r="D446" s="10">
        <f>Catalog!N446</f>
        <v>0</v>
      </c>
      <c r="E446" s="10">
        <f>Catalog!F446</f>
        <v>0</v>
      </c>
      <c r="F446" s="10" t="str">
        <f>IF(Catalog!W446="","",Catalog!W446&amp;" "&amp;Catalog!X446)</f>
        <v/>
      </c>
      <c r="G446" s="11"/>
    </row>
    <row r="447" spans="1:7" x14ac:dyDescent="0.25">
      <c r="A447" s="10" t="str">
        <f>Catalog!A447</f>
        <v/>
      </c>
      <c r="B447" s="10" t="str">
        <f>Catalog!C447</f>
        <v/>
      </c>
      <c r="C447" s="10">
        <f>Catalog!D447</f>
        <v>0</v>
      </c>
      <c r="D447" s="10">
        <f>Catalog!N447</f>
        <v>0</v>
      </c>
      <c r="E447" s="10">
        <f>Catalog!F447</f>
        <v>0</v>
      </c>
      <c r="F447" s="10" t="str">
        <f>IF(Catalog!W447="","",Catalog!W447&amp;" "&amp;Catalog!X447)</f>
        <v/>
      </c>
      <c r="G447" s="11"/>
    </row>
    <row r="448" spans="1:7" x14ac:dyDescent="0.25">
      <c r="A448" s="10" t="str">
        <f>Catalog!A448</f>
        <v/>
      </c>
      <c r="B448" s="10" t="str">
        <f>Catalog!C448</f>
        <v/>
      </c>
      <c r="C448" s="10">
        <f>Catalog!D448</f>
        <v>0</v>
      </c>
      <c r="D448" s="10">
        <f>Catalog!N448</f>
        <v>0</v>
      </c>
      <c r="E448" s="10">
        <f>Catalog!F448</f>
        <v>0</v>
      </c>
      <c r="F448" s="10" t="str">
        <f>IF(Catalog!W448="","",Catalog!W448&amp;" "&amp;Catalog!X448)</f>
        <v/>
      </c>
      <c r="G448" s="11"/>
    </row>
    <row r="449" spans="1:7" x14ac:dyDescent="0.25">
      <c r="A449" s="10" t="str">
        <f>Catalog!A449</f>
        <v/>
      </c>
      <c r="B449" s="10" t="str">
        <f>Catalog!C449</f>
        <v/>
      </c>
      <c r="C449" s="10">
        <f>Catalog!D449</f>
        <v>0</v>
      </c>
      <c r="D449" s="10">
        <f>Catalog!N449</f>
        <v>0</v>
      </c>
      <c r="E449" s="10">
        <f>Catalog!F449</f>
        <v>0</v>
      </c>
      <c r="F449" s="10" t="str">
        <f>IF(Catalog!W449="","",Catalog!W449&amp;" "&amp;Catalog!X449)</f>
        <v/>
      </c>
      <c r="G449" s="11"/>
    </row>
    <row r="450" spans="1:7" x14ac:dyDescent="0.25">
      <c r="A450" s="10" t="str">
        <f>Catalog!A450</f>
        <v/>
      </c>
      <c r="B450" s="10" t="str">
        <f>Catalog!C450</f>
        <v/>
      </c>
      <c r="C450" s="10">
        <f>Catalog!D450</f>
        <v>0</v>
      </c>
      <c r="D450" s="10">
        <f>Catalog!N450</f>
        <v>0</v>
      </c>
      <c r="E450" s="10">
        <f>Catalog!F450</f>
        <v>0</v>
      </c>
      <c r="F450" s="10" t="str">
        <f>IF(Catalog!W450="","",Catalog!W450&amp;" "&amp;Catalog!X450)</f>
        <v/>
      </c>
      <c r="G450" s="11"/>
    </row>
    <row r="451" spans="1:7" x14ac:dyDescent="0.25">
      <c r="A451" s="10" t="str">
        <f>Catalog!A451</f>
        <v/>
      </c>
      <c r="B451" s="10" t="str">
        <f>Catalog!C451</f>
        <v/>
      </c>
      <c r="C451" s="10">
        <f>Catalog!D451</f>
        <v>0</v>
      </c>
      <c r="D451" s="10">
        <f>Catalog!N451</f>
        <v>0</v>
      </c>
      <c r="E451" s="10">
        <f>Catalog!F451</f>
        <v>0</v>
      </c>
      <c r="F451" s="10" t="str">
        <f>IF(Catalog!W451="","",Catalog!W451&amp;" "&amp;Catalog!X451)</f>
        <v/>
      </c>
      <c r="G451" s="11"/>
    </row>
    <row r="452" spans="1:7" x14ac:dyDescent="0.25">
      <c r="A452" s="10" t="str">
        <f>Catalog!A452</f>
        <v/>
      </c>
      <c r="B452" s="10" t="str">
        <f>Catalog!C452</f>
        <v/>
      </c>
      <c r="C452" s="10">
        <f>Catalog!D452</f>
        <v>0</v>
      </c>
      <c r="D452" s="10">
        <f>Catalog!N452</f>
        <v>0</v>
      </c>
      <c r="E452" s="10">
        <f>Catalog!F452</f>
        <v>0</v>
      </c>
      <c r="F452" s="10" t="str">
        <f>IF(Catalog!W452="","",Catalog!W452&amp;" "&amp;Catalog!X452)</f>
        <v/>
      </c>
      <c r="G452" s="11"/>
    </row>
    <row r="453" spans="1:7" x14ac:dyDescent="0.25">
      <c r="A453" s="10" t="str">
        <f>Catalog!A453</f>
        <v/>
      </c>
      <c r="B453" s="10" t="str">
        <f>Catalog!C453</f>
        <v/>
      </c>
      <c r="C453" s="10">
        <f>Catalog!D453</f>
        <v>0</v>
      </c>
      <c r="D453" s="10">
        <f>Catalog!N453</f>
        <v>0</v>
      </c>
      <c r="E453" s="10">
        <f>Catalog!F453</f>
        <v>0</v>
      </c>
      <c r="F453" s="10" t="str">
        <f>IF(Catalog!W453="","",Catalog!W453&amp;" "&amp;Catalog!X453)</f>
        <v/>
      </c>
      <c r="G453" s="11"/>
    </row>
    <row r="454" spans="1:7" x14ac:dyDescent="0.25">
      <c r="A454" s="10" t="str">
        <f>Catalog!A454</f>
        <v/>
      </c>
      <c r="B454" s="10" t="str">
        <f>Catalog!C454</f>
        <v/>
      </c>
      <c r="C454" s="10">
        <f>Catalog!D454</f>
        <v>0</v>
      </c>
      <c r="D454" s="10">
        <f>Catalog!N454</f>
        <v>0</v>
      </c>
      <c r="E454" s="10">
        <f>Catalog!F454</f>
        <v>0</v>
      </c>
      <c r="F454" s="10" t="str">
        <f>IF(Catalog!W454="","",Catalog!W454&amp;" "&amp;Catalog!X454)</f>
        <v/>
      </c>
      <c r="G454" s="11"/>
    </row>
    <row r="455" spans="1:7" x14ac:dyDescent="0.25">
      <c r="A455" s="10" t="str">
        <f>Catalog!A455</f>
        <v/>
      </c>
      <c r="B455" s="10" t="str">
        <f>Catalog!C455</f>
        <v/>
      </c>
      <c r="C455" s="10">
        <f>Catalog!D455</f>
        <v>0</v>
      </c>
      <c r="D455" s="10">
        <f>Catalog!N455</f>
        <v>0</v>
      </c>
      <c r="E455" s="10">
        <f>Catalog!F455</f>
        <v>0</v>
      </c>
      <c r="F455" s="10" t="str">
        <f>IF(Catalog!W455="","",Catalog!W455&amp;" "&amp;Catalog!X455)</f>
        <v/>
      </c>
      <c r="G455" s="11"/>
    </row>
    <row r="456" spans="1:7" x14ac:dyDescent="0.25">
      <c r="A456" s="10" t="str">
        <f>Catalog!A456</f>
        <v/>
      </c>
      <c r="B456" s="10" t="str">
        <f>Catalog!C456</f>
        <v/>
      </c>
      <c r="C456" s="10">
        <f>Catalog!D456</f>
        <v>0</v>
      </c>
      <c r="D456" s="10">
        <f>Catalog!N456</f>
        <v>0</v>
      </c>
      <c r="E456" s="10">
        <f>Catalog!F456</f>
        <v>0</v>
      </c>
      <c r="F456" s="10" t="str">
        <f>IF(Catalog!W456="","",Catalog!W456&amp;" "&amp;Catalog!X456)</f>
        <v/>
      </c>
      <c r="G456" s="11"/>
    </row>
    <row r="457" spans="1:7" x14ac:dyDescent="0.25">
      <c r="A457" s="10" t="str">
        <f>Catalog!A457</f>
        <v/>
      </c>
      <c r="B457" s="10" t="str">
        <f>Catalog!C457</f>
        <v/>
      </c>
      <c r="C457" s="10">
        <f>Catalog!D457</f>
        <v>0</v>
      </c>
      <c r="D457" s="10">
        <f>Catalog!N457</f>
        <v>0</v>
      </c>
      <c r="E457" s="10">
        <f>Catalog!F457</f>
        <v>0</v>
      </c>
      <c r="F457" s="10" t="str">
        <f>IF(Catalog!W457="","",Catalog!W457&amp;" "&amp;Catalog!X457)</f>
        <v/>
      </c>
      <c r="G457" s="11"/>
    </row>
    <row r="458" spans="1:7" x14ac:dyDescent="0.25">
      <c r="A458" s="10" t="str">
        <f>Catalog!A458</f>
        <v/>
      </c>
      <c r="B458" s="10" t="str">
        <f>Catalog!C458</f>
        <v/>
      </c>
      <c r="C458" s="10">
        <f>Catalog!D458</f>
        <v>0</v>
      </c>
      <c r="D458" s="10">
        <f>Catalog!N458</f>
        <v>0</v>
      </c>
      <c r="E458" s="10">
        <f>Catalog!F458</f>
        <v>0</v>
      </c>
      <c r="F458" s="10" t="str">
        <f>IF(Catalog!W458="","",Catalog!W458&amp;" "&amp;Catalog!X458)</f>
        <v/>
      </c>
      <c r="G458" s="11"/>
    </row>
    <row r="459" spans="1:7" x14ac:dyDescent="0.25">
      <c r="A459" s="10" t="str">
        <f>Catalog!A459</f>
        <v/>
      </c>
      <c r="B459" s="10" t="str">
        <f>Catalog!C459</f>
        <v/>
      </c>
      <c r="C459" s="10">
        <f>Catalog!D459</f>
        <v>0</v>
      </c>
      <c r="D459" s="10">
        <f>Catalog!N459</f>
        <v>0</v>
      </c>
      <c r="E459" s="10">
        <f>Catalog!F459</f>
        <v>0</v>
      </c>
      <c r="F459" s="10" t="str">
        <f>IF(Catalog!W459="","",Catalog!W459&amp;" "&amp;Catalog!X459)</f>
        <v/>
      </c>
      <c r="G459" s="11"/>
    </row>
    <row r="460" spans="1:7" x14ac:dyDescent="0.25">
      <c r="A460" s="10" t="str">
        <f>Catalog!A460</f>
        <v/>
      </c>
      <c r="B460" s="10" t="str">
        <f>Catalog!C460</f>
        <v/>
      </c>
      <c r="C460" s="10">
        <f>Catalog!D460</f>
        <v>0</v>
      </c>
      <c r="D460" s="10">
        <f>Catalog!N460</f>
        <v>0</v>
      </c>
      <c r="E460" s="10">
        <f>Catalog!F460</f>
        <v>0</v>
      </c>
      <c r="F460" s="10" t="str">
        <f>IF(Catalog!W460="","",Catalog!W460&amp;" "&amp;Catalog!X460)</f>
        <v/>
      </c>
      <c r="G460" s="11"/>
    </row>
    <row r="461" spans="1:7" x14ac:dyDescent="0.25">
      <c r="A461" s="10" t="str">
        <f>Catalog!A461</f>
        <v/>
      </c>
      <c r="B461" s="10" t="str">
        <f>Catalog!C461</f>
        <v/>
      </c>
      <c r="C461" s="10">
        <f>Catalog!D461</f>
        <v>0</v>
      </c>
      <c r="D461" s="10">
        <f>Catalog!N461</f>
        <v>0</v>
      </c>
      <c r="E461" s="10">
        <f>Catalog!F461</f>
        <v>0</v>
      </c>
      <c r="F461" s="10" t="str">
        <f>IF(Catalog!W461="","",Catalog!W461&amp;" "&amp;Catalog!X461)</f>
        <v/>
      </c>
      <c r="G461" s="11"/>
    </row>
    <row r="462" spans="1:7" x14ac:dyDescent="0.25">
      <c r="A462" s="10" t="str">
        <f>Catalog!A462</f>
        <v/>
      </c>
      <c r="B462" s="10" t="str">
        <f>Catalog!C462</f>
        <v/>
      </c>
      <c r="C462" s="10">
        <f>Catalog!D462</f>
        <v>0</v>
      </c>
      <c r="D462" s="10">
        <f>Catalog!N462</f>
        <v>0</v>
      </c>
      <c r="E462" s="10">
        <f>Catalog!F462</f>
        <v>0</v>
      </c>
      <c r="F462" s="10" t="str">
        <f>IF(Catalog!W462="","",Catalog!W462&amp;" "&amp;Catalog!X462)</f>
        <v/>
      </c>
      <c r="G462" s="11"/>
    </row>
    <row r="463" spans="1:7" x14ac:dyDescent="0.25">
      <c r="A463" s="10" t="str">
        <f>Catalog!A463</f>
        <v/>
      </c>
      <c r="B463" s="10" t="str">
        <f>Catalog!C463</f>
        <v/>
      </c>
      <c r="C463" s="10">
        <f>Catalog!D463</f>
        <v>0</v>
      </c>
      <c r="D463" s="10">
        <f>Catalog!N463</f>
        <v>0</v>
      </c>
      <c r="E463" s="10">
        <f>Catalog!F463</f>
        <v>0</v>
      </c>
      <c r="F463" s="10" t="str">
        <f>IF(Catalog!W463="","",Catalog!W463&amp;" "&amp;Catalog!X463)</f>
        <v/>
      </c>
      <c r="G463" s="11"/>
    </row>
    <row r="464" spans="1:7" x14ac:dyDescent="0.25">
      <c r="A464" s="10" t="str">
        <f>Catalog!A464</f>
        <v/>
      </c>
      <c r="B464" s="10" t="str">
        <f>Catalog!C464</f>
        <v/>
      </c>
      <c r="C464" s="10">
        <f>Catalog!D464</f>
        <v>0</v>
      </c>
      <c r="D464" s="10">
        <f>Catalog!N464</f>
        <v>0</v>
      </c>
      <c r="E464" s="10">
        <f>Catalog!F464</f>
        <v>0</v>
      </c>
      <c r="F464" s="10" t="str">
        <f>IF(Catalog!W464="","",Catalog!W464&amp;" "&amp;Catalog!X464)</f>
        <v/>
      </c>
      <c r="G464" s="11"/>
    </row>
    <row r="465" spans="1:7" x14ac:dyDescent="0.25">
      <c r="A465" s="10" t="str">
        <f>Catalog!A465</f>
        <v/>
      </c>
      <c r="B465" s="10" t="str">
        <f>Catalog!C465</f>
        <v/>
      </c>
      <c r="C465" s="10">
        <f>Catalog!D465</f>
        <v>0</v>
      </c>
      <c r="D465" s="10">
        <f>Catalog!N465</f>
        <v>0</v>
      </c>
      <c r="E465" s="10">
        <f>Catalog!F465</f>
        <v>0</v>
      </c>
      <c r="F465" s="10" t="str">
        <f>IF(Catalog!W465="","",Catalog!W465&amp;" "&amp;Catalog!X465)</f>
        <v/>
      </c>
      <c r="G465" s="11"/>
    </row>
    <row r="466" spans="1:7" x14ac:dyDescent="0.25">
      <c r="A466" s="10" t="str">
        <f>Catalog!A466</f>
        <v/>
      </c>
      <c r="B466" s="10" t="str">
        <f>Catalog!C466</f>
        <v/>
      </c>
      <c r="C466" s="10">
        <f>Catalog!D466</f>
        <v>0</v>
      </c>
      <c r="D466" s="10">
        <f>Catalog!N466</f>
        <v>0</v>
      </c>
      <c r="E466" s="10">
        <f>Catalog!F466</f>
        <v>0</v>
      </c>
      <c r="F466" s="10" t="str">
        <f>IF(Catalog!W466="","",Catalog!W466&amp;" "&amp;Catalog!X466)</f>
        <v/>
      </c>
      <c r="G466" s="11"/>
    </row>
    <row r="467" spans="1:7" x14ac:dyDescent="0.25">
      <c r="A467" s="10" t="str">
        <f>Catalog!A467</f>
        <v/>
      </c>
      <c r="B467" s="10" t="str">
        <f>Catalog!C467</f>
        <v/>
      </c>
      <c r="C467" s="10">
        <f>Catalog!D467</f>
        <v>0</v>
      </c>
      <c r="D467" s="10">
        <f>Catalog!N467</f>
        <v>0</v>
      </c>
      <c r="E467" s="10">
        <f>Catalog!F467</f>
        <v>0</v>
      </c>
      <c r="F467" s="10" t="str">
        <f>IF(Catalog!W467="","",Catalog!W467&amp;" "&amp;Catalog!X467)</f>
        <v/>
      </c>
      <c r="G467" s="11"/>
    </row>
    <row r="468" spans="1:7" x14ac:dyDescent="0.25">
      <c r="A468" s="10" t="str">
        <f>Catalog!A468</f>
        <v/>
      </c>
      <c r="B468" s="10" t="str">
        <f>Catalog!C468</f>
        <v/>
      </c>
      <c r="C468" s="10">
        <f>Catalog!D468</f>
        <v>0</v>
      </c>
      <c r="D468" s="10">
        <f>Catalog!N468</f>
        <v>0</v>
      </c>
      <c r="E468" s="10">
        <f>Catalog!F468</f>
        <v>0</v>
      </c>
      <c r="F468" s="10" t="str">
        <f>IF(Catalog!W468="","",Catalog!W468&amp;" "&amp;Catalog!X468)</f>
        <v/>
      </c>
      <c r="G468" s="11"/>
    </row>
    <row r="469" spans="1:7" x14ac:dyDescent="0.25">
      <c r="A469" s="10" t="str">
        <f>Catalog!A469</f>
        <v/>
      </c>
      <c r="B469" s="10" t="str">
        <f>Catalog!C469</f>
        <v/>
      </c>
      <c r="C469" s="10">
        <f>Catalog!D469</f>
        <v>0</v>
      </c>
      <c r="D469" s="10">
        <f>Catalog!N469</f>
        <v>0</v>
      </c>
      <c r="E469" s="10">
        <f>Catalog!F469</f>
        <v>0</v>
      </c>
      <c r="F469" s="10" t="str">
        <f>IF(Catalog!W469="","",Catalog!W469&amp;" "&amp;Catalog!X469)</f>
        <v/>
      </c>
      <c r="G469" s="11"/>
    </row>
    <row r="470" spans="1:7" x14ac:dyDescent="0.25">
      <c r="A470" s="10" t="str">
        <f>Catalog!A470</f>
        <v/>
      </c>
      <c r="B470" s="10" t="str">
        <f>Catalog!C470</f>
        <v/>
      </c>
      <c r="C470" s="10">
        <f>Catalog!D470</f>
        <v>0</v>
      </c>
      <c r="D470" s="10">
        <f>Catalog!N470</f>
        <v>0</v>
      </c>
      <c r="E470" s="10">
        <f>Catalog!F470</f>
        <v>0</v>
      </c>
      <c r="F470" s="10" t="str">
        <f>IF(Catalog!W470="","",Catalog!W470&amp;" "&amp;Catalog!X470)</f>
        <v/>
      </c>
      <c r="G470" s="11"/>
    </row>
    <row r="471" spans="1:7" x14ac:dyDescent="0.25">
      <c r="A471" s="10" t="str">
        <f>Catalog!A471</f>
        <v/>
      </c>
      <c r="B471" s="10" t="str">
        <f>Catalog!C471</f>
        <v/>
      </c>
      <c r="C471" s="10">
        <f>Catalog!D471</f>
        <v>0</v>
      </c>
      <c r="D471" s="10">
        <f>Catalog!N471</f>
        <v>0</v>
      </c>
      <c r="E471" s="10">
        <f>Catalog!F471</f>
        <v>0</v>
      </c>
      <c r="F471" s="10" t="str">
        <f>IF(Catalog!W471="","",Catalog!W471&amp;" "&amp;Catalog!X471)</f>
        <v/>
      </c>
      <c r="G471" s="11"/>
    </row>
    <row r="472" spans="1:7" x14ac:dyDescent="0.25">
      <c r="A472" s="10" t="str">
        <f>Catalog!A472</f>
        <v/>
      </c>
      <c r="B472" s="10" t="str">
        <f>Catalog!C472</f>
        <v/>
      </c>
      <c r="C472" s="10">
        <f>Catalog!D472</f>
        <v>0</v>
      </c>
      <c r="D472" s="10">
        <f>Catalog!N472</f>
        <v>0</v>
      </c>
      <c r="E472" s="10">
        <f>Catalog!F472</f>
        <v>0</v>
      </c>
      <c r="F472" s="10" t="str">
        <f>IF(Catalog!W472="","",Catalog!W472&amp;" "&amp;Catalog!X472)</f>
        <v/>
      </c>
      <c r="G472" s="11"/>
    </row>
    <row r="473" spans="1:7" x14ac:dyDescent="0.25">
      <c r="A473" s="10" t="str">
        <f>Catalog!A473</f>
        <v/>
      </c>
      <c r="B473" s="10" t="str">
        <f>Catalog!C473</f>
        <v/>
      </c>
      <c r="C473" s="10">
        <f>Catalog!D473</f>
        <v>0</v>
      </c>
      <c r="D473" s="10">
        <f>Catalog!N473</f>
        <v>0</v>
      </c>
      <c r="E473" s="10">
        <f>Catalog!F473</f>
        <v>0</v>
      </c>
      <c r="F473" s="10" t="str">
        <f>IF(Catalog!W473="","",Catalog!W473&amp;" "&amp;Catalog!X473)</f>
        <v/>
      </c>
      <c r="G473" s="11"/>
    </row>
    <row r="474" spans="1:7" x14ac:dyDescent="0.25">
      <c r="A474" s="10" t="str">
        <f>Catalog!A474</f>
        <v/>
      </c>
      <c r="B474" s="10" t="str">
        <f>Catalog!C474</f>
        <v/>
      </c>
      <c r="C474" s="10">
        <f>Catalog!D474</f>
        <v>0</v>
      </c>
      <c r="D474" s="10">
        <f>Catalog!N474</f>
        <v>0</v>
      </c>
      <c r="E474" s="10">
        <f>Catalog!F474</f>
        <v>0</v>
      </c>
      <c r="F474" s="10" t="str">
        <f>IF(Catalog!W474="","",Catalog!W474&amp;" "&amp;Catalog!X474)</f>
        <v/>
      </c>
      <c r="G474" s="11"/>
    </row>
    <row r="475" spans="1:7" x14ac:dyDescent="0.25">
      <c r="A475" s="10" t="str">
        <f>Catalog!A475</f>
        <v/>
      </c>
      <c r="B475" s="10" t="str">
        <f>Catalog!C475</f>
        <v/>
      </c>
      <c r="C475" s="10">
        <f>Catalog!D475</f>
        <v>0</v>
      </c>
      <c r="D475" s="10">
        <f>Catalog!N475</f>
        <v>0</v>
      </c>
      <c r="E475" s="10">
        <f>Catalog!F475</f>
        <v>0</v>
      </c>
      <c r="F475" s="10" t="str">
        <f>IF(Catalog!W475="","",Catalog!W475&amp;" "&amp;Catalog!X475)</f>
        <v/>
      </c>
      <c r="G475" s="11"/>
    </row>
    <row r="476" spans="1:7" x14ac:dyDescent="0.25">
      <c r="A476" s="10" t="str">
        <f>Catalog!A476</f>
        <v/>
      </c>
      <c r="B476" s="10" t="str">
        <f>Catalog!C476</f>
        <v/>
      </c>
      <c r="C476" s="10">
        <f>Catalog!D476</f>
        <v>0</v>
      </c>
      <c r="D476" s="10">
        <f>Catalog!N476</f>
        <v>0</v>
      </c>
      <c r="E476" s="10">
        <f>Catalog!F476</f>
        <v>0</v>
      </c>
      <c r="F476" s="10" t="str">
        <f>IF(Catalog!W476="","",Catalog!W476&amp;" "&amp;Catalog!X476)</f>
        <v/>
      </c>
      <c r="G476" s="11"/>
    </row>
    <row r="477" spans="1:7" x14ac:dyDescent="0.25">
      <c r="A477" s="10" t="str">
        <f>Catalog!A477</f>
        <v/>
      </c>
      <c r="B477" s="10" t="str">
        <f>Catalog!C477</f>
        <v/>
      </c>
      <c r="C477" s="10">
        <f>Catalog!D477</f>
        <v>0</v>
      </c>
      <c r="D477" s="10">
        <f>Catalog!N477</f>
        <v>0</v>
      </c>
      <c r="E477" s="10">
        <f>Catalog!F477</f>
        <v>0</v>
      </c>
      <c r="F477" s="10" t="str">
        <f>IF(Catalog!W477="","",Catalog!W477&amp;" "&amp;Catalog!X477)</f>
        <v/>
      </c>
      <c r="G477" s="11"/>
    </row>
    <row r="478" spans="1:7" x14ac:dyDescent="0.25">
      <c r="A478" s="10" t="str">
        <f>Catalog!A478</f>
        <v/>
      </c>
      <c r="B478" s="10" t="str">
        <f>Catalog!C478</f>
        <v/>
      </c>
      <c r="C478" s="10">
        <f>Catalog!D478</f>
        <v>0</v>
      </c>
      <c r="D478" s="10">
        <f>Catalog!N478</f>
        <v>0</v>
      </c>
      <c r="E478" s="10">
        <f>Catalog!F478</f>
        <v>0</v>
      </c>
      <c r="F478" s="10" t="str">
        <f>IF(Catalog!W478="","",Catalog!W478&amp;" "&amp;Catalog!X478)</f>
        <v/>
      </c>
      <c r="G478" s="11"/>
    </row>
    <row r="479" spans="1:7" x14ac:dyDescent="0.25">
      <c r="A479" s="10" t="str">
        <f>Catalog!A479</f>
        <v/>
      </c>
      <c r="B479" s="10" t="str">
        <f>Catalog!C479</f>
        <v/>
      </c>
      <c r="C479" s="10">
        <f>Catalog!D479</f>
        <v>0</v>
      </c>
      <c r="D479" s="10">
        <f>Catalog!N479</f>
        <v>0</v>
      </c>
      <c r="E479" s="10">
        <f>Catalog!F479</f>
        <v>0</v>
      </c>
      <c r="F479" s="10" t="str">
        <f>IF(Catalog!W479="","",Catalog!W479&amp;" "&amp;Catalog!X479)</f>
        <v/>
      </c>
      <c r="G479" s="11"/>
    </row>
    <row r="480" spans="1:7" x14ac:dyDescent="0.25">
      <c r="A480" s="10" t="str">
        <f>Catalog!A480</f>
        <v/>
      </c>
      <c r="B480" s="10" t="str">
        <f>Catalog!C480</f>
        <v/>
      </c>
      <c r="C480" s="10">
        <f>Catalog!D480</f>
        <v>0</v>
      </c>
      <c r="D480" s="10">
        <f>Catalog!N480</f>
        <v>0</v>
      </c>
      <c r="E480" s="10">
        <f>Catalog!F480</f>
        <v>0</v>
      </c>
      <c r="F480" s="10" t="str">
        <f>IF(Catalog!W480="","",Catalog!W480&amp;" "&amp;Catalog!X480)</f>
        <v/>
      </c>
      <c r="G480" s="11"/>
    </row>
    <row r="481" spans="1:7" x14ac:dyDescent="0.25">
      <c r="A481" s="10" t="str">
        <f>Catalog!A481</f>
        <v/>
      </c>
      <c r="B481" s="10" t="str">
        <f>Catalog!C481</f>
        <v/>
      </c>
      <c r="C481" s="10">
        <f>Catalog!D481</f>
        <v>0</v>
      </c>
      <c r="D481" s="10">
        <f>Catalog!N481</f>
        <v>0</v>
      </c>
      <c r="E481" s="10">
        <f>Catalog!F481</f>
        <v>0</v>
      </c>
      <c r="F481" s="10" t="str">
        <f>IF(Catalog!W481="","",Catalog!W481&amp;" "&amp;Catalog!X481)</f>
        <v/>
      </c>
      <c r="G481" s="11"/>
    </row>
    <row r="482" spans="1:7" x14ac:dyDescent="0.25">
      <c r="A482" s="10" t="str">
        <f>Catalog!A482</f>
        <v/>
      </c>
      <c r="B482" s="10" t="str">
        <f>Catalog!C482</f>
        <v/>
      </c>
      <c r="C482" s="10">
        <f>Catalog!D482</f>
        <v>0</v>
      </c>
      <c r="D482" s="10">
        <f>Catalog!N482</f>
        <v>0</v>
      </c>
      <c r="E482" s="10">
        <f>Catalog!F482</f>
        <v>0</v>
      </c>
      <c r="F482" s="10" t="str">
        <f>IF(Catalog!W482="","",Catalog!W482&amp;" "&amp;Catalog!X482)</f>
        <v/>
      </c>
      <c r="G482" s="11"/>
    </row>
    <row r="483" spans="1:7" x14ac:dyDescent="0.25">
      <c r="A483" s="10" t="str">
        <f>Catalog!A483</f>
        <v/>
      </c>
      <c r="B483" s="10" t="str">
        <f>Catalog!C483</f>
        <v/>
      </c>
      <c r="C483" s="10">
        <f>Catalog!D483</f>
        <v>0</v>
      </c>
      <c r="D483" s="10">
        <f>Catalog!N483</f>
        <v>0</v>
      </c>
      <c r="E483" s="10">
        <f>Catalog!F483</f>
        <v>0</v>
      </c>
      <c r="F483" s="10" t="str">
        <f>IF(Catalog!W483="","",Catalog!W483&amp;" "&amp;Catalog!X483)</f>
        <v/>
      </c>
      <c r="G483" s="11"/>
    </row>
    <row r="484" spans="1:7" x14ac:dyDescent="0.25">
      <c r="A484" s="10" t="str">
        <f>Catalog!A484</f>
        <v/>
      </c>
      <c r="B484" s="10" t="str">
        <f>Catalog!C484</f>
        <v/>
      </c>
      <c r="C484" s="10">
        <f>Catalog!D484</f>
        <v>0</v>
      </c>
      <c r="D484" s="10">
        <f>Catalog!N484</f>
        <v>0</v>
      </c>
      <c r="E484" s="10">
        <f>Catalog!F484</f>
        <v>0</v>
      </c>
      <c r="F484" s="10" t="str">
        <f>IF(Catalog!W484="","",Catalog!W484&amp;" "&amp;Catalog!X484)</f>
        <v/>
      </c>
      <c r="G484" s="11"/>
    </row>
    <row r="485" spans="1:7" x14ac:dyDescent="0.25">
      <c r="A485" s="10" t="str">
        <f>Catalog!A485</f>
        <v/>
      </c>
      <c r="B485" s="10" t="str">
        <f>Catalog!C485</f>
        <v/>
      </c>
      <c r="C485" s="10">
        <f>Catalog!D485</f>
        <v>0</v>
      </c>
      <c r="D485" s="10">
        <f>Catalog!N485</f>
        <v>0</v>
      </c>
      <c r="E485" s="10">
        <f>Catalog!F485</f>
        <v>0</v>
      </c>
      <c r="F485" s="10" t="str">
        <f>IF(Catalog!W485="","",Catalog!W485&amp;" "&amp;Catalog!X485)</f>
        <v/>
      </c>
      <c r="G485" s="11"/>
    </row>
    <row r="486" spans="1:7" x14ac:dyDescent="0.25">
      <c r="A486" s="10" t="str">
        <f>Catalog!A486</f>
        <v/>
      </c>
      <c r="B486" s="10" t="str">
        <f>Catalog!C486</f>
        <v/>
      </c>
      <c r="C486" s="10">
        <f>Catalog!D486</f>
        <v>0</v>
      </c>
      <c r="D486" s="10">
        <f>Catalog!N486</f>
        <v>0</v>
      </c>
      <c r="E486" s="10">
        <f>Catalog!F486</f>
        <v>0</v>
      </c>
      <c r="F486" s="10" t="str">
        <f>IF(Catalog!W486="","",Catalog!W486&amp;" "&amp;Catalog!X486)</f>
        <v/>
      </c>
      <c r="G486" s="11"/>
    </row>
    <row r="487" spans="1:7" x14ac:dyDescent="0.25">
      <c r="A487" s="10" t="str">
        <f>Catalog!A487</f>
        <v/>
      </c>
      <c r="B487" s="10" t="str">
        <f>Catalog!C487</f>
        <v/>
      </c>
      <c r="C487" s="10">
        <f>Catalog!D487</f>
        <v>0</v>
      </c>
      <c r="D487" s="10">
        <f>Catalog!N487</f>
        <v>0</v>
      </c>
      <c r="E487" s="10">
        <f>Catalog!F487</f>
        <v>0</v>
      </c>
      <c r="F487" s="10" t="str">
        <f>IF(Catalog!W487="","",Catalog!W487&amp;" "&amp;Catalog!X487)</f>
        <v/>
      </c>
      <c r="G487" s="11"/>
    </row>
    <row r="488" spans="1:7" x14ac:dyDescent="0.25">
      <c r="A488" s="10" t="str">
        <f>Catalog!A488</f>
        <v/>
      </c>
      <c r="B488" s="10" t="str">
        <f>Catalog!C488</f>
        <v/>
      </c>
      <c r="C488" s="10">
        <f>Catalog!D488</f>
        <v>0</v>
      </c>
      <c r="D488" s="10">
        <f>Catalog!N488</f>
        <v>0</v>
      </c>
      <c r="E488" s="10">
        <f>Catalog!F488</f>
        <v>0</v>
      </c>
      <c r="F488" s="10" t="str">
        <f>IF(Catalog!W488="","",Catalog!W488&amp;" "&amp;Catalog!X488)</f>
        <v/>
      </c>
      <c r="G488" s="11"/>
    </row>
    <row r="489" spans="1:7" x14ac:dyDescent="0.25">
      <c r="A489" s="10" t="str">
        <f>Catalog!A489</f>
        <v/>
      </c>
      <c r="B489" s="10" t="str">
        <f>Catalog!C489</f>
        <v/>
      </c>
      <c r="C489" s="10">
        <f>Catalog!D489</f>
        <v>0</v>
      </c>
      <c r="D489" s="10">
        <f>Catalog!N489</f>
        <v>0</v>
      </c>
      <c r="E489" s="10">
        <f>Catalog!F489</f>
        <v>0</v>
      </c>
      <c r="F489" s="10" t="str">
        <f>IF(Catalog!W489="","",Catalog!W489&amp;" "&amp;Catalog!X489)</f>
        <v/>
      </c>
      <c r="G489" s="11"/>
    </row>
    <row r="490" spans="1:7" x14ac:dyDescent="0.25">
      <c r="A490" s="10" t="str">
        <f>Catalog!A490</f>
        <v/>
      </c>
      <c r="B490" s="10" t="str">
        <f>Catalog!C490</f>
        <v/>
      </c>
      <c r="C490" s="10">
        <f>Catalog!D490</f>
        <v>0</v>
      </c>
      <c r="D490" s="10">
        <f>Catalog!N490</f>
        <v>0</v>
      </c>
      <c r="E490" s="10">
        <f>Catalog!F490</f>
        <v>0</v>
      </c>
      <c r="F490" s="10" t="str">
        <f>IF(Catalog!W490="","",Catalog!W490&amp;" "&amp;Catalog!X490)</f>
        <v/>
      </c>
      <c r="G490" s="11"/>
    </row>
    <row r="491" spans="1:7" x14ac:dyDescent="0.25">
      <c r="A491" s="10" t="str">
        <f>Catalog!A491</f>
        <v/>
      </c>
      <c r="B491" s="10" t="str">
        <f>Catalog!C491</f>
        <v/>
      </c>
      <c r="C491" s="10">
        <f>Catalog!D491</f>
        <v>0</v>
      </c>
      <c r="D491" s="10">
        <f>Catalog!N491</f>
        <v>0</v>
      </c>
      <c r="E491" s="10">
        <f>Catalog!F491</f>
        <v>0</v>
      </c>
      <c r="F491" s="10" t="str">
        <f>IF(Catalog!W491="","",Catalog!W491&amp;" "&amp;Catalog!X491)</f>
        <v/>
      </c>
      <c r="G491" s="11"/>
    </row>
    <row r="492" spans="1:7" x14ac:dyDescent="0.25">
      <c r="A492" s="10" t="str">
        <f>Catalog!A492</f>
        <v/>
      </c>
      <c r="B492" s="10" t="str">
        <f>Catalog!C492</f>
        <v/>
      </c>
      <c r="C492" s="10">
        <f>Catalog!D492</f>
        <v>0</v>
      </c>
      <c r="D492" s="10">
        <f>Catalog!N492</f>
        <v>0</v>
      </c>
      <c r="E492" s="10">
        <f>Catalog!F492</f>
        <v>0</v>
      </c>
      <c r="F492" s="10" t="str">
        <f>IF(Catalog!W492="","",Catalog!W492&amp;" "&amp;Catalog!X492)</f>
        <v/>
      </c>
      <c r="G492" s="11"/>
    </row>
    <row r="493" spans="1:7" x14ac:dyDescent="0.25">
      <c r="A493" s="10" t="str">
        <f>Catalog!A493</f>
        <v/>
      </c>
      <c r="B493" s="10" t="str">
        <f>Catalog!C493</f>
        <v/>
      </c>
      <c r="C493" s="10">
        <f>Catalog!D493</f>
        <v>0</v>
      </c>
      <c r="D493" s="10">
        <f>Catalog!N493</f>
        <v>0</v>
      </c>
      <c r="E493" s="10">
        <f>Catalog!F493</f>
        <v>0</v>
      </c>
      <c r="F493" s="10" t="str">
        <f>IF(Catalog!W493="","",Catalog!W493&amp;" "&amp;Catalog!X493)</f>
        <v/>
      </c>
      <c r="G493" s="11"/>
    </row>
    <row r="494" spans="1:7" x14ac:dyDescent="0.25">
      <c r="A494" s="10" t="str">
        <f>Catalog!A494</f>
        <v/>
      </c>
      <c r="B494" s="10" t="str">
        <f>Catalog!C494</f>
        <v/>
      </c>
      <c r="C494" s="10">
        <f>Catalog!D494</f>
        <v>0</v>
      </c>
      <c r="D494" s="10">
        <f>Catalog!N494</f>
        <v>0</v>
      </c>
      <c r="E494" s="10">
        <f>Catalog!F494</f>
        <v>0</v>
      </c>
      <c r="F494" s="10" t="str">
        <f>IF(Catalog!W494="","",Catalog!W494&amp;" "&amp;Catalog!X494)</f>
        <v/>
      </c>
      <c r="G494" s="11"/>
    </row>
    <row r="495" spans="1:7" x14ac:dyDescent="0.25">
      <c r="A495" s="10" t="str">
        <f>Catalog!A495</f>
        <v/>
      </c>
      <c r="B495" s="10" t="str">
        <f>Catalog!C495</f>
        <v/>
      </c>
      <c r="C495" s="10">
        <f>Catalog!D495</f>
        <v>0</v>
      </c>
      <c r="D495" s="10">
        <f>Catalog!N495</f>
        <v>0</v>
      </c>
      <c r="E495" s="10">
        <f>Catalog!F495</f>
        <v>0</v>
      </c>
      <c r="F495" s="10" t="str">
        <f>IF(Catalog!W495="","",Catalog!W495&amp;" "&amp;Catalog!X495)</f>
        <v/>
      </c>
      <c r="G495" s="11"/>
    </row>
    <row r="496" spans="1:7" x14ac:dyDescent="0.25">
      <c r="A496" s="10" t="str">
        <f>Catalog!A496</f>
        <v/>
      </c>
      <c r="B496" s="10" t="str">
        <f>Catalog!C496</f>
        <v/>
      </c>
      <c r="C496" s="10">
        <f>Catalog!D496</f>
        <v>0</v>
      </c>
      <c r="D496" s="10">
        <f>Catalog!N496</f>
        <v>0</v>
      </c>
      <c r="E496" s="10">
        <f>Catalog!F496</f>
        <v>0</v>
      </c>
      <c r="F496" s="10" t="str">
        <f>IF(Catalog!W496="","",Catalog!W496&amp;" "&amp;Catalog!X496)</f>
        <v/>
      </c>
      <c r="G496" s="11"/>
    </row>
    <row r="497" spans="1:7" x14ac:dyDescent="0.25">
      <c r="A497" s="10" t="str">
        <f>Catalog!A497</f>
        <v/>
      </c>
      <c r="B497" s="10" t="str">
        <f>Catalog!C497</f>
        <v/>
      </c>
      <c r="C497" s="10">
        <f>Catalog!D497</f>
        <v>0</v>
      </c>
      <c r="D497" s="10">
        <f>Catalog!N497</f>
        <v>0</v>
      </c>
      <c r="E497" s="10">
        <f>Catalog!F497</f>
        <v>0</v>
      </c>
      <c r="F497" s="10" t="str">
        <f>IF(Catalog!W497="","",Catalog!W497&amp;" "&amp;Catalog!X497)</f>
        <v/>
      </c>
      <c r="G497" s="11"/>
    </row>
    <row r="498" spans="1:7" x14ac:dyDescent="0.25">
      <c r="A498" s="10" t="str">
        <f>Catalog!A498</f>
        <v/>
      </c>
      <c r="B498" s="10" t="str">
        <f>Catalog!C498</f>
        <v/>
      </c>
      <c r="C498" s="10">
        <f>Catalog!D498</f>
        <v>0</v>
      </c>
      <c r="D498" s="10">
        <f>Catalog!N498</f>
        <v>0</v>
      </c>
      <c r="E498" s="10">
        <f>Catalog!F498</f>
        <v>0</v>
      </c>
      <c r="F498" s="10" t="str">
        <f>IF(Catalog!W498="","",Catalog!W498&amp;" "&amp;Catalog!X498)</f>
        <v/>
      </c>
      <c r="G498" s="11"/>
    </row>
    <row r="499" spans="1:7" x14ac:dyDescent="0.25">
      <c r="A499" s="10" t="str">
        <f>Catalog!A499</f>
        <v/>
      </c>
      <c r="B499" s="10" t="str">
        <f>Catalog!C499</f>
        <v/>
      </c>
      <c r="C499" s="10">
        <f>Catalog!D499</f>
        <v>0</v>
      </c>
      <c r="D499" s="10">
        <f>Catalog!N499</f>
        <v>0</v>
      </c>
      <c r="E499" s="10">
        <f>Catalog!F499</f>
        <v>0</v>
      </c>
      <c r="F499" s="10" t="str">
        <f>IF(Catalog!W499="","",Catalog!W499&amp;" "&amp;Catalog!X499)</f>
        <v/>
      </c>
      <c r="G499" s="11"/>
    </row>
    <row r="500" spans="1:7" x14ac:dyDescent="0.25">
      <c r="A500" s="10" t="str">
        <f>Catalog!A500</f>
        <v/>
      </c>
      <c r="B500" s="10" t="str">
        <f>Catalog!C500</f>
        <v/>
      </c>
      <c r="C500" s="10">
        <f>Catalog!D500</f>
        <v>0</v>
      </c>
      <c r="D500" s="10">
        <f>Catalog!N500</f>
        <v>0</v>
      </c>
      <c r="E500" s="10">
        <f>Catalog!F500</f>
        <v>0</v>
      </c>
      <c r="F500" s="10" t="str">
        <f>IF(Catalog!W500="","",Catalog!W500&amp;" "&amp;Catalog!X500)</f>
        <v/>
      </c>
      <c r="G500" s="11"/>
    </row>
    <row r="501" spans="1:7" x14ac:dyDescent="0.25">
      <c r="A501" s="10" t="str">
        <f>Catalog!A501</f>
        <v/>
      </c>
      <c r="B501" s="10" t="str">
        <f>Catalog!C501</f>
        <v/>
      </c>
      <c r="C501" s="10">
        <f>Catalog!D501</f>
        <v>0</v>
      </c>
      <c r="D501" s="10">
        <f>Catalog!N501</f>
        <v>0</v>
      </c>
      <c r="E501" s="10">
        <f>Catalog!F501</f>
        <v>0</v>
      </c>
      <c r="F501" s="10" t="str">
        <f>IF(Catalog!W501="","",Catalog!W501&amp;" "&amp;Catalog!X501)</f>
        <v/>
      </c>
      <c r="G501" s="11"/>
    </row>
  </sheetData>
  <sheetProtection password="E720" sheet="1"/>
  <dataValidations count="1">
    <dataValidation type="list" allowBlank="1" sqref="G2:G501" xr:uid="{00000000-0002-0000-0800-000000000000}">
      <formula1>"Standard Card,Library Block,Minimal Spine"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sqref="A1:C1"/>
    </sheetView>
  </sheetViews>
  <sheetFormatPr defaultRowHeight="15" x14ac:dyDescent="0.25"/>
  <cols>
    <col min="1" max="1" width="32" customWidth="1"/>
    <col min="2" max="2" width="40" customWidth="1"/>
    <col min="3" max="3" width="50" customWidth="1"/>
  </cols>
  <sheetData>
    <row r="1" spans="1:3" ht="18.75" x14ac:dyDescent="0.3">
      <c r="A1" s="20" t="s">
        <v>48</v>
      </c>
      <c r="B1" s="21"/>
      <c r="C1" s="21"/>
    </row>
    <row r="3" spans="1:3" x14ac:dyDescent="0.25">
      <c r="A3" s="5" t="s">
        <v>49</v>
      </c>
      <c r="B3" s="5" t="s">
        <v>50</v>
      </c>
      <c r="C3" s="5" t="s">
        <v>51</v>
      </c>
    </row>
    <row r="4" spans="1:3" x14ac:dyDescent="0.25">
      <c r="A4" s="6" t="s">
        <v>52</v>
      </c>
      <c r="B4" s="7" t="s">
        <v>53</v>
      </c>
      <c r="C4" s="8" t="s">
        <v>54</v>
      </c>
    </row>
    <row r="5" spans="1:3" x14ac:dyDescent="0.25">
      <c r="A5" s="6" t="s">
        <v>55</v>
      </c>
      <c r="B5" s="7" t="s">
        <v>56</v>
      </c>
      <c r="C5" s="8" t="s">
        <v>57</v>
      </c>
    </row>
    <row r="6" spans="1:3" x14ac:dyDescent="0.25">
      <c r="A6" s="6" t="s">
        <v>58</v>
      </c>
      <c r="B6" s="7" t="s">
        <v>59</v>
      </c>
      <c r="C6" s="8" t="s">
        <v>60</v>
      </c>
    </row>
    <row r="7" spans="1:3" x14ac:dyDescent="0.25">
      <c r="A7" s="6" t="s">
        <v>61</v>
      </c>
      <c r="B7" s="7">
        <v>14</v>
      </c>
      <c r="C7" s="8" t="s">
        <v>62</v>
      </c>
    </row>
    <row r="8" spans="1:3" x14ac:dyDescent="0.25">
      <c r="A8" s="6" t="s">
        <v>63</v>
      </c>
      <c r="B8" s="7" t="s">
        <v>64</v>
      </c>
      <c r="C8" s="8" t="s">
        <v>65</v>
      </c>
    </row>
    <row r="9" spans="1:3" x14ac:dyDescent="0.25">
      <c r="A9" s="6" t="s">
        <v>66</v>
      </c>
      <c r="B9" s="7">
        <v>3</v>
      </c>
      <c r="C9" s="8" t="s">
        <v>67</v>
      </c>
    </row>
    <row r="10" spans="1:3" x14ac:dyDescent="0.25">
      <c r="A10" s="6" t="s">
        <v>68</v>
      </c>
      <c r="B10" s="7" t="s">
        <v>69</v>
      </c>
      <c r="C10" s="8" t="s">
        <v>70</v>
      </c>
    </row>
    <row r="11" spans="1:3" x14ac:dyDescent="0.25">
      <c r="A11" s="6" t="s">
        <v>71</v>
      </c>
      <c r="B11" s="7" t="s">
        <v>72</v>
      </c>
      <c r="C11" s="8" t="s">
        <v>73</v>
      </c>
    </row>
    <row r="12" spans="1:3" x14ac:dyDescent="0.25">
      <c r="A12" s="6" t="s">
        <v>74</v>
      </c>
      <c r="B12" s="7" t="s">
        <v>75</v>
      </c>
      <c r="C12" s="8" t="s">
        <v>76</v>
      </c>
    </row>
    <row r="13" spans="1:3" x14ac:dyDescent="0.25">
      <c r="A13" s="6" t="s">
        <v>77</v>
      </c>
      <c r="B13" s="7" t="s">
        <v>78</v>
      </c>
      <c r="C13" s="8" t="s">
        <v>79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workbookViewId="0"/>
  </sheetViews>
  <sheetFormatPr defaultRowHeight="15" x14ac:dyDescent="0.25"/>
  <cols>
    <col min="1" max="6" width="20" customWidth="1"/>
    <col min="7" max="7" width="24" customWidth="1"/>
    <col min="8" max="10" width="20" customWidth="1"/>
    <col min="11" max="11" width="22" customWidth="1"/>
    <col min="12" max="12" width="20" customWidth="1"/>
    <col min="13" max="13" width="25" customWidth="1"/>
    <col min="14" max="14" width="22" customWidth="1"/>
    <col min="15" max="15" width="21" customWidth="1"/>
    <col min="16" max="16" width="20" customWidth="1"/>
    <col min="17" max="17" width="26" customWidth="1"/>
    <col min="18" max="18" width="25" customWidth="1"/>
  </cols>
  <sheetData>
    <row r="1" spans="1:18" x14ac:dyDescent="0.25">
      <c r="A1" s="5" t="s">
        <v>80</v>
      </c>
      <c r="B1" s="5" t="s">
        <v>81</v>
      </c>
      <c r="C1" s="5" t="s">
        <v>82</v>
      </c>
      <c r="D1" s="5" t="s">
        <v>83</v>
      </c>
      <c r="E1" s="5" t="s">
        <v>84</v>
      </c>
      <c r="F1" s="5" t="s">
        <v>85</v>
      </c>
      <c r="G1" s="5" t="s">
        <v>86</v>
      </c>
      <c r="H1" s="5" t="s">
        <v>87</v>
      </c>
      <c r="I1" s="5" t="s">
        <v>88</v>
      </c>
      <c r="J1" s="5" t="s">
        <v>89</v>
      </c>
      <c r="K1" s="5" t="s">
        <v>90</v>
      </c>
      <c r="L1" s="5" t="s">
        <v>91</v>
      </c>
      <c r="M1" s="5" t="s">
        <v>92</v>
      </c>
      <c r="N1" s="5" t="s">
        <v>93</v>
      </c>
      <c r="O1" s="5" t="s">
        <v>94</v>
      </c>
      <c r="P1" s="5" t="s">
        <v>95</v>
      </c>
      <c r="Q1" s="5" t="s">
        <v>96</v>
      </c>
      <c r="R1" s="5" t="s">
        <v>97</v>
      </c>
    </row>
    <row r="2" spans="1:18" x14ac:dyDescent="0.25">
      <c r="A2" s="9" t="s">
        <v>72</v>
      </c>
      <c r="B2" s="9" t="s">
        <v>98</v>
      </c>
      <c r="C2" s="9" t="s">
        <v>59</v>
      </c>
      <c r="D2" s="9" t="s">
        <v>99</v>
      </c>
      <c r="E2" s="9" t="s">
        <v>100</v>
      </c>
      <c r="F2" s="9" t="s">
        <v>101</v>
      </c>
      <c r="G2" s="9" t="s">
        <v>102</v>
      </c>
      <c r="H2" s="9" t="s">
        <v>103</v>
      </c>
      <c r="I2" s="9" t="s">
        <v>104</v>
      </c>
      <c r="J2" s="9" t="s">
        <v>105</v>
      </c>
      <c r="K2" s="9" t="s">
        <v>106</v>
      </c>
      <c r="L2" s="9" t="s">
        <v>107</v>
      </c>
      <c r="M2" s="9" t="s">
        <v>108</v>
      </c>
      <c r="N2" s="9" t="s">
        <v>109</v>
      </c>
      <c r="O2" s="9" t="s">
        <v>110</v>
      </c>
      <c r="P2" s="9" t="s">
        <v>111</v>
      </c>
      <c r="Q2" s="9" t="s">
        <v>112</v>
      </c>
      <c r="R2" s="9" t="s">
        <v>113</v>
      </c>
    </row>
    <row r="3" spans="1:18" x14ac:dyDescent="0.25">
      <c r="A3" s="9" t="s">
        <v>114</v>
      </c>
      <c r="B3" s="9" t="s">
        <v>115</v>
      </c>
      <c r="C3" s="9" t="s">
        <v>116</v>
      </c>
      <c r="D3" s="9" t="s">
        <v>117</v>
      </c>
      <c r="E3" s="9" t="s">
        <v>108</v>
      </c>
      <c r="F3" s="9" t="s">
        <v>118</v>
      </c>
      <c r="G3" s="9" t="s">
        <v>119</v>
      </c>
      <c r="H3" s="9" t="s">
        <v>120</v>
      </c>
      <c r="I3" s="9" t="s">
        <v>121</v>
      </c>
      <c r="J3" s="9" t="s">
        <v>122</v>
      </c>
      <c r="K3" s="9" t="s">
        <v>123</v>
      </c>
      <c r="L3" s="9" t="s">
        <v>124</v>
      </c>
      <c r="M3" s="9" t="s">
        <v>125</v>
      </c>
      <c r="N3" s="9" t="s">
        <v>126</v>
      </c>
      <c r="O3" s="9" t="s">
        <v>127</v>
      </c>
      <c r="P3" s="9" t="s">
        <v>128</v>
      </c>
      <c r="Q3" s="9" t="s">
        <v>129</v>
      </c>
      <c r="R3" s="9" t="s">
        <v>130</v>
      </c>
    </row>
    <row r="4" spans="1:18" x14ac:dyDescent="0.25">
      <c r="A4" s="9" t="s">
        <v>131</v>
      </c>
      <c r="B4" s="9" t="s">
        <v>132</v>
      </c>
      <c r="C4" s="9" t="s">
        <v>133</v>
      </c>
      <c r="D4" s="9" t="s">
        <v>134</v>
      </c>
      <c r="E4" s="9" t="s">
        <v>135</v>
      </c>
      <c r="F4" s="9" t="s">
        <v>136</v>
      </c>
      <c r="G4" s="9" t="s">
        <v>137</v>
      </c>
      <c r="H4" s="9" t="s">
        <v>138</v>
      </c>
      <c r="I4" s="9" t="s">
        <v>139</v>
      </c>
      <c r="J4" s="9" t="s">
        <v>140</v>
      </c>
      <c r="K4" s="9" t="s">
        <v>141</v>
      </c>
      <c r="L4" s="9" t="s">
        <v>142</v>
      </c>
      <c r="M4" s="9" t="s">
        <v>143</v>
      </c>
      <c r="N4" s="9" t="s">
        <v>144</v>
      </c>
      <c r="O4" s="9" t="s">
        <v>104</v>
      </c>
      <c r="P4" s="9" t="s">
        <v>145</v>
      </c>
      <c r="Q4" s="9" t="s">
        <v>146</v>
      </c>
      <c r="R4" s="9" t="s">
        <v>147</v>
      </c>
    </row>
    <row r="5" spans="1:18" x14ac:dyDescent="0.25">
      <c r="A5" s="9" t="s">
        <v>148</v>
      </c>
      <c r="B5" s="9" t="s">
        <v>149</v>
      </c>
      <c r="C5" s="9" t="s">
        <v>150</v>
      </c>
      <c r="D5" s="9" t="s">
        <v>151</v>
      </c>
      <c r="E5" s="9" t="s">
        <v>152</v>
      </c>
      <c r="F5" s="9" t="s">
        <v>153</v>
      </c>
      <c r="G5" s="9" t="s">
        <v>154</v>
      </c>
      <c r="H5" s="9" t="s">
        <v>155</v>
      </c>
      <c r="I5" s="9" t="s">
        <v>156</v>
      </c>
      <c r="J5" s="9" t="s">
        <v>157</v>
      </c>
      <c r="K5" s="9" t="s">
        <v>158</v>
      </c>
      <c r="L5" s="9" t="s">
        <v>159</v>
      </c>
      <c r="M5" s="9" t="s">
        <v>152</v>
      </c>
      <c r="O5" s="9" t="s">
        <v>160</v>
      </c>
      <c r="Q5" s="9" t="s">
        <v>161</v>
      </c>
      <c r="R5" s="9" t="s">
        <v>162</v>
      </c>
    </row>
    <row r="6" spans="1:18" x14ac:dyDescent="0.25">
      <c r="A6" s="9" t="s">
        <v>163</v>
      </c>
      <c r="B6" s="9" t="s">
        <v>164</v>
      </c>
      <c r="D6" s="9" t="s">
        <v>165</v>
      </c>
      <c r="E6" s="9" t="s">
        <v>166</v>
      </c>
      <c r="F6" s="9" t="s">
        <v>167</v>
      </c>
      <c r="G6" s="9" t="s">
        <v>168</v>
      </c>
      <c r="H6" s="9" t="s">
        <v>169</v>
      </c>
      <c r="I6" s="9" t="s">
        <v>170</v>
      </c>
      <c r="J6" s="9" t="s">
        <v>171</v>
      </c>
      <c r="K6" s="9" t="s">
        <v>172</v>
      </c>
      <c r="L6" s="9" t="s">
        <v>173</v>
      </c>
      <c r="M6" s="9" t="s">
        <v>166</v>
      </c>
      <c r="O6" s="9" t="s">
        <v>150</v>
      </c>
    </row>
    <row r="7" spans="1:18" x14ac:dyDescent="0.25">
      <c r="A7" s="9" t="s">
        <v>174</v>
      </c>
      <c r="B7" s="9" t="s">
        <v>175</v>
      </c>
      <c r="D7" s="9" t="s">
        <v>176</v>
      </c>
      <c r="E7" s="9" t="s">
        <v>177</v>
      </c>
      <c r="F7" s="9" t="s">
        <v>178</v>
      </c>
      <c r="H7" s="9" t="s">
        <v>179</v>
      </c>
      <c r="J7" s="9" t="s">
        <v>160</v>
      </c>
      <c r="K7" s="9" t="s">
        <v>157</v>
      </c>
      <c r="L7" s="9" t="s">
        <v>180</v>
      </c>
      <c r="M7" s="9" t="s">
        <v>181</v>
      </c>
    </row>
    <row r="8" spans="1:18" x14ac:dyDescent="0.25">
      <c r="A8" s="9" t="s">
        <v>182</v>
      </c>
      <c r="B8" s="9" t="s">
        <v>183</v>
      </c>
      <c r="D8" s="9" t="s">
        <v>184</v>
      </c>
      <c r="E8" s="9" t="s">
        <v>185</v>
      </c>
      <c r="F8" s="9" t="s">
        <v>186</v>
      </c>
      <c r="H8" s="9" t="s">
        <v>150</v>
      </c>
      <c r="J8" s="9" t="s">
        <v>150</v>
      </c>
      <c r="L8" s="9" t="s">
        <v>174</v>
      </c>
    </row>
    <row r="9" spans="1:18" x14ac:dyDescent="0.25">
      <c r="A9" s="9" t="s">
        <v>187</v>
      </c>
      <c r="B9" s="9" t="s">
        <v>188</v>
      </c>
      <c r="D9" s="9" t="s">
        <v>189</v>
      </c>
      <c r="L9" s="9" t="s">
        <v>190</v>
      </c>
    </row>
    <row r="10" spans="1:18" x14ac:dyDescent="0.25">
      <c r="A10" s="9" t="s">
        <v>191</v>
      </c>
      <c r="B10" s="9" t="s">
        <v>192</v>
      </c>
      <c r="D10" s="9" t="s">
        <v>193</v>
      </c>
    </row>
    <row r="11" spans="1:18" x14ac:dyDescent="0.25">
      <c r="A11" s="9" t="s">
        <v>194</v>
      </c>
      <c r="B11" s="9" t="s">
        <v>195</v>
      </c>
      <c r="D11" s="9" t="s">
        <v>196</v>
      </c>
    </row>
    <row r="12" spans="1:18" x14ac:dyDescent="0.25">
      <c r="A12" s="9" t="s">
        <v>197</v>
      </c>
      <c r="B12" s="9" t="s">
        <v>150</v>
      </c>
      <c r="D12" s="9" t="s">
        <v>198</v>
      </c>
    </row>
    <row r="13" spans="1:18" x14ac:dyDescent="0.25">
      <c r="A13" s="9" t="s">
        <v>199</v>
      </c>
      <c r="D13" s="9" t="s">
        <v>200</v>
      </c>
    </row>
    <row r="14" spans="1:18" x14ac:dyDescent="0.25">
      <c r="A14" s="9" t="s">
        <v>201</v>
      </c>
      <c r="D14" s="9" t="s">
        <v>202</v>
      </c>
    </row>
    <row r="15" spans="1:18" x14ac:dyDescent="0.25">
      <c r="A15" s="9" t="s">
        <v>203</v>
      </c>
      <c r="D15" s="9" t="s">
        <v>204</v>
      </c>
    </row>
    <row r="16" spans="1:18" x14ac:dyDescent="0.25">
      <c r="A16" s="9" t="s">
        <v>205</v>
      </c>
      <c r="D16" s="9" t="s">
        <v>206</v>
      </c>
    </row>
    <row r="17" spans="1:4" x14ac:dyDescent="0.25">
      <c r="A17" s="9" t="s">
        <v>207</v>
      </c>
      <c r="D17" s="9" t="s">
        <v>208</v>
      </c>
    </row>
    <row r="18" spans="1:4" x14ac:dyDescent="0.25">
      <c r="A18" s="9" t="s">
        <v>209</v>
      </c>
      <c r="D18" s="9" t="s">
        <v>210</v>
      </c>
    </row>
    <row r="19" spans="1:4" x14ac:dyDescent="0.25">
      <c r="A19" s="9" t="s">
        <v>211</v>
      </c>
      <c r="D19" s="9" t="s">
        <v>212</v>
      </c>
    </row>
    <row r="20" spans="1:4" x14ac:dyDescent="0.25">
      <c r="A20" s="9" t="s">
        <v>213</v>
      </c>
      <c r="D20" s="9" t="s">
        <v>214</v>
      </c>
    </row>
    <row r="21" spans="1:4" x14ac:dyDescent="0.25">
      <c r="A21" s="9" t="s">
        <v>215</v>
      </c>
      <c r="D21" s="9" t="s">
        <v>216</v>
      </c>
    </row>
    <row r="22" spans="1:4" x14ac:dyDescent="0.25">
      <c r="A22" s="9" t="s">
        <v>217</v>
      </c>
      <c r="D22" s="9" t="s">
        <v>218</v>
      </c>
    </row>
    <row r="23" spans="1:4" x14ac:dyDescent="0.25">
      <c r="A23" s="9" t="s">
        <v>219</v>
      </c>
      <c r="D23" s="9" t="s">
        <v>220</v>
      </c>
    </row>
    <row r="24" spans="1:4" x14ac:dyDescent="0.25">
      <c r="A24" s="9" t="s">
        <v>221</v>
      </c>
      <c r="D24" s="9" t="s">
        <v>222</v>
      </c>
    </row>
    <row r="25" spans="1:4" x14ac:dyDescent="0.25">
      <c r="A25" s="9" t="s">
        <v>150</v>
      </c>
      <c r="D25" s="9" t="s">
        <v>223</v>
      </c>
    </row>
    <row r="26" spans="1:4" x14ac:dyDescent="0.25">
      <c r="D26" s="9" t="s">
        <v>224</v>
      </c>
    </row>
    <row r="27" spans="1:4" x14ac:dyDescent="0.25">
      <c r="D27" s="9" t="s">
        <v>150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27"/>
  <sheetViews>
    <sheetView workbookViewId="0"/>
  </sheetViews>
  <sheetFormatPr defaultRowHeight="15" x14ac:dyDescent="0.25"/>
  <cols>
    <col min="1" max="1" width="20" customWidth="1"/>
    <col min="2" max="2" width="32" customWidth="1"/>
    <col min="3" max="3" width="40" customWidth="1"/>
  </cols>
  <sheetData>
    <row r="1" spans="1:3" ht="18.75" x14ac:dyDescent="0.3">
      <c r="A1" s="20" t="s">
        <v>386</v>
      </c>
      <c r="B1" s="21"/>
      <c r="C1" s="21"/>
    </row>
    <row r="3" spans="1:3" x14ac:dyDescent="0.25">
      <c r="A3" s="5" t="s">
        <v>387</v>
      </c>
      <c r="B3" s="5" t="s">
        <v>388</v>
      </c>
      <c r="C3" s="5" t="s">
        <v>249</v>
      </c>
    </row>
    <row r="4" spans="1:3" x14ac:dyDescent="0.25">
      <c r="A4" s="12" t="s">
        <v>389</v>
      </c>
      <c r="B4" s="12" t="s">
        <v>228</v>
      </c>
      <c r="C4" s="12" t="s">
        <v>390</v>
      </c>
    </row>
    <row r="5" spans="1:3" x14ac:dyDescent="0.25">
      <c r="A5" s="12" t="s">
        <v>391</v>
      </c>
      <c r="B5" s="12" t="s">
        <v>230</v>
      </c>
      <c r="C5" s="12" t="s">
        <v>390</v>
      </c>
    </row>
    <row r="6" spans="1:3" x14ac:dyDescent="0.25">
      <c r="A6" s="12" t="s">
        <v>392</v>
      </c>
      <c r="B6" s="12" t="s">
        <v>393</v>
      </c>
      <c r="C6" s="12" t="s">
        <v>394</v>
      </c>
    </row>
    <row r="7" spans="1:3" x14ac:dyDescent="0.25">
      <c r="A7" s="12" t="s">
        <v>395</v>
      </c>
      <c r="B7" s="12" t="s">
        <v>238</v>
      </c>
      <c r="C7" s="12" t="s">
        <v>390</v>
      </c>
    </row>
    <row r="8" spans="1:3" x14ac:dyDescent="0.25">
      <c r="A8" s="12" t="s">
        <v>396</v>
      </c>
      <c r="B8" s="12" t="s">
        <v>240</v>
      </c>
      <c r="C8" s="12" t="s">
        <v>390</v>
      </c>
    </row>
    <row r="9" spans="1:3" x14ac:dyDescent="0.25">
      <c r="A9" s="12" t="s">
        <v>397</v>
      </c>
      <c r="B9" s="12" t="s">
        <v>82</v>
      </c>
      <c r="C9" s="12" t="s">
        <v>390</v>
      </c>
    </row>
    <row r="10" spans="1:3" x14ac:dyDescent="0.25">
      <c r="A10" s="12" t="s">
        <v>398</v>
      </c>
      <c r="B10" s="12" t="s">
        <v>235</v>
      </c>
      <c r="C10" s="12" t="s">
        <v>399</v>
      </c>
    </row>
    <row r="11" spans="1:3" x14ac:dyDescent="0.25">
      <c r="A11" s="12" t="s">
        <v>400</v>
      </c>
      <c r="B11" s="12" t="s">
        <v>401</v>
      </c>
      <c r="C11" s="12" t="s">
        <v>390</v>
      </c>
    </row>
    <row r="12" spans="1:3" x14ac:dyDescent="0.25">
      <c r="A12" s="12" t="s">
        <v>402</v>
      </c>
      <c r="B12" s="12" t="s">
        <v>403</v>
      </c>
      <c r="C12" s="12" t="s">
        <v>390</v>
      </c>
    </row>
    <row r="13" spans="1:3" x14ac:dyDescent="0.25">
      <c r="A13" s="12" t="s">
        <v>404</v>
      </c>
      <c r="B13" s="12" t="s">
        <v>81</v>
      </c>
      <c r="C13" s="12" t="s">
        <v>390</v>
      </c>
    </row>
    <row r="14" spans="1:3" x14ac:dyDescent="0.25">
      <c r="A14" s="12" t="s">
        <v>405</v>
      </c>
      <c r="B14" s="12" t="s">
        <v>406</v>
      </c>
      <c r="C14" s="12" t="s">
        <v>390</v>
      </c>
    </row>
    <row r="15" spans="1:3" x14ac:dyDescent="0.25">
      <c r="A15" s="12" t="s">
        <v>407</v>
      </c>
      <c r="B15" s="12" t="s">
        <v>408</v>
      </c>
      <c r="C15" s="12" t="s">
        <v>390</v>
      </c>
    </row>
    <row r="16" spans="1:3" x14ac:dyDescent="0.25">
      <c r="A16" s="12" t="s">
        <v>409</v>
      </c>
      <c r="B16" s="12" t="s">
        <v>410</v>
      </c>
      <c r="C16" s="12" t="s">
        <v>411</v>
      </c>
    </row>
    <row r="17" spans="1:15" x14ac:dyDescent="0.25">
      <c r="A17" s="12" t="s">
        <v>412</v>
      </c>
      <c r="B17" s="12" t="s">
        <v>239</v>
      </c>
      <c r="C17" s="12" t="s">
        <v>413</v>
      </c>
    </row>
    <row r="18" spans="1:15" x14ac:dyDescent="0.25">
      <c r="A18" s="12" t="s">
        <v>414</v>
      </c>
      <c r="B18" s="12" t="s">
        <v>89</v>
      </c>
      <c r="C18" s="12" t="s">
        <v>390</v>
      </c>
    </row>
    <row r="19" spans="1:15" x14ac:dyDescent="0.25">
      <c r="A19" s="12" t="s">
        <v>415</v>
      </c>
      <c r="B19" s="12" t="s">
        <v>416</v>
      </c>
      <c r="C19" s="12" t="s">
        <v>417</v>
      </c>
    </row>
    <row r="20" spans="1:15" x14ac:dyDescent="0.25">
      <c r="A20" s="12" t="s">
        <v>415</v>
      </c>
      <c r="B20" s="12" t="s">
        <v>418</v>
      </c>
      <c r="C20" s="12" t="s">
        <v>417</v>
      </c>
    </row>
    <row r="21" spans="1:15" x14ac:dyDescent="0.25">
      <c r="A21" s="12" t="s">
        <v>415</v>
      </c>
      <c r="B21" s="12" t="s">
        <v>419</v>
      </c>
      <c r="C21" s="12" t="s">
        <v>417</v>
      </c>
    </row>
    <row r="25" spans="1:15" ht="15.75" x14ac:dyDescent="0.25">
      <c r="A25" s="13" t="s">
        <v>420</v>
      </c>
    </row>
    <row r="27" spans="1:15" ht="30" x14ac:dyDescent="0.25">
      <c r="A27" s="5" t="s">
        <v>421</v>
      </c>
      <c r="B27" s="5" t="s">
        <v>422</v>
      </c>
      <c r="C27" s="5" t="s">
        <v>423</v>
      </c>
      <c r="D27" s="5" t="s">
        <v>424</v>
      </c>
      <c r="E27" s="5" t="s">
        <v>425</v>
      </c>
      <c r="F27" s="5" t="s">
        <v>426</v>
      </c>
      <c r="G27" s="5" t="s">
        <v>427</v>
      </c>
      <c r="H27" s="5" t="s">
        <v>428</v>
      </c>
      <c r="I27" s="5" t="s">
        <v>429</v>
      </c>
      <c r="J27" s="5" t="s">
        <v>430</v>
      </c>
      <c r="K27" s="5" t="s">
        <v>431</v>
      </c>
      <c r="L27" s="5" t="s">
        <v>432</v>
      </c>
      <c r="M27" s="5" t="s">
        <v>433</v>
      </c>
      <c r="N27" s="5" t="s">
        <v>434</v>
      </c>
      <c r="O27" s="5" t="s">
        <v>435</v>
      </c>
    </row>
    <row r="28" spans="1:15" ht="30" x14ac:dyDescent="0.25">
      <c r="A28" s="10" t="str">
        <f>Catalog!D2</f>
        <v>Rabindra Rachanabali</v>
      </c>
      <c r="B28" s="10" t="str">
        <f>Catalog!F2</f>
        <v>Rabindranath Tagore</v>
      </c>
      <c r="C28" s="10" t="str">
        <f>IF(Catalog!I2="","",Catalog!I2)&amp;IF(AND(Catalog!I2&lt;&gt;"",Catalog!J2&lt;&gt;""),"; ","")&amp;IF(Catalog!J2="","",Catalog!J2)</f>
        <v/>
      </c>
      <c r="D28" s="10">
        <f>Catalog!P2</f>
        <v>0</v>
      </c>
      <c r="E28" s="10">
        <f>Catalog!R2</f>
        <v>0</v>
      </c>
      <c r="F28" s="10" t="str">
        <f>Catalog!M2</f>
        <v>Bengali</v>
      </c>
      <c r="G28" s="10" t="str">
        <f>Catalog!K2</f>
        <v>Fiction (FIC)</v>
      </c>
      <c r="H28" s="10" t="str">
        <f>IF(Catalog!S2&lt;&gt;"","ISBN:"&amp;Catalog!S2,IF(Catalog!T2&lt;&gt;"","ISSN:"&amp;Catalog!T2,""))</f>
        <v/>
      </c>
      <c r="I28" s="10" t="str">
        <f>Catalog!B2</f>
        <v>ACC-0001</v>
      </c>
      <c r="J28" s="10" t="str">
        <f>Catalog!L2</f>
        <v>Literature (LIT)</v>
      </c>
      <c r="K28" s="10">
        <f>IF(Catalog!AG2&lt;&gt;"",Catalog!AG2,Catalog!AE2)</f>
        <v>0</v>
      </c>
      <c r="L28" s="10">
        <f>Catalog!AD2</f>
        <v>0</v>
      </c>
      <c r="M28" s="10">
        <f>Catalog!V2</f>
        <v>0</v>
      </c>
      <c r="N28" s="10">
        <f>Catalog!Q2</f>
        <v>0</v>
      </c>
      <c r="O28" s="10">
        <f>Catalog!AF2</f>
        <v>0</v>
      </c>
    </row>
    <row r="29" spans="1:15" ht="30" x14ac:dyDescent="0.25">
      <c r="A29" s="10" t="str">
        <f>Catalog!D3</f>
        <v>Rabindra Rachanabali</v>
      </c>
      <c r="B29" s="10" t="str">
        <f>Catalog!F3</f>
        <v>Rabindranath Tagore</v>
      </c>
      <c r="C29" s="10" t="str">
        <f>IF(Catalog!I3="","",Catalog!I3)&amp;IF(AND(Catalog!I3&lt;&gt;"",Catalog!J3&lt;&gt;""),"; ","")&amp;IF(Catalog!J3="","",Catalog!J3)</f>
        <v/>
      </c>
      <c r="D29" s="10">
        <f>Catalog!P3</f>
        <v>0</v>
      </c>
      <c r="E29" s="10">
        <f>Catalog!R3</f>
        <v>0</v>
      </c>
      <c r="F29" s="10" t="str">
        <f>Catalog!M3</f>
        <v>Bengali</v>
      </c>
      <c r="G29" s="10" t="str">
        <f>Catalog!K3</f>
        <v>Fiction (FIC)</v>
      </c>
      <c r="H29" s="10" t="str">
        <f>IF(Catalog!S3&lt;&gt;"","ISBN:"&amp;Catalog!S3,IF(Catalog!T3&lt;&gt;"","ISSN:"&amp;Catalog!T3,""))</f>
        <v/>
      </c>
      <c r="I29" s="10" t="str">
        <f>Catalog!B3</f>
        <v>ACC-0002</v>
      </c>
      <c r="J29" s="10" t="str">
        <f>Catalog!L3</f>
        <v>Literature (LIT)</v>
      </c>
      <c r="K29" s="10">
        <f>IF(Catalog!AG3&lt;&gt;"",Catalog!AG3,Catalog!AE3)</f>
        <v>0</v>
      </c>
      <c r="L29" s="10">
        <f>Catalog!AD3</f>
        <v>0</v>
      </c>
      <c r="M29" s="10">
        <f>Catalog!V3</f>
        <v>0</v>
      </c>
      <c r="N29" s="10">
        <f>Catalog!Q3</f>
        <v>0</v>
      </c>
      <c r="O29" s="10">
        <f>Catalog!AF3</f>
        <v>0</v>
      </c>
    </row>
    <row r="30" spans="1:15" ht="30" x14ac:dyDescent="0.25">
      <c r="A30" s="10" t="str">
        <f>Catalog!D4</f>
        <v>Rabindra Rachanabali</v>
      </c>
      <c r="B30" s="10" t="str">
        <f>Catalog!F4</f>
        <v>Rabindranath Tagore</v>
      </c>
      <c r="C30" s="10" t="str">
        <f>IF(Catalog!I4="","",Catalog!I4)&amp;IF(AND(Catalog!I4&lt;&gt;"",Catalog!J4&lt;&gt;""),"; ","")&amp;IF(Catalog!J4="","",Catalog!J4)</f>
        <v/>
      </c>
      <c r="D30" s="10">
        <f>Catalog!P4</f>
        <v>0</v>
      </c>
      <c r="E30" s="10">
        <f>Catalog!R4</f>
        <v>0</v>
      </c>
      <c r="F30" s="10" t="str">
        <f>Catalog!M4</f>
        <v>Bengali</v>
      </c>
      <c r="G30" s="10" t="str">
        <f>Catalog!K4</f>
        <v>Fiction (FIC)</v>
      </c>
      <c r="H30" s="10" t="str">
        <f>IF(Catalog!S4&lt;&gt;"","ISBN:"&amp;Catalog!S4,IF(Catalog!T4&lt;&gt;"","ISSN:"&amp;Catalog!T4,""))</f>
        <v/>
      </c>
      <c r="I30" s="10" t="str">
        <f>Catalog!B4</f>
        <v>ACC-0003</v>
      </c>
      <c r="J30" s="10" t="str">
        <f>Catalog!L4</f>
        <v>Literature (LIT)</v>
      </c>
      <c r="K30" s="10">
        <f>IF(Catalog!AG4&lt;&gt;"",Catalog!AG4,Catalog!AE4)</f>
        <v>0</v>
      </c>
      <c r="L30" s="10">
        <f>Catalog!AD4</f>
        <v>0</v>
      </c>
      <c r="M30" s="10">
        <f>Catalog!V4</f>
        <v>0</v>
      </c>
      <c r="N30" s="10">
        <f>Catalog!Q4</f>
        <v>0</v>
      </c>
      <c r="O30" s="10">
        <f>Catalog!AF4</f>
        <v>0</v>
      </c>
    </row>
    <row r="31" spans="1:15" ht="30" x14ac:dyDescent="0.25">
      <c r="A31" s="10" t="str">
        <f>Catalog!D5</f>
        <v>Rabindra Rachanabali</v>
      </c>
      <c r="B31" s="10" t="str">
        <f>Catalog!F5</f>
        <v>Rabindranath Tagore</v>
      </c>
      <c r="C31" s="10" t="str">
        <f>IF(Catalog!I5="","",Catalog!I5)&amp;IF(AND(Catalog!I5&lt;&gt;"",Catalog!J5&lt;&gt;""),"; ","")&amp;IF(Catalog!J5="","",Catalog!J5)</f>
        <v/>
      </c>
      <c r="D31" s="10">
        <f>Catalog!P5</f>
        <v>0</v>
      </c>
      <c r="E31" s="10">
        <f>Catalog!R5</f>
        <v>0</v>
      </c>
      <c r="F31" s="10" t="str">
        <f>Catalog!M5</f>
        <v>Bengali</v>
      </c>
      <c r="G31" s="10" t="str">
        <f>Catalog!K5</f>
        <v>Fiction (FIC)</v>
      </c>
      <c r="H31" s="10" t="str">
        <f>IF(Catalog!S5&lt;&gt;"","ISBN:"&amp;Catalog!S5,IF(Catalog!T5&lt;&gt;"","ISSN:"&amp;Catalog!T5,""))</f>
        <v/>
      </c>
      <c r="I31" s="10" t="str">
        <f>Catalog!B5</f>
        <v>ACC-0004</v>
      </c>
      <c r="J31" s="10" t="str">
        <f>Catalog!L5</f>
        <v>Literature (LIT)</v>
      </c>
      <c r="K31" s="10">
        <f>IF(Catalog!AG5&lt;&gt;"",Catalog!AG5,Catalog!AE5)</f>
        <v>0</v>
      </c>
      <c r="L31" s="10">
        <f>Catalog!AD5</f>
        <v>0</v>
      </c>
      <c r="M31" s="10">
        <f>Catalog!V5</f>
        <v>0</v>
      </c>
      <c r="N31" s="10">
        <f>Catalog!Q5</f>
        <v>0</v>
      </c>
      <c r="O31" s="10">
        <f>Catalog!AF5</f>
        <v>0</v>
      </c>
    </row>
    <row r="32" spans="1:15" ht="30" x14ac:dyDescent="0.25">
      <c r="A32" s="10" t="str">
        <f>Catalog!D6</f>
        <v>Rabindra Rachanabali</v>
      </c>
      <c r="B32" s="10" t="str">
        <f>Catalog!F6</f>
        <v>Rabindranath Tagore</v>
      </c>
      <c r="C32" s="10" t="str">
        <f>IF(Catalog!I6="","",Catalog!I6)&amp;IF(AND(Catalog!I6&lt;&gt;"",Catalog!J6&lt;&gt;""),"; ","")&amp;IF(Catalog!J6="","",Catalog!J6)</f>
        <v/>
      </c>
      <c r="D32" s="10">
        <f>Catalog!P6</f>
        <v>0</v>
      </c>
      <c r="E32" s="10">
        <f>Catalog!R6</f>
        <v>0</v>
      </c>
      <c r="F32" s="10" t="str">
        <f>Catalog!M6</f>
        <v>Bengali</v>
      </c>
      <c r="G32" s="10" t="str">
        <f>Catalog!K6</f>
        <v>Fiction (FIC)</v>
      </c>
      <c r="H32" s="10" t="str">
        <f>IF(Catalog!S6&lt;&gt;"","ISBN:"&amp;Catalog!S6,IF(Catalog!T6&lt;&gt;"","ISSN:"&amp;Catalog!T6,""))</f>
        <v/>
      </c>
      <c r="I32" s="10" t="str">
        <f>Catalog!B6</f>
        <v>ACC-0005</v>
      </c>
      <c r="J32" s="10" t="str">
        <f>Catalog!L6</f>
        <v>Literature (LIT)</v>
      </c>
      <c r="K32" s="10">
        <f>IF(Catalog!AG6&lt;&gt;"",Catalog!AG6,Catalog!AE6)</f>
        <v>0</v>
      </c>
      <c r="L32" s="10">
        <f>Catalog!AD6</f>
        <v>0</v>
      </c>
      <c r="M32" s="10">
        <f>Catalog!V6</f>
        <v>0</v>
      </c>
      <c r="N32" s="10">
        <f>Catalog!Q6</f>
        <v>0</v>
      </c>
      <c r="O32" s="10">
        <f>Catalog!AF6</f>
        <v>0</v>
      </c>
    </row>
    <row r="33" spans="1:15" ht="30" x14ac:dyDescent="0.25">
      <c r="A33" s="10" t="str">
        <f>Catalog!D7</f>
        <v>Rabindra Rachanabali</v>
      </c>
      <c r="B33" s="10" t="str">
        <f>Catalog!F7</f>
        <v>Rabindranath Tagore</v>
      </c>
      <c r="C33" s="10" t="str">
        <f>IF(Catalog!I7="","",Catalog!I7)&amp;IF(AND(Catalog!I7&lt;&gt;"",Catalog!J7&lt;&gt;""),"; ","")&amp;IF(Catalog!J7="","",Catalog!J7)</f>
        <v/>
      </c>
      <c r="D33" s="10">
        <f>Catalog!P7</f>
        <v>0</v>
      </c>
      <c r="E33" s="10">
        <f>Catalog!R7</f>
        <v>0</v>
      </c>
      <c r="F33" s="10" t="str">
        <f>Catalog!M7</f>
        <v>Bengali</v>
      </c>
      <c r="G33" s="10" t="str">
        <f>Catalog!K7</f>
        <v>Fiction (FIC)</v>
      </c>
      <c r="H33" s="10" t="str">
        <f>IF(Catalog!S7&lt;&gt;"","ISBN:"&amp;Catalog!S7,IF(Catalog!T7&lt;&gt;"","ISSN:"&amp;Catalog!T7,""))</f>
        <v/>
      </c>
      <c r="I33" s="10" t="str">
        <f>Catalog!B7</f>
        <v>ACC-0006</v>
      </c>
      <c r="J33" s="10" t="str">
        <f>Catalog!L7</f>
        <v>Literature (LIT)</v>
      </c>
      <c r="K33" s="10">
        <f>IF(Catalog!AG7&lt;&gt;"",Catalog!AG7,Catalog!AE7)</f>
        <v>0</v>
      </c>
      <c r="L33" s="10">
        <f>Catalog!AD7</f>
        <v>0</v>
      </c>
      <c r="M33" s="10">
        <f>Catalog!V7</f>
        <v>0</v>
      </c>
      <c r="N33" s="10">
        <f>Catalog!Q7</f>
        <v>0</v>
      </c>
      <c r="O33" s="10">
        <f>Catalog!AF7</f>
        <v>0</v>
      </c>
    </row>
    <row r="34" spans="1:15" ht="30" x14ac:dyDescent="0.25">
      <c r="A34" s="10" t="str">
        <f>Catalog!D8</f>
        <v>Rabindra Rachanabali</v>
      </c>
      <c r="B34" s="10" t="str">
        <f>Catalog!F8</f>
        <v>Rabindranath Tagore</v>
      </c>
      <c r="C34" s="10" t="str">
        <f>IF(Catalog!I8="","",Catalog!I8)&amp;IF(AND(Catalog!I8&lt;&gt;"",Catalog!J8&lt;&gt;""),"; ","")&amp;IF(Catalog!J8="","",Catalog!J8)</f>
        <v/>
      </c>
      <c r="D34" s="10">
        <f>Catalog!P8</f>
        <v>0</v>
      </c>
      <c r="E34" s="10">
        <f>Catalog!R8</f>
        <v>0</v>
      </c>
      <c r="F34" s="10" t="str">
        <f>Catalog!M8</f>
        <v>Bengali</v>
      </c>
      <c r="G34" s="10" t="str">
        <f>Catalog!K8</f>
        <v>Fiction (FIC)</v>
      </c>
      <c r="H34" s="10" t="str">
        <f>IF(Catalog!S8&lt;&gt;"","ISBN:"&amp;Catalog!S8,IF(Catalog!T8&lt;&gt;"","ISSN:"&amp;Catalog!T8,""))</f>
        <v/>
      </c>
      <c r="I34" s="10" t="str">
        <f>Catalog!B8</f>
        <v>ACC-0007</v>
      </c>
      <c r="J34" s="10" t="str">
        <f>Catalog!L8</f>
        <v>Literature (LIT)</v>
      </c>
      <c r="K34" s="10">
        <f>IF(Catalog!AG8&lt;&gt;"",Catalog!AG8,Catalog!AE8)</f>
        <v>0</v>
      </c>
      <c r="L34" s="10">
        <f>Catalog!AD8</f>
        <v>0</v>
      </c>
      <c r="M34" s="10">
        <f>Catalog!V8</f>
        <v>0</v>
      </c>
      <c r="N34" s="10">
        <f>Catalog!Q8</f>
        <v>0</v>
      </c>
      <c r="O34" s="10">
        <f>Catalog!AF8</f>
        <v>0</v>
      </c>
    </row>
    <row r="35" spans="1:15" ht="30" x14ac:dyDescent="0.25">
      <c r="A35" s="10" t="str">
        <f>Catalog!D9</f>
        <v>Rabindra Rachanabali</v>
      </c>
      <c r="B35" s="10" t="str">
        <f>Catalog!F9</f>
        <v>Rabindranath Tagore</v>
      </c>
      <c r="C35" s="10" t="str">
        <f>IF(Catalog!I9="","",Catalog!I9)&amp;IF(AND(Catalog!I9&lt;&gt;"",Catalog!J9&lt;&gt;""),"; ","")&amp;IF(Catalog!J9="","",Catalog!J9)</f>
        <v/>
      </c>
      <c r="D35" s="10">
        <f>Catalog!P9</f>
        <v>0</v>
      </c>
      <c r="E35" s="10">
        <f>Catalog!R9</f>
        <v>0</v>
      </c>
      <c r="F35" s="10" t="str">
        <f>Catalog!M9</f>
        <v>Bengali</v>
      </c>
      <c r="G35" s="10" t="str">
        <f>Catalog!K9</f>
        <v>Fiction (FIC)</v>
      </c>
      <c r="H35" s="10" t="str">
        <f>IF(Catalog!S9&lt;&gt;"","ISBN:"&amp;Catalog!S9,IF(Catalog!T9&lt;&gt;"","ISSN:"&amp;Catalog!T9,""))</f>
        <v/>
      </c>
      <c r="I35" s="10" t="str">
        <f>Catalog!B9</f>
        <v>ACC-0008</v>
      </c>
      <c r="J35" s="10" t="str">
        <f>Catalog!L9</f>
        <v>Literature (LIT)</v>
      </c>
      <c r="K35" s="10">
        <f>IF(Catalog!AG9&lt;&gt;"",Catalog!AG9,Catalog!AE9)</f>
        <v>0</v>
      </c>
      <c r="L35" s="10">
        <f>Catalog!AD9</f>
        <v>0</v>
      </c>
      <c r="M35" s="10">
        <f>Catalog!V9</f>
        <v>0</v>
      </c>
      <c r="N35" s="10">
        <f>Catalog!Q9</f>
        <v>0</v>
      </c>
      <c r="O35" s="10">
        <f>Catalog!AF9</f>
        <v>0</v>
      </c>
    </row>
    <row r="36" spans="1:15" ht="30" x14ac:dyDescent="0.25">
      <c r="A36" s="10" t="str">
        <f>Catalog!D10</f>
        <v>Rabindra Rachanabali</v>
      </c>
      <c r="B36" s="10" t="str">
        <f>Catalog!F10</f>
        <v>Rabindranath Tagore</v>
      </c>
      <c r="C36" s="10" t="str">
        <f>IF(Catalog!I10="","",Catalog!I10)&amp;IF(AND(Catalog!I10&lt;&gt;"",Catalog!J10&lt;&gt;""),"; ","")&amp;IF(Catalog!J10="","",Catalog!J10)</f>
        <v/>
      </c>
      <c r="D36" s="10">
        <f>Catalog!P10</f>
        <v>0</v>
      </c>
      <c r="E36" s="10">
        <f>Catalog!R10</f>
        <v>0</v>
      </c>
      <c r="F36" s="10" t="str">
        <f>Catalog!M10</f>
        <v>Bengali</v>
      </c>
      <c r="G36" s="10" t="str">
        <f>Catalog!K10</f>
        <v>Fiction (FIC)</v>
      </c>
      <c r="H36" s="10" t="str">
        <f>IF(Catalog!S10&lt;&gt;"","ISBN:"&amp;Catalog!S10,IF(Catalog!T10&lt;&gt;"","ISSN:"&amp;Catalog!T10,""))</f>
        <v/>
      </c>
      <c r="I36" s="10" t="str">
        <f>Catalog!B10</f>
        <v>ACC-0009</v>
      </c>
      <c r="J36" s="10" t="str">
        <f>Catalog!L10</f>
        <v>Literature (LIT)</v>
      </c>
      <c r="K36" s="10">
        <f>IF(Catalog!AG10&lt;&gt;"",Catalog!AG10,Catalog!AE10)</f>
        <v>0</v>
      </c>
      <c r="L36" s="10">
        <f>Catalog!AD10</f>
        <v>0</v>
      </c>
      <c r="M36" s="10">
        <f>Catalog!V10</f>
        <v>0</v>
      </c>
      <c r="N36" s="10">
        <f>Catalog!Q10</f>
        <v>0</v>
      </c>
      <c r="O36" s="10">
        <f>Catalog!AF10</f>
        <v>0</v>
      </c>
    </row>
    <row r="37" spans="1:15" ht="30" x14ac:dyDescent="0.25">
      <c r="A37" s="10" t="str">
        <f>Catalog!D11</f>
        <v>Rabindra Rachanabali</v>
      </c>
      <c r="B37" s="10" t="str">
        <f>Catalog!F11</f>
        <v>Rabindranath Tagore</v>
      </c>
      <c r="C37" s="10" t="str">
        <f>IF(Catalog!I11="","",Catalog!I11)&amp;IF(AND(Catalog!I11&lt;&gt;"",Catalog!J11&lt;&gt;""),"; ","")&amp;IF(Catalog!J11="","",Catalog!J11)</f>
        <v/>
      </c>
      <c r="D37" s="10">
        <f>Catalog!P11</f>
        <v>0</v>
      </c>
      <c r="E37" s="10">
        <f>Catalog!R11</f>
        <v>0</v>
      </c>
      <c r="F37" s="10" t="str">
        <f>Catalog!M11</f>
        <v>Bengali</v>
      </c>
      <c r="G37" s="10" t="str">
        <f>Catalog!K11</f>
        <v>Fiction (FIC)</v>
      </c>
      <c r="H37" s="10" t="str">
        <f>IF(Catalog!S11&lt;&gt;"","ISBN:"&amp;Catalog!S11,IF(Catalog!T11&lt;&gt;"","ISSN:"&amp;Catalog!T11,""))</f>
        <v/>
      </c>
      <c r="I37" s="10" t="str">
        <f>Catalog!B11</f>
        <v>ACC-0010</v>
      </c>
      <c r="J37" s="10" t="str">
        <f>Catalog!L11</f>
        <v>Literature (LIT)</v>
      </c>
      <c r="K37" s="10">
        <f>IF(Catalog!AG11&lt;&gt;"",Catalog!AG11,Catalog!AE11)</f>
        <v>0</v>
      </c>
      <c r="L37" s="10">
        <f>Catalog!AD11</f>
        <v>0</v>
      </c>
      <c r="M37" s="10">
        <f>Catalog!V11</f>
        <v>0</v>
      </c>
      <c r="N37" s="10">
        <f>Catalog!Q11</f>
        <v>0</v>
      </c>
      <c r="O37" s="10">
        <f>Catalog!AF11</f>
        <v>0</v>
      </c>
    </row>
    <row r="38" spans="1:15" ht="30" x14ac:dyDescent="0.25">
      <c r="A38" s="10" t="str">
        <f>Catalog!D12</f>
        <v>Rabindra Rachanabali</v>
      </c>
      <c r="B38" s="10" t="str">
        <f>Catalog!F12</f>
        <v>Rabindranath Tagore</v>
      </c>
      <c r="C38" s="10" t="str">
        <f>IF(Catalog!I12="","",Catalog!I12)&amp;IF(AND(Catalog!I12&lt;&gt;"",Catalog!J12&lt;&gt;""),"; ","")&amp;IF(Catalog!J12="","",Catalog!J12)</f>
        <v/>
      </c>
      <c r="D38" s="10">
        <f>Catalog!P12</f>
        <v>0</v>
      </c>
      <c r="E38" s="10">
        <f>Catalog!R12</f>
        <v>0</v>
      </c>
      <c r="F38" s="10" t="str">
        <f>Catalog!M12</f>
        <v>Bengali</v>
      </c>
      <c r="G38" s="10" t="str">
        <f>Catalog!K12</f>
        <v>Fiction (FIC)</v>
      </c>
      <c r="H38" s="10" t="str">
        <f>IF(Catalog!S12&lt;&gt;"","ISBN:"&amp;Catalog!S12,IF(Catalog!T12&lt;&gt;"","ISSN:"&amp;Catalog!T12,""))</f>
        <v/>
      </c>
      <c r="I38" s="10" t="str">
        <f>Catalog!B12</f>
        <v>ACC-0011</v>
      </c>
      <c r="J38" s="10" t="str">
        <f>Catalog!L12</f>
        <v>Literature (LIT)</v>
      </c>
      <c r="K38" s="10">
        <f>IF(Catalog!AG12&lt;&gt;"",Catalog!AG12,Catalog!AE12)</f>
        <v>0</v>
      </c>
      <c r="L38" s="10">
        <f>Catalog!AD12</f>
        <v>0</v>
      </c>
      <c r="M38" s="10">
        <f>Catalog!V12</f>
        <v>0</v>
      </c>
      <c r="N38" s="10">
        <f>Catalog!Q12</f>
        <v>0</v>
      </c>
      <c r="O38" s="10">
        <f>Catalog!AF12</f>
        <v>0</v>
      </c>
    </row>
    <row r="39" spans="1:15" ht="30" x14ac:dyDescent="0.25">
      <c r="A39" s="10" t="str">
        <f>Catalog!D13</f>
        <v>Rabindra Rachanabali</v>
      </c>
      <c r="B39" s="10" t="str">
        <f>Catalog!F13</f>
        <v>Rabindranath Tagore</v>
      </c>
      <c r="C39" s="10" t="str">
        <f>IF(Catalog!I13="","",Catalog!I13)&amp;IF(AND(Catalog!I13&lt;&gt;"",Catalog!J13&lt;&gt;""),"; ","")&amp;IF(Catalog!J13="","",Catalog!J13)</f>
        <v/>
      </c>
      <c r="D39" s="10">
        <f>Catalog!P13</f>
        <v>0</v>
      </c>
      <c r="E39" s="10">
        <f>Catalog!R13</f>
        <v>0</v>
      </c>
      <c r="F39" s="10" t="str">
        <f>Catalog!M13</f>
        <v>Bengali</v>
      </c>
      <c r="G39" s="10" t="str">
        <f>Catalog!K13</f>
        <v>Fiction (FIC)</v>
      </c>
      <c r="H39" s="10" t="str">
        <f>IF(Catalog!S13&lt;&gt;"","ISBN:"&amp;Catalog!S13,IF(Catalog!T13&lt;&gt;"","ISSN:"&amp;Catalog!T13,""))</f>
        <v/>
      </c>
      <c r="I39" s="10" t="str">
        <f>Catalog!B13</f>
        <v>ACC-0012</v>
      </c>
      <c r="J39" s="10" t="str">
        <f>Catalog!L13</f>
        <v>Literature (LIT)</v>
      </c>
      <c r="K39" s="10">
        <f>IF(Catalog!AG13&lt;&gt;"",Catalog!AG13,Catalog!AE13)</f>
        <v>0</v>
      </c>
      <c r="L39" s="10">
        <f>Catalog!AD13</f>
        <v>0</v>
      </c>
      <c r="M39" s="10">
        <f>Catalog!V13</f>
        <v>0</v>
      </c>
      <c r="N39" s="10">
        <f>Catalog!Q13</f>
        <v>0</v>
      </c>
      <c r="O39" s="10">
        <f>Catalog!AF13</f>
        <v>0</v>
      </c>
    </row>
    <row r="40" spans="1:15" ht="30" x14ac:dyDescent="0.25">
      <c r="A40" s="10" t="str">
        <f>Catalog!D14</f>
        <v>Rabindra Rachanabali</v>
      </c>
      <c r="B40" s="10" t="str">
        <f>Catalog!F14</f>
        <v>Rabindranath Tagore</v>
      </c>
      <c r="C40" s="10" t="str">
        <f>IF(Catalog!I14="","",Catalog!I14)&amp;IF(AND(Catalog!I14&lt;&gt;"",Catalog!J14&lt;&gt;""),"; ","")&amp;IF(Catalog!J14="","",Catalog!J14)</f>
        <v/>
      </c>
      <c r="D40" s="10">
        <f>Catalog!P14</f>
        <v>0</v>
      </c>
      <c r="E40" s="10">
        <f>Catalog!R14</f>
        <v>0</v>
      </c>
      <c r="F40" s="10" t="str">
        <f>Catalog!M14</f>
        <v>Bengali</v>
      </c>
      <c r="G40" s="10" t="str">
        <f>Catalog!K14</f>
        <v>Fiction (FIC)</v>
      </c>
      <c r="H40" s="10" t="str">
        <f>IF(Catalog!S14&lt;&gt;"","ISBN:"&amp;Catalog!S14,IF(Catalog!T14&lt;&gt;"","ISSN:"&amp;Catalog!T14,""))</f>
        <v/>
      </c>
      <c r="I40" s="10" t="str">
        <f>Catalog!B14</f>
        <v>ACC-0013</v>
      </c>
      <c r="J40" s="10" t="str">
        <f>Catalog!L14</f>
        <v>Literature (LIT)</v>
      </c>
      <c r="K40" s="10">
        <f>IF(Catalog!AG14&lt;&gt;"",Catalog!AG14,Catalog!AE14)</f>
        <v>0</v>
      </c>
      <c r="L40" s="10">
        <f>Catalog!AD14</f>
        <v>0</v>
      </c>
      <c r="M40" s="10">
        <f>Catalog!V14</f>
        <v>0</v>
      </c>
      <c r="N40" s="10">
        <f>Catalog!Q14</f>
        <v>0</v>
      </c>
      <c r="O40" s="10">
        <f>Catalog!AF14</f>
        <v>0</v>
      </c>
    </row>
    <row r="41" spans="1:15" ht="30" x14ac:dyDescent="0.25">
      <c r="A41" s="10" t="str">
        <f>Catalog!D15</f>
        <v>Rabindra Rachanabali</v>
      </c>
      <c r="B41" s="10" t="str">
        <f>Catalog!F15</f>
        <v>Rabindranath Tagore</v>
      </c>
      <c r="C41" s="10" t="str">
        <f>IF(Catalog!I15="","",Catalog!I15)&amp;IF(AND(Catalog!I15&lt;&gt;"",Catalog!J15&lt;&gt;""),"; ","")&amp;IF(Catalog!J15="","",Catalog!J15)</f>
        <v/>
      </c>
      <c r="D41" s="10">
        <f>Catalog!P15</f>
        <v>0</v>
      </c>
      <c r="E41" s="10">
        <f>Catalog!R15</f>
        <v>0</v>
      </c>
      <c r="F41" s="10" t="str">
        <f>Catalog!M15</f>
        <v>Bengali</v>
      </c>
      <c r="G41" s="10" t="str">
        <f>Catalog!K15</f>
        <v>Fiction (FIC)</v>
      </c>
      <c r="H41" s="10" t="str">
        <f>IF(Catalog!S15&lt;&gt;"","ISBN:"&amp;Catalog!S15,IF(Catalog!T15&lt;&gt;"","ISSN:"&amp;Catalog!T15,""))</f>
        <v/>
      </c>
      <c r="I41" s="10" t="str">
        <f>Catalog!B15</f>
        <v>ACC-0014</v>
      </c>
      <c r="J41" s="10" t="str">
        <f>Catalog!L15</f>
        <v>Literature (LIT)</v>
      </c>
      <c r="K41" s="10">
        <f>IF(Catalog!AG15&lt;&gt;"",Catalog!AG15,Catalog!AE15)</f>
        <v>0</v>
      </c>
      <c r="L41" s="10">
        <f>Catalog!AD15</f>
        <v>0</v>
      </c>
      <c r="M41" s="10">
        <f>Catalog!V15</f>
        <v>0</v>
      </c>
      <c r="N41" s="10">
        <f>Catalog!Q15</f>
        <v>0</v>
      </c>
      <c r="O41" s="10">
        <f>Catalog!AF15</f>
        <v>0</v>
      </c>
    </row>
    <row r="42" spans="1:15" ht="30" x14ac:dyDescent="0.25">
      <c r="A42" s="10" t="str">
        <f>Catalog!D16</f>
        <v>Rabindra Rachanabali</v>
      </c>
      <c r="B42" s="10" t="str">
        <f>Catalog!F16</f>
        <v>Rabindranath Tagore</v>
      </c>
      <c r="C42" s="10" t="str">
        <f>IF(Catalog!I16="","",Catalog!I16)&amp;IF(AND(Catalog!I16&lt;&gt;"",Catalog!J16&lt;&gt;""),"; ","")&amp;IF(Catalog!J16="","",Catalog!J16)</f>
        <v/>
      </c>
      <c r="D42" s="10">
        <f>Catalog!P16</f>
        <v>0</v>
      </c>
      <c r="E42" s="10">
        <f>Catalog!R16</f>
        <v>0</v>
      </c>
      <c r="F42" s="10" t="str">
        <f>Catalog!M16</f>
        <v>Bengali</v>
      </c>
      <c r="G42" s="10" t="str">
        <f>Catalog!K16</f>
        <v>Fiction (FIC)</v>
      </c>
      <c r="H42" s="10" t="str">
        <f>IF(Catalog!S16&lt;&gt;"","ISBN:"&amp;Catalog!S16,IF(Catalog!T16&lt;&gt;"","ISSN:"&amp;Catalog!T16,""))</f>
        <v/>
      </c>
      <c r="I42" s="10" t="str">
        <f>Catalog!B16</f>
        <v>ACC-0015</v>
      </c>
      <c r="J42" s="10" t="str">
        <f>Catalog!L16</f>
        <v>Literature (LIT)</v>
      </c>
      <c r="K42" s="10">
        <f>IF(Catalog!AG16&lt;&gt;"",Catalog!AG16,Catalog!AE16)</f>
        <v>0</v>
      </c>
      <c r="L42" s="10">
        <f>Catalog!AD16</f>
        <v>0</v>
      </c>
      <c r="M42" s="10">
        <f>Catalog!V16</f>
        <v>0</v>
      </c>
      <c r="N42" s="10">
        <f>Catalog!Q16</f>
        <v>0</v>
      </c>
      <c r="O42" s="10">
        <f>Catalog!AF16</f>
        <v>0</v>
      </c>
    </row>
    <row r="43" spans="1:15" ht="30" x14ac:dyDescent="0.25">
      <c r="A43" s="10" t="str">
        <f>Catalog!D17</f>
        <v>Rabindra Rachanabali</v>
      </c>
      <c r="B43" s="10" t="str">
        <f>Catalog!F17</f>
        <v>Rabindranath Tagore</v>
      </c>
      <c r="C43" s="10" t="str">
        <f>IF(Catalog!I17="","",Catalog!I17)&amp;IF(AND(Catalog!I17&lt;&gt;"",Catalog!J17&lt;&gt;""),"; ","")&amp;IF(Catalog!J17="","",Catalog!J17)</f>
        <v/>
      </c>
      <c r="D43" s="10">
        <f>Catalog!P17</f>
        <v>0</v>
      </c>
      <c r="E43" s="10">
        <f>Catalog!R17</f>
        <v>0</v>
      </c>
      <c r="F43" s="10" t="str">
        <f>Catalog!M17</f>
        <v>Bengali</v>
      </c>
      <c r="G43" s="10" t="str">
        <f>Catalog!K17</f>
        <v>Fiction (FIC)</v>
      </c>
      <c r="H43" s="10" t="str">
        <f>IF(Catalog!S17&lt;&gt;"","ISBN:"&amp;Catalog!S17,IF(Catalog!T17&lt;&gt;"","ISSN:"&amp;Catalog!T17,""))</f>
        <v/>
      </c>
      <c r="I43" s="10" t="str">
        <f>Catalog!B17</f>
        <v>ACC-0016</v>
      </c>
      <c r="J43" s="10" t="str">
        <f>Catalog!L17</f>
        <v>Literature (LIT)</v>
      </c>
      <c r="K43" s="10">
        <f>IF(Catalog!AG17&lt;&gt;"",Catalog!AG17,Catalog!AE17)</f>
        <v>0</v>
      </c>
      <c r="L43" s="10">
        <f>Catalog!AD17</f>
        <v>0</v>
      </c>
      <c r="M43" s="10">
        <f>Catalog!V17</f>
        <v>0</v>
      </c>
      <c r="N43" s="10">
        <f>Catalog!Q17</f>
        <v>0</v>
      </c>
      <c r="O43" s="10">
        <f>Catalog!AF17</f>
        <v>0</v>
      </c>
    </row>
    <row r="44" spans="1:15" ht="30" x14ac:dyDescent="0.25">
      <c r="A44" s="10" t="str">
        <f>Catalog!D18</f>
        <v>Rabindra Rachanabali</v>
      </c>
      <c r="B44" s="10" t="str">
        <f>Catalog!F18</f>
        <v>Rabindranath Tagore</v>
      </c>
      <c r="C44" s="10" t="str">
        <f>IF(Catalog!I18="","",Catalog!I18)&amp;IF(AND(Catalog!I18&lt;&gt;"",Catalog!J18&lt;&gt;""),"; ","")&amp;IF(Catalog!J18="","",Catalog!J18)</f>
        <v/>
      </c>
      <c r="D44" s="10">
        <f>Catalog!P18</f>
        <v>0</v>
      </c>
      <c r="E44" s="10">
        <f>Catalog!R18</f>
        <v>0</v>
      </c>
      <c r="F44" s="10" t="str">
        <f>Catalog!M18</f>
        <v>Bengali</v>
      </c>
      <c r="G44" s="10" t="str">
        <f>Catalog!K18</f>
        <v>Fiction (FIC)</v>
      </c>
      <c r="H44" s="10" t="str">
        <f>IF(Catalog!S18&lt;&gt;"","ISBN:"&amp;Catalog!S18,IF(Catalog!T18&lt;&gt;"","ISSN:"&amp;Catalog!T18,""))</f>
        <v/>
      </c>
      <c r="I44" s="10" t="str">
        <f>Catalog!B18</f>
        <v>ACC-0017</v>
      </c>
      <c r="J44" s="10" t="str">
        <f>Catalog!L18</f>
        <v>Literature (LIT)</v>
      </c>
      <c r="K44" s="10">
        <f>IF(Catalog!AG18&lt;&gt;"",Catalog!AG18,Catalog!AE18)</f>
        <v>0</v>
      </c>
      <c r="L44" s="10">
        <f>Catalog!AD18</f>
        <v>0</v>
      </c>
      <c r="M44" s="10">
        <f>Catalog!V18</f>
        <v>0</v>
      </c>
      <c r="N44" s="10">
        <f>Catalog!Q18</f>
        <v>0</v>
      </c>
      <c r="O44" s="10">
        <f>Catalog!AF18</f>
        <v>0</v>
      </c>
    </row>
    <row r="45" spans="1:15" ht="30" x14ac:dyDescent="0.25">
      <c r="A45" s="10" t="str">
        <f>Catalog!D19</f>
        <v>Rabindra Rachanabali</v>
      </c>
      <c r="B45" s="10" t="str">
        <f>Catalog!F19</f>
        <v>Rabindranath Tagore</v>
      </c>
      <c r="C45" s="10" t="str">
        <f>IF(Catalog!I19="","",Catalog!I19)&amp;IF(AND(Catalog!I19&lt;&gt;"",Catalog!J19&lt;&gt;""),"; ","")&amp;IF(Catalog!J19="","",Catalog!J19)</f>
        <v/>
      </c>
      <c r="D45" s="10">
        <f>Catalog!P19</f>
        <v>0</v>
      </c>
      <c r="E45" s="10">
        <f>Catalog!R19</f>
        <v>0</v>
      </c>
      <c r="F45" s="10" t="str">
        <f>Catalog!M19</f>
        <v>Bengali</v>
      </c>
      <c r="G45" s="10" t="str">
        <f>Catalog!K19</f>
        <v>Fiction (FIC)</v>
      </c>
      <c r="H45" s="10" t="str">
        <f>IF(Catalog!S19&lt;&gt;"","ISBN:"&amp;Catalog!S19,IF(Catalog!T19&lt;&gt;"","ISSN:"&amp;Catalog!T19,""))</f>
        <v/>
      </c>
      <c r="I45" s="10" t="str">
        <f>Catalog!B19</f>
        <v>ACC-0018</v>
      </c>
      <c r="J45" s="10" t="str">
        <f>Catalog!L19</f>
        <v>Literature (LIT)</v>
      </c>
      <c r="K45" s="10">
        <f>IF(Catalog!AG19&lt;&gt;"",Catalog!AG19,Catalog!AE19)</f>
        <v>0</v>
      </c>
      <c r="L45" s="10">
        <f>Catalog!AD19</f>
        <v>0</v>
      </c>
      <c r="M45" s="10">
        <f>Catalog!V19</f>
        <v>0</v>
      </c>
      <c r="N45" s="10">
        <f>Catalog!Q19</f>
        <v>0</v>
      </c>
      <c r="O45" s="10">
        <f>Catalog!AF19</f>
        <v>0</v>
      </c>
    </row>
    <row r="46" spans="1:15" ht="30" x14ac:dyDescent="0.25">
      <c r="A46" s="10" t="str">
        <f>Catalog!D20</f>
        <v>নীলকণ্ঠ পাখির খোঁজে</v>
      </c>
      <c r="B46" s="10" t="str">
        <f>Catalog!F20</f>
        <v>অতীন বন্দ্যোপাধ্যায়</v>
      </c>
      <c r="C46" s="10" t="str">
        <f>IF(Catalog!I20="","",Catalog!I20)&amp;IF(AND(Catalog!I20&lt;&gt;"",Catalog!J20&lt;&gt;""),"; ","")&amp;IF(Catalog!J20="","",Catalog!J20)</f>
        <v/>
      </c>
      <c r="D46" s="10">
        <f>Catalog!P20</f>
        <v>0</v>
      </c>
      <c r="E46" s="10">
        <f>Catalog!R20</f>
        <v>0</v>
      </c>
      <c r="F46" s="10" t="str">
        <f>Catalog!M20</f>
        <v>Bengali</v>
      </c>
      <c r="G46" s="10" t="str">
        <f>Catalog!K20</f>
        <v>Fiction (FIC)</v>
      </c>
      <c r="H46" s="10" t="str">
        <f>IF(Catalog!S20&lt;&gt;"","ISBN:"&amp;Catalog!S20,IF(Catalog!T20&lt;&gt;"","ISSN:"&amp;Catalog!T20,""))</f>
        <v/>
      </c>
      <c r="I46" s="10" t="str">
        <f>Catalog!B20</f>
        <v>ACC-0019</v>
      </c>
      <c r="J46" s="10" t="str">
        <f>Catalog!L20</f>
        <v>Literature (LIT)</v>
      </c>
      <c r="K46" s="10">
        <f>IF(Catalog!AG20&lt;&gt;"",Catalog!AG20,Catalog!AE20)</f>
        <v>0</v>
      </c>
      <c r="L46" s="10">
        <f>Catalog!AD20</f>
        <v>0</v>
      </c>
      <c r="M46" s="10">
        <f>Catalog!V20</f>
        <v>0</v>
      </c>
      <c r="N46" s="10">
        <f>Catalog!Q20</f>
        <v>0</v>
      </c>
      <c r="O46" s="10">
        <f>Catalog!AF20</f>
        <v>0</v>
      </c>
    </row>
    <row r="47" spans="1:15" ht="30" x14ac:dyDescent="0.25">
      <c r="A47" s="10" t="str">
        <f>Catalog!D21</f>
        <v>Desh</v>
      </c>
      <c r="B47" s="10">
        <f>Catalog!F21</f>
        <v>0</v>
      </c>
      <c r="C47" s="10" t="str">
        <f>IF(Catalog!I21="","",Catalog!I21)&amp;IF(AND(Catalog!I21&lt;&gt;"",Catalog!J21&lt;&gt;""),"; ","")&amp;IF(Catalog!J21="","",Catalog!J21)</f>
        <v/>
      </c>
      <c r="D47" s="10">
        <f>Catalog!P21</f>
        <v>0</v>
      </c>
      <c r="E47" s="10">
        <f>Catalog!R21</f>
        <v>0</v>
      </c>
      <c r="F47" s="10" t="str">
        <f>Catalog!M21</f>
        <v>Bengali</v>
      </c>
      <c r="G47" s="10" t="str">
        <f>Catalog!K21</f>
        <v>Magazine</v>
      </c>
      <c r="H47" s="10" t="str">
        <f>IF(Catalog!S21&lt;&gt;"","ISBN:"&amp;Catalog!S21,IF(Catalog!T21&lt;&gt;"","ISSN:"&amp;Catalog!T21,""))</f>
        <v/>
      </c>
      <c r="I47" s="10" t="str">
        <f>Catalog!B21</f>
        <v>ACC-0020</v>
      </c>
      <c r="J47" s="10" t="str">
        <f>Catalog!L21</f>
        <v>Literature (LIT)</v>
      </c>
      <c r="K47" s="10" t="str">
        <f>IF(Catalog!AG21&lt;&gt;"",Catalog!AG21,Catalog!AE21)</f>
        <v>Monthly issues</v>
      </c>
      <c r="L47" s="10">
        <f>Catalog!AD21</f>
        <v>0</v>
      </c>
      <c r="M47" s="10">
        <f>Catalog!V21</f>
        <v>0</v>
      </c>
      <c r="N47" s="10">
        <f>Catalog!Q21</f>
        <v>0</v>
      </c>
      <c r="O47" s="10">
        <f>Catalog!AF21</f>
        <v>0</v>
      </c>
    </row>
    <row r="48" spans="1:15" x14ac:dyDescent="0.25">
      <c r="A48" s="10">
        <f>Catalog!D22</f>
        <v>0</v>
      </c>
      <c r="B48" s="10">
        <f>Catalog!F22</f>
        <v>0</v>
      </c>
      <c r="C48" s="10" t="str">
        <f>IF(Catalog!I22="","",Catalog!I22)&amp;IF(AND(Catalog!I22&lt;&gt;"",Catalog!J22&lt;&gt;""),"; ","")&amp;IF(Catalog!J22="","",Catalog!J22)</f>
        <v/>
      </c>
      <c r="D48" s="10">
        <f>Catalog!P22</f>
        <v>0</v>
      </c>
      <c r="E48" s="10">
        <f>Catalog!R22</f>
        <v>0</v>
      </c>
      <c r="F48" s="10">
        <f>Catalog!M22</f>
        <v>0</v>
      </c>
      <c r="G48" s="10">
        <f>Catalog!K22</f>
        <v>0</v>
      </c>
      <c r="H48" s="10" t="str">
        <f>IF(Catalog!S22&lt;&gt;"","ISBN:"&amp;Catalog!S22,IF(Catalog!T22&lt;&gt;"","ISSN:"&amp;Catalog!T22,""))</f>
        <v/>
      </c>
      <c r="I48" s="10">
        <f>Catalog!B22</f>
        <v>0</v>
      </c>
      <c r="J48" s="10">
        <f>Catalog!L22</f>
        <v>0</v>
      </c>
      <c r="K48" s="10">
        <f>IF(Catalog!AG22&lt;&gt;"",Catalog!AG22,Catalog!AE22)</f>
        <v>0</v>
      </c>
      <c r="L48" s="10">
        <f>Catalog!AD22</f>
        <v>0</v>
      </c>
      <c r="M48" s="10">
        <f>Catalog!V22</f>
        <v>0</v>
      </c>
      <c r="N48" s="10">
        <f>Catalog!Q22</f>
        <v>0</v>
      </c>
      <c r="O48" s="10">
        <f>Catalog!AF22</f>
        <v>0</v>
      </c>
    </row>
    <row r="49" spans="1:15" x14ac:dyDescent="0.25">
      <c r="A49" s="10">
        <f>Catalog!D23</f>
        <v>0</v>
      </c>
      <c r="B49" s="10">
        <f>Catalog!F23</f>
        <v>0</v>
      </c>
      <c r="C49" s="10" t="str">
        <f>IF(Catalog!I23="","",Catalog!I23)&amp;IF(AND(Catalog!I23&lt;&gt;"",Catalog!J23&lt;&gt;""),"; ","")&amp;IF(Catalog!J23="","",Catalog!J23)</f>
        <v/>
      </c>
      <c r="D49" s="10">
        <f>Catalog!P23</f>
        <v>0</v>
      </c>
      <c r="E49" s="10">
        <f>Catalog!R23</f>
        <v>0</v>
      </c>
      <c r="F49" s="10">
        <f>Catalog!M23</f>
        <v>0</v>
      </c>
      <c r="G49" s="10">
        <f>Catalog!K23</f>
        <v>0</v>
      </c>
      <c r="H49" s="10" t="str">
        <f>IF(Catalog!S23&lt;&gt;"","ISBN:"&amp;Catalog!S23,IF(Catalog!T23&lt;&gt;"","ISSN:"&amp;Catalog!T23,""))</f>
        <v/>
      </c>
      <c r="I49" s="10">
        <f>Catalog!B23</f>
        <v>0</v>
      </c>
      <c r="J49" s="10">
        <f>Catalog!L23</f>
        <v>0</v>
      </c>
      <c r="K49" s="10">
        <f>IF(Catalog!AG23&lt;&gt;"",Catalog!AG23,Catalog!AE23)</f>
        <v>0</v>
      </c>
      <c r="L49" s="10">
        <f>Catalog!AD23</f>
        <v>0</v>
      </c>
      <c r="M49" s="10">
        <f>Catalog!V23</f>
        <v>0</v>
      </c>
      <c r="N49" s="10">
        <f>Catalog!Q23</f>
        <v>0</v>
      </c>
      <c r="O49" s="10">
        <f>Catalog!AF23</f>
        <v>0</v>
      </c>
    </row>
    <row r="50" spans="1:15" x14ac:dyDescent="0.25">
      <c r="A50" s="10">
        <f>Catalog!D24</f>
        <v>0</v>
      </c>
      <c r="B50" s="10">
        <f>Catalog!F24</f>
        <v>0</v>
      </c>
      <c r="C50" s="10" t="str">
        <f>IF(Catalog!I24="","",Catalog!I24)&amp;IF(AND(Catalog!I24&lt;&gt;"",Catalog!J24&lt;&gt;""),"; ","")&amp;IF(Catalog!J24="","",Catalog!J24)</f>
        <v/>
      </c>
      <c r="D50" s="10">
        <f>Catalog!P24</f>
        <v>0</v>
      </c>
      <c r="E50" s="10">
        <f>Catalog!R24</f>
        <v>0</v>
      </c>
      <c r="F50" s="10">
        <f>Catalog!M24</f>
        <v>0</v>
      </c>
      <c r="G50" s="10">
        <f>Catalog!K24</f>
        <v>0</v>
      </c>
      <c r="H50" s="10" t="str">
        <f>IF(Catalog!S24&lt;&gt;"","ISBN:"&amp;Catalog!S24,IF(Catalog!T24&lt;&gt;"","ISSN:"&amp;Catalog!T24,""))</f>
        <v/>
      </c>
      <c r="I50" s="10">
        <f>Catalog!B24</f>
        <v>0</v>
      </c>
      <c r="J50" s="10">
        <f>Catalog!L24</f>
        <v>0</v>
      </c>
      <c r="K50" s="10">
        <f>IF(Catalog!AG24&lt;&gt;"",Catalog!AG24,Catalog!AE24)</f>
        <v>0</v>
      </c>
      <c r="L50" s="10">
        <f>Catalog!AD24</f>
        <v>0</v>
      </c>
      <c r="M50" s="10">
        <f>Catalog!V24</f>
        <v>0</v>
      </c>
      <c r="N50" s="10">
        <f>Catalog!Q24</f>
        <v>0</v>
      </c>
      <c r="O50" s="10">
        <f>Catalog!AF24</f>
        <v>0</v>
      </c>
    </row>
    <row r="51" spans="1:15" x14ac:dyDescent="0.25">
      <c r="A51" s="10">
        <f>Catalog!D25</f>
        <v>0</v>
      </c>
      <c r="B51" s="10">
        <f>Catalog!F25</f>
        <v>0</v>
      </c>
      <c r="C51" s="10" t="str">
        <f>IF(Catalog!I25="","",Catalog!I25)&amp;IF(AND(Catalog!I25&lt;&gt;"",Catalog!J25&lt;&gt;""),"; ","")&amp;IF(Catalog!J25="","",Catalog!J25)</f>
        <v/>
      </c>
      <c r="D51" s="10">
        <f>Catalog!P25</f>
        <v>0</v>
      </c>
      <c r="E51" s="10">
        <f>Catalog!R25</f>
        <v>0</v>
      </c>
      <c r="F51" s="10">
        <f>Catalog!M25</f>
        <v>0</v>
      </c>
      <c r="G51" s="10">
        <f>Catalog!K25</f>
        <v>0</v>
      </c>
      <c r="H51" s="10" t="str">
        <f>IF(Catalog!S25&lt;&gt;"","ISBN:"&amp;Catalog!S25,IF(Catalog!T25&lt;&gt;"","ISSN:"&amp;Catalog!T25,""))</f>
        <v/>
      </c>
      <c r="I51" s="10">
        <f>Catalog!B25</f>
        <v>0</v>
      </c>
      <c r="J51" s="10">
        <f>Catalog!L25</f>
        <v>0</v>
      </c>
      <c r="K51" s="10">
        <f>IF(Catalog!AG25&lt;&gt;"",Catalog!AG25,Catalog!AE25)</f>
        <v>0</v>
      </c>
      <c r="L51" s="10">
        <f>Catalog!AD25</f>
        <v>0</v>
      </c>
      <c r="M51" s="10">
        <f>Catalog!V25</f>
        <v>0</v>
      </c>
      <c r="N51" s="10">
        <f>Catalog!Q25</f>
        <v>0</v>
      </c>
      <c r="O51" s="10">
        <f>Catalog!AF25</f>
        <v>0</v>
      </c>
    </row>
    <row r="52" spans="1:15" x14ac:dyDescent="0.25">
      <c r="A52" s="10">
        <f>Catalog!D26</f>
        <v>0</v>
      </c>
      <c r="B52" s="10">
        <f>Catalog!F26</f>
        <v>0</v>
      </c>
      <c r="C52" s="10" t="str">
        <f>IF(Catalog!I26="","",Catalog!I26)&amp;IF(AND(Catalog!I26&lt;&gt;"",Catalog!J26&lt;&gt;""),"; ","")&amp;IF(Catalog!J26="","",Catalog!J26)</f>
        <v/>
      </c>
      <c r="D52" s="10">
        <f>Catalog!P26</f>
        <v>0</v>
      </c>
      <c r="E52" s="10">
        <f>Catalog!R26</f>
        <v>0</v>
      </c>
      <c r="F52" s="10">
        <f>Catalog!M26</f>
        <v>0</v>
      </c>
      <c r="G52" s="10">
        <f>Catalog!K26</f>
        <v>0</v>
      </c>
      <c r="H52" s="10" t="str">
        <f>IF(Catalog!S26&lt;&gt;"","ISBN:"&amp;Catalog!S26,IF(Catalog!T26&lt;&gt;"","ISSN:"&amp;Catalog!T26,""))</f>
        <v/>
      </c>
      <c r="I52" s="10">
        <f>Catalog!B26</f>
        <v>0</v>
      </c>
      <c r="J52" s="10">
        <f>Catalog!L26</f>
        <v>0</v>
      </c>
      <c r="K52" s="10">
        <f>IF(Catalog!AG26&lt;&gt;"",Catalog!AG26,Catalog!AE26)</f>
        <v>0</v>
      </c>
      <c r="L52" s="10">
        <f>Catalog!AD26</f>
        <v>0</v>
      </c>
      <c r="M52" s="10">
        <f>Catalog!V26</f>
        <v>0</v>
      </c>
      <c r="N52" s="10">
        <f>Catalog!Q26</f>
        <v>0</v>
      </c>
      <c r="O52" s="10">
        <f>Catalog!AF26</f>
        <v>0</v>
      </c>
    </row>
    <row r="53" spans="1:15" x14ac:dyDescent="0.25">
      <c r="A53" s="10">
        <f>Catalog!D27</f>
        <v>0</v>
      </c>
      <c r="B53" s="10">
        <f>Catalog!F27</f>
        <v>0</v>
      </c>
      <c r="C53" s="10" t="str">
        <f>IF(Catalog!I27="","",Catalog!I27)&amp;IF(AND(Catalog!I27&lt;&gt;"",Catalog!J27&lt;&gt;""),"; ","")&amp;IF(Catalog!J27="","",Catalog!J27)</f>
        <v/>
      </c>
      <c r="D53" s="10">
        <f>Catalog!P27</f>
        <v>0</v>
      </c>
      <c r="E53" s="10">
        <f>Catalog!R27</f>
        <v>0</v>
      </c>
      <c r="F53" s="10">
        <f>Catalog!M27</f>
        <v>0</v>
      </c>
      <c r="G53" s="10">
        <f>Catalog!K27</f>
        <v>0</v>
      </c>
      <c r="H53" s="10" t="str">
        <f>IF(Catalog!S27&lt;&gt;"","ISBN:"&amp;Catalog!S27,IF(Catalog!T27&lt;&gt;"","ISSN:"&amp;Catalog!T27,""))</f>
        <v/>
      </c>
      <c r="I53" s="10">
        <f>Catalog!B27</f>
        <v>0</v>
      </c>
      <c r="J53" s="10">
        <f>Catalog!L27</f>
        <v>0</v>
      </c>
      <c r="K53" s="10">
        <f>IF(Catalog!AG27&lt;&gt;"",Catalog!AG27,Catalog!AE27)</f>
        <v>0</v>
      </c>
      <c r="L53" s="10">
        <f>Catalog!AD27</f>
        <v>0</v>
      </c>
      <c r="M53" s="10">
        <f>Catalog!V27</f>
        <v>0</v>
      </c>
      <c r="N53" s="10">
        <f>Catalog!Q27</f>
        <v>0</v>
      </c>
      <c r="O53" s="10">
        <f>Catalog!AF27</f>
        <v>0</v>
      </c>
    </row>
    <row r="54" spans="1:15" x14ac:dyDescent="0.25">
      <c r="A54" s="10">
        <f>Catalog!D28</f>
        <v>0</v>
      </c>
      <c r="B54" s="10">
        <f>Catalog!F28</f>
        <v>0</v>
      </c>
      <c r="C54" s="10" t="str">
        <f>IF(Catalog!I28="","",Catalog!I28)&amp;IF(AND(Catalog!I28&lt;&gt;"",Catalog!J28&lt;&gt;""),"; ","")&amp;IF(Catalog!J28="","",Catalog!J28)</f>
        <v/>
      </c>
      <c r="D54" s="10">
        <f>Catalog!P28</f>
        <v>0</v>
      </c>
      <c r="E54" s="10">
        <f>Catalog!R28</f>
        <v>0</v>
      </c>
      <c r="F54" s="10">
        <f>Catalog!M28</f>
        <v>0</v>
      </c>
      <c r="G54" s="10">
        <f>Catalog!K28</f>
        <v>0</v>
      </c>
      <c r="H54" s="10" t="str">
        <f>IF(Catalog!S28&lt;&gt;"","ISBN:"&amp;Catalog!S28,IF(Catalog!T28&lt;&gt;"","ISSN:"&amp;Catalog!T28,""))</f>
        <v/>
      </c>
      <c r="I54" s="10">
        <f>Catalog!B28</f>
        <v>0</v>
      </c>
      <c r="J54" s="10">
        <f>Catalog!L28</f>
        <v>0</v>
      </c>
      <c r="K54" s="10">
        <f>IF(Catalog!AG28&lt;&gt;"",Catalog!AG28,Catalog!AE28)</f>
        <v>0</v>
      </c>
      <c r="L54" s="10">
        <f>Catalog!AD28</f>
        <v>0</v>
      </c>
      <c r="M54" s="10">
        <f>Catalog!V28</f>
        <v>0</v>
      </c>
      <c r="N54" s="10">
        <f>Catalog!Q28</f>
        <v>0</v>
      </c>
      <c r="O54" s="10">
        <f>Catalog!AF28</f>
        <v>0</v>
      </c>
    </row>
    <row r="55" spans="1:15" x14ac:dyDescent="0.25">
      <c r="A55" s="10">
        <f>Catalog!D29</f>
        <v>0</v>
      </c>
      <c r="B55" s="10">
        <f>Catalog!F29</f>
        <v>0</v>
      </c>
      <c r="C55" s="10" t="str">
        <f>IF(Catalog!I29="","",Catalog!I29)&amp;IF(AND(Catalog!I29&lt;&gt;"",Catalog!J29&lt;&gt;""),"; ","")&amp;IF(Catalog!J29="","",Catalog!J29)</f>
        <v/>
      </c>
      <c r="D55" s="10">
        <f>Catalog!P29</f>
        <v>0</v>
      </c>
      <c r="E55" s="10">
        <f>Catalog!R29</f>
        <v>0</v>
      </c>
      <c r="F55" s="10">
        <f>Catalog!M29</f>
        <v>0</v>
      </c>
      <c r="G55" s="10">
        <f>Catalog!K29</f>
        <v>0</v>
      </c>
      <c r="H55" s="10" t="str">
        <f>IF(Catalog!S29&lt;&gt;"","ISBN:"&amp;Catalog!S29,IF(Catalog!T29&lt;&gt;"","ISSN:"&amp;Catalog!T29,""))</f>
        <v/>
      </c>
      <c r="I55" s="10">
        <f>Catalog!B29</f>
        <v>0</v>
      </c>
      <c r="J55" s="10">
        <f>Catalog!L29</f>
        <v>0</v>
      </c>
      <c r="K55" s="10">
        <f>IF(Catalog!AG29&lt;&gt;"",Catalog!AG29,Catalog!AE29)</f>
        <v>0</v>
      </c>
      <c r="L55" s="10">
        <f>Catalog!AD29</f>
        <v>0</v>
      </c>
      <c r="M55" s="10">
        <f>Catalog!V29</f>
        <v>0</v>
      </c>
      <c r="N55" s="10">
        <f>Catalog!Q29</f>
        <v>0</v>
      </c>
      <c r="O55" s="10">
        <f>Catalog!AF29</f>
        <v>0</v>
      </c>
    </row>
    <row r="56" spans="1:15" x14ac:dyDescent="0.25">
      <c r="A56" s="10">
        <f>Catalog!D30</f>
        <v>0</v>
      </c>
      <c r="B56" s="10">
        <f>Catalog!F30</f>
        <v>0</v>
      </c>
      <c r="C56" s="10" t="str">
        <f>IF(Catalog!I30="","",Catalog!I30)&amp;IF(AND(Catalog!I30&lt;&gt;"",Catalog!J30&lt;&gt;""),"; ","")&amp;IF(Catalog!J30="","",Catalog!J30)</f>
        <v/>
      </c>
      <c r="D56" s="10">
        <f>Catalog!P30</f>
        <v>0</v>
      </c>
      <c r="E56" s="10">
        <f>Catalog!R30</f>
        <v>0</v>
      </c>
      <c r="F56" s="10">
        <f>Catalog!M30</f>
        <v>0</v>
      </c>
      <c r="G56" s="10">
        <f>Catalog!K30</f>
        <v>0</v>
      </c>
      <c r="H56" s="10" t="str">
        <f>IF(Catalog!S30&lt;&gt;"","ISBN:"&amp;Catalog!S30,IF(Catalog!T30&lt;&gt;"","ISSN:"&amp;Catalog!T30,""))</f>
        <v/>
      </c>
      <c r="I56" s="10">
        <f>Catalog!B30</f>
        <v>0</v>
      </c>
      <c r="J56" s="10">
        <f>Catalog!L30</f>
        <v>0</v>
      </c>
      <c r="K56" s="10">
        <f>IF(Catalog!AG30&lt;&gt;"",Catalog!AG30,Catalog!AE30)</f>
        <v>0</v>
      </c>
      <c r="L56" s="10">
        <f>Catalog!AD30</f>
        <v>0</v>
      </c>
      <c r="M56" s="10">
        <f>Catalog!V30</f>
        <v>0</v>
      </c>
      <c r="N56" s="10">
        <f>Catalog!Q30</f>
        <v>0</v>
      </c>
      <c r="O56" s="10">
        <f>Catalog!AF30</f>
        <v>0</v>
      </c>
    </row>
    <row r="57" spans="1:15" x14ac:dyDescent="0.25">
      <c r="A57" s="10">
        <f>Catalog!D31</f>
        <v>0</v>
      </c>
      <c r="B57" s="10">
        <f>Catalog!F31</f>
        <v>0</v>
      </c>
      <c r="C57" s="10" t="str">
        <f>IF(Catalog!I31="","",Catalog!I31)&amp;IF(AND(Catalog!I31&lt;&gt;"",Catalog!J31&lt;&gt;""),"; ","")&amp;IF(Catalog!J31="","",Catalog!J31)</f>
        <v/>
      </c>
      <c r="D57" s="10">
        <f>Catalog!P31</f>
        <v>0</v>
      </c>
      <c r="E57" s="10">
        <f>Catalog!R31</f>
        <v>0</v>
      </c>
      <c r="F57" s="10">
        <f>Catalog!M31</f>
        <v>0</v>
      </c>
      <c r="G57" s="10">
        <f>Catalog!K31</f>
        <v>0</v>
      </c>
      <c r="H57" s="10" t="str">
        <f>IF(Catalog!S31&lt;&gt;"","ISBN:"&amp;Catalog!S31,IF(Catalog!T31&lt;&gt;"","ISSN:"&amp;Catalog!T31,""))</f>
        <v/>
      </c>
      <c r="I57" s="10">
        <f>Catalog!B31</f>
        <v>0</v>
      </c>
      <c r="J57" s="10">
        <f>Catalog!L31</f>
        <v>0</v>
      </c>
      <c r="K57" s="10">
        <f>IF(Catalog!AG31&lt;&gt;"",Catalog!AG31,Catalog!AE31)</f>
        <v>0</v>
      </c>
      <c r="L57" s="10">
        <f>Catalog!AD31</f>
        <v>0</v>
      </c>
      <c r="M57" s="10">
        <f>Catalog!V31</f>
        <v>0</v>
      </c>
      <c r="N57" s="10">
        <f>Catalog!Q31</f>
        <v>0</v>
      </c>
      <c r="O57" s="10">
        <f>Catalog!AF31</f>
        <v>0</v>
      </c>
    </row>
    <row r="58" spans="1:15" x14ac:dyDescent="0.25">
      <c r="A58" s="10">
        <f>Catalog!D32</f>
        <v>0</v>
      </c>
      <c r="B58" s="10">
        <f>Catalog!F32</f>
        <v>0</v>
      </c>
      <c r="C58" s="10" t="str">
        <f>IF(Catalog!I32="","",Catalog!I32)&amp;IF(AND(Catalog!I32&lt;&gt;"",Catalog!J32&lt;&gt;""),"; ","")&amp;IF(Catalog!J32="","",Catalog!J32)</f>
        <v/>
      </c>
      <c r="D58" s="10">
        <f>Catalog!P32</f>
        <v>0</v>
      </c>
      <c r="E58" s="10">
        <f>Catalog!R32</f>
        <v>0</v>
      </c>
      <c r="F58" s="10">
        <f>Catalog!M32</f>
        <v>0</v>
      </c>
      <c r="G58" s="10">
        <f>Catalog!K32</f>
        <v>0</v>
      </c>
      <c r="H58" s="10" t="str">
        <f>IF(Catalog!S32&lt;&gt;"","ISBN:"&amp;Catalog!S32,IF(Catalog!T32&lt;&gt;"","ISSN:"&amp;Catalog!T32,""))</f>
        <v/>
      </c>
      <c r="I58" s="10">
        <f>Catalog!B32</f>
        <v>0</v>
      </c>
      <c r="J58" s="10">
        <f>Catalog!L32</f>
        <v>0</v>
      </c>
      <c r="K58" s="10">
        <f>IF(Catalog!AG32&lt;&gt;"",Catalog!AG32,Catalog!AE32)</f>
        <v>0</v>
      </c>
      <c r="L58" s="10">
        <f>Catalog!AD32</f>
        <v>0</v>
      </c>
      <c r="M58" s="10">
        <f>Catalog!V32</f>
        <v>0</v>
      </c>
      <c r="N58" s="10">
        <f>Catalog!Q32</f>
        <v>0</v>
      </c>
      <c r="O58" s="10">
        <f>Catalog!AF32</f>
        <v>0</v>
      </c>
    </row>
    <row r="59" spans="1:15" x14ac:dyDescent="0.25">
      <c r="A59" s="10">
        <f>Catalog!D33</f>
        <v>0</v>
      </c>
      <c r="B59" s="10">
        <f>Catalog!F33</f>
        <v>0</v>
      </c>
      <c r="C59" s="10" t="str">
        <f>IF(Catalog!I33="","",Catalog!I33)&amp;IF(AND(Catalog!I33&lt;&gt;"",Catalog!J33&lt;&gt;""),"; ","")&amp;IF(Catalog!J33="","",Catalog!J33)</f>
        <v/>
      </c>
      <c r="D59" s="10">
        <f>Catalog!P33</f>
        <v>0</v>
      </c>
      <c r="E59" s="10">
        <f>Catalog!R33</f>
        <v>0</v>
      </c>
      <c r="F59" s="10">
        <f>Catalog!M33</f>
        <v>0</v>
      </c>
      <c r="G59" s="10">
        <f>Catalog!K33</f>
        <v>0</v>
      </c>
      <c r="H59" s="10" t="str">
        <f>IF(Catalog!S33&lt;&gt;"","ISBN:"&amp;Catalog!S33,IF(Catalog!T33&lt;&gt;"","ISSN:"&amp;Catalog!T33,""))</f>
        <v/>
      </c>
      <c r="I59" s="10">
        <f>Catalog!B33</f>
        <v>0</v>
      </c>
      <c r="J59" s="10">
        <f>Catalog!L33</f>
        <v>0</v>
      </c>
      <c r="K59" s="10">
        <f>IF(Catalog!AG33&lt;&gt;"",Catalog!AG33,Catalog!AE33)</f>
        <v>0</v>
      </c>
      <c r="L59" s="10">
        <f>Catalog!AD33</f>
        <v>0</v>
      </c>
      <c r="M59" s="10">
        <f>Catalog!V33</f>
        <v>0</v>
      </c>
      <c r="N59" s="10">
        <f>Catalog!Q33</f>
        <v>0</v>
      </c>
      <c r="O59" s="10">
        <f>Catalog!AF33</f>
        <v>0</v>
      </c>
    </row>
    <row r="60" spans="1:15" x14ac:dyDescent="0.25">
      <c r="A60" s="10">
        <f>Catalog!D34</f>
        <v>0</v>
      </c>
      <c r="B60" s="10">
        <f>Catalog!F34</f>
        <v>0</v>
      </c>
      <c r="C60" s="10" t="str">
        <f>IF(Catalog!I34="","",Catalog!I34)&amp;IF(AND(Catalog!I34&lt;&gt;"",Catalog!J34&lt;&gt;""),"; ","")&amp;IF(Catalog!J34="","",Catalog!J34)</f>
        <v/>
      </c>
      <c r="D60" s="10">
        <f>Catalog!P34</f>
        <v>0</v>
      </c>
      <c r="E60" s="10">
        <f>Catalog!R34</f>
        <v>0</v>
      </c>
      <c r="F60" s="10">
        <f>Catalog!M34</f>
        <v>0</v>
      </c>
      <c r="G60" s="10">
        <f>Catalog!K34</f>
        <v>0</v>
      </c>
      <c r="H60" s="10" t="str">
        <f>IF(Catalog!S34&lt;&gt;"","ISBN:"&amp;Catalog!S34,IF(Catalog!T34&lt;&gt;"","ISSN:"&amp;Catalog!T34,""))</f>
        <v/>
      </c>
      <c r="I60" s="10">
        <f>Catalog!B34</f>
        <v>0</v>
      </c>
      <c r="J60" s="10">
        <f>Catalog!L34</f>
        <v>0</v>
      </c>
      <c r="K60" s="10">
        <f>IF(Catalog!AG34&lt;&gt;"",Catalog!AG34,Catalog!AE34)</f>
        <v>0</v>
      </c>
      <c r="L60" s="10">
        <f>Catalog!AD34</f>
        <v>0</v>
      </c>
      <c r="M60" s="10">
        <f>Catalog!V34</f>
        <v>0</v>
      </c>
      <c r="N60" s="10">
        <f>Catalog!Q34</f>
        <v>0</v>
      </c>
      <c r="O60" s="10">
        <f>Catalog!AF34</f>
        <v>0</v>
      </c>
    </row>
    <row r="61" spans="1:15" x14ac:dyDescent="0.25">
      <c r="A61" s="10">
        <f>Catalog!D35</f>
        <v>0</v>
      </c>
      <c r="B61" s="10">
        <f>Catalog!F35</f>
        <v>0</v>
      </c>
      <c r="C61" s="10" t="str">
        <f>IF(Catalog!I35="","",Catalog!I35)&amp;IF(AND(Catalog!I35&lt;&gt;"",Catalog!J35&lt;&gt;""),"; ","")&amp;IF(Catalog!J35="","",Catalog!J35)</f>
        <v/>
      </c>
      <c r="D61" s="10">
        <f>Catalog!P35</f>
        <v>0</v>
      </c>
      <c r="E61" s="10">
        <f>Catalog!R35</f>
        <v>0</v>
      </c>
      <c r="F61" s="10">
        <f>Catalog!M35</f>
        <v>0</v>
      </c>
      <c r="G61" s="10">
        <f>Catalog!K35</f>
        <v>0</v>
      </c>
      <c r="H61" s="10" t="str">
        <f>IF(Catalog!S35&lt;&gt;"","ISBN:"&amp;Catalog!S35,IF(Catalog!T35&lt;&gt;"","ISSN:"&amp;Catalog!T35,""))</f>
        <v/>
      </c>
      <c r="I61" s="10">
        <f>Catalog!B35</f>
        <v>0</v>
      </c>
      <c r="J61" s="10">
        <f>Catalog!L35</f>
        <v>0</v>
      </c>
      <c r="K61" s="10">
        <f>IF(Catalog!AG35&lt;&gt;"",Catalog!AG35,Catalog!AE35)</f>
        <v>0</v>
      </c>
      <c r="L61" s="10">
        <f>Catalog!AD35</f>
        <v>0</v>
      </c>
      <c r="M61" s="10">
        <f>Catalog!V35</f>
        <v>0</v>
      </c>
      <c r="N61" s="10">
        <f>Catalog!Q35</f>
        <v>0</v>
      </c>
      <c r="O61" s="10">
        <f>Catalog!AF35</f>
        <v>0</v>
      </c>
    </row>
    <row r="62" spans="1:15" x14ac:dyDescent="0.25">
      <c r="A62" s="10">
        <f>Catalog!D36</f>
        <v>0</v>
      </c>
      <c r="B62" s="10">
        <f>Catalog!F36</f>
        <v>0</v>
      </c>
      <c r="C62" s="10" t="str">
        <f>IF(Catalog!I36="","",Catalog!I36)&amp;IF(AND(Catalog!I36&lt;&gt;"",Catalog!J36&lt;&gt;""),"; ","")&amp;IF(Catalog!J36="","",Catalog!J36)</f>
        <v/>
      </c>
      <c r="D62" s="10">
        <f>Catalog!P36</f>
        <v>0</v>
      </c>
      <c r="E62" s="10">
        <f>Catalog!R36</f>
        <v>0</v>
      </c>
      <c r="F62" s="10">
        <f>Catalog!M36</f>
        <v>0</v>
      </c>
      <c r="G62" s="10">
        <f>Catalog!K36</f>
        <v>0</v>
      </c>
      <c r="H62" s="10" t="str">
        <f>IF(Catalog!S36&lt;&gt;"","ISBN:"&amp;Catalog!S36,IF(Catalog!T36&lt;&gt;"","ISSN:"&amp;Catalog!T36,""))</f>
        <v/>
      </c>
      <c r="I62" s="10">
        <f>Catalog!B36</f>
        <v>0</v>
      </c>
      <c r="J62" s="10">
        <f>Catalog!L36</f>
        <v>0</v>
      </c>
      <c r="K62" s="10">
        <f>IF(Catalog!AG36&lt;&gt;"",Catalog!AG36,Catalog!AE36)</f>
        <v>0</v>
      </c>
      <c r="L62" s="10">
        <f>Catalog!AD36</f>
        <v>0</v>
      </c>
      <c r="M62" s="10">
        <f>Catalog!V36</f>
        <v>0</v>
      </c>
      <c r="N62" s="10">
        <f>Catalog!Q36</f>
        <v>0</v>
      </c>
      <c r="O62" s="10">
        <f>Catalog!AF36</f>
        <v>0</v>
      </c>
    </row>
    <row r="63" spans="1:15" x14ac:dyDescent="0.25">
      <c r="A63" s="10">
        <f>Catalog!D37</f>
        <v>0</v>
      </c>
      <c r="B63" s="10">
        <f>Catalog!F37</f>
        <v>0</v>
      </c>
      <c r="C63" s="10" t="str">
        <f>IF(Catalog!I37="","",Catalog!I37)&amp;IF(AND(Catalog!I37&lt;&gt;"",Catalog!J37&lt;&gt;""),"; ","")&amp;IF(Catalog!J37="","",Catalog!J37)</f>
        <v/>
      </c>
      <c r="D63" s="10">
        <f>Catalog!P37</f>
        <v>0</v>
      </c>
      <c r="E63" s="10">
        <f>Catalog!R37</f>
        <v>0</v>
      </c>
      <c r="F63" s="10">
        <f>Catalog!M37</f>
        <v>0</v>
      </c>
      <c r="G63" s="10">
        <f>Catalog!K37</f>
        <v>0</v>
      </c>
      <c r="H63" s="10" t="str">
        <f>IF(Catalog!S37&lt;&gt;"","ISBN:"&amp;Catalog!S37,IF(Catalog!T37&lt;&gt;"","ISSN:"&amp;Catalog!T37,""))</f>
        <v/>
      </c>
      <c r="I63" s="10">
        <f>Catalog!B37</f>
        <v>0</v>
      </c>
      <c r="J63" s="10">
        <f>Catalog!L37</f>
        <v>0</v>
      </c>
      <c r="K63" s="10">
        <f>IF(Catalog!AG37&lt;&gt;"",Catalog!AG37,Catalog!AE37)</f>
        <v>0</v>
      </c>
      <c r="L63" s="10">
        <f>Catalog!AD37</f>
        <v>0</v>
      </c>
      <c r="M63" s="10">
        <f>Catalog!V37</f>
        <v>0</v>
      </c>
      <c r="N63" s="10">
        <f>Catalog!Q37</f>
        <v>0</v>
      </c>
      <c r="O63" s="10">
        <f>Catalog!AF37</f>
        <v>0</v>
      </c>
    </row>
    <row r="64" spans="1:15" x14ac:dyDescent="0.25">
      <c r="A64" s="10">
        <f>Catalog!D38</f>
        <v>0</v>
      </c>
      <c r="B64" s="10">
        <f>Catalog!F38</f>
        <v>0</v>
      </c>
      <c r="C64" s="10" t="str">
        <f>IF(Catalog!I38="","",Catalog!I38)&amp;IF(AND(Catalog!I38&lt;&gt;"",Catalog!J38&lt;&gt;""),"; ","")&amp;IF(Catalog!J38="","",Catalog!J38)</f>
        <v/>
      </c>
      <c r="D64" s="10">
        <f>Catalog!P38</f>
        <v>0</v>
      </c>
      <c r="E64" s="10">
        <f>Catalog!R38</f>
        <v>0</v>
      </c>
      <c r="F64" s="10">
        <f>Catalog!M38</f>
        <v>0</v>
      </c>
      <c r="G64" s="10">
        <f>Catalog!K38</f>
        <v>0</v>
      </c>
      <c r="H64" s="10" t="str">
        <f>IF(Catalog!S38&lt;&gt;"","ISBN:"&amp;Catalog!S38,IF(Catalog!T38&lt;&gt;"","ISSN:"&amp;Catalog!T38,""))</f>
        <v/>
      </c>
      <c r="I64" s="10">
        <f>Catalog!B38</f>
        <v>0</v>
      </c>
      <c r="J64" s="10">
        <f>Catalog!L38</f>
        <v>0</v>
      </c>
      <c r="K64" s="10">
        <f>IF(Catalog!AG38&lt;&gt;"",Catalog!AG38,Catalog!AE38)</f>
        <v>0</v>
      </c>
      <c r="L64" s="10">
        <f>Catalog!AD38</f>
        <v>0</v>
      </c>
      <c r="M64" s="10">
        <f>Catalog!V38</f>
        <v>0</v>
      </c>
      <c r="N64" s="10">
        <f>Catalog!Q38</f>
        <v>0</v>
      </c>
      <c r="O64" s="10">
        <f>Catalog!AF38</f>
        <v>0</v>
      </c>
    </row>
    <row r="65" spans="1:15" x14ac:dyDescent="0.25">
      <c r="A65" s="10">
        <f>Catalog!D39</f>
        <v>0</v>
      </c>
      <c r="B65" s="10">
        <f>Catalog!F39</f>
        <v>0</v>
      </c>
      <c r="C65" s="10" t="str">
        <f>IF(Catalog!I39="","",Catalog!I39)&amp;IF(AND(Catalog!I39&lt;&gt;"",Catalog!J39&lt;&gt;""),"; ","")&amp;IF(Catalog!J39="","",Catalog!J39)</f>
        <v/>
      </c>
      <c r="D65" s="10">
        <f>Catalog!P39</f>
        <v>0</v>
      </c>
      <c r="E65" s="10">
        <f>Catalog!R39</f>
        <v>0</v>
      </c>
      <c r="F65" s="10">
        <f>Catalog!M39</f>
        <v>0</v>
      </c>
      <c r="G65" s="10">
        <f>Catalog!K39</f>
        <v>0</v>
      </c>
      <c r="H65" s="10" t="str">
        <f>IF(Catalog!S39&lt;&gt;"","ISBN:"&amp;Catalog!S39,IF(Catalog!T39&lt;&gt;"","ISSN:"&amp;Catalog!T39,""))</f>
        <v/>
      </c>
      <c r="I65" s="10">
        <f>Catalog!B39</f>
        <v>0</v>
      </c>
      <c r="J65" s="10">
        <f>Catalog!L39</f>
        <v>0</v>
      </c>
      <c r="K65" s="10">
        <f>IF(Catalog!AG39&lt;&gt;"",Catalog!AG39,Catalog!AE39)</f>
        <v>0</v>
      </c>
      <c r="L65" s="10">
        <f>Catalog!AD39</f>
        <v>0</v>
      </c>
      <c r="M65" s="10">
        <f>Catalog!V39</f>
        <v>0</v>
      </c>
      <c r="N65" s="10">
        <f>Catalog!Q39</f>
        <v>0</v>
      </c>
      <c r="O65" s="10">
        <f>Catalog!AF39</f>
        <v>0</v>
      </c>
    </row>
    <row r="66" spans="1:15" x14ac:dyDescent="0.25">
      <c r="A66" s="10">
        <f>Catalog!D40</f>
        <v>0</v>
      </c>
      <c r="B66" s="10">
        <f>Catalog!F40</f>
        <v>0</v>
      </c>
      <c r="C66" s="10" t="str">
        <f>IF(Catalog!I40="","",Catalog!I40)&amp;IF(AND(Catalog!I40&lt;&gt;"",Catalog!J40&lt;&gt;""),"; ","")&amp;IF(Catalog!J40="","",Catalog!J40)</f>
        <v/>
      </c>
      <c r="D66" s="10">
        <f>Catalog!P40</f>
        <v>0</v>
      </c>
      <c r="E66" s="10">
        <f>Catalog!R40</f>
        <v>0</v>
      </c>
      <c r="F66" s="10">
        <f>Catalog!M40</f>
        <v>0</v>
      </c>
      <c r="G66" s="10">
        <f>Catalog!K40</f>
        <v>0</v>
      </c>
      <c r="H66" s="10" t="str">
        <f>IF(Catalog!S40&lt;&gt;"","ISBN:"&amp;Catalog!S40,IF(Catalog!T40&lt;&gt;"","ISSN:"&amp;Catalog!T40,""))</f>
        <v/>
      </c>
      <c r="I66" s="10">
        <f>Catalog!B40</f>
        <v>0</v>
      </c>
      <c r="J66" s="10">
        <f>Catalog!L40</f>
        <v>0</v>
      </c>
      <c r="K66" s="10">
        <f>IF(Catalog!AG40&lt;&gt;"",Catalog!AG40,Catalog!AE40)</f>
        <v>0</v>
      </c>
      <c r="L66" s="10">
        <f>Catalog!AD40</f>
        <v>0</v>
      </c>
      <c r="M66" s="10">
        <f>Catalog!V40</f>
        <v>0</v>
      </c>
      <c r="N66" s="10">
        <f>Catalog!Q40</f>
        <v>0</v>
      </c>
      <c r="O66" s="10">
        <f>Catalog!AF40</f>
        <v>0</v>
      </c>
    </row>
    <row r="67" spans="1:15" x14ac:dyDescent="0.25">
      <c r="A67" s="10">
        <f>Catalog!D41</f>
        <v>0</v>
      </c>
      <c r="B67" s="10">
        <f>Catalog!F41</f>
        <v>0</v>
      </c>
      <c r="C67" s="10" t="str">
        <f>IF(Catalog!I41="","",Catalog!I41)&amp;IF(AND(Catalog!I41&lt;&gt;"",Catalog!J41&lt;&gt;""),"; ","")&amp;IF(Catalog!J41="","",Catalog!J41)</f>
        <v/>
      </c>
      <c r="D67" s="10">
        <f>Catalog!P41</f>
        <v>0</v>
      </c>
      <c r="E67" s="10">
        <f>Catalog!R41</f>
        <v>0</v>
      </c>
      <c r="F67" s="10">
        <f>Catalog!M41</f>
        <v>0</v>
      </c>
      <c r="G67" s="10">
        <f>Catalog!K41</f>
        <v>0</v>
      </c>
      <c r="H67" s="10" t="str">
        <f>IF(Catalog!S41&lt;&gt;"","ISBN:"&amp;Catalog!S41,IF(Catalog!T41&lt;&gt;"","ISSN:"&amp;Catalog!T41,""))</f>
        <v/>
      </c>
      <c r="I67" s="10">
        <f>Catalog!B41</f>
        <v>0</v>
      </c>
      <c r="J67" s="10">
        <f>Catalog!L41</f>
        <v>0</v>
      </c>
      <c r="K67" s="10">
        <f>IF(Catalog!AG41&lt;&gt;"",Catalog!AG41,Catalog!AE41)</f>
        <v>0</v>
      </c>
      <c r="L67" s="10">
        <f>Catalog!AD41</f>
        <v>0</v>
      </c>
      <c r="M67" s="10">
        <f>Catalog!V41</f>
        <v>0</v>
      </c>
      <c r="N67" s="10">
        <f>Catalog!Q41</f>
        <v>0</v>
      </c>
      <c r="O67" s="10">
        <f>Catalog!AF41</f>
        <v>0</v>
      </c>
    </row>
    <row r="68" spans="1:15" x14ac:dyDescent="0.25">
      <c r="A68" s="10">
        <f>Catalog!D42</f>
        <v>0</v>
      </c>
      <c r="B68" s="10">
        <f>Catalog!F42</f>
        <v>0</v>
      </c>
      <c r="C68" s="10" t="str">
        <f>IF(Catalog!I42="","",Catalog!I42)&amp;IF(AND(Catalog!I42&lt;&gt;"",Catalog!J42&lt;&gt;""),"; ","")&amp;IF(Catalog!J42="","",Catalog!J42)</f>
        <v/>
      </c>
      <c r="D68" s="10">
        <f>Catalog!P42</f>
        <v>0</v>
      </c>
      <c r="E68" s="10">
        <f>Catalog!R42</f>
        <v>0</v>
      </c>
      <c r="F68" s="10">
        <f>Catalog!M42</f>
        <v>0</v>
      </c>
      <c r="G68" s="10">
        <f>Catalog!K42</f>
        <v>0</v>
      </c>
      <c r="H68" s="10" t="str">
        <f>IF(Catalog!S42&lt;&gt;"","ISBN:"&amp;Catalog!S42,IF(Catalog!T42&lt;&gt;"","ISSN:"&amp;Catalog!T42,""))</f>
        <v/>
      </c>
      <c r="I68" s="10">
        <f>Catalog!B42</f>
        <v>0</v>
      </c>
      <c r="J68" s="10">
        <f>Catalog!L42</f>
        <v>0</v>
      </c>
      <c r="K68" s="10">
        <f>IF(Catalog!AG42&lt;&gt;"",Catalog!AG42,Catalog!AE42)</f>
        <v>0</v>
      </c>
      <c r="L68" s="10">
        <f>Catalog!AD42</f>
        <v>0</v>
      </c>
      <c r="M68" s="10">
        <f>Catalog!V42</f>
        <v>0</v>
      </c>
      <c r="N68" s="10">
        <f>Catalog!Q42</f>
        <v>0</v>
      </c>
      <c r="O68" s="10">
        <f>Catalog!AF42</f>
        <v>0</v>
      </c>
    </row>
    <row r="69" spans="1:15" x14ac:dyDescent="0.25">
      <c r="A69" s="10">
        <f>Catalog!D43</f>
        <v>0</v>
      </c>
      <c r="B69" s="10">
        <f>Catalog!F43</f>
        <v>0</v>
      </c>
      <c r="C69" s="10" t="str">
        <f>IF(Catalog!I43="","",Catalog!I43)&amp;IF(AND(Catalog!I43&lt;&gt;"",Catalog!J43&lt;&gt;""),"; ","")&amp;IF(Catalog!J43="","",Catalog!J43)</f>
        <v/>
      </c>
      <c r="D69" s="10">
        <f>Catalog!P43</f>
        <v>0</v>
      </c>
      <c r="E69" s="10">
        <f>Catalog!R43</f>
        <v>0</v>
      </c>
      <c r="F69" s="10">
        <f>Catalog!M43</f>
        <v>0</v>
      </c>
      <c r="G69" s="10">
        <f>Catalog!K43</f>
        <v>0</v>
      </c>
      <c r="H69" s="10" t="str">
        <f>IF(Catalog!S43&lt;&gt;"","ISBN:"&amp;Catalog!S43,IF(Catalog!T43&lt;&gt;"","ISSN:"&amp;Catalog!T43,""))</f>
        <v/>
      </c>
      <c r="I69" s="10">
        <f>Catalog!B43</f>
        <v>0</v>
      </c>
      <c r="J69" s="10">
        <f>Catalog!L43</f>
        <v>0</v>
      </c>
      <c r="K69" s="10">
        <f>IF(Catalog!AG43&lt;&gt;"",Catalog!AG43,Catalog!AE43)</f>
        <v>0</v>
      </c>
      <c r="L69" s="10">
        <f>Catalog!AD43</f>
        <v>0</v>
      </c>
      <c r="M69" s="10">
        <f>Catalog!V43</f>
        <v>0</v>
      </c>
      <c r="N69" s="10">
        <f>Catalog!Q43</f>
        <v>0</v>
      </c>
      <c r="O69" s="10">
        <f>Catalog!AF43</f>
        <v>0</v>
      </c>
    </row>
    <row r="70" spans="1:15" x14ac:dyDescent="0.25">
      <c r="A70" s="10">
        <f>Catalog!D44</f>
        <v>0</v>
      </c>
      <c r="B70" s="10">
        <f>Catalog!F44</f>
        <v>0</v>
      </c>
      <c r="C70" s="10" t="str">
        <f>IF(Catalog!I44="","",Catalog!I44)&amp;IF(AND(Catalog!I44&lt;&gt;"",Catalog!J44&lt;&gt;""),"; ","")&amp;IF(Catalog!J44="","",Catalog!J44)</f>
        <v/>
      </c>
      <c r="D70" s="10">
        <f>Catalog!P44</f>
        <v>0</v>
      </c>
      <c r="E70" s="10">
        <f>Catalog!R44</f>
        <v>0</v>
      </c>
      <c r="F70" s="10">
        <f>Catalog!M44</f>
        <v>0</v>
      </c>
      <c r="G70" s="10">
        <f>Catalog!K44</f>
        <v>0</v>
      </c>
      <c r="H70" s="10" t="str">
        <f>IF(Catalog!S44&lt;&gt;"","ISBN:"&amp;Catalog!S44,IF(Catalog!T44&lt;&gt;"","ISSN:"&amp;Catalog!T44,""))</f>
        <v/>
      </c>
      <c r="I70" s="10">
        <f>Catalog!B44</f>
        <v>0</v>
      </c>
      <c r="J70" s="10">
        <f>Catalog!L44</f>
        <v>0</v>
      </c>
      <c r="K70" s="10">
        <f>IF(Catalog!AG44&lt;&gt;"",Catalog!AG44,Catalog!AE44)</f>
        <v>0</v>
      </c>
      <c r="L70" s="10">
        <f>Catalog!AD44</f>
        <v>0</v>
      </c>
      <c r="M70" s="10">
        <f>Catalog!V44</f>
        <v>0</v>
      </c>
      <c r="N70" s="10">
        <f>Catalog!Q44</f>
        <v>0</v>
      </c>
      <c r="O70" s="10">
        <f>Catalog!AF44</f>
        <v>0</v>
      </c>
    </row>
    <row r="71" spans="1:15" x14ac:dyDescent="0.25">
      <c r="A71" s="10">
        <f>Catalog!D45</f>
        <v>0</v>
      </c>
      <c r="B71" s="10">
        <f>Catalog!F45</f>
        <v>0</v>
      </c>
      <c r="C71" s="10" t="str">
        <f>IF(Catalog!I45="","",Catalog!I45)&amp;IF(AND(Catalog!I45&lt;&gt;"",Catalog!J45&lt;&gt;""),"; ","")&amp;IF(Catalog!J45="","",Catalog!J45)</f>
        <v/>
      </c>
      <c r="D71" s="10">
        <f>Catalog!P45</f>
        <v>0</v>
      </c>
      <c r="E71" s="10">
        <f>Catalog!R45</f>
        <v>0</v>
      </c>
      <c r="F71" s="10">
        <f>Catalog!M45</f>
        <v>0</v>
      </c>
      <c r="G71" s="10">
        <f>Catalog!K45</f>
        <v>0</v>
      </c>
      <c r="H71" s="10" t="str">
        <f>IF(Catalog!S45&lt;&gt;"","ISBN:"&amp;Catalog!S45,IF(Catalog!T45&lt;&gt;"","ISSN:"&amp;Catalog!T45,""))</f>
        <v/>
      </c>
      <c r="I71" s="10">
        <f>Catalog!B45</f>
        <v>0</v>
      </c>
      <c r="J71" s="10">
        <f>Catalog!L45</f>
        <v>0</v>
      </c>
      <c r="K71" s="10">
        <f>IF(Catalog!AG45&lt;&gt;"",Catalog!AG45,Catalog!AE45)</f>
        <v>0</v>
      </c>
      <c r="L71" s="10">
        <f>Catalog!AD45</f>
        <v>0</v>
      </c>
      <c r="M71" s="10">
        <f>Catalog!V45</f>
        <v>0</v>
      </c>
      <c r="N71" s="10">
        <f>Catalog!Q45</f>
        <v>0</v>
      </c>
      <c r="O71" s="10">
        <f>Catalog!AF45</f>
        <v>0</v>
      </c>
    </row>
    <row r="72" spans="1:15" x14ac:dyDescent="0.25">
      <c r="A72" s="10">
        <f>Catalog!D46</f>
        <v>0</v>
      </c>
      <c r="B72" s="10">
        <f>Catalog!F46</f>
        <v>0</v>
      </c>
      <c r="C72" s="10" t="str">
        <f>IF(Catalog!I46="","",Catalog!I46)&amp;IF(AND(Catalog!I46&lt;&gt;"",Catalog!J46&lt;&gt;""),"; ","")&amp;IF(Catalog!J46="","",Catalog!J46)</f>
        <v/>
      </c>
      <c r="D72" s="10">
        <f>Catalog!P46</f>
        <v>0</v>
      </c>
      <c r="E72" s="10">
        <f>Catalog!R46</f>
        <v>0</v>
      </c>
      <c r="F72" s="10">
        <f>Catalog!M46</f>
        <v>0</v>
      </c>
      <c r="G72" s="10">
        <f>Catalog!K46</f>
        <v>0</v>
      </c>
      <c r="H72" s="10" t="str">
        <f>IF(Catalog!S46&lt;&gt;"","ISBN:"&amp;Catalog!S46,IF(Catalog!T46&lt;&gt;"","ISSN:"&amp;Catalog!T46,""))</f>
        <v/>
      </c>
      <c r="I72" s="10">
        <f>Catalog!B46</f>
        <v>0</v>
      </c>
      <c r="J72" s="10">
        <f>Catalog!L46</f>
        <v>0</v>
      </c>
      <c r="K72" s="10">
        <f>IF(Catalog!AG46&lt;&gt;"",Catalog!AG46,Catalog!AE46)</f>
        <v>0</v>
      </c>
      <c r="L72" s="10">
        <f>Catalog!AD46</f>
        <v>0</v>
      </c>
      <c r="M72" s="10">
        <f>Catalog!V46</f>
        <v>0</v>
      </c>
      <c r="N72" s="10">
        <f>Catalog!Q46</f>
        <v>0</v>
      </c>
      <c r="O72" s="10">
        <f>Catalog!AF46</f>
        <v>0</v>
      </c>
    </row>
    <row r="73" spans="1:15" x14ac:dyDescent="0.25">
      <c r="A73" s="10">
        <f>Catalog!D47</f>
        <v>0</v>
      </c>
      <c r="B73" s="10">
        <f>Catalog!F47</f>
        <v>0</v>
      </c>
      <c r="C73" s="10" t="str">
        <f>IF(Catalog!I47="","",Catalog!I47)&amp;IF(AND(Catalog!I47&lt;&gt;"",Catalog!J47&lt;&gt;""),"; ","")&amp;IF(Catalog!J47="","",Catalog!J47)</f>
        <v/>
      </c>
      <c r="D73" s="10">
        <f>Catalog!P47</f>
        <v>0</v>
      </c>
      <c r="E73" s="10">
        <f>Catalog!R47</f>
        <v>0</v>
      </c>
      <c r="F73" s="10">
        <f>Catalog!M47</f>
        <v>0</v>
      </c>
      <c r="G73" s="10">
        <f>Catalog!K47</f>
        <v>0</v>
      </c>
      <c r="H73" s="10" t="str">
        <f>IF(Catalog!S47&lt;&gt;"","ISBN:"&amp;Catalog!S47,IF(Catalog!T47&lt;&gt;"","ISSN:"&amp;Catalog!T47,""))</f>
        <v/>
      </c>
      <c r="I73" s="10">
        <f>Catalog!B47</f>
        <v>0</v>
      </c>
      <c r="J73" s="10">
        <f>Catalog!L47</f>
        <v>0</v>
      </c>
      <c r="K73" s="10">
        <f>IF(Catalog!AG47&lt;&gt;"",Catalog!AG47,Catalog!AE47)</f>
        <v>0</v>
      </c>
      <c r="L73" s="10">
        <f>Catalog!AD47</f>
        <v>0</v>
      </c>
      <c r="M73" s="10">
        <f>Catalog!V47</f>
        <v>0</v>
      </c>
      <c r="N73" s="10">
        <f>Catalog!Q47</f>
        <v>0</v>
      </c>
      <c r="O73" s="10">
        <f>Catalog!AF47</f>
        <v>0</v>
      </c>
    </row>
    <row r="74" spans="1:15" x14ac:dyDescent="0.25">
      <c r="A74" s="10">
        <f>Catalog!D48</f>
        <v>0</v>
      </c>
      <c r="B74" s="10">
        <f>Catalog!F48</f>
        <v>0</v>
      </c>
      <c r="C74" s="10" t="str">
        <f>IF(Catalog!I48="","",Catalog!I48)&amp;IF(AND(Catalog!I48&lt;&gt;"",Catalog!J48&lt;&gt;""),"; ","")&amp;IF(Catalog!J48="","",Catalog!J48)</f>
        <v/>
      </c>
      <c r="D74" s="10">
        <f>Catalog!P48</f>
        <v>0</v>
      </c>
      <c r="E74" s="10">
        <f>Catalog!R48</f>
        <v>0</v>
      </c>
      <c r="F74" s="10">
        <f>Catalog!M48</f>
        <v>0</v>
      </c>
      <c r="G74" s="10">
        <f>Catalog!K48</f>
        <v>0</v>
      </c>
      <c r="H74" s="10" t="str">
        <f>IF(Catalog!S48&lt;&gt;"","ISBN:"&amp;Catalog!S48,IF(Catalog!T48&lt;&gt;"","ISSN:"&amp;Catalog!T48,""))</f>
        <v/>
      </c>
      <c r="I74" s="10">
        <f>Catalog!B48</f>
        <v>0</v>
      </c>
      <c r="J74" s="10">
        <f>Catalog!L48</f>
        <v>0</v>
      </c>
      <c r="K74" s="10">
        <f>IF(Catalog!AG48&lt;&gt;"",Catalog!AG48,Catalog!AE48)</f>
        <v>0</v>
      </c>
      <c r="L74" s="10">
        <f>Catalog!AD48</f>
        <v>0</v>
      </c>
      <c r="M74" s="10">
        <f>Catalog!V48</f>
        <v>0</v>
      </c>
      <c r="N74" s="10">
        <f>Catalog!Q48</f>
        <v>0</v>
      </c>
      <c r="O74" s="10">
        <f>Catalog!AF48</f>
        <v>0</v>
      </c>
    </row>
    <row r="75" spans="1:15" x14ac:dyDescent="0.25">
      <c r="A75" s="10">
        <f>Catalog!D49</f>
        <v>0</v>
      </c>
      <c r="B75" s="10">
        <f>Catalog!F49</f>
        <v>0</v>
      </c>
      <c r="C75" s="10" t="str">
        <f>IF(Catalog!I49="","",Catalog!I49)&amp;IF(AND(Catalog!I49&lt;&gt;"",Catalog!J49&lt;&gt;""),"; ","")&amp;IF(Catalog!J49="","",Catalog!J49)</f>
        <v/>
      </c>
      <c r="D75" s="10">
        <f>Catalog!P49</f>
        <v>0</v>
      </c>
      <c r="E75" s="10">
        <f>Catalog!R49</f>
        <v>0</v>
      </c>
      <c r="F75" s="10">
        <f>Catalog!M49</f>
        <v>0</v>
      </c>
      <c r="G75" s="10">
        <f>Catalog!K49</f>
        <v>0</v>
      </c>
      <c r="H75" s="10" t="str">
        <f>IF(Catalog!S49&lt;&gt;"","ISBN:"&amp;Catalog!S49,IF(Catalog!T49&lt;&gt;"","ISSN:"&amp;Catalog!T49,""))</f>
        <v/>
      </c>
      <c r="I75" s="10">
        <f>Catalog!B49</f>
        <v>0</v>
      </c>
      <c r="J75" s="10">
        <f>Catalog!L49</f>
        <v>0</v>
      </c>
      <c r="K75" s="10">
        <f>IF(Catalog!AG49&lt;&gt;"",Catalog!AG49,Catalog!AE49)</f>
        <v>0</v>
      </c>
      <c r="L75" s="10">
        <f>Catalog!AD49</f>
        <v>0</v>
      </c>
      <c r="M75" s="10">
        <f>Catalog!V49</f>
        <v>0</v>
      </c>
      <c r="N75" s="10">
        <f>Catalog!Q49</f>
        <v>0</v>
      </c>
      <c r="O75" s="10">
        <f>Catalog!AF49</f>
        <v>0</v>
      </c>
    </row>
    <row r="76" spans="1:15" x14ac:dyDescent="0.25">
      <c r="A76" s="10">
        <f>Catalog!D50</f>
        <v>0</v>
      </c>
      <c r="B76" s="10">
        <f>Catalog!F50</f>
        <v>0</v>
      </c>
      <c r="C76" s="10" t="str">
        <f>IF(Catalog!I50="","",Catalog!I50)&amp;IF(AND(Catalog!I50&lt;&gt;"",Catalog!J50&lt;&gt;""),"; ","")&amp;IF(Catalog!J50="","",Catalog!J50)</f>
        <v/>
      </c>
      <c r="D76" s="10">
        <f>Catalog!P50</f>
        <v>0</v>
      </c>
      <c r="E76" s="10">
        <f>Catalog!R50</f>
        <v>0</v>
      </c>
      <c r="F76" s="10">
        <f>Catalog!M50</f>
        <v>0</v>
      </c>
      <c r="G76" s="10">
        <f>Catalog!K50</f>
        <v>0</v>
      </c>
      <c r="H76" s="10" t="str">
        <f>IF(Catalog!S50&lt;&gt;"","ISBN:"&amp;Catalog!S50,IF(Catalog!T50&lt;&gt;"","ISSN:"&amp;Catalog!T50,""))</f>
        <v/>
      </c>
      <c r="I76" s="10">
        <f>Catalog!B50</f>
        <v>0</v>
      </c>
      <c r="J76" s="10">
        <f>Catalog!L50</f>
        <v>0</v>
      </c>
      <c r="K76" s="10">
        <f>IF(Catalog!AG50&lt;&gt;"",Catalog!AG50,Catalog!AE50)</f>
        <v>0</v>
      </c>
      <c r="L76" s="10">
        <f>Catalog!AD50</f>
        <v>0</v>
      </c>
      <c r="M76" s="10">
        <f>Catalog!V50</f>
        <v>0</v>
      </c>
      <c r="N76" s="10">
        <f>Catalog!Q50</f>
        <v>0</v>
      </c>
      <c r="O76" s="10">
        <f>Catalog!AF50</f>
        <v>0</v>
      </c>
    </row>
    <row r="77" spans="1:15" x14ac:dyDescent="0.25">
      <c r="A77" s="10">
        <f>Catalog!D51</f>
        <v>0</v>
      </c>
      <c r="B77" s="10">
        <f>Catalog!F51</f>
        <v>0</v>
      </c>
      <c r="C77" s="10" t="str">
        <f>IF(Catalog!I51="","",Catalog!I51)&amp;IF(AND(Catalog!I51&lt;&gt;"",Catalog!J51&lt;&gt;""),"; ","")&amp;IF(Catalog!J51="","",Catalog!J51)</f>
        <v/>
      </c>
      <c r="D77" s="10">
        <f>Catalog!P51</f>
        <v>0</v>
      </c>
      <c r="E77" s="10">
        <f>Catalog!R51</f>
        <v>0</v>
      </c>
      <c r="F77" s="10">
        <f>Catalog!M51</f>
        <v>0</v>
      </c>
      <c r="G77" s="10">
        <f>Catalog!K51</f>
        <v>0</v>
      </c>
      <c r="H77" s="10" t="str">
        <f>IF(Catalog!S51&lt;&gt;"","ISBN:"&amp;Catalog!S51,IF(Catalog!T51&lt;&gt;"","ISSN:"&amp;Catalog!T51,""))</f>
        <v/>
      </c>
      <c r="I77" s="10">
        <f>Catalog!B51</f>
        <v>0</v>
      </c>
      <c r="J77" s="10">
        <f>Catalog!L51</f>
        <v>0</v>
      </c>
      <c r="K77" s="10">
        <f>IF(Catalog!AG51&lt;&gt;"",Catalog!AG51,Catalog!AE51)</f>
        <v>0</v>
      </c>
      <c r="L77" s="10">
        <f>Catalog!AD51</f>
        <v>0</v>
      </c>
      <c r="M77" s="10">
        <f>Catalog!V51</f>
        <v>0</v>
      </c>
      <c r="N77" s="10">
        <f>Catalog!Q51</f>
        <v>0</v>
      </c>
      <c r="O77" s="10">
        <f>Catalog!AF51</f>
        <v>0</v>
      </c>
    </row>
    <row r="78" spans="1:15" x14ac:dyDescent="0.25">
      <c r="A78" s="10">
        <f>Catalog!D52</f>
        <v>0</v>
      </c>
      <c r="B78" s="10">
        <f>Catalog!F52</f>
        <v>0</v>
      </c>
      <c r="C78" s="10" t="str">
        <f>IF(Catalog!I52="","",Catalog!I52)&amp;IF(AND(Catalog!I52&lt;&gt;"",Catalog!J52&lt;&gt;""),"; ","")&amp;IF(Catalog!J52="","",Catalog!J52)</f>
        <v/>
      </c>
      <c r="D78" s="10">
        <f>Catalog!P52</f>
        <v>0</v>
      </c>
      <c r="E78" s="10">
        <f>Catalog!R52</f>
        <v>0</v>
      </c>
      <c r="F78" s="10">
        <f>Catalog!M52</f>
        <v>0</v>
      </c>
      <c r="G78" s="10">
        <f>Catalog!K52</f>
        <v>0</v>
      </c>
      <c r="H78" s="10" t="str">
        <f>IF(Catalog!S52&lt;&gt;"","ISBN:"&amp;Catalog!S52,IF(Catalog!T52&lt;&gt;"","ISSN:"&amp;Catalog!T52,""))</f>
        <v/>
      </c>
      <c r="I78" s="10">
        <f>Catalog!B52</f>
        <v>0</v>
      </c>
      <c r="J78" s="10">
        <f>Catalog!L52</f>
        <v>0</v>
      </c>
      <c r="K78" s="10">
        <f>IF(Catalog!AG52&lt;&gt;"",Catalog!AG52,Catalog!AE52)</f>
        <v>0</v>
      </c>
      <c r="L78" s="10">
        <f>Catalog!AD52</f>
        <v>0</v>
      </c>
      <c r="M78" s="10">
        <f>Catalog!V52</f>
        <v>0</v>
      </c>
      <c r="N78" s="10">
        <f>Catalog!Q52</f>
        <v>0</v>
      </c>
      <c r="O78" s="10">
        <f>Catalog!AF52</f>
        <v>0</v>
      </c>
    </row>
    <row r="79" spans="1:15" x14ac:dyDescent="0.25">
      <c r="A79" s="10">
        <f>Catalog!D53</f>
        <v>0</v>
      </c>
      <c r="B79" s="10">
        <f>Catalog!F53</f>
        <v>0</v>
      </c>
      <c r="C79" s="10" t="str">
        <f>IF(Catalog!I53="","",Catalog!I53)&amp;IF(AND(Catalog!I53&lt;&gt;"",Catalog!J53&lt;&gt;""),"; ","")&amp;IF(Catalog!J53="","",Catalog!J53)</f>
        <v/>
      </c>
      <c r="D79" s="10">
        <f>Catalog!P53</f>
        <v>0</v>
      </c>
      <c r="E79" s="10">
        <f>Catalog!R53</f>
        <v>0</v>
      </c>
      <c r="F79" s="10">
        <f>Catalog!M53</f>
        <v>0</v>
      </c>
      <c r="G79" s="10">
        <f>Catalog!K53</f>
        <v>0</v>
      </c>
      <c r="H79" s="10" t="str">
        <f>IF(Catalog!S53&lt;&gt;"","ISBN:"&amp;Catalog!S53,IF(Catalog!T53&lt;&gt;"","ISSN:"&amp;Catalog!T53,""))</f>
        <v/>
      </c>
      <c r="I79" s="10">
        <f>Catalog!B53</f>
        <v>0</v>
      </c>
      <c r="J79" s="10">
        <f>Catalog!L53</f>
        <v>0</v>
      </c>
      <c r="K79" s="10">
        <f>IF(Catalog!AG53&lt;&gt;"",Catalog!AG53,Catalog!AE53)</f>
        <v>0</v>
      </c>
      <c r="L79" s="10">
        <f>Catalog!AD53</f>
        <v>0</v>
      </c>
      <c r="M79" s="10">
        <f>Catalog!V53</f>
        <v>0</v>
      </c>
      <c r="N79" s="10">
        <f>Catalog!Q53</f>
        <v>0</v>
      </c>
      <c r="O79" s="10">
        <f>Catalog!AF53</f>
        <v>0</v>
      </c>
    </row>
    <row r="80" spans="1:15" x14ac:dyDescent="0.25">
      <c r="A80" s="10">
        <f>Catalog!D54</f>
        <v>0</v>
      </c>
      <c r="B80" s="10">
        <f>Catalog!F54</f>
        <v>0</v>
      </c>
      <c r="C80" s="10" t="str">
        <f>IF(Catalog!I54="","",Catalog!I54)&amp;IF(AND(Catalog!I54&lt;&gt;"",Catalog!J54&lt;&gt;""),"; ","")&amp;IF(Catalog!J54="","",Catalog!J54)</f>
        <v/>
      </c>
      <c r="D80" s="10">
        <f>Catalog!P54</f>
        <v>0</v>
      </c>
      <c r="E80" s="10">
        <f>Catalog!R54</f>
        <v>0</v>
      </c>
      <c r="F80" s="10">
        <f>Catalog!M54</f>
        <v>0</v>
      </c>
      <c r="G80" s="10">
        <f>Catalog!K54</f>
        <v>0</v>
      </c>
      <c r="H80" s="10" t="str">
        <f>IF(Catalog!S54&lt;&gt;"","ISBN:"&amp;Catalog!S54,IF(Catalog!T54&lt;&gt;"","ISSN:"&amp;Catalog!T54,""))</f>
        <v/>
      </c>
      <c r="I80" s="10">
        <f>Catalog!B54</f>
        <v>0</v>
      </c>
      <c r="J80" s="10">
        <f>Catalog!L54</f>
        <v>0</v>
      </c>
      <c r="K80" s="10">
        <f>IF(Catalog!AG54&lt;&gt;"",Catalog!AG54,Catalog!AE54)</f>
        <v>0</v>
      </c>
      <c r="L80" s="10">
        <f>Catalog!AD54</f>
        <v>0</v>
      </c>
      <c r="M80" s="10">
        <f>Catalog!V54</f>
        <v>0</v>
      </c>
      <c r="N80" s="10">
        <f>Catalog!Q54</f>
        <v>0</v>
      </c>
      <c r="O80" s="10">
        <f>Catalog!AF54</f>
        <v>0</v>
      </c>
    </row>
    <row r="81" spans="1:15" x14ac:dyDescent="0.25">
      <c r="A81" s="10">
        <f>Catalog!D55</f>
        <v>0</v>
      </c>
      <c r="B81" s="10">
        <f>Catalog!F55</f>
        <v>0</v>
      </c>
      <c r="C81" s="10" t="str">
        <f>IF(Catalog!I55="","",Catalog!I55)&amp;IF(AND(Catalog!I55&lt;&gt;"",Catalog!J55&lt;&gt;""),"; ","")&amp;IF(Catalog!J55="","",Catalog!J55)</f>
        <v/>
      </c>
      <c r="D81" s="10">
        <f>Catalog!P55</f>
        <v>0</v>
      </c>
      <c r="E81" s="10">
        <f>Catalog!R55</f>
        <v>0</v>
      </c>
      <c r="F81" s="10">
        <f>Catalog!M55</f>
        <v>0</v>
      </c>
      <c r="G81" s="10">
        <f>Catalog!K55</f>
        <v>0</v>
      </c>
      <c r="H81" s="10" t="str">
        <f>IF(Catalog!S55&lt;&gt;"","ISBN:"&amp;Catalog!S55,IF(Catalog!T55&lt;&gt;"","ISSN:"&amp;Catalog!T55,""))</f>
        <v/>
      </c>
      <c r="I81" s="10">
        <f>Catalog!B55</f>
        <v>0</v>
      </c>
      <c r="J81" s="10">
        <f>Catalog!L55</f>
        <v>0</v>
      </c>
      <c r="K81" s="10">
        <f>IF(Catalog!AG55&lt;&gt;"",Catalog!AG55,Catalog!AE55)</f>
        <v>0</v>
      </c>
      <c r="L81" s="10">
        <f>Catalog!AD55</f>
        <v>0</v>
      </c>
      <c r="M81" s="10">
        <f>Catalog!V55</f>
        <v>0</v>
      </c>
      <c r="N81" s="10">
        <f>Catalog!Q55</f>
        <v>0</v>
      </c>
      <c r="O81" s="10">
        <f>Catalog!AF55</f>
        <v>0</v>
      </c>
    </row>
    <row r="82" spans="1:15" x14ac:dyDescent="0.25">
      <c r="A82" s="10">
        <f>Catalog!D56</f>
        <v>0</v>
      </c>
      <c r="B82" s="10">
        <f>Catalog!F56</f>
        <v>0</v>
      </c>
      <c r="C82" s="10" t="str">
        <f>IF(Catalog!I56="","",Catalog!I56)&amp;IF(AND(Catalog!I56&lt;&gt;"",Catalog!J56&lt;&gt;""),"; ","")&amp;IF(Catalog!J56="","",Catalog!J56)</f>
        <v/>
      </c>
      <c r="D82" s="10">
        <f>Catalog!P56</f>
        <v>0</v>
      </c>
      <c r="E82" s="10">
        <f>Catalog!R56</f>
        <v>0</v>
      </c>
      <c r="F82" s="10">
        <f>Catalog!M56</f>
        <v>0</v>
      </c>
      <c r="G82" s="10">
        <f>Catalog!K56</f>
        <v>0</v>
      </c>
      <c r="H82" s="10" t="str">
        <f>IF(Catalog!S56&lt;&gt;"","ISBN:"&amp;Catalog!S56,IF(Catalog!T56&lt;&gt;"","ISSN:"&amp;Catalog!T56,""))</f>
        <v/>
      </c>
      <c r="I82" s="10">
        <f>Catalog!B56</f>
        <v>0</v>
      </c>
      <c r="J82" s="10">
        <f>Catalog!L56</f>
        <v>0</v>
      </c>
      <c r="K82" s="10">
        <f>IF(Catalog!AG56&lt;&gt;"",Catalog!AG56,Catalog!AE56)</f>
        <v>0</v>
      </c>
      <c r="L82" s="10">
        <f>Catalog!AD56</f>
        <v>0</v>
      </c>
      <c r="M82" s="10">
        <f>Catalog!V56</f>
        <v>0</v>
      </c>
      <c r="N82" s="10">
        <f>Catalog!Q56</f>
        <v>0</v>
      </c>
      <c r="O82" s="10">
        <f>Catalog!AF56</f>
        <v>0</v>
      </c>
    </row>
    <row r="83" spans="1:15" x14ac:dyDescent="0.25">
      <c r="A83" s="10">
        <f>Catalog!D57</f>
        <v>0</v>
      </c>
      <c r="B83" s="10">
        <f>Catalog!F57</f>
        <v>0</v>
      </c>
      <c r="C83" s="10" t="str">
        <f>IF(Catalog!I57="","",Catalog!I57)&amp;IF(AND(Catalog!I57&lt;&gt;"",Catalog!J57&lt;&gt;""),"; ","")&amp;IF(Catalog!J57="","",Catalog!J57)</f>
        <v/>
      </c>
      <c r="D83" s="10">
        <f>Catalog!P57</f>
        <v>0</v>
      </c>
      <c r="E83" s="10">
        <f>Catalog!R57</f>
        <v>0</v>
      </c>
      <c r="F83" s="10">
        <f>Catalog!M57</f>
        <v>0</v>
      </c>
      <c r="G83" s="10">
        <f>Catalog!K57</f>
        <v>0</v>
      </c>
      <c r="H83" s="10" t="str">
        <f>IF(Catalog!S57&lt;&gt;"","ISBN:"&amp;Catalog!S57,IF(Catalog!T57&lt;&gt;"","ISSN:"&amp;Catalog!T57,""))</f>
        <v/>
      </c>
      <c r="I83" s="10">
        <f>Catalog!B57</f>
        <v>0</v>
      </c>
      <c r="J83" s="10">
        <f>Catalog!L57</f>
        <v>0</v>
      </c>
      <c r="K83" s="10">
        <f>IF(Catalog!AG57&lt;&gt;"",Catalog!AG57,Catalog!AE57)</f>
        <v>0</v>
      </c>
      <c r="L83" s="10">
        <f>Catalog!AD57</f>
        <v>0</v>
      </c>
      <c r="M83" s="10">
        <f>Catalog!V57</f>
        <v>0</v>
      </c>
      <c r="N83" s="10">
        <f>Catalog!Q57</f>
        <v>0</v>
      </c>
      <c r="O83" s="10">
        <f>Catalog!AF57</f>
        <v>0</v>
      </c>
    </row>
    <row r="84" spans="1:15" x14ac:dyDescent="0.25">
      <c r="A84" s="10">
        <f>Catalog!D58</f>
        <v>0</v>
      </c>
      <c r="B84" s="10">
        <f>Catalog!F58</f>
        <v>0</v>
      </c>
      <c r="C84" s="10" t="str">
        <f>IF(Catalog!I58="","",Catalog!I58)&amp;IF(AND(Catalog!I58&lt;&gt;"",Catalog!J58&lt;&gt;""),"; ","")&amp;IF(Catalog!J58="","",Catalog!J58)</f>
        <v/>
      </c>
      <c r="D84" s="10">
        <f>Catalog!P58</f>
        <v>0</v>
      </c>
      <c r="E84" s="10">
        <f>Catalog!R58</f>
        <v>0</v>
      </c>
      <c r="F84" s="10">
        <f>Catalog!M58</f>
        <v>0</v>
      </c>
      <c r="G84" s="10">
        <f>Catalog!K58</f>
        <v>0</v>
      </c>
      <c r="H84" s="10" t="str">
        <f>IF(Catalog!S58&lt;&gt;"","ISBN:"&amp;Catalog!S58,IF(Catalog!T58&lt;&gt;"","ISSN:"&amp;Catalog!T58,""))</f>
        <v/>
      </c>
      <c r="I84" s="10">
        <f>Catalog!B58</f>
        <v>0</v>
      </c>
      <c r="J84" s="10">
        <f>Catalog!L58</f>
        <v>0</v>
      </c>
      <c r="K84" s="10">
        <f>IF(Catalog!AG58&lt;&gt;"",Catalog!AG58,Catalog!AE58)</f>
        <v>0</v>
      </c>
      <c r="L84" s="10">
        <f>Catalog!AD58</f>
        <v>0</v>
      </c>
      <c r="M84" s="10">
        <f>Catalog!V58</f>
        <v>0</v>
      </c>
      <c r="N84" s="10">
        <f>Catalog!Q58</f>
        <v>0</v>
      </c>
      <c r="O84" s="10">
        <f>Catalog!AF58</f>
        <v>0</v>
      </c>
    </row>
    <row r="85" spans="1:15" x14ac:dyDescent="0.25">
      <c r="A85" s="10">
        <f>Catalog!D59</f>
        <v>0</v>
      </c>
      <c r="B85" s="10">
        <f>Catalog!F59</f>
        <v>0</v>
      </c>
      <c r="C85" s="10" t="str">
        <f>IF(Catalog!I59="","",Catalog!I59)&amp;IF(AND(Catalog!I59&lt;&gt;"",Catalog!J59&lt;&gt;""),"; ","")&amp;IF(Catalog!J59="","",Catalog!J59)</f>
        <v/>
      </c>
      <c r="D85" s="10">
        <f>Catalog!P59</f>
        <v>0</v>
      </c>
      <c r="E85" s="10">
        <f>Catalog!R59</f>
        <v>0</v>
      </c>
      <c r="F85" s="10">
        <f>Catalog!M59</f>
        <v>0</v>
      </c>
      <c r="G85" s="10">
        <f>Catalog!K59</f>
        <v>0</v>
      </c>
      <c r="H85" s="10" t="str">
        <f>IF(Catalog!S59&lt;&gt;"","ISBN:"&amp;Catalog!S59,IF(Catalog!T59&lt;&gt;"","ISSN:"&amp;Catalog!T59,""))</f>
        <v/>
      </c>
      <c r="I85" s="10">
        <f>Catalog!B59</f>
        <v>0</v>
      </c>
      <c r="J85" s="10">
        <f>Catalog!L59</f>
        <v>0</v>
      </c>
      <c r="K85" s="10">
        <f>IF(Catalog!AG59&lt;&gt;"",Catalog!AG59,Catalog!AE59)</f>
        <v>0</v>
      </c>
      <c r="L85" s="10">
        <f>Catalog!AD59</f>
        <v>0</v>
      </c>
      <c r="M85" s="10">
        <f>Catalog!V59</f>
        <v>0</v>
      </c>
      <c r="N85" s="10">
        <f>Catalog!Q59</f>
        <v>0</v>
      </c>
      <c r="O85" s="10">
        <f>Catalog!AF59</f>
        <v>0</v>
      </c>
    </row>
    <row r="86" spans="1:15" x14ac:dyDescent="0.25">
      <c r="A86" s="10">
        <f>Catalog!D60</f>
        <v>0</v>
      </c>
      <c r="B86" s="10">
        <f>Catalog!F60</f>
        <v>0</v>
      </c>
      <c r="C86" s="10" t="str">
        <f>IF(Catalog!I60="","",Catalog!I60)&amp;IF(AND(Catalog!I60&lt;&gt;"",Catalog!J60&lt;&gt;""),"; ","")&amp;IF(Catalog!J60="","",Catalog!J60)</f>
        <v/>
      </c>
      <c r="D86" s="10">
        <f>Catalog!P60</f>
        <v>0</v>
      </c>
      <c r="E86" s="10">
        <f>Catalog!R60</f>
        <v>0</v>
      </c>
      <c r="F86" s="10">
        <f>Catalog!M60</f>
        <v>0</v>
      </c>
      <c r="G86" s="10">
        <f>Catalog!K60</f>
        <v>0</v>
      </c>
      <c r="H86" s="10" t="str">
        <f>IF(Catalog!S60&lt;&gt;"","ISBN:"&amp;Catalog!S60,IF(Catalog!T60&lt;&gt;"","ISSN:"&amp;Catalog!T60,""))</f>
        <v/>
      </c>
      <c r="I86" s="10">
        <f>Catalog!B60</f>
        <v>0</v>
      </c>
      <c r="J86" s="10">
        <f>Catalog!L60</f>
        <v>0</v>
      </c>
      <c r="K86" s="10">
        <f>IF(Catalog!AG60&lt;&gt;"",Catalog!AG60,Catalog!AE60)</f>
        <v>0</v>
      </c>
      <c r="L86" s="10">
        <f>Catalog!AD60</f>
        <v>0</v>
      </c>
      <c r="M86" s="10">
        <f>Catalog!V60</f>
        <v>0</v>
      </c>
      <c r="N86" s="10">
        <f>Catalog!Q60</f>
        <v>0</v>
      </c>
      <c r="O86" s="10">
        <f>Catalog!AF60</f>
        <v>0</v>
      </c>
    </row>
    <row r="87" spans="1:15" x14ac:dyDescent="0.25">
      <c r="A87" s="10">
        <f>Catalog!D61</f>
        <v>0</v>
      </c>
      <c r="B87" s="10">
        <f>Catalog!F61</f>
        <v>0</v>
      </c>
      <c r="C87" s="10" t="str">
        <f>IF(Catalog!I61="","",Catalog!I61)&amp;IF(AND(Catalog!I61&lt;&gt;"",Catalog!J61&lt;&gt;""),"; ","")&amp;IF(Catalog!J61="","",Catalog!J61)</f>
        <v/>
      </c>
      <c r="D87" s="10">
        <f>Catalog!P61</f>
        <v>0</v>
      </c>
      <c r="E87" s="10">
        <f>Catalog!R61</f>
        <v>0</v>
      </c>
      <c r="F87" s="10">
        <f>Catalog!M61</f>
        <v>0</v>
      </c>
      <c r="G87" s="10">
        <f>Catalog!K61</f>
        <v>0</v>
      </c>
      <c r="H87" s="10" t="str">
        <f>IF(Catalog!S61&lt;&gt;"","ISBN:"&amp;Catalog!S61,IF(Catalog!T61&lt;&gt;"","ISSN:"&amp;Catalog!T61,""))</f>
        <v/>
      </c>
      <c r="I87" s="10">
        <f>Catalog!B61</f>
        <v>0</v>
      </c>
      <c r="J87" s="10">
        <f>Catalog!L61</f>
        <v>0</v>
      </c>
      <c r="K87" s="10">
        <f>IF(Catalog!AG61&lt;&gt;"",Catalog!AG61,Catalog!AE61)</f>
        <v>0</v>
      </c>
      <c r="L87" s="10">
        <f>Catalog!AD61</f>
        <v>0</v>
      </c>
      <c r="M87" s="10">
        <f>Catalog!V61</f>
        <v>0</v>
      </c>
      <c r="N87" s="10">
        <f>Catalog!Q61</f>
        <v>0</v>
      </c>
      <c r="O87" s="10">
        <f>Catalog!AF61</f>
        <v>0</v>
      </c>
    </row>
    <row r="88" spans="1:15" x14ac:dyDescent="0.25">
      <c r="A88" s="10">
        <f>Catalog!D62</f>
        <v>0</v>
      </c>
      <c r="B88" s="10">
        <f>Catalog!F62</f>
        <v>0</v>
      </c>
      <c r="C88" s="10" t="str">
        <f>IF(Catalog!I62="","",Catalog!I62)&amp;IF(AND(Catalog!I62&lt;&gt;"",Catalog!J62&lt;&gt;""),"; ","")&amp;IF(Catalog!J62="","",Catalog!J62)</f>
        <v/>
      </c>
      <c r="D88" s="10">
        <f>Catalog!P62</f>
        <v>0</v>
      </c>
      <c r="E88" s="10">
        <f>Catalog!R62</f>
        <v>0</v>
      </c>
      <c r="F88" s="10">
        <f>Catalog!M62</f>
        <v>0</v>
      </c>
      <c r="G88" s="10">
        <f>Catalog!K62</f>
        <v>0</v>
      </c>
      <c r="H88" s="10" t="str">
        <f>IF(Catalog!S62&lt;&gt;"","ISBN:"&amp;Catalog!S62,IF(Catalog!T62&lt;&gt;"","ISSN:"&amp;Catalog!T62,""))</f>
        <v/>
      </c>
      <c r="I88" s="10">
        <f>Catalog!B62</f>
        <v>0</v>
      </c>
      <c r="J88" s="10">
        <f>Catalog!L62</f>
        <v>0</v>
      </c>
      <c r="K88" s="10">
        <f>IF(Catalog!AG62&lt;&gt;"",Catalog!AG62,Catalog!AE62)</f>
        <v>0</v>
      </c>
      <c r="L88" s="10">
        <f>Catalog!AD62</f>
        <v>0</v>
      </c>
      <c r="M88" s="10">
        <f>Catalog!V62</f>
        <v>0</v>
      </c>
      <c r="N88" s="10">
        <f>Catalog!Q62</f>
        <v>0</v>
      </c>
      <c r="O88" s="10">
        <f>Catalog!AF62</f>
        <v>0</v>
      </c>
    </row>
    <row r="89" spans="1:15" x14ac:dyDescent="0.25">
      <c r="A89" s="10">
        <f>Catalog!D63</f>
        <v>0</v>
      </c>
      <c r="B89" s="10">
        <f>Catalog!F63</f>
        <v>0</v>
      </c>
      <c r="C89" s="10" t="str">
        <f>IF(Catalog!I63="","",Catalog!I63)&amp;IF(AND(Catalog!I63&lt;&gt;"",Catalog!J63&lt;&gt;""),"; ","")&amp;IF(Catalog!J63="","",Catalog!J63)</f>
        <v/>
      </c>
      <c r="D89" s="10">
        <f>Catalog!P63</f>
        <v>0</v>
      </c>
      <c r="E89" s="10">
        <f>Catalog!R63</f>
        <v>0</v>
      </c>
      <c r="F89" s="10">
        <f>Catalog!M63</f>
        <v>0</v>
      </c>
      <c r="G89" s="10">
        <f>Catalog!K63</f>
        <v>0</v>
      </c>
      <c r="H89" s="10" t="str">
        <f>IF(Catalog!S63&lt;&gt;"","ISBN:"&amp;Catalog!S63,IF(Catalog!T63&lt;&gt;"","ISSN:"&amp;Catalog!T63,""))</f>
        <v/>
      </c>
      <c r="I89" s="10">
        <f>Catalog!B63</f>
        <v>0</v>
      </c>
      <c r="J89" s="10">
        <f>Catalog!L63</f>
        <v>0</v>
      </c>
      <c r="K89" s="10">
        <f>IF(Catalog!AG63&lt;&gt;"",Catalog!AG63,Catalog!AE63)</f>
        <v>0</v>
      </c>
      <c r="L89" s="10">
        <f>Catalog!AD63</f>
        <v>0</v>
      </c>
      <c r="M89" s="10">
        <f>Catalog!V63</f>
        <v>0</v>
      </c>
      <c r="N89" s="10">
        <f>Catalog!Q63</f>
        <v>0</v>
      </c>
      <c r="O89" s="10">
        <f>Catalog!AF63</f>
        <v>0</v>
      </c>
    </row>
    <row r="90" spans="1:15" x14ac:dyDescent="0.25">
      <c r="A90" s="10">
        <f>Catalog!D64</f>
        <v>0</v>
      </c>
      <c r="B90" s="10">
        <f>Catalog!F64</f>
        <v>0</v>
      </c>
      <c r="C90" s="10" t="str">
        <f>IF(Catalog!I64="","",Catalog!I64)&amp;IF(AND(Catalog!I64&lt;&gt;"",Catalog!J64&lt;&gt;""),"; ","")&amp;IF(Catalog!J64="","",Catalog!J64)</f>
        <v/>
      </c>
      <c r="D90" s="10">
        <f>Catalog!P64</f>
        <v>0</v>
      </c>
      <c r="E90" s="10">
        <f>Catalog!R64</f>
        <v>0</v>
      </c>
      <c r="F90" s="10">
        <f>Catalog!M64</f>
        <v>0</v>
      </c>
      <c r="G90" s="10">
        <f>Catalog!K64</f>
        <v>0</v>
      </c>
      <c r="H90" s="10" t="str">
        <f>IF(Catalog!S64&lt;&gt;"","ISBN:"&amp;Catalog!S64,IF(Catalog!T64&lt;&gt;"","ISSN:"&amp;Catalog!T64,""))</f>
        <v/>
      </c>
      <c r="I90" s="10">
        <f>Catalog!B64</f>
        <v>0</v>
      </c>
      <c r="J90" s="10">
        <f>Catalog!L64</f>
        <v>0</v>
      </c>
      <c r="K90" s="10">
        <f>IF(Catalog!AG64&lt;&gt;"",Catalog!AG64,Catalog!AE64)</f>
        <v>0</v>
      </c>
      <c r="L90" s="10">
        <f>Catalog!AD64</f>
        <v>0</v>
      </c>
      <c r="M90" s="10">
        <f>Catalog!V64</f>
        <v>0</v>
      </c>
      <c r="N90" s="10">
        <f>Catalog!Q64</f>
        <v>0</v>
      </c>
      <c r="O90" s="10">
        <f>Catalog!AF64</f>
        <v>0</v>
      </c>
    </row>
    <row r="91" spans="1:15" x14ac:dyDescent="0.25">
      <c r="A91" s="10">
        <f>Catalog!D65</f>
        <v>0</v>
      </c>
      <c r="B91" s="10">
        <f>Catalog!F65</f>
        <v>0</v>
      </c>
      <c r="C91" s="10" t="str">
        <f>IF(Catalog!I65="","",Catalog!I65)&amp;IF(AND(Catalog!I65&lt;&gt;"",Catalog!J65&lt;&gt;""),"; ","")&amp;IF(Catalog!J65="","",Catalog!J65)</f>
        <v/>
      </c>
      <c r="D91" s="10">
        <f>Catalog!P65</f>
        <v>0</v>
      </c>
      <c r="E91" s="10">
        <f>Catalog!R65</f>
        <v>0</v>
      </c>
      <c r="F91" s="10">
        <f>Catalog!M65</f>
        <v>0</v>
      </c>
      <c r="G91" s="10">
        <f>Catalog!K65</f>
        <v>0</v>
      </c>
      <c r="H91" s="10" t="str">
        <f>IF(Catalog!S65&lt;&gt;"","ISBN:"&amp;Catalog!S65,IF(Catalog!T65&lt;&gt;"","ISSN:"&amp;Catalog!T65,""))</f>
        <v/>
      </c>
      <c r="I91" s="10">
        <f>Catalog!B65</f>
        <v>0</v>
      </c>
      <c r="J91" s="10">
        <f>Catalog!L65</f>
        <v>0</v>
      </c>
      <c r="K91" s="10">
        <f>IF(Catalog!AG65&lt;&gt;"",Catalog!AG65,Catalog!AE65)</f>
        <v>0</v>
      </c>
      <c r="L91" s="10">
        <f>Catalog!AD65</f>
        <v>0</v>
      </c>
      <c r="M91" s="10">
        <f>Catalog!V65</f>
        <v>0</v>
      </c>
      <c r="N91" s="10">
        <f>Catalog!Q65</f>
        <v>0</v>
      </c>
      <c r="O91" s="10">
        <f>Catalog!AF65</f>
        <v>0</v>
      </c>
    </row>
    <row r="92" spans="1:15" x14ac:dyDescent="0.25">
      <c r="A92" s="10">
        <f>Catalog!D66</f>
        <v>0</v>
      </c>
      <c r="B92" s="10">
        <f>Catalog!F66</f>
        <v>0</v>
      </c>
      <c r="C92" s="10" t="str">
        <f>IF(Catalog!I66="","",Catalog!I66)&amp;IF(AND(Catalog!I66&lt;&gt;"",Catalog!J66&lt;&gt;""),"; ","")&amp;IF(Catalog!J66="","",Catalog!J66)</f>
        <v/>
      </c>
      <c r="D92" s="10">
        <f>Catalog!P66</f>
        <v>0</v>
      </c>
      <c r="E92" s="10">
        <f>Catalog!R66</f>
        <v>0</v>
      </c>
      <c r="F92" s="10">
        <f>Catalog!M66</f>
        <v>0</v>
      </c>
      <c r="G92" s="10">
        <f>Catalog!K66</f>
        <v>0</v>
      </c>
      <c r="H92" s="10" t="str">
        <f>IF(Catalog!S66&lt;&gt;"","ISBN:"&amp;Catalog!S66,IF(Catalog!T66&lt;&gt;"","ISSN:"&amp;Catalog!T66,""))</f>
        <v/>
      </c>
      <c r="I92" s="10">
        <f>Catalog!B66</f>
        <v>0</v>
      </c>
      <c r="J92" s="10">
        <f>Catalog!L66</f>
        <v>0</v>
      </c>
      <c r="K92" s="10">
        <f>IF(Catalog!AG66&lt;&gt;"",Catalog!AG66,Catalog!AE66)</f>
        <v>0</v>
      </c>
      <c r="L92" s="10">
        <f>Catalog!AD66</f>
        <v>0</v>
      </c>
      <c r="M92" s="10">
        <f>Catalog!V66</f>
        <v>0</v>
      </c>
      <c r="N92" s="10">
        <f>Catalog!Q66</f>
        <v>0</v>
      </c>
      <c r="O92" s="10">
        <f>Catalog!AF66</f>
        <v>0</v>
      </c>
    </row>
    <row r="93" spans="1:15" x14ac:dyDescent="0.25">
      <c r="A93" s="10">
        <f>Catalog!D67</f>
        <v>0</v>
      </c>
      <c r="B93" s="10">
        <f>Catalog!F67</f>
        <v>0</v>
      </c>
      <c r="C93" s="10" t="str">
        <f>IF(Catalog!I67="","",Catalog!I67)&amp;IF(AND(Catalog!I67&lt;&gt;"",Catalog!J67&lt;&gt;""),"; ","")&amp;IF(Catalog!J67="","",Catalog!J67)</f>
        <v/>
      </c>
      <c r="D93" s="10">
        <f>Catalog!P67</f>
        <v>0</v>
      </c>
      <c r="E93" s="10">
        <f>Catalog!R67</f>
        <v>0</v>
      </c>
      <c r="F93" s="10">
        <f>Catalog!M67</f>
        <v>0</v>
      </c>
      <c r="G93" s="10">
        <f>Catalog!K67</f>
        <v>0</v>
      </c>
      <c r="H93" s="10" t="str">
        <f>IF(Catalog!S67&lt;&gt;"","ISBN:"&amp;Catalog!S67,IF(Catalog!T67&lt;&gt;"","ISSN:"&amp;Catalog!T67,""))</f>
        <v/>
      </c>
      <c r="I93" s="10">
        <f>Catalog!B67</f>
        <v>0</v>
      </c>
      <c r="J93" s="10">
        <f>Catalog!L67</f>
        <v>0</v>
      </c>
      <c r="K93" s="10">
        <f>IF(Catalog!AG67&lt;&gt;"",Catalog!AG67,Catalog!AE67)</f>
        <v>0</v>
      </c>
      <c r="L93" s="10">
        <f>Catalog!AD67</f>
        <v>0</v>
      </c>
      <c r="M93" s="10">
        <f>Catalog!V67</f>
        <v>0</v>
      </c>
      <c r="N93" s="10">
        <f>Catalog!Q67</f>
        <v>0</v>
      </c>
      <c r="O93" s="10">
        <f>Catalog!AF67</f>
        <v>0</v>
      </c>
    </row>
    <row r="94" spans="1:15" x14ac:dyDescent="0.25">
      <c r="A94" s="10">
        <f>Catalog!D68</f>
        <v>0</v>
      </c>
      <c r="B94" s="10">
        <f>Catalog!F68</f>
        <v>0</v>
      </c>
      <c r="C94" s="10" t="str">
        <f>IF(Catalog!I68="","",Catalog!I68)&amp;IF(AND(Catalog!I68&lt;&gt;"",Catalog!J68&lt;&gt;""),"; ","")&amp;IF(Catalog!J68="","",Catalog!J68)</f>
        <v/>
      </c>
      <c r="D94" s="10">
        <f>Catalog!P68</f>
        <v>0</v>
      </c>
      <c r="E94" s="10">
        <f>Catalog!R68</f>
        <v>0</v>
      </c>
      <c r="F94" s="10">
        <f>Catalog!M68</f>
        <v>0</v>
      </c>
      <c r="G94" s="10">
        <f>Catalog!K68</f>
        <v>0</v>
      </c>
      <c r="H94" s="10" t="str">
        <f>IF(Catalog!S68&lt;&gt;"","ISBN:"&amp;Catalog!S68,IF(Catalog!T68&lt;&gt;"","ISSN:"&amp;Catalog!T68,""))</f>
        <v/>
      </c>
      <c r="I94" s="10">
        <f>Catalog!B68</f>
        <v>0</v>
      </c>
      <c r="J94" s="10">
        <f>Catalog!L68</f>
        <v>0</v>
      </c>
      <c r="K94" s="10">
        <f>IF(Catalog!AG68&lt;&gt;"",Catalog!AG68,Catalog!AE68)</f>
        <v>0</v>
      </c>
      <c r="L94" s="10">
        <f>Catalog!AD68</f>
        <v>0</v>
      </c>
      <c r="M94" s="10">
        <f>Catalog!V68</f>
        <v>0</v>
      </c>
      <c r="N94" s="10">
        <f>Catalog!Q68</f>
        <v>0</v>
      </c>
      <c r="O94" s="10">
        <f>Catalog!AF68</f>
        <v>0</v>
      </c>
    </row>
    <row r="95" spans="1:15" x14ac:dyDescent="0.25">
      <c r="A95" s="10">
        <f>Catalog!D69</f>
        <v>0</v>
      </c>
      <c r="B95" s="10">
        <f>Catalog!F69</f>
        <v>0</v>
      </c>
      <c r="C95" s="10" t="str">
        <f>IF(Catalog!I69="","",Catalog!I69)&amp;IF(AND(Catalog!I69&lt;&gt;"",Catalog!J69&lt;&gt;""),"; ","")&amp;IF(Catalog!J69="","",Catalog!J69)</f>
        <v/>
      </c>
      <c r="D95" s="10">
        <f>Catalog!P69</f>
        <v>0</v>
      </c>
      <c r="E95" s="10">
        <f>Catalog!R69</f>
        <v>0</v>
      </c>
      <c r="F95" s="10">
        <f>Catalog!M69</f>
        <v>0</v>
      </c>
      <c r="G95" s="10">
        <f>Catalog!K69</f>
        <v>0</v>
      </c>
      <c r="H95" s="10" t="str">
        <f>IF(Catalog!S69&lt;&gt;"","ISBN:"&amp;Catalog!S69,IF(Catalog!T69&lt;&gt;"","ISSN:"&amp;Catalog!T69,""))</f>
        <v/>
      </c>
      <c r="I95" s="10">
        <f>Catalog!B69</f>
        <v>0</v>
      </c>
      <c r="J95" s="10">
        <f>Catalog!L69</f>
        <v>0</v>
      </c>
      <c r="K95" s="10">
        <f>IF(Catalog!AG69&lt;&gt;"",Catalog!AG69,Catalog!AE69)</f>
        <v>0</v>
      </c>
      <c r="L95" s="10">
        <f>Catalog!AD69</f>
        <v>0</v>
      </c>
      <c r="M95" s="10">
        <f>Catalog!V69</f>
        <v>0</v>
      </c>
      <c r="N95" s="10">
        <f>Catalog!Q69</f>
        <v>0</v>
      </c>
      <c r="O95" s="10">
        <f>Catalog!AF69</f>
        <v>0</v>
      </c>
    </row>
    <row r="96" spans="1:15" x14ac:dyDescent="0.25">
      <c r="A96" s="10">
        <f>Catalog!D70</f>
        <v>0</v>
      </c>
      <c r="B96" s="10">
        <f>Catalog!F70</f>
        <v>0</v>
      </c>
      <c r="C96" s="10" t="str">
        <f>IF(Catalog!I70="","",Catalog!I70)&amp;IF(AND(Catalog!I70&lt;&gt;"",Catalog!J70&lt;&gt;""),"; ","")&amp;IF(Catalog!J70="","",Catalog!J70)</f>
        <v/>
      </c>
      <c r="D96" s="10">
        <f>Catalog!P70</f>
        <v>0</v>
      </c>
      <c r="E96" s="10">
        <f>Catalog!R70</f>
        <v>0</v>
      </c>
      <c r="F96" s="10">
        <f>Catalog!M70</f>
        <v>0</v>
      </c>
      <c r="G96" s="10">
        <f>Catalog!K70</f>
        <v>0</v>
      </c>
      <c r="H96" s="10" t="str">
        <f>IF(Catalog!S70&lt;&gt;"","ISBN:"&amp;Catalog!S70,IF(Catalog!T70&lt;&gt;"","ISSN:"&amp;Catalog!T70,""))</f>
        <v/>
      </c>
      <c r="I96" s="10">
        <f>Catalog!B70</f>
        <v>0</v>
      </c>
      <c r="J96" s="10">
        <f>Catalog!L70</f>
        <v>0</v>
      </c>
      <c r="K96" s="10">
        <f>IF(Catalog!AG70&lt;&gt;"",Catalog!AG70,Catalog!AE70)</f>
        <v>0</v>
      </c>
      <c r="L96" s="10">
        <f>Catalog!AD70</f>
        <v>0</v>
      </c>
      <c r="M96" s="10">
        <f>Catalog!V70</f>
        <v>0</v>
      </c>
      <c r="N96" s="10">
        <f>Catalog!Q70</f>
        <v>0</v>
      </c>
      <c r="O96" s="10">
        <f>Catalog!AF70</f>
        <v>0</v>
      </c>
    </row>
    <row r="97" spans="1:15" x14ac:dyDescent="0.25">
      <c r="A97" s="10">
        <f>Catalog!D71</f>
        <v>0</v>
      </c>
      <c r="B97" s="10">
        <f>Catalog!F71</f>
        <v>0</v>
      </c>
      <c r="C97" s="10" t="str">
        <f>IF(Catalog!I71="","",Catalog!I71)&amp;IF(AND(Catalog!I71&lt;&gt;"",Catalog!J71&lt;&gt;""),"; ","")&amp;IF(Catalog!J71="","",Catalog!J71)</f>
        <v/>
      </c>
      <c r="D97" s="10">
        <f>Catalog!P71</f>
        <v>0</v>
      </c>
      <c r="E97" s="10">
        <f>Catalog!R71</f>
        <v>0</v>
      </c>
      <c r="F97" s="10">
        <f>Catalog!M71</f>
        <v>0</v>
      </c>
      <c r="G97" s="10">
        <f>Catalog!K71</f>
        <v>0</v>
      </c>
      <c r="H97" s="10" t="str">
        <f>IF(Catalog!S71&lt;&gt;"","ISBN:"&amp;Catalog!S71,IF(Catalog!T71&lt;&gt;"","ISSN:"&amp;Catalog!T71,""))</f>
        <v/>
      </c>
      <c r="I97" s="10">
        <f>Catalog!B71</f>
        <v>0</v>
      </c>
      <c r="J97" s="10">
        <f>Catalog!L71</f>
        <v>0</v>
      </c>
      <c r="K97" s="10">
        <f>IF(Catalog!AG71&lt;&gt;"",Catalog!AG71,Catalog!AE71)</f>
        <v>0</v>
      </c>
      <c r="L97" s="10">
        <f>Catalog!AD71</f>
        <v>0</v>
      </c>
      <c r="M97" s="10">
        <f>Catalog!V71</f>
        <v>0</v>
      </c>
      <c r="N97" s="10">
        <f>Catalog!Q71</f>
        <v>0</v>
      </c>
      <c r="O97" s="10">
        <f>Catalog!AF71</f>
        <v>0</v>
      </c>
    </row>
    <row r="98" spans="1:15" x14ac:dyDescent="0.25">
      <c r="A98" s="10">
        <f>Catalog!D72</f>
        <v>0</v>
      </c>
      <c r="B98" s="10">
        <f>Catalog!F72</f>
        <v>0</v>
      </c>
      <c r="C98" s="10" t="str">
        <f>IF(Catalog!I72="","",Catalog!I72)&amp;IF(AND(Catalog!I72&lt;&gt;"",Catalog!J72&lt;&gt;""),"; ","")&amp;IF(Catalog!J72="","",Catalog!J72)</f>
        <v/>
      </c>
      <c r="D98" s="10">
        <f>Catalog!P72</f>
        <v>0</v>
      </c>
      <c r="E98" s="10">
        <f>Catalog!R72</f>
        <v>0</v>
      </c>
      <c r="F98" s="10">
        <f>Catalog!M72</f>
        <v>0</v>
      </c>
      <c r="G98" s="10">
        <f>Catalog!K72</f>
        <v>0</v>
      </c>
      <c r="H98" s="10" t="str">
        <f>IF(Catalog!S72&lt;&gt;"","ISBN:"&amp;Catalog!S72,IF(Catalog!T72&lt;&gt;"","ISSN:"&amp;Catalog!T72,""))</f>
        <v/>
      </c>
      <c r="I98" s="10">
        <f>Catalog!B72</f>
        <v>0</v>
      </c>
      <c r="J98" s="10">
        <f>Catalog!L72</f>
        <v>0</v>
      </c>
      <c r="K98" s="10">
        <f>IF(Catalog!AG72&lt;&gt;"",Catalog!AG72,Catalog!AE72)</f>
        <v>0</v>
      </c>
      <c r="L98" s="10">
        <f>Catalog!AD72</f>
        <v>0</v>
      </c>
      <c r="M98" s="10">
        <f>Catalog!V72</f>
        <v>0</v>
      </c>
      <c r="N98" s="10">
        <f>Catalog!Q72</f>
        <v>0</v>
      </c>
      <c r="O98" s="10">
        <f>Catalog!AF72</f>
        <v>0</v>
      </c>
    </row>
    <row r="99" spans="1:15" x14ac:dyDescent="0.25">
      <c r="A99" s="10">
        <f>Catalog!D73</f>
        <v>0</v>
      </c>
      <c r="B99" s="10">
        <f>Catalog!F73</f>
        <v>0</v>
      </c>
      <c r="C99" s="10" t="str">
        <f>IF(Catalog!I73="","",Catalog!I73)&amp;IF(AND(Catalog!I73&lt;&gt;"",Catalog!J73&lt;&gt;""),"; ","")&amp;IF(Catalog!J73="","",Catalog!J73)</f>
        <v/>
      </c>
      <c r="D99" s="10">
        <f>Catalog!P73</f>
        <v>0</v>
      </c>
      <c r="E99" s="10">
        <f>Catalog!R73</f>
        <v>0</v>
      </c>
      <c r="F99" s="10">
        <f>Catalog!M73</f>
        <v>0</v>
      </c>
      <c r="G99" s="10">
        <f>Catalog!K73</f>
        <v>0</v>
      </c>
      <c r="H99" s="10" t="str">
        <f>IF(Catalog!S73&lt;&gt;"","ISBN:"&amp;Catalog!S73,IF(Catalog!T73&lt;&gt;"","ISSN:"&amp;Catalog!T73,""))</f>
        <v/>
      </c>
      <c r="I99" s="10">
        <f>Catalog!B73</f>
        <v>0</v>
      </c>
      <c r="J99" s="10">
        <f>Catalog!L73</f>
        <v>0</v>
      </c>
      <c r="K99" s="10">
        <f>IF(Catalog!AG73&lt;&gt;"",Catalog!AG73,Catalog!AE73)</f>
        <v>0</v>
      </c>
      <c r="L99" s="10">
        <f>Catalog!AD73</f>
        <v>0</v>
      </c>
      <c r="M99" s="10">
        <f>Catalog!V73</f>
        <v>0</v>
      </c>
      <c r="N99" s="10">
        <f>Catalog!Q73</f>
        <v>0</v>
      </c>
      <c r="O99" s="10">
        <f>Catalog!AF73</f>
        <v>0</v>
      </c>
    </row>
    <row r="100" spans="1:15" x14ac:dyDescent="0.25">
      <c r="A100" s="10">
        <f>Catalog!D74</f>
        <v>0</v>
      </c>
      <c r="B100" s="10">
        <f>Catalog!F74</f>
        <v>0</v>
      </c>
      <c r="C100" s="10" t="str">
        <f>IF(Catalog!I74="","",Catalog!I74)&amp;IF(AND(Catalog!I74&lt;&gt;"",Catalog!J74&lt;&gt;""),"; ","")&amp;IF(Catalog!J74="","",Catalog!J74)</f>
        <v/>
      </c>
      <c r="D100" s="10">
        <f>Catalog!P74</f>
        <v>0</v>
      </c>
      <c r="E100" s="10">
        <f>Catalog!R74</f>
        <v>0</v>
      </c>
      <c r="F100" s="10">
        <f>Catalog!M74</f>
        <v>0</v>
      </c>
      <c r="G100" s="10">
        <f>Catalog!K74</f>
        <v>0</v>
      </c>
      <c r="H100" s="10" t="str">
        <f>IF(Catalog!S74&lt;&gt;"","ISBN:"&amp;Catalog!S74,IF(Catalog!T74&lt;&gt;"","ISSN:"&amp;Catalog!T74,""))</f>
        <v/>
      </c>
      <c r="I100" s="10">
        <f>Catalog!B74</f>
        <v>0</v>
      </c>
      <c r="J100" s="10">
        <f>Catalog!L74</f>
        <v>0</v>
      </c>
      <c r="K100" s="10">
        <f>IF(Catalog!AG74&lt;&gt;"",Catalog!AG74,Catalog!AE74)</f>
        <v>0</v>
      </c>
      <c r="L100" s="10">
        <f>Catalog!AD74</f>
        <v>0</v>
      </c>
      <c r="M100" s="10">
        <f>Catalog!V74</f>
        <v>0</v>
      </c>
      <c r="N100" s="10">
        <f>Catalog!Q74</f>
        <v>0</v>
      </c>
      <c r="O100" s="10">
        <f>Catalog!AF74</f>
        <v>0</v>
      </c>
    </row>
    <row r="101" spans="1:15" x14ac:dyDescent="0.25">
      <c r="A101" s="10">
        <f>Catalog!D75</f>
        <v>0</v>
      </c>
      <c r="B101" s="10">
        <f>Catalog!F75</f>
        <v>0</v>
      </c>
      <c r="C101" s="10" t="str">
        <f>IF(Catalog!I75="","",Catalog!I75)&amp;IF(AND(Catalog!I75&lt;&gt;"",Catalog!J75&lt;&gt;""),"; ","")&amp;IF(Catalog!J75="","",Catalog!J75)</f>
        <v/>
      </c>
      <c r="D101" s="10">
        <f>Catalog!P75</f>
        <v>0</v>
      </c>
      <c r="E101" s="10">
        <f>Catalog!R75</f>
        <v>0</v>
      </c>
      <c r="F101" s="10">
        <f>Catalog!M75</f>
        <v>0</v>
      </c>
      <c r="G101" s="10">
        <f>Catalog!K75</f>
        <v>0</v>
      </c>
      <c r="H101" s="10" t="str">
        <f>IF(Catalog!S75&lt;&gt;"","ISBN:"&amp;Catalog!S75,IF(Catalog!T75&lt;&gt;"","ISSN:"&amp;Catalog!T75,""))</f>
        <v/>
      </c>
      <c r="I101" s="10">
        <f>Catalog!B75</f>
        <v>0</v>
      </c>
      <c r="J101" s="10">
        <f>Catalog!L75</f>
        <v>0</v>
      </c>
      <c r="K101" s="10">
        <f>IF(Catalog!AG75&lt;&gt;"",Catalog!AG75,Catalog!AE75)</f>
        <v>0</v>
      </c>
      <c r="L101" s="10">
        <f>Catalog!AD75</f>
        <v>0</v>
      </c>
      <c r="M101" s="10">
        <f>Catalog!V75</f>
        <v>0</v>
      </c>
      <c r="N101" s="10">
        <f>Catalog!Q75</f>
        <v>0</v>
      </c>
      <c r="O101" s="10">
        <f>Catalog!AF75</f>
        <v>0</v>
      </c>
    </row>
    <row r="102" spans="1:15" x14ac:dyDescent="0.25">
      <c r="A102" s="10">
        <f>Catalog!D76</f>
        <v>0</v>
      </c>
      <c r="B102" s="10">
        <f>Catalog!F76</f>
        <v>0</v>
      </c>
      <c r="C102" s="10" t="str">
        <f>IF(Catalog!I76="","",Catalog!I76)&amp;IF(AND(Catalog!I76&lt;&gt;"",Catalog!J76&lt;&gt;""),"; ","")&amp;IF(Catalog!J76="","",Catalog!J76)</f>
        <v/>
      </c>
      <c r="D102" s="10">
        <f>Catalog!P76</f>
        <v>0</v>
      </c>
      <c r="E102" s="10">
        <f>Catalog!R76</f>
        <v>0</v>
      </c>
      <c r="F102" s="10">
        <f>Catalog!M76</f>
        <v>0</v>
      </c>
      <c r="G102" s="10">
        <f>Catalog!K76</f>
        <v>0</v>
      </c>
      <c r="H102" s="10" t="str">
        <f>IF(Catalog!S76&lt;&gt;"","ISBN:"&amp;Catalog!S76,IF(Catalog!T76&lt;&gt;"","ISSN:"&amp;Catalog!T76,""))</f>
        <v/>
      </c>
      <c r="I102" s="10">
        <f>Catalog!B76</f>
        <v>0</v>
      </c>
      <c r="J102" s="10">
        <f>Catalog!L76</f>
        <v>0</v>
      </c>
      <c r="K102" s="10">
        <f>IF(Catalog!AG76&lt;&gt;"",Catalog!AG76,Catalog!AE76)</f>
        <v>0</v>
      </c>
      <c r="L102" s="10">
        <f>Catalog!AD76</f>
        <v>0</v>
      </c>
      <c r="M102" s="10">
        <f>Catalog!V76</f>
        <v>0</v>
      </c>
      <c r="N102" s="10">
        <f>Catalog!Q76</f>
        <v>0</v>
      </c>
      <c r="O102" s="10">
        <f>Catalog!AF76</f>
        <v>0</v>
      </c>
    </row>
    <row r="103" spans="1:15" x14ac:dyDescent="0.25">
      <c r="A103" s="10">
        <f>Catalog!D77</f>
        <v>0</v>
      </c>
      <c r="B103" s="10">
        <f>Catalog!F77</f>
        <v>0</v>
      </c>
      <c r="C103" s="10" t="str">
        <f>IF(Catalog!I77="","",Catalog!I77)&amp;IF(AND(Catalog!I77&lt;&gt;"",Catalog!J77&lt;&gt;""),"; ","")&amp;IF(Catalog!J77="","",Catalog!J77)</f>
        <v/>
      </c>
      <c r="D103" s="10">
        <f>Catalog!P77</f>
        <v>0</v>
      </c>
      <c r="E103" s="10">
        <f>Catalog!R77</f>
        <v>0</v>
      </c>
      <c r="F103" s="10">
        <f>Catalog!M77</f>
        <v>0</v>
      </c>
      <c r="G103" s="10">
        <f>Catalog!K77</f>
        <v>0</v>
      </c>
      <c r="H103" s="10" t="str">
        <f>IF(Catalog!S77&lt;&gt;"","ISBN:"&amp;Catalog!S77,IF(Catalog!T77&lt;&gt;"","ISSN:"&amp;Catalog!T77,""))</f>
        <v/>
      </c>
      <c r="I103" s="10">
        <f>Catalog!B77</f>
        <v>0</v>
      </c>
      <c r="J103" s="10">
        <f>Catalog!L77</f>
        <v>0</v>
      </c>
      <c r="K103" s="10">
        <f>IF(Catalog!AG77&lt;&gt;"",Catalog!AG77,Catalog!AE77)</f>
        <v>0</v>
      </c>
      <c r="L103" s="10">
        <f>Catalog!AD77</f>
        <v>0</v>
      </c>
      <c r="M103" s="10">
        <f>Catalog!V77</f>
        <v>0</v>
      </c>
      <c r="N103" s="10">
        <f>Catalog!Q77</f>
        <v>0</v>
      </c>
      <c r="O103" s="10">
        <f>Catalog!AF77</f>
        <v>0</v>
      </c>
    </row>
    <row r="104" spans="1:15" x14ac:dyDescent="0.25">
      <c r="A104" s="10">
        <f>Catalog!D78</f>
        <v>0</v>
      </c>
      <c r="B104" s="10">
        <f>Catalog!F78</f>
        <v>0</v>
      </c>
      <c r="C104" s="10" t="str">
        <f>IF(Catalog!I78="","",Catalog!I78)&amp;IF(AND(Catalog!I78&lt;&gt;"",Catalog!J78&lt;&gt;""),"; ","")&amp;IF(Catalog!J78="","",Catalog!J78)</f>
        <v/>
      </c>
      <c r="D104" s="10">
        <f>Catalog!P78</f>
        <v>0</v>
      </c>
      <c r="E104" s="10">
        <f>Catalog!R78</f>
        <v>0</v>
      </c>
      <c r="F104" s="10">
        <f>Catalog!M78</f>
        <v>0</v>
      </c>
      <c r="G104" s="10">
        <f>Catalog!K78</f>
        <v>0</v>
      </c>
      <c r="H104" s="10" t="str">
        <f>IF(Catalog!S78&lt;&gt;"","ISBN:"&amp;Catalog!S78,IF(Catalog!T78&lt;&gt;"","ISSN:"&amp;Catalog!T78,""))</f>
        <v/>
      </c>
      <c r="I104" s="10">
        <f>Catalog!B78</f>
        <v>0</v>
      </c>
      <c r="J104" s="10">
        <f>Catalog!L78</f>
        <v>0</v>
      </c>
      <c r="K104" s="10">
        <f>IF(Catalog!AG78&lt;&gt;"",Catalog!AG78,Catalog!AE78)</f>
        <v>0</v>
      </c>
      <c r="L104" s="10">
        <f>Catalog!AD78</f>
        <v>0</v>
      </c>
      <c r="M104" s="10">
        <f>Catalog!V78</f>
        <v>0</v>
      </c>
      <c r="N104" s="10">
        <f>Catalog!Q78</f>
        <v>0</v>
      </c>
      <c r="O104" s="10">
        <f>Catalog!AF78</f>
        <v>0</v>
      </c>
    </row>
    <row r="105" spans="1:15" x14ac:dyDescent="0.25">
      <c r="A105" s="10">
        <f>Catalog!D79</f>
        <v>0</v>
      </c>
      <c r="B105" s="10">
        <f>Catalog!F79</f>
        <v>0</v>
      </c>
      <c r="C105" s="10" t="str">
        <f>IF(Catalog!I79="","",Catalog!I79)&amp;IF(AND(Catalog!I79&lt;&gt;"",Catalog!J79&lt;&gt;""),"; ","")&amp;IF(Catalog!J79="","",Catalog!J79)</f>
        <v/>
      </c>
      <c r="D105" s="10">
        <f>Catalog!P79</f>
        <v>0</v>
      </c>
      <c r="E105" s="10">
        <f>Catalog!R79</f>
        <v>0</v>
      </c>
      <c r="F105" s="10">
        <f>Catalog!M79</f>
        <v>0</v>
      </c>
      <c r="G105" s="10">
        <f>Catalog!K79</f>
        <v>0</v>
      </c>
      <c r="H105" s="10" t="str">
        <f>IF(Catalog!S79&lt;&gt;"","ISBN:"&amp;Catalog!S79,IF(Catalog!T79&lt;&gt;"","ISSN:"&amp;Catalog!T79,""))</f>
        <v/>
      </c>
      <c r="I105" s="10">
        <f>Catalog!B79</f>
        <v>0</v>
      </c>
      <c r="J105" s="10">
        <f>Catalog!L79</f>
        <v>0</v>
      </c>
      <c r="K105" s="10">
        <f>IF(Catalog!AG79&lt;&gt;"",Catalog!AG79,Catalog!AE79)</f>
        <v>0</v>
      </c>
      <c r="L105" s="10">
        <f>Catalog!AD79</f>
        <v>0</v>
      </c>
      <c r="M105" s="10">
        <f>Catalog!V79</f>
        <v>0</v>
      </c>
      <c r="N105" s="10">
        <f>Catalog!Q79</f>
        <v>0</v>
      </c>
      <c r="O105" s="10">
        <f>Catalog!AF79</f>
        <v>0</v>
      </c>
    </row>
    <row r="106" spans="1:15" x14ac:dyDescent="0.25">
      <c r="A106" s="10">
        <f>Catalog!D80</f>
        <v>0</v>
      </c>
      <c r="B106" s="10">
        <f>Catalog!F80</f>
        <v>0</v>
      </c>
      <c r="C106" s="10" t="str">
        <f>IF(Catalog!I80="","",Catalog!I80)&amp;IF(AND(Catalog!I80&lt;&gt;"",Catalog!J80&lt;&gt;""),"; ","")&amp;IF(Catalog!J80="","",Catalog!J80)</f>
        <v/>
      </c>
      <c r="D106" s="10">
        <f>Catalog!P80</f>
        <v>0</v>
      </c>
      <c r="E106" s="10">
        <f>Catalog!R80</f>
        <v>0</v>
      </c>
      <c r="F106" s="10">
        <f>Catalog!M80</f>
        <v>0</v>
      </c>
      <c r="G106" s="10">
        <f>Catalog!K80</f>
        <v>0</v>
      </c>
      <c r="H106" s="10" t="str">
        <f>IF(Catalog!S80&lt;&gt;"","ISBN:"&amp;Catalog!S80,IF(Catalog!T80&lt;&gt;"","ISSN:"&amp;Catalog!T80,""))</f>
        <v/>
      </c>
      <c r="I106" s="10">
        <f>Catalog!B80</f>
        <v>0</v>
      </c>
      <c r="J106" s="10">
        <f>Catalog!L80</f>
        <v>0</v>
      </c>
      <c r="K106" s="10">
        <f>IF(Catalog!AG80&lt;&gt;"",Catalog!AG80,Catalog!AE80)</f>
        <v>0</v>
      </c>
      <c r="L106" s="10">
        <f>Catalog!AD80</f>
        <v>0</v>
      </c>
      <c r="M106" s="10">
        <f>Catalog!V80</f>
        <v>0</v>
      </c>
      <c r="N106" s="10">
        <f>Catalog!Q80</f>
        <v>0</v>
      </c>
      <c r="O106" s="10">
        <f>Catalog!AF80</f>
        <v>0</v>
      </c>
    </row>
    <row r="107" spans="1:15" x14ac:dyDescent="0.25">
      <c r="A107" s="10">
        <f>Catalog!D81</f>
        <v>0</v>
      </c>
      <c r="B107" s="10">
        <f>Catalog!F81</f>
        <v>0</v>
      </c>
      <c r="C107" s="10" t="str">
        <f>IF(Catalog!I81="","",Catalog!I81)&amp;IF(AND(Catalog!I81&lt;&gt;"",Catalog!J81&lt;&gt;""),"; ","")&amp;IF(Catalog!J81="","",Catalog!J81)</f>
        <v/>
      </c>
      <c r="D107" s="10">
        <f>Catalog!P81</f>
        <v>0</v>
      </c>
      <c r="E107" s="10">
        <f>Catalog!R81</f>
        <v>0</v>
      </c>
      <c r="F107" s="10">
        <f>Catalog!M81</f>
        <v>0</v>
      </c>
      <c r="G107" s="10">
        <f>Catalog!K81</f>
        <v>0</v>
      </c>
      <c r="H107" s="10" t="str">
        <f>IF(Catalog!S81&lt;&gt;"","ISBN:"&amp;Catalog!S81,IF(Catalog!T81&lt;&gt;"","ISSN:"&amp;Catalog!T81,""))</f>
        <v/>
      </c>
      <c r="I107" s="10">
        <f>Catalog!B81</f>
        <v>0</v>
      </c>
      <c r="J107" s="10">
        <f>Catalog!L81</f>
        <v>0</v>
      </c>
      <c r="K107" s="10">
        <f>IF(Catalog!AG81&lt;&gt;"",Catalog!AG81,Catalog!AE81)</f>
        <v>0</v>
      </c>
      <c r="L107" s="10">
        <f>Catalog!AD81</f>
        <v>0</v>
      </c>
      <c r="M107" s="10">
        <f>Catalog!V81</f>
        <v>0</v>
      </c>
      <c r="N107" s="10">
        <f>Catalog!Q81</f>
        <v>0</v>
      </c>
      <c r="O107" s="10">
        <f>Catalog!AF81</f>
        <v>0</v>
      </c>
    </row>
    <row r="108" spans="1:15" x14ac:dyDescent="0.25">
      <c r="A108" s="10">
        <f>Catalog!D82</f>
        <v>0</v>
      </c>
      <c r="B108" s="10">
        <f>Catalog!F82</f>
        <v>0</v>
      </c>
      <c r="C108" s="10" t="str">
        <f>IF(Catalog!I82="","",Catalog!I82)&amp;IF(AND(Catalog!I82&lt;&gt;"",Catalog!J82&lt;&gt;""),"; ","")&amp;IF(Catalog!J82="","",Catalog!J82)</f>
        <v/>
      </c>
      <c r="D108" s="10">
        <f>Catalog!P82</f>
        <v>0</v>
      </c>
      <c r="E108" s="10">
        <f>Catalog!R82</f>
        <v>0</v>
      </c>
      <c r="F108" s="10">
        <f>Catalog!M82</f>
        <v>0</v>
      </c>
      <c r="G108" s="10">
        <f>Catalog!K82</f>
        <v>0</v>
      </c>
      <c r="H108" s="10" t="str">
        <f>IF(Catalog!S82&lt;&gt;"","ISBN:"&amp;Catalog!S82,IF(Catalog!T82&lt;&gt;"","ISSN:"&amp;Catalog!T82,""))</f>
        <v/>
      </c>
      <c r="I108" s="10">
        <f>Catalog!B82</f>
        <v>0</v>
      </c>
      <c r="J108" s="10">
        <f>Catalog!L82</f>
        <v>0</v>
      </c>
      <c r="K108" s="10">
        <f>IF(Catalog!AG82&lt;&gt;"",Catalog!AG82,Catalog!AE82)</f>
        <v>0</v>
      </c>
      <c r="L108" s="10">
        <f>Catalog!AD82</f>
        <v>0</v>
      </c>
      <c r="M108" s="10">
        <f>Catalog!V82</f>
        <v>0</v>
      </c>
      <c r="N108" s="10">
        <f>Catalog!Q82</f>
        <v>0</v>
      </c>
      <c r="O108" s="10">
        <f>Catalog!AF82</f>
        <v>0</v>
      </c>
    </row>
    <row r="109" spans="1:15" x14ac:dyDescent="0.25">
      <c r="A109" s="10">
        <f>Catalog!D83</f>
        <v>0</v>
      </c>
      <c r="B109" s="10">
        <f>Catalog!F83</f>
        <v>0</v>
      </c>
      <c r="C109" s="10" t="str">
        <f>IF(Catalog!I83="","",Catalog!I83)&amp;IF(AND(Catalog!I83&lt;&gt;"",Catalog!J83&lt;&gt;""),"; ","")&amp;IF(Catalog!J83="","",Catalog!J83)</f>
        <v/>
      </c>
      <c r="D109" s="10">
        <f>Catalog!P83</f>
        <v>0</v>
      </c>
      <c r="E109" s="10">
        <f>Catalog!R83</f>
        <v>0</v>
      </c>
      <c r="F109" s="10">
        <f>Catalog!M83</f>
        <v>0</v>
      </c>
      <c r="G109" s="10">
        <f>Catalog!K83</f>
        <v>0</v>
      </c>
      <c r="H109" s="10" t="str">
        <f>IF(Catalog!S83&lt;&gt;"","ISBN:"&amp;Catalog!S83,IF(Catalog!T83&lt;&gt;"","ISSN:"&amp;Catalog!T83,""))</f>
        <v/>
      </c>
      <c r="I109" s="10">
        <f>Catalog!B83</f>
        <v>0</v>
      </c>
      <c r="J109" s="10">
        <f>Catalog!L83</f>
        <v>0</v>
      </c>
      <c r="K109" s="10">
        <f>IF(Catalog!AG83&lt;&gt;"",Catalog!AG83,Catalog!AE83)</f>
        <v>0</v>
      </c>
      <c r="L109" s="10">
        <f>Catalog!AD83</f>
        <v>0</v>
      </c>
      <c r="M109" s="10">
        <f>Catalog!V83</f>
        <v>0</v>
      </c>
      <c r="N109" s="10">
        <f>Catalog!Q83</f>
        <v>0</v>
      </c>
      <c r="O109" s="10">
        <f>Catalog!AF83</f>
        <v>0</v>
      </c>
    </row>
    <row r="110" spans="1:15" x14ac:dyDescent="0.25">
      <c r="A110" s="10">
        <f>Catalog!D84</f>
        <v>0</v>
      </c>
      <c r="B110" s="10">
        <f>Catalog!F84</f>
        <v>0</v>
      </c>
      <c r="C110" s="10" t="str">
        <f>IF(Catalog!I84="","",Catalog!I84)&amp;IF(AND(Catalog!I84&lt;&gt;"",Catalog!J84&lt;&gt;""),"; ","")&amp;IF(Catalog!J84="","",Catalog!J84)</f>
        <v/>
      </c>
      <c r="D110" s="10">
        <f>Catalog!P84</f>
        <v>0</v>
      </c>
      <c r="E110" s="10">
        <f>Catalog!R84</f>
        <v>0</v>
      </c>
      <c r="F110" s="10">
        <f>Catalog!M84</f>
        <v>0</v>
      </c>
      <c r="G110" s="10">
        <f>Catalog!K84</f>
        <v>0</v>
      </c>
      <c r="H110" s="10" t="str">
        <f>IF(Catalog!S84&lt;&gt;"","ISBN:"&amp;Catalog!S84,IF(Catalog!T84&lt;&gt;"","ISSN:"&amp;Catalog!T84,""))</f>
        <v/>
      </c>
      <c r="I110" s="10">
        <f>Catalog!B84</f>
        <v>0</v>
      </c>
      <c r="J110" s="10">
        <f>Catalog!L84</f>
        <v>0</v>
      </c>
      <c r="K110" s="10">
        <f>IF(Catalog!AG84&lt;&gt;"",Catalog!AG84,Catalog!AE84)</f>
        <v>0</v>
      </c>
      <c r="L110" s="10">
        <f>Catalog!AD84</f>
        <v>0</v>
      </c>
      <c r="M110" s="10">
        <f>Catalog!V84</f>
        <v>0</v>
      </c>
      <c r="N110" s="10">
        <f>Catalog!Q84</f>
        <v>0</v>
      </c>
      <c r="O110" s="10">
        <f>Catalog!AF84</f>
        <v>0</v>
      </c>
    </row>
    <row r="111" spans="1:15" x14ac:dyDescent="0.25">
      <c r="A111" s="10">
        <f>Catalog!D85</f>
        <v>0</v>
      </c>
      <c r="B111" s="10">
        <f>Catalog!F85</f>
        <v>0</v>
      </c>
      <c r="C111" s="10" t="str">
        <f>IF(Catalog!I85="","",Catalog!I85)&amp;IF(AND(Catalog!I85&lt;&gt;"",Catalog!J85&lt;&gt;""),"; ","")&amp;IF(Catalog!J85="","",Catalog!J85)</f>
        <v/>
      </c>
      <c r="D111" s="10">
        <f>Catalog!P85</f>
        <v>0</v>
      </c>
      <c r="E111" s="10">
        <f>Catalog!R85</f>
        <v>0</v>
      </c>
      <c r="F111" s="10">
        <f>Catalog!M85</f>
        <v>0</v>
      </c>
      <c r="G111" s="10">
        <f>Catalog!K85</f>
        <v>0</v>
      </c>
      <c r="H111" s="10" t="str">
        <f>IF(Catalog!S85&lt;&gt;"","ISBN:"&amp;Catalog!S85,IF(Catalog!T85&lt;&gt;"","ISSN:"&amp;Catalog!T85,""))</f>
        <v/>
      </c>
      <c r="I111" s="10">
        <f>Catalog!B85</f>
        <v>0</v>
      </c>
      <c r="J111" s="10">
        <f>Catalog!L85</f>
        <v>0</v>
      </c>
      <c r="K111" s="10">
        <f>IF(Catalog!AG85&lt;&gt;"",Catalog!AG85,Catalog!AE85)</f>
        <v>0</v>
      </c>
      <c r="L111" s="10">
        <f>Catalog!AD85</f>
        <v>0</v>
      </c>
      <c r="M111" s="10">
        <f>Catalog!V85</f>
        <v>0</v>
      </c>
      <c r="N111" s="10">
        <f>Catalog!Q85</f>
        <v>0</v>
      </c>
      <c r="O111" s="10">
        <f>Catalog!AF85</f>
        <v>0</v>
      </c>
    </row>
    <row r="112" spans="1:15" x14ac:dyDescent="0.25">
      <c r="A112" s="10">
        <f>Catalog!D86</f>
        <v>0</v>
      </c>
      <c r="B112" s="10">
        <f>Catalog!F86</f>
        <v>0</v>
      </c>
      <c r="C112" s="10" t="str">
        <f>IF(Catalog!I86="","",Catalog!I86)&amp;IF(AND(Catalog!I86&lt;&gt;"",Catalog!J86&lt;&gt;""),"; ","")&amp;IF(Catalog!J86="","",Catalog!J86)</f>
        <v/>
      </c>
      <c r="D112" s="10">
        <f>Catalog!P86</f>
        <v>0</v>
      </c>
      <c r="E112" s="10">
        <f>Catalog!R86</f>
        <v>0</v>
      </c>
      <c r="F112" s="10">
        <f>Catalog!M86</f>
        <v>0</v>
      </c>
      <c r="G112" s="10">
        <f>Catalog!K86</f>
        <v>0</v>
      </c>
      <c r="H112" s="10" t="str">
        <f>IF(Catalog!S86&lt;&gt;"","ISBN:"&amp;Catalog!S86,IF(Catalog!T86&lt;&gt;"","ISSN:"&amp;Catalog!T86,""))</f>
        <v/>
      </c>
      <c r="I112" s="10">
        <f>Catalog!B86</f>
        <v>0</v>
      </c>
      <c r="J112" s="10">
        <f>Catalog!L86</f>
        <v>0</v>
      </c>
      <c r="K112" s="10">
        <f>IF(Catalog!AG86&lt;&gt;"",Catalog!AG86,Catalog!AE86)</f>
        <v>0</v>
      </c>
      <c r="L112" s="10">
        <f>Catalog!AD86</f>
        <v>0</v>
      </c>
      <c r="M112" s="10">
        <f>Catalog!V86</f>
        <v>0</v>
      </c>
      <c r="N112" s="10">
        <f>Catalog!Q86</f>
        <v>0</v>
      </c>
      <c r="O112" s="10">
        <f>Catalog!AF86</f>
        <v>0</v>
      </c>
    </row>
    <row r="113" spans="1:15" x14ac:dyDescent="0.25">
      <c r="A113" s="10">
        <f>Catalog!D87</f>
        <v>0</v>
      </c>
      <c r="B113" s="10">
        <f>Catalog!F87</f>
        <v>0</v>
      </c>
      <c r="C113" s="10" t="str">
        <f>IF(Catalog!I87="","",Catalog!I87)&amp;IF(AND(Catalog!I87&lt;&gt;"",Catalog!J87&lt;&gt;""),"; ","")&amp;IF(Catalog!J87="","",Catalog!J87)</f>
        <v/>
      </c>
      <c r="D113" s="10">
        <f>Catalog!P87</f>
        <v>0</v>
      </c>
      <c r="E113" s="10">
        <f>Catalog!R87</f>
        <v>0</v>
      </c>
      <c r="F113" s="10">
        <f>Catalog!M87</f>
        <v>0</v>
      </c>
      <c r="G113" s="10">
        <f>Catalog!K87</f>
        <v>0</v>
      </c>
      <c r="H113" s="10" t="str">
        <f>IF(Catalog!S87&lt;&gt;"","ISBN:"&amp;Catalog!S87,IF(Catalog!T87&lt;&gt;"","ISSN:"&amp;Catalog!T87,""))</f>
        <v/>
      </c>
      <c r="I113" s="10">
        <f>Catalog!B87</f>
        <v>0</v>
      </c>
      <c r="J113" s="10">
        <f>Catalog!L87</f>
        <v>0</v>
      </c>
      <c r="K113" s="10">
        <f>IF(Catalog!AG87&lt;&gt;"",Catalog!AG87,Catalog!AE87)</f>
        <v>0</v>
      </c>
      <c r="L113" s="10">
        <f>Catalog!AD87</f>
        <v>0</v>
      </c>
      <c r="M113" s="10">
        <f>Catalog!V87</f>
        <v>0</v>
      </c>
      <c r="N113" s="10">
        <f>Catalog!Q87</f>
        <v>0</v>
      </c>
      <c r="O113" s="10">
        <f>Catalog!AF87</f>
        <v>0</v>
      </c>
    </row>
    <row r="114" spans="1:15" x14ac:dyDescent="0.25">
      <c r="A114" s="10">
        <f>Catalog!D88</f>
        <v>0</v>
      </c>
      <c r="B114" s="10">
        <f>Catalog!F88</f>
        <v>0</v>
      </c>
      <c r="C114" s="10" t="str">
        <f>IF(Catalog!I88="","",Catalog!I88)&amp;IF(AND(Catalog!I88&lt;&gt;"",Catalog!J88&lt;&gt;""),"; ","")&amp;IF(Catalog!J88="","",Catalog!J88)</f>
        <v/>
      </c>
      <c r="D114" s="10">
        <f>Catalog!P88</f>
        <v>0</v>
      </c>
      <c r="E114" s="10">
        <f>Catalog!R88</f>
        <v>0</v>
      </c>
      <c r="F114" s="10">
        <f>Catalog!M88</f>
        <v>0</v>
      </c>
      <c r="G114" s="10">
        <f>Catalog!K88</f>
        <v>0</v>
      </c>
      <c r="H114" s="10" t="str">
        <f>IF(Catalog!S88&lt;&gt;"","ISBN:"&amp;Catalog!S88,IF(Catalog!T88&lt;&gt;"","ISSN:"&amp;Catalog!T88,""))</f>
        <v/>
      </c>
      <c r="I114" s="10">
        <f>Catalog!B88</f>
        <v>0</v>
      </c>
      <c r="J114" s="10">
        <f>Catalog!L88</f>
        <v>0</v>
      </c>
      <c r="K114" s="10">
        <f>IF(Catalog!AG88&lt;&gt;"",Catalog!AG88,Catalog!AE88)</f>
        <v>0</v>
      </c>
      <c r="L114" s="10">
        <f>Catalog!AD88</f>
        <v>0</v>
      </c>
      <c r="M114" s="10">
        <f>Catalog!V88</f>
        <v>0</v>
      </c>
      <c r="N114" s="10">
        <f>Catalog!Q88</f>
        <v>0</v>
      </c>
      <c r="O114" s="10">
        <f>Catalog!AF88</f>
        <v>0</v>
      </c>
    </row>
    <row r="115" spans="1:15" x14ac:dyDescent="0.25">
      <c r="A115" s="10">
        <f>Catalog!D89</f>
        <v>0</v>
      </c>
      <c r="B115" s="10">
        <f>Catalog!F89</f>
        <v>0</v>
      </c>
      <c r="C115" s="10" t="str">
        <f>IF(Catalog!I89="","",Catalog!I89)&amp;IF(AND(Catalog!I89&lt;&gt;"",Catalog!J89&lt;&gt;""),"; ","")&amp;IF(Catalog!J89="","",Catalog!J89)</f>
        <v/>
      </c>
      <c r="D115" s="10">
        <f>Catalog!P89</f>
        <v>0</v>
      </c>
      <c r="E115" s="10">
        <f>Catalog!R89</f>
        <v>0</v>
      </c>
      <c r="F115" s="10">
        <f>Catalog!M89</f>
        <v>0</v>
      </c>
      <c r="G115" s="10">
        <f>Catalog!K89</f>
        <v>0</v>
      </c>
      <c r="H115" s="10" t="str">
        <f>IF(Catalog!S89&lt;&gt;"","ISBN:"&amp;Catalog!S89,IF(Catalog!T89&lt;&gt;"","ISSN:"&amp;Catalog!T89,""))</f>
        <v/>
      </c>
      <c r="I115" s="10">
        <f>Catalog!B89</f>
        <v>0</v>
      </c>
      <c r="J115" s="10">
        <f>Catalog!L89</f>
        <v>0</v>
      </c>
      <c r="K115" s="10">
        <f>IF(Catalog!AG89&lt;&gt;"",Catalog!AG89,Catalog!AE89)</f>
        <v>0</v>
      </c>
      <c r="L115" s="10">
        <f>Catalog!AD89</f>
        <v>0</v>
      </c>
      <c r="M115" s="10">
        <f>Catalog!V89</f>
        <v>0</v>
      </c>
      <c r="N115" s="10">
        <f>Catalog!Q89</f>
        <v>0</v>
      </c>
      <c r="O115" s="10">
        <f>Catalog!AF89</f>
        <v>0</v>
      </c>
    </row>
    <row r="116" spans="1:15" x14ac:dyDescent="0.25">
      <c r="A116" s="10">
        <f>Catalog!D90</f>
        <v>0</v>
      </c>
      <c r="B116" s="10">
        <f>Catalog!F90</f>
        <v>0</v>
      </c>
      <c r="C116" s="10" t="str">
        <f>IF(Catalog!I90="","",Catalog!I90)&amp;IF(AND(Catalog!I90&lt;&gt;"",Catalog!J90&lt;&gt;""),"; ","")&amp;IF(Catalog!J90="","",Catalog!J90)</f>
        <v/>
      </c>
      <c r="D116" s="10">
        <f>Catalog!P90</f>
        <v>0</v>
      </c>
      <c r="E116" s="10">
        <f>Catalog!R90</f>
        <v>0</v>
      </c>
      <c r="F116" s="10">
        <f>Catalog!M90</f>
        <v>0</v>
      </c>
      <c r="G116" s="10">
        <f>Catalog!K90</f>
        <v>0</v>
      </c>
      <c r="H116" s="10" t="str">
        <f>IF(Catalog!S90&lt;&gt;"","ISBN:"&amp;Catalog!S90,IF(Catalog!T90&lt;&gt;"","ISSN:"&amp;Catalog!T90,""))</f>
        <v/>
      </c>
      <c r="I116" s="10">
        <f>Catalog!B90</f>
        <v>0</v>
      </c>
      <c r="J116" s="10">
        <f>Catalog!L90</f>
        <v>0</v>
      </c>
      <c r="K116" s="10">
        <f>IF(Catalog!AG90&lt;&gt;"",Catalog!AG90,Catalog!AE90)</f>
        <v>0</v>
      </c>
      <c r="L116" s="10">
        <f>Catalog!AD90</f>
        <v>0</v>
      </c>
      <c r="M116" s="10">
        <f>Catalog!V90</f>
        <v>0</v>
      </c>
      <c r="N116" s="10">
        <f>Catalog!Q90</f>
        <v>0</v>
      </c>
      <c r="O116" s="10">
        <f>Catalog!AF90</f>
        <v>0</v>
      </c>
    </row>
    <row r="117" spans="1:15" x14ac:dyDescent="0.25">
      <c r="A117" s="10">
        <f>Catalog!D91</f>
        <v>0</v>
      </c>
      <c r="B117" s="10">
        <f>Catalog!F91</f>
        <v>0</v>
      </c>
      <c r="C117" s="10" t="str">
        <f>IF(Catalog!I91="","",Catalog!I91)&amp;IF(AND(Catalog!I91&lt;&gt;"",Catalog!J91&lt;&gt;""),"; ","")&amp;IF(Catalog!J91="","",Catalog!J91)</f>
        <v/>
      </c>
      <c r="D117" s="10">
        <f>Catalog!P91</f>
        <v>0</v>
      </c>
      <c r="E117" s="10">
        <f>Catalog!R91</f>
        <v>0</v>
      </c>
      <c r="F117" s="10">
        <f>Catalog!M91</f>
        <v>0</v>
      </c>
      <c r="G117" s="10">
        <f>Catalog!K91</f>
        <v>0</v>
      </c>
      <c r="H117" s="10" t="str">
        <f>IF(Catalog!S91&lt;&gt;"","ISBN:"&amp;Catalog!S91,IF(Catalog!T91&lt;&gt;"","ISSN:"&amp;Catalog!T91,""))</f>
        <v/>
      </c>
      <c r="I117" s="10">
        <f>Catalog!B91</f>
        <v>0</v>
      </c>
      <c r="J117" s="10">
        <f>Catalog!L91</f>
        <v>0</v>
      </c>
      <c r="K117" s="10">
        <f>IF(Catalog!AG91&lt;&gt;"",Catalog!AG91,Catalog!AE91)</f>
        <v>0</v>
      </c>
      <c r="L117" s="10">
        <f>Catalog!AD91</f>
        <v>0</v>
      </c>
      <c r="M117" s="10">
        <f>Catalog!V91</f>
        <v>0</v>
      </c>
      <c r="N117" s="10">
        <f>Catalog!Q91</f>
        <v>0</v>
      </c>
      <c r="O117" s="10">
        <f>Catalog!AF91</f>
        <v>0</v>
      </c>
    </row>
    <row r="118" spans="1:15" x14ac:dyDescent="0.25">
      <c r="A118" s="10">
        <f>Catalog!D92</f>
        <v>0</v>
      </c>
      <c r="B118" s="10">
        <f>Catalog!F92</f>
        <v>0</v>
      </c>
      <c r="C118" s="10" t="str">
        <f>IF(Catalog!I92="","",Catalog!I92)&amp;IF(AND(Catalog!I92&lt;&gt;"",Catalog!J92&lt;&gt;""),"; ","")&amp;IF(Catalog!J92="","",Catalog!J92)</f>
        <v/>
      </c>
      <c r="D118" s="10">
        <f>Catalog!P92</f>
        <v>0</v>
      </c>
      <c r="E118" s="10">
        <f>Catalog!R92</f>
        <v>0</v>
      </c>
      <c r="F118" s="10">
        <f>Catalog!M92</f>
        <v>0</v>
      </c>
      <c r="G118" s="10">
        <f>Catalog!K92</f>
        <v>0</v>
      </c>
      <c r="H118" s="10" t="str">
        <f>IF(Catalog!S92&lt;&gt;"","ISBN:"&amp;Catalog!S92,IF(Catalog!T92&lt;&gt;"","ISSN:"&amp;Catalog!T92,""))</f>
        <v/>
      </c>
      <c r="I118" s="10">
        <f>Catalog!B92</f>
        <v>0</v>
      </c>
      <c r="J118" s="10">
        <f>Catalog!L92</f>
        <v>0</v>
      </c>
      <c r="K118" s="10">
        <f>IF(Catalog!AG92&lt;&gt;"",Catalog!AG92,Catalog!AE92)</f>
        <v>0</v>
      </c>
      <c r="L118" s="10">
        <f>Catalog!AD92</f>
        <v>0</v>
      </c>
      <c r="M118" s="10">
        <f>Catalog!V92</f>
        <v>0</v>
      </c>
      <c r="N118" s="10">
        <f>Catalog!Q92</f>
        <v>0</v>
      </c>
      <c r="O118" s="10">
        <f>Catalog!AF92</f>
        <v>0</v>
      </c>
    </row>
    <row r="119" spans="1:15" x14ac:dyDescent="0.25">
      <c r="A119" s="10">
        <f>Catalog!D93</f>
        <v>0</v>
      </c>
      <c r="B119" s="10">
        <f>Catalog!F93</f>
        <v>0</v>
      </c>
      <c r="C119" s="10" t="str">
        <f>IF(Catalog!I93="","",Catalog!I93)&amp;IF(AND(Catalog!I93&lt;&gt;"",Catalog!J93&lt;&gt;""),"; ","")&amp;IF(Catalog!J93="","",Catalog!J93)</f>
        <v/>
      </c>
      <c r="D119" s="10">
        <f>Catalog!P93</f>
        <v>0</v>
      </c>
      <c r="E119" s="10">
        <f>Catalog!R93</f>
        <v>0</v>
      </c>
      <c r="F119" s="10">
        <f>Catalog!M93</f>
        <v>0</v>
      </c>
      <c r="G119" s="10">
        <f>Catalog!K93</f>
        <v>0</v>
      </c>
      <c r="H119" s="10" t="str">
        <f>IF(Catalog!S93&lt;&gt;"","ISBN:"&amp;Catalog!S93,IF(Catalog!T93&lt;&gt;"","ISSN:"&amp;Catalog!T93,""))</f>
        <v/>
      </c>
      <c r="I119" s="10">
        <f>Catalog!B93</f>
        <v>0</v>
      </c>
      <c r="J119" s="10">
        <f>Catalog!L93</f>
        <v>0</v>
      </c>
      <c r="K119" s="10">
        <f>IF(Catalog!AG93&lt;&gt;"",Catalog!AG93,Catalog!AE93)</f>
        <v>0</v>
      </c>
      <c r="L119" s="10">
        <f>Catalog!AD93</f>
        <v>0</v>
      </c>
      <c r="M119" s="10">
        <f>Catalog!V93</f>
        <v>0</v>
      </c>
      <c r="N119" s="10">
        <f>Catalog!Q93</f>
        <v>0</v>
      </c>
      <c r="O119" s="10">
        <f>Catalog!AF93</f>
        <v>0</v>
      </c>
    </row>
    <row r="120" spans="1:15" x14ac:dyDescent="0.25">
      <c r="A120" s="10">
        <f>Catalog!D94</f>
        <v>0</v>
      </c>
      <c r="B120" s="10">
        <f>Catalog!F94</f>
        <v>0</v>
      </c>
      <c r="C120" s="10" t="str">
        <f>IF(Catalog!I94="","",Catalog!I94)&amp;IF(AND(Catalog!I94&lt;&gt;"",Catalog!J94&lt;&gt;""),"; ","")&amp;IF(Catalog!J94="","",Catalog!J94)</f>
        <v/>
      </c>
      <c r="D120" s="10">
        <f>Catalog!P94</f>
        <v>0</v>
      </c>
      <c r="E120" s="10">
        <f>Catalog!R94</f>
        <v>0</v>
      </c>
      <c r="F120" s="10">
        <f>Catalog!M94</f>
        <v>0</v>
      </c>
      <c r="G120" s="10">
        <f>Catalog!K94</f>
        <v>0</v>
      </c>
      <c r="H120" s="10" t="str">
        <f>IF(Catalog!S94&lt;&gt;"","ISBN:"&amp;Catalog!S94,IF(Catalog!T94&lt;&gt;"","ISSN:"&amp;Catalog!T94,""))</f>
        <v/>
      </c>
      <c r="I120" s="10">
        <f>Catalog!B94</f>
        <v>0</v>
      </c>
      <c r="J120" s="10">
        <f>Catalog!L94</f>
        <v>0</v>
      </c>
      <c r="K120" s="10">
        <f>IF(Catalog!AG94&lt;&gt;"",Catalog!AG94,Catalog!AE94)</f>
        <v>0</v>
      </c>
      <c r="L120" s="10">
        <f>Catalog!AD94</f>
        <v>0</v>
      </c>
      <c r="M120" s="10">
        <f>Catalog!V94</f>
        <v>0</v>
      </c>
      <c r="N120" s="10">
        <f>Catalog!Q94</f>
        <v>0</v>
      </c>
      <c r="O120" s="10">
        <f>Catalog!AF94</f>
        <v>0</v>
      </c>
    </row>
    <row r="121" spans="1:15" x14ac:dyDescent="0.25">
      <c r="A121" s="10">
        <f>Catalog!D95</f>
        <v>0</v>
      </c>
      <c r="B121" s="10">
        <f>Catalog!F95</f>
        <v>0</v>
      </c>
      <c r="C121" s="10" t="str">
        <f>IF(Catalog!I95="","",Catalog!I95)&amp;IF(AND(Catalog!I95&lt;&gt;"",Catalog!J95&lt;&gt;""),"; ","")&amp;IF(Catalog!J95="","",Catalog!J95)</f>
        <v/>
      </c>
      <c r="D121" s="10">
        <f>Catalog!P95</f>
        <v>0</v>
      </c>
      <c r="E121" s="10">
        <f>Catalog!R95</f>
        <v>0</v>
      </c>
      <c r="F121" s="10">
        <f>Catalog!M95</f>
        <v>0</v>
      </c>
      <c r="G121" s="10">
        <f>Catalog!K95</f>
        <v>0</v>
      </c>
      <c r="H121" s="10" t="str">
        <f>IF(Catalog!S95&lt;&gt;"","ISBN:"&amp;Catalog!S95,IF(Catalog!T95&lt;&gt;"","ISSN:"&amp;Catalog!T95,""))</f>
        <v/>
      </c>
      <c r="I121" s="10">
        <f>Catalog!B95</f>
        <v>0</v>
      </c>
      <c r="J121" s="10">
        <f>Catalog!L95</f>
        <v>0</v>
      </c>
      <c r="K121" s="10">
        <f>IF(Catalog!AG95&lt;&gt;"",Catalog!AG95,Catalog!AE95)</f>
        <v>0</v>
      </c>
      <c r="L121" s="10">
        <f>Catalog!AD95</f>
        <v>0</v>
      </c>
      <c r="M121" s="10">
        <f>Catalog!V95</f>
        <v>0</v>
      </c>
      <c r="N121" s="10">
        <f>Catalog!Q95</f>
        <v>0</v>
      </c>
      <c r="O121" s="10">
        <f>Catalog!AF95</f>
        <v>0</v>
      </c>
    </row>
    <row r="122" spans="1:15" x14ac:dyDescent="0.25">
      <c r="A122" s="10">
        <f>Catalog!D96</f>
        <v>0</v>
      </c>
      <c r="B122" s="10">
        <f>Catalog!F96</f>
        <v>0</v>
      </c>
      <c r="C122" s="10" t="str">
        <f>IF(Catalog!I96="","",Catalog!I96)&amp;IF(AND(Catalog!I96&lt;&gt;"",Catalog!J96&lt;&gt;""),"; ","")&amp;IF(Catalog!J96="","",Catalog!J96)</f>
        <v/>
      </c>
      <c r="D122" s="10">
        <f>Catalog!P96</f>
        <v>0</v>
      </c>
      <c r="E122" s="10">
        <f>Catalog!R96</f>
        <v>0</v>
      </c>
      <c r="F122" s="10">
        <f>Catalog!M96</f>
        <v>0</v>
      </c>
      <c r="G122" s="10">
        <f>Catalog!K96</f>
        <v>0</v>
      </c>
      <c r="H122" s="10" t="str">
        <f>IF(Catalog!S96&lt;&gt;"","ISBN:"&amp;Catalog!S96,IF(Catalog!T96&lt;&gt;"","ISSN:"&amp;Catalog!T96,""))</f>
        <v/>
      </c>
      <c r="I122" s="10">
        <f>Catalog!B96</f>
        <v>0</v>
      </c>
      <c r="J122" s="10">
        <f>Catalog!L96</f>
        <v>0</v>
      </c>
      <c r="K122" s="10">
        <f>IF(Catalog!AG96&lt;&gt;"",Catalog!AG96,Catalog!AE96)</f>
        <v>0</v>
      </c>
      <c r="L122" s="10">
        <f>Catalog!AD96</f>
        <v>0</v>
      </c>
      <c r="M122" s="10">
        <f>Catalog!V96</f>
        <v>0</v>
      </c>
      <c r="N122" s="10">
        <f>Catalog!Q96</f>
        <v>0</v>
      </c>
      <c r="O122" s="10">
        <f>Catalog!AF96</f>
        <v>0</v>
      </c>
    </row>
    <row r="123" spans="1:15" x14ac:dyDescent="0.25">
      <c r="A123" s="10">
        <f>Catalog!D97</f>
        <v>0</v>
      </c>
      <c r="B123" s="10">
        <f>Catalog!F97</f>
        <v>0</v>
      </c>
      <c r="C123" s="10" t="str">
        <f>IF(Catalog!I97="","",Catalog!I97)&amp;IF(AND(Catalog!I97&lt;&gt;"",Catalog!J97&lt;&gt;""),"; ","")&amp;IF(Catalog!J97="","",Catalog!J97)</f>
        <v/>
      </c>
      <c r="D123" s="10">
        <f>Catalog!P97</f>
        <v>0</v>
      </c>
      <c r="E123" s="10">
        <f>Catalog!R97</f>
        <v>0</v>
      </c>
      <c r="F123" s="10">
        <f>Catalog!M97</f>
        <v>0</v>
      </c>
      <c r="G123" s="10">
        <f>Catalog!K97</f>
        <v>0</v>
      </c>
      <c r="H123" s="10" t="str">
        <f>IF(Catalog!S97&lt;&gt;"","ISBN:"&amp;Catalog!S97,IF(Catalog!T97&lt;&gt;"","ISSN:"&amp;Catalog!T97,""))</f>
        <v/>
      </c>
      <c r="I123" s="10">
        <f>Catalog!B97</f>
        <v>0</v>
      </c>
      <c r="J123" s="10">
        <f>Catalog!L97</f>
        <v>0</v>
      </c>
      <c r="K123" s="10">
        <f>IF(Catalog!AG97&lt;&gt;"",Catalog!AG97,Catalog!AE97)</f>
        <v>0</v>
      </c>
      <c r="L123" s="10">
        <f>Catalog!AD97</f>
        <v>0</v>
      </c>
      <c r="M123" s="10">
        <f>Catalog!V97</f>
        <v>0</v>
      </c>
      <c r="N123" s="10">
        <f>Catalog!Q97</f>
        <v>0</v>
      </c>
      <c r="O123" s="10">
        <f>Catalog!AF97</f>
        <v>0</v>
      </c>
    </row>
    <row r="124" spans="1:15" x14ac:dyDescent="0.25">
      <c r="A124" s="10">
        <f>Catalog!D98</f>
        <v>0</v>
      </c>
      <c r="B124" s="10">
        <f>Catalog!F98</f>
        <v>0</v>
      </c>
      <c r="C124" s="10" t="str">
        <f>IF(Catalog!I98="","",Catalog!I98)&amp;IF(AND(Catalog!I98&lt;&gt;"",Catalog!J98&lt;&gt;""),"; ","")&amp;IF(Catalog!J98="","",Catalog!J98)</f>
        <v/>
      </c>
      <c r="D124" s="10">
        <f>Catalog!P98</f>
        <v>0</v>
      </c>
      <c r="E124" s="10">
        <f>Catalog!R98</f>
        <v>0</v>
      </c>
      <c r="F124" s="10">
        <f>Catalog!M98</f>
        <v>0</v>
      </c>
      <c r="G124" s="10">
        <f>Catalog!K98</f>
        <v>0</v>
      </c>
      <c r="H124" s="10" t="str">
        <f>IF(Catalog!S98&lt;&gt;"","ISBN:"&amp;Catalog!S98,IF(Catalog!T98&lt;&gt;"","ISSN:"&amp;Catalog!T98,""))</f>
        <v/>
      </c>
      <c r="I124" s="10">
        <f>Catalog!B98</f>
        <v>0</v>
      </c>
      <c r="J124" s="10">
        <f>Catalog!L98</f>
        <v>0</v>
      </c>
      <c r="K124" s="10">
        <f>IF(Catalog!AG98&lt;&gt;"",Catalog!AG98,Catalog!AE98)</f>
        <v>0</v>
      </c>
      <c r="L124" s="10">
        <f>Catalog!AD98</f>
        <v>0</v>
      </c>
      <c r="M124" s="10">
        <f>Catalog!V98</f>
        <v>0</v>
      </c>
      <c r="N124" s="10">
        <f>Catalog!Q98</f>
        <v>0</v>
      </c>
      <c r="O124" s="10">
        <f>Catalog!AF98</f>
        <v>0</v>
      </c>
    </row>
    <row r="125" spans="1:15" x14ac:dyDescent="0.25">
      <c r="A125" s="10">
        <f>Catalog!D99</f>
        <v>0</v>
      </c>
      <c r="B125" s="10">
        <f>Catalog!F99</f>
        <v>0</v>
      </c>
      <c r="C125" s="10" t="str">
        <f>IF(Catalog!I99="","",Catalog!I99)&amp;IF(AND(Catalog!I99&lt;&gt;"",Catalog!J99&lt;&gt;""),"; ","")&amp;IF(Catalog!J99="","",Catalog!J99)</f>
        <v/>
      </c>
      <c r="D125" s="10">
        <f>Catalog!P99</f>
        <v>0</v>
      </c>
      <c r="E125" s="10">
        <f>Catalog!R99</f>
        <v>0</v>
      </c>
      <c r="F125" s="10">
        <f>Catalog!M99</f>
        <v>0</v>
      </c>
      <c r="G125" s="10">
        <f>Catalog!K99</f>
        <v>0</v>
      </c>
      <c r="H125" s="10" t="str">
        <f>IF(Catalog!S99&lt;&gt;"","ISBN:"&amp;Catalog!S99,IF(Catalog!T99&lt;&gt;"","ISSN:"&amp;Catalog!T99,""))</f>
        <v/>
      </c>
      <c r="I125" s="10">
        <f>Catalog!B99</f>
        <v>0</v>
      </c>
      <c r="J125" s="10">
        <f>Catalog!L99</f>
        <v>0</v>
      </c>
      <c r="K125" s="10">
        <f>IF(Catalog!AG99&lt;&gt;"",Catalog!AG99,Catalog!AE99)</f>
        <v>0</v>
      </c>
      <c r="L125" s="10">
        <f>Catalog!AD99</f>
        <v>0</v>
      </c>
      <c r="M125" s="10">
        <f>Catalog!V99</f>
        <v>0</v>
      </c>
      <c r="N125" s="10">
        <f>Catalog!Q99</f>
        <v>0</v>
      </c>
      <c r="O125" s="10">
        <f>Catalog!AF99</f>
        <v>0</v>
      </c>
    </row>
    <row r="126" spans="1:15" x14ac:dyDescent="0.25">
      <c r="A126" s="10">
        <f>Catalog!D100</f>
        <v>0</v>
      </c>
      <c r="B126" s="10">
        <f>Catalog!F100</f>
        <v>0</v>
      </c>
      <c r="C126" s="10" t="str">
        <f>IF(Catalog!I100="","",Catalog!I100)&amp;IF(AND(Catalog!I100&lt;&gt;"",Catalog!J100&lt;&gt;""),"; ","")&amp;IF(Catalog!J100="","",Catalog!J100)</f>
        <v/>
      </c>
      <c r="D126" s="10">
        <f>Catalog!P100</f>
        <v>0</v>
      </c>
      <c r="E126" s="10">
        <f>Catalog!R100</f>
        <v>0</v>
      </c>
      <c r="F126" s="10">
        <f>Catalog!M100</f>
        <v>0</v>
      </c>
      <c r="G126" s="10">
        <f>Catalog!K100</f>
        <v>0</v>
      </c>
      <c r="H126" s="10" t="str">
        <f>IF(Catalog!S100&lt;&gt;"","ISBN:"&amp;Catalog!S100,IF(Catalog!T100&lt;&gt;"","ISSN:"&amp;Catalog!T100,""))</f>
        <v/>
      </c>
      <c r="I126" s="10">
        <f>Catalog!B100</f>
        <v>0</v>
      </c>
      <c r="J126" s="10">
        <f>Catalog!L100</f>
        <v>0</v>
      </c>
      <c r="K126" s="10">
        <f>IF(Catalog!AG100&lt;&gt;"",Catalog!AG100,Catalog!AE100)</f>
        <v>0</v>
      </c>
      <c r="L126" s="10">
        <f>Catalog!AD100</f>
        <v>0</v>
      </c>
      <c r="M126" s="10">
        <f>Catalog!V100</f>
        <v>0</v>
      </c>
      <c r="N126" s="10">
        <f>Catalog!Q100</f>
        <v>0</v>
      </c>
      <c r="O126" s="10">
        <f>Catalog!AF100</f>
        <v>0</v>
      </c>
    </row>
    <row r="127" spans="1:15" x14ac:dyDescent="0.25">
      <c r="A127" s="10">
        <f>Catalog!D101</f>
        <v>0</v>
      </c>
      <c r="B127" s="10">
        <f>Catalog!F101</f>
        <v>0</v>
      </c>
      <c r="C127" s="10" t="str">
        <f>IF(Catalog!I101="","",Catalog!I101)&amp;IF(AND(Catalog!I101&lt;&gt;"",Catalog!J101&lt;&gt;""),"; ","")&amp;IF(Catalog!J101="","",Catalog!J101)</f>
        <v/>
      </c>
      <c r="D127" s="10">
        <f>Catalog!P101</f>
        <v>0</v>
      </c>
      <c r="E127" s="10">
        <f>Catalog!R101</f>
        <v>0</v>
      </c>
      <c r="F127" s="10">
        <f>Catalog!M101</f>
        <v>0</v>
      </c>
      <c r="G127" s="10">
        <f>Catalog!K101</f>
        <v>0</v>
      </c>
      <c r="H127" s="10" t="str">
        <f>IF(Catalog!S101&lt;&gt;"","ISBN:"&amp;Catalog!S101,IF(Catalog!T101&lt;&gt;"","ISSN:"&amp;Catalog!T101,""))</f>
        <v/>
      </c>
      <c r="I127" s="10">
        <f>Catalog!B101</f>
        <v>0</v>
      </c>
      <c r="J127" s="10">
        <f>Catalog!L101</f>
        <v>0</v>
      </c>
      <c r="K127" s="10">
        <f>IF(Catalog!AG101&lt;&gt;"",Catalog!AG101,Catalog!AE101)</f>
        <v>0</v>
      </c>
      <c r="L127" s="10">
        <f>Catalog!AD101</f>
        <v>0</v>
      </c>
      <c r="M127" s="10">
        <f>Catalog!V101</f>
        <v>0</v>
      </c>
      <c r="N127" s="10">
        <f>Catalog!Q101</f>
        <v>0</v>
      </c>
      <c r="O127" s="10">
        <f>Catalog!AF101</f>
        <v>0</v>
      </c>
    </row>
    <row r="128" spans="1:15" x14ac:dyDescent="0.25">
      <c r="A128" s="10">
        <f>Catalog!D102</f>
        <v>0</v>
      </c>
      <c r="B128" s="10">
        <f>Catalog!F102</f>
        <v>0</v>
      </c>
      <c r="C128" s="10" t="str">
        <f>IF(Catalog!I102="","",Catalog!I102)&amp;IF(AND(Catalog!I102&lt;&gt;"",Catalog!J102&lt;&gt;""),"; ","")&amp;IF(Catalog!J102="","",Catalog!J102)</f>
        <v/>
      </c>
      <c r="D128" s="10">
        <f>Catalog!P102</f>
        <v>0</v>
      </c>
      <c r="E128" s="10">
        <f>Catalog!R102</f>
        <v>0</v>
      </c>
      <c r="F128" s="10">
        <f>Catalog!M102</f>
        <v>0</v>
      </c>
      <c r="G128" s="10">
        <f>Catalog!K102</f>
        <v>0</v>
      </c>
      <c r="H128" s="10" t="str">
        <f>IF(Catalog!S102&lt;&gt;"","ISBN:"&amp;Catalog!S102,IF(Catalog!T102&lt;&gt;"","ISSN:"&amp;Catalog!T102,""))</f>
        <v/>
      </c>
      <c r="I128" s="10">
        <f>Catalog!B102</f>
        <v>0</v>
      </c>
      <c r="J128" s="10">
        <f>Catalog!L102</f>
        <v>0</v>
      </c>
      <c r="K128" s="10">
        <f>IF(Catalog!AG102&lt;&gt;"",Catalog!AG102,Catalog!AE102)</f>
        <v>0</v>
      </c>
      <c r="L128" s="10">
        <f>Catalog!AD102</f>
        <v>0</v>
      </c>
      <c r="M128" s="10">
        <f>Catalog!V102</f>
        <v>0</v>
      </c>
      <c r="N128" s="10">
        <f>Catalog!Q102</f>
        <v>0</v>
      </c>
      <c r="O128" s="10">
        <f>Catalog!AF102</f>
        <v>0</v>
      </c>
    </row>
    <row r="129" spans="1:15" x14ac:dyDescent="0.25">
      <c r="A129" s="10">
        <f>Catalog!D103</f>
        <v>0</v>
      </c>
      <c r="B129" s="10">
        <f>Catalog!F103</f>
        <v>0</v>
      </c>
      <c r="C129" s="10" t="str">
        <f>IF(Catalog!I103="","",Catalog!I103)&amp;IF(AND(Catalog!I103&lt;&gt;"",Catalog!J103&lt;&gt;""),"; ","")&amp;IF(Catalog!J103="","",Catalog!J103)</f>
        <v/>
      </c>
      <c r="D129" s="10">
        <f>Catalog!P103</f>
        <v>0</v>
      </c>
      <c r="E129" s="10">
        <f>Catalog!R103</f>
        <v>0</v>
      </c>
      <c r="F129" s="10">
        <f>Catalog!M103</f>
        <v>0</v>
      </c>
      <c r="G129" s="10">
        <f>Catalog!K103</f>
        <v>0</v>
      </c>
      <c r="H129" s="10" t="str">
        <f>IF(Catalog!S103&lt;&gt;"","ISBN:"&amp;Catalog!S103,IF(Catalog!T103&lt;&gt;"","ISSN:"&amp;Catalog!T103,""))</f>
        <v/>
      </c>
      <c r="I129" s="10">
        <f>Catalog!B103</f>
        <v>0</v>
      </c>
      <c r="J129" s="10">
        <f>Catalog!L103</f>
        <v>0</v>
      </c>
      <c r="K129" s="10">
        <f>IF(Catalog!AG103&lt;&gt;"",Catalog!AG103,Catalog!AE103)</f>
        <v>0</v>
      </c>
      <c r="L129" s="10">
        <f>Catalog!AD103</f>
        <v>0</v>
      </c>
      <c r="M129" s="10">
        <f>Catalog!V103</f>
        <v>0</v>
      </c>
      <c r="N129" s="10">
        <f>Catalog!Q103</f>
        <v>0</v>
      </c>
      <c r="O129" s="10">
        <f>Catalog!AF103</f>
        <v>0</v>
      </c>
    </row>
    <row r="130" spans="1:15" x14ac:dyDescent="0.25">
      <c r="A130" s="10">
        <f>Catalog!D104</f>
        <v>0</v>
      </c>
      <c r="B130" s="10">
        <f>Catalog!F104</f>
        <v>0</v>
      </c>
      <c r="C130" s="10" t="str">
        <f>IF(Catalog!I104="","",Catalog!I104)&amp;IF(AND(Catalog!I104&lt;&gt;"",Catalog!J104&lt;&gt;""),"; ","")&amp;IF(Catalog!J104="","",Catalog!J104)</f>
        <v/>
      </c>
      <c r="D130" s="10">
        <f>Catalog!P104</f>
        <v>0</v>
      </c>
      <c r="E130" s="10">
        <f>Catalog!R104</f>
        <v>0</v>
      </c>
      <c r="F130" s="10">
        <f>Catalog!M104</f>
        <v>0</v>
      </c>
      <c r="G130" s="10">
        <f>Catalog!K104</f>
        <v>0</v>
      </c>
      <c r="H130" s="10" t="str">
        <f>IF(Catalog!S104&lt;&gt;"","ISBN:"&amp;Catalog!S104,IF(Catalog!T104&lt;&gt;"","ISSN:"&amp;Catalog!T104,""))</f>
        <v/>
      </c>
      <c r="I130" s="10">
        <f>Catalog!B104</f>
        <v>0</v>
      </c>
      <c r="J130" s="10">
        <f>Catalog!L104</f>
        <v>0</v>
      </c>
      <c r="K130" s="10">
        <f>IF(Catalog!AG104&lt;&gt;"",Catalog!AG104,Catalog!AE104)</f>
        <v>0</v>
      </c>
      <c r="L130" s="10">
        <f>Catalog!AD104</f>
        <v>0</v>
      </c>
      <c r="M130" s="10">
        <f>Catalog!V104</f>
        <v>0</v>
      </c>
      <c r="N130" s="10">
        <f>Catalog!Q104</f>
        <v>0</v>
      </c>
      <c r="O130" s="10">
        <f>Catalog!AF104</f>
        <v>0</v>
      </c>
    </row>
    <row r="131" spans="1:15" x14ac:dyDescent="0.25">
      <c r="A131" s="10">
        <f>Catalog!D105</f>
        <v>0</v>
      </c>
      <c r="B131" s="10">
        <f>Catalog!F105</f>
        <v>0</v>
      </c>
      <c r="C131" s="10" t="str">
        <f>IF(Catalog!I105="","",Catalog!I105)&amp;IF(AND(Catalog!I105&lt;&gt;"",Catalog!J105&lt;&gt;""),"; ","")&amp;IF(Catalog!J105="","",Catalog!J105)</f>
        <v/>
      </c>
      <c r="D131" s="10">
        <f>Catalog!P105</f>
        <v>0</v>
      </c>
      <c r="E131" s="10">
        <f>Catalog!R105</f>
        <v>0</v>
      </c>
      <c r="F131" s="10">
        <f>Catalog!M105</f>
        <v>0</v>
      </c>
      <c r="G131" s="10">
        <f>Catalog!K105</f>
        <v>0</v>
      </c>
      <c r="H131" s="10" t="str">
        <f>IF(Catalog!S105&lt;&gt;"","ISBN:"&amp;Catalog!S105,IF(Catalog!T105&lt;&gt;"","ISSN:"&amp;Catalog!T105,""))</f>
        <v/>
      </c>
      <c r="I131" s="10">
        <f>Catalog!B105</f>
        <v>0</v>
      </c>
      <c r="J131" s="10">
        <f>Catalog!L105</f>
        <v>0</v>
      </c>
      <c r="K131" s="10">
        <f>IF(Catalog!AG105&lt;&gt;"",Catalog!AG105,Catalog!AE105)</f>
        <v>0</v>
      </c>
      <c r="L131" s="10">
        <f>Catalog!AD105</f>
        <v>0</v>
      </c>
      <c r="M131" s="10">
        <f>Catalog!V105</f>
        <v>0</v>
      </c>
      <c r="N131" s="10">
        <f>Catalog!Q105</f>
        <v>0</v>
      </c>
      <c r="O131" s="10">
        <f>Catalog!AF105</f>
        <v>0</v>
      </c>
    </row>
    <row r="132" spans="1:15" x14ac:dyDescent="0.25">
      <c r="A132" s="10">
        <f>Catalog!D106</f>
        <v>0</v>
      </c>
      <c r="B132" s="10">
        <f>Catalog!F106</f>
        <v>0</v>
      </c>
      <c r="C132" s="10" t="str">
        <f>IF(Catalog!I106="","",Catalog!I106)&amp;IF(AND(Catalog!I106&lt;&gt;"",Catalog!J106&lt;&gt;""),"; ","")&amp;IF(Catalog!J106="","",Catalog!J106)</f>
        <v/>
      </c>
      <c r="D132" s="10">
        <f>Catalog!P106</f>
        <v>0</v>
      </c>
      <c r="E132" s="10">
        <f>Catalog!R106</f>
        <v>0</v>
      </c>
      <c r="F132" s="10">
        <f>Catalog!M106</f>
        <v>0</v>
      </c>
      <c r="G132" s="10">
        <f>Catalog!K106</f>
        <v>0</v>
      </c>
      <c r="H132" s="10" t="str">
        <f>IF(Catalog!S106&lt;&gt;"","ISBN:"&amp;Catalog!S106,IF(Catalog!T106&lt;&gt;"","ISSN:"&amp;Catalog!T106,""))</f>
        <v/>
      </c>
      <c r="I132" s="10">
        <f>Catalog!B106</f>
        <v>0</v>
      </c>
      <c r="J132" s="10">
        <f>Catalog!L106</f>
        <v>0</v>
      </c>
      <c r="K132" s="10">
        <f>IF(Catalog!AG106&lt;&gt;"",Catalog!AG106,Catalog!AE106)</f>
        <v>0</v>
      </c>
      <c r="L132" s="10">
        <f>Catalog!AD106</f>
        <v>0</v>
      </c>
      <c r="M132" s="10">
        <f>Catalog!V106</f>
        <v>0</v>
      </c>
      <c r="N132" s="10">
        <f>Catalog!Q106</f>
        <v>0</v>
      </c>
      <c r="O132" s="10">
        <f>Catalog!AF106</f>
        <v>0</v>
      </c>
    </row>
    <row r="133" spans="1:15" x14ac:dyDescent="0.25">
      <c r="A133" s="10">
        <f>Catalog!D107</f>
        <v>0</v>
      </c>
      <c r="B133" s="10">
        <f>Catalog!F107</f>
        <v>0</v>
      </c>
      <c r="C133" s="10" t="str">
        <f>IF(Catalog!I107="","",Catalog!I107)&amp;IF(AND(Catalog!I107&lt;&gt;"",Catalog!J107&lt;&gt;""),"; ","")&amp;IF(Catalog!J107="","",Catalog!J107)</f>
        <v/>
      </c>
      <c r="D133" s="10">
        <f>Catalog!P107</f>
        <v>0</v>
      </c>
      <c r="E133" s="10">
        <f>Catalog!R107</f>
        <v>0</v>
      </c>
      <c r="F133" s="10">
        <f>Catalog!M107</f>
        <v>0</v>
      </c>
      <c r="G133" s="10">
        <f>Catalog!K107</f>
        <v>0</v>
      </c>
      <c r="H133" s="10" t="str">
        <f>IF(Catalog!S107&lt;&gt;"","ISBN:"&amp;Catalog!S107,IF(Catalog!T107&lt;&gt;"","ISSN:"&amp;Catalog!T107,""))</f>
        <v/>
      </c>
      <c r="I133" s="10">
        <f>Catalog!B107</f>
        <v>0</v>
      </c>
      <c r="J133" s="10">
        <f>Catalog!L107</f>
        <v>0</v>
      </c>
      <c r="K133" s="10">
        <f>IF(Catalog!AG107&lt;&gt;"",Catalog!AG107,Catalog!AE107)</f>
        <v>0</v>
      </c>
      <c r="L133" s="10">
        <f>Catalog!AD107</f>
        <v>0</v>
      </c>
      <c r="M133" s="10">
        <f>Catalog!V107</f>
        <v>0</v>
      </c>
      <c r="N133" s="10">
        <f>Catalog!Q107</f>
        <v>0</v>
      </c>
      <c r="O133" s="10">
        <f>Catalog!AF107</f>
        <v>0</v>
      </c>
    </row>
    <row r="134" spans="1:15" x14ac:dyDescent="0.25">
      <c r="A134" s="10">
        <f>Catalog!D108</f>
        <v>0</v>
      </c>
      <c r="B134" s="10">
        <f>Catalog!F108</f>
        <v>0</v>
      </c>
      <c r="C134" s="10" t="str">
        <f>IF(Catalog!I108="","",Catalog!I108)&amp;IF(AND(Catalog!I108&lt;&gt;"",Catalog!J108&lt;&gt;""),"; ","")&amp;IF(Catalog!J108="","",Catalog!J108)</f>
        <v/>
      </c>
      <c r="D134" s="10">
        <f>Catalog!P108</f>
        <v>0</v>
      </c>
      <c r="E134" s="10">
        <f>Catalog!R108</f>
        <v>0</v>
      </c>
      <c r="F134" s="10">
        <f>Catalog!M108</f>
        <v>0</v>
      </c>
      <c r="G134" s="10">
        <f>Catalog!K108</f>
        <v>0</v>
      </c>
      <c r="H134" s="10" t="str">
        <f>IF(Catalog!S108&lt;&gt;"","ISBN:"&amp;Catalog!S108,IF(Catalog!T108&lt;&gt;"","ISSN:"&amp;Catalog!T108,""))</f>
        <v/>
      </c>
      <c r="I134" s="10">
        <f>Catalog!B108</f>
        <v>0</v>
      </c>
      <c r="J134" s="10">
        <f>Catalog!L108</f>
        <v>0</v>
      </c>
      <c r="K134" s="10">
        <f>IF(Catalog!AG108&lt;&gt;"",Catalog!AG108,Catalog!AE108)</f>
        <v>0</v>
      </c>
      <c r="L134" s="10">
        <f>Catalog!AD108</f>
        <v>0</v>
      </c>
      <c r="M134" s="10">
        <f>Catalog!V108</f>
        <v>0</v>
      </c>
      <c r="N134" s="10">
        <f>Catalog!Q108</f>
        <v>0</v>
      </c>
      <c r="O134" s="10">
        <f>Catalog!AF108</f>
        <v>0</v>
      </c>
    </row>
    <row r="135" spans="1:15" x14ac:dyDescent="0.25">
      <c r="A135" s="10">
        <f>Catalog!D109</f>
        <v>0</v>
      </c>
      <c r="B135" s="10">
        <f>Catalog!F109</f>
        <v>0</v>
      </c>
      <c r="C135" s="10" t="str">
        <f>IF(Catalog!I109="","",Catalog!I109)&amp;IF(AND(Catalog!I109&lt;&gt;"",Catalog!J109&lt;&gt;""),"; ","")&amp;IF(Catalog!J109="","",Catalog!J109)</f>
        <v/>
      </c>
      <c r="D135" s="10">
        <f>Catalog!P109</f>
        <v>0</v>
      </c>
      <c r="E135" s="10">
        <f>Catalog!R109</f>
        <v>0</v>
      </c>
      <c r="F135" s="10">
        <f>Catalog!M109</f>
        <v>0</v>
      </c>
      <c r="G135" s="10">
        <f>Catalog!K109</f>
        <v>0</v>
      </c>
      <c r="H135" s="10" t="str">
        <f>IF(Catalog!S109&lt;&gt;"","ISBN:"&amp;Catalog!S109,IF(Catalog!T109&lt;&gt;"","ISSN:"&amp;Catalog!T109,""))</f>
        <v/>
      </c>
      <c r="I135" s="10">
        <f>Catalog!B109</f>
        <v>0</v>
      </c>
      <c r="J135" s="10">
        <f>Catalog!L109</f>
        <v>0</v>
      </c>
      <c r="K135" s="10">
        <f>IF(Catalog!AG109&lt;&gt;"",Catalog!AG109,Catalog!AE109)</f>
        <v>0</v>
      </c>
      <c r="L135" s="10">
        <f>Catalog!AD109</f>
        <v>0</v>
      </c>
      <c r="M135" s="10">
        <f>Catalog!V109</f>
        <v>0</v>
      </c>
      <c r="N135" s="10">
        <f>Catalog!Q109</f>
        <v>0</v>
      </c>
      <c r="O135" s="10">
        <f>Catalog!AF109</f>
        <v>0</v>
      </c>
    </row>
    <row r="136" spans="1:15" x14ac:dyDescent="0.25">
      <c r="A136" s="10">
        <f>Catalog!D110</f>
        <v>0</v>
      </c>
      <c r="B136" s="10">
        <f>Catalog!F110</f>
        <v>0</v>
      </c>
      <c r="C136" s="10" t="str">
        <f>IF(Catalog!I110="","",Catalog!I110)&amp;IF(AND(Catalog!I110&lt;&gt;"",Catalog!J110&lt;&gt;""),"; ","")&amp;IF(Catalog!J110="","",Catalog!J110)</f>
        <v/>
      </c>
      <c r="D136" s="10">
        <f>Catalog!P110</f>
        <v>0</v>
      </c>
      <c r="E136" s="10">
        <f>Catalog!R110</f>
        <v>0</v>
      </c>
      <c r="F136" s="10">
        <f>Catalog!M110</f>
        <v>0</v>
      </c>
      <c r="G136" s="10">
        <f>Catalog!K110</f>
        <v>0</v>
      </c>
      <c r="H136" s="10" t="str">
        <f>IF(Catalog!S110&lt;&gt;"","ISBN:"&amp;Catalog!S110,IF(Catalog!T110&lt;&gt;"","ISSN:"&amp;Catalog!T110,""))</f>
        <v/>
      </c>
      <c r="I136" s="10">
        <f>Catalog!B110</f>
        <v>0</v>
      </c>
      <c r="J136" s="10">
        <f>Catalog!L110</f>
        <v>0</v>
      </c>
      <c r="K136" s="10">
        <f>IF(Catalog!AG110&lt;&gt;"",Catalog!AG110,Catalog!AE110)</f>
        <v>0</v>
      </c>
      <c r="L136" s="10">
        <f>Catalog!AD110</f>
        <v>0</v>
      </c>
      <c r="M136" s="10">
        <f>Catalog!V110</f>
        <v>0</v>
      </c>
      <c r="N136" s="10">
        <f>Catalog!Q110</f>
        <v>0</v>
      </c>
      <c r="O136" s="10">
        <f>Catalog!AF110</f>
        <v>0</v>
      </c>
    </row>
    <row r="137" spans="1:15" x14ac:dyDescent="0.25">
      <c r="A137" s="10">
        <f>Catalog!D111</f>
        <v>0</v>
      </c>
      <c r="B137" s="10">
        <f>Catalog!F111</f>
        <v>0</v>
      </c>
      <c r="C137" s="10" t="str">
        <f>IF(Catalog!I111="","",Catalog!I111)&amp;IF(AND(Catalog!I111&lt;&gt;"",Catalog!J111&lt;&gt;""),"; ","")&amp;IF(Catalog!J111="","",Catalog!J111)</f>
        <v/>
      </c>
      <c r="D137" s="10">
        <f>Catalog!P111</f>
        <v>0</v>
      </c>
      <c r="E137" s="10">
        <f>Catalog!R111</f>
        <v>0</v>
      </c>
      <c r="F137" s="10">
        <f>Catalog!M111</f>
        <v>0</v>
      </c>
      <c r="G137" s="10">
        <f>Catalog!K111</f>
        <v>0</v>
      </c>
      <c r="H137" s="10" t="str">
        <f>IF(Catalog!S111&lt;&gt;"","ISBN:"&amp;Catalog!S111,IF(Catalog!T111&lt;&gt;"","ISSN:"&amp;Catalog!T111,""))</f>
        <v/>
      </c>
      <c r="I137" s="10">
        <f>Catalog!B111</f>
        <v>0</v>
      </c>
      <c r="J137" s="10">
        <f>Catalog!L111</f>
        <v>0</v>
      </c>
      <c r="K137" s="10">
        <f>IF(Catalog!AG111&lt;&gt;"",Catalog!AG111,Catalog!AE111)</f>
        <v>0</v>
      </c>
      <c r="L137" s="10">
        <f>Catalog!AD111</f>
        <v>0</v>
      </c>
      <c r="M137" s="10">
        <f>Catalog!V111</f>
        <v>0</v>
      </c>
      <c r="N137" s="10">
        <f>Catalog!Q111</f>
        <v>0</v>
      </c>
      <c r="O137" s="10">
        <f>Catalog!AF111</f>
        <v>0</v>
      </c>
    </row>
    <row r="138" spans="1:15" x14ac:dyDescent="0.25">
      <c r="A138" s="10">
        <f>Catalog!D112</f>
        <v>0</v>
      </c>
      <c r="B138" s="10">
        <f>Catalog!F112</f>
        <v>0</v>
      </c>
      <c r="C138" s="10" t="str">
        <f>IF(Catalog!I112="","",Catalog!I112)&amp;IF(AND(Catalog!I112&lt;&gt;"",Catalog!J112&lt;&gt;""),"; ","")&amp;IF(Catalog!J112="","",Catalog!J112)</f>
        <v/>
      </c>
      <c r="D138" s="10">
        <f>Catalog!P112</f>
        <v>0</v>
      </c>
      <c r="E138" s="10">
        <f>Catalog!R112</f>
        <v>0</v>
      </c>
      <c r="F138" s="10">
        <f>Catalog!M112</f>
        <v>0</v>
      </c>
      <c r="G138" s="10">
        <f>Catalog!K112</f>
        <v>0</v>
      </c>
      <c r="H138" s="10" t="str">
        <f>IF(Catalog!S112&lt;&gt;"","ISBN:"&amp;Catalog!S112,IF(Catalog!T112&lt;&gt;"","ISSN:"&amp;Catalog!T112,""))</f>
        <v/>
      </c>
      <c r="I138" s="10">
        <f>Catalog!B112</f>
        <v>0</v>
      </c>
      <c r="J138" s="10">
        <f>Catalog!L112</f>
        <v>0</v>
      </c>
      <c r="K138" s="10">
        <f>IF(Catalog!AG112&lt;&gt;"",Catalog!AG112,Catalog!AE112)</f>
        <v>0</v>
      </c>
      <c r="L138" s="10">
        <f>Catalog!AD112</f>
        <v>0</v>
      </c>
      <c r="M138" s="10">
        <f>Catalog!V112</f>
        <v>0</v>
      </c>
      <c r="N138" s="10">
        <f>Catalog!Q112</f>
        <v>0</v>
      </c>
      <c r="O138" s="10">
        <f>Catalog!AF112</f>
        <v>0</v>
      </c>
    </row>
    <row r="139" spans="1:15" x14ac:dyDescent="0.25">
      <c r="A139" s="10">
        <f>Catalog!D113</f>
        <v>0</v>
      </c>
      <c r="B139" s="10">
        <f>Catalog!F113</f>
        <v>0</v>
      </c>
      <c r="C139" s="10" t="str">
        <f>IF(Catalog!I113="","",Catalog!I113)&amp;IF(AND(Catalog!I113&lt;&gt;"",Catalog!J113&lt;&gt;""),"; ","")&amp;IF(Catalog!J113="","",Catalog!J113)</f>
        <v/>
      </c>
      <c r="D139" s="10">
        <f>Catalog!P113</f>
        <v>0</v>
      </c>
      <c r="E139" s="10">
        <f>Catalog!R113</f>
        <v>0</v>
      </c>
      <c r="F139" s="10">
        <f>Catalog!M113</f>
        <v>0</v>
      </c>
      <c r="G139" s="10">
        <f>Catalog!K113</f>
        <v>0</v>
      </c>
      <c r="H139" s="10" t="str">
        <f>IF(Catalog!S113&lt;&gt;"","ISBN:"&amp;Catalog!S113,IF(Catalog!T113&lt;&gt;"","ISSN:"&amp;Catalog!T113,""))</f>
        <v/>
      </c>
      <c r="I139" s="10">
        <f>Catalog!B113</f>
        <v>0</v>
      </c>
      <c r="J139" s="10">
        <f>Catalog!L113</f>
        <v>0</v>
      </c>
      <c r="K139" s="10">
        <f>IF(Catalog!AG113&lt;&gt;"",Catalog!AG113,Catalog!AE113)</f>
        <v>0</v>
      </c>
      <c r="L139" s="10">
        <f>Catalog!AD113</f>
        <v>0</v>
      </c>
      <c r="M139" s="10">
        <f>Catalog!V113</f>
        <v>0</v>
      </c>
      <c r="N139" s="10">
        <f>Catalog!Q113</f>
        <v>0</v>
      </c>
      <c r="O139" s="10">
        <f>Catalog!AF113</f>
        <v>0</v>
      </c>
    </row>
    <row r="140" spans="1:15" x14ac:dyDescent="0.25">
      <c r="A140" s="10">
        <f>Catalog!D114</f>
        <v>0</v>
      </c>
      <c r="B140" s="10">
        <f>Catalog!F114</f>
        <v>0</v>
      </c>
      <c r="C140" s="10" t="str">
        <f>IF(Catalog!I114="","",Catalog!I114)&amp;IF(AND(Catalog!I114&lt;&gt;"",Catalog!J114&lt;&gt;""),"; ","")&amp;IF(Catalog!J114="","",Catalog!J114)</f>
        <v/>
      </c>
      <c r="D140" s="10">
        <f>Catalog!P114</f>
        <v>0</v>
      </c>
      <c r="E140" s="10">
        <f>Catalog!R114</f>
        <v>0</v>
      </c>
      <c r="F140" s="10">
        <f>Catalog!M114</f>
        <v>0</v>
      </c>
      <c r="G140" s="10">
        <f>Catalog!K114</f>
        <v>0</v>
      </c>
      <c r="H140" s="10" t="str">
        <f>IF(Catalog!S114&lt;&gt;"","ISBN:"&amp;Catalog!S114,IF(Catalog!T114&lt;&gt;"","ISSN:"&amp;Catalog!T114,""))</f>
        <v/>
      </c>
      <c r="I140" s="10">
        <f>Catalog!B114</f>
        <v>0</v>
      </c>
      <c r="J140" s="10">
        <f>Catalog!L114</f>
        <v>0</v>
      </c>
      <c r="K140" s="10">
        <f>IF(Catalog!AG114&lt;&gt;"",Catalog!AG114,Catalog!AE114)</f>
        <v>0</v>
      </c>
      <c r="L140" s="10">
        <f>Catalog!AD114</f>
        <v>0</v>
      </c>
      <c r="M140" s="10">
        <f>Catalog!V114</f>
        <v>0</v>
      </c>
      <c r="N140" s="10">
        <f>Catalog!Q114</f>
        <v>0</v>
      </c>
      <c r="O140" s="10">
        <f>Catalog!AF114</f>
        <v>0</v>
      </c>
    </row>
    <row r="141" spans="1:15" x14ac:dyDescent="0.25">
      <c r="A141" s="10">
        <f>Catalog!D115</f>
        <v>0</v>
      </c>
      <c r="B141" s="10">
        <f>Catalog!F115</f>
        <v>0</v>
      </c>
      <c r="C141" s="10" t="str">
        <f>IF(Catalog!I115="","",Catalog!I115)&amp;IF(AND(Catalog!I115&lt;&gt;"",Catalog!J115&lt;&gt;""),"; ","")&amp;IF(Catalog!J115="","",Catalog!J115)</f>
        <v/>
      </c>
      <c r="D141" s="10">
        <f>Catalog!P115</f>
        <v>0</v>
      </c>
      <c r="E141" s="10">
        <f>Catalog!R115</f>
        <v>0</v>
      </c>
      <c r="F141" s="10">
        <f>Catalog!M115</f>
        <v>0</v>
      </c>
      <c r="G141" s="10">
        <f>Catalog!K115</f>
        <v>0</v>
      </c>
      <c r="H141" s="10" t="str">
        <f>IF(Catalog!S115&lt;&gt;"","ISBN:"&amp;Catalog!S115,IF(Catalog!T115&lt;&gt;"","ISSN:"&amp;Catalog!T115,""))</f>
        <v/>
      </c>
      <c r="I141" s="10">
        <f>Catalog!B115</f>
        <v>0</v>
      </c>
      <c r="J141" s="10">
        <f>Catalog!L115</f>
        <v>0</v>
      </c>
      <c r="K141" s="10">
        <f>IF(Catalog!AG115&lt;&gt;"",Catalog!AG115,Catalog!AE115)</f>
        <v>0</v>
      </c>
      <c r="L141" s="10">
        <f>Catalog!AD115</f>
        <v>0</v>
      </c>
      <c r="M141" s="10">
        <f>Catalog!V115</f>
        <v>0</v>
      </c>
      <c r="N141" s="10">
        <f>Catalog!Q115</f>
        <v>0</v>
      </c>
      <c r="O141" s="10">
        <f>Catalog!AF115</f>
        <v>0</v>
      </c>
    </row>
    <row r="142" spans="1:15" x14ac:dyDescent="0.25">
      <c r="A142" s="10">
        <f>Catalog!D116</f>
        <v>0</v>
      </c>
      <c r="B142" s="10">
        <f>Catalog!F116</f>
        <v>0</v>
      </c>
      <c r="C142" s="10" t="str">
        <f>IF(Catalog!I116="","",Catalog!I116)&amp;IF(AND(Catalog!I116&lt;&gt;"",Catalog!J116&lt;&gt;""),"; ","")&amp;IF(Catalog!J116="","",Catalog!J116)</f>
        <v/>
      </c>
      <c r="D142" s="10">
        <f>Catalog!P116</f>
        <v>0</v>
      </c>
      <c r="E142" s="10">
        <f>Catalog!R116</f>
        <v>0</v>
      </c>
      <c r="F142" s="10">
        <f>Catalog!M116</f>
        <v>0</v>
      </c>
      <c r="G142" s="10">
        <f>Catalog!K116</f>
        <v>0</v>
      </c>
      <c r="H142" s="10" t="str">
        <f>IF(Catalog!S116&lt;&gt;"","ISBN:"&amp;Catalog!S116,IF(Catalog!T116&lt;&gt;"","ISSN:"&amp;Catalog!T116,""))</f>
        <v/>
      </c>
      <c r="I142" s="10">
        <f>Catalog!B116</f>
        <v>0</v>
      </c>
      <c r="J142" s="10">
        <f>Catalog!L116</f>
        <v>0</v>
      </c>
      <c r="K142" s="10">
        <f>IF(Catalog!AG116&lt;&gt;"",Catalog!AG116,Catalog!AE116)</f>
        <v>0</v>
      </c>
      <c r="L142" s="10">
        <f>Catalog!AD116</f>
        <v>0</v>
      </c>
      <c r="M142" s="10">
        <f>Catalog!V116</f>
        <v>0</v>
      </c>
      <c r="N142" s="10">
        <f>Catalog!Q116</f>
        <v>0</v>
      </c>
      <c r="O142" s="10">
        <f>Catalog!AF116</f>
        <v>0</v>
      </c>
    </row>
    <row r="143" spans="1:15" x14ac:dyDescent="0.25">
      <c r="A143" s="10">
        <f>Catalog!D117</f>
        <v>0</v>
      </c>
      <c r="B143" s="10">
        <f>Catalog!F117</f>
        <v>0</v>
      </c>
      <c r="C143" s="10" t="str">
        <f>IF(Catalog!I117="","",Catalog!I117)&amp;IF(AND(Catalog!I117&lt;&gt;"",Catalog!J117&lt;&gt;""),"; ","")&amp;IF(Catalog!J117="","",Catalog!J117)</f>
        <v/>
      </c>
      <c r="D143" s="10">
        <f>Catalog!P117</f>
        <v>0</v>
      </c>
      <c r="E143" s="10">
        <f>Catalog!R117</f>
        <v>0</v>
      </c>
      <c r="F143" s="10">
        <f>Catalog!M117</f>
        <v>0</v>
      </c>
      <c r="G143" s="10">
        <f>Catalog!K117</f>
        <v>0</v>
      </c>
      <c r="H143" s="10" t="str">
        <f>IF(Catalog!S117&lt;&gt;"","ISBN:"&amp;Catalog!S117,IF(Catalog!T117&lt;&gt;"","ISSN:"&amp;Catalog!T117,""))</f>
        <v/>
      </c>
      <c r="I143" s="10">
        <f>Catalog!B117</f>
        <v>0</v>
      </c>
      <c r="J143" s="10">
        <f>Catalog!L117</f>
        <v>0</v>
      </c>
      <c r="K143" s="10">
        <f>IF(Catalog!AG117&lt;&gt;"",Catalog!AG117,Catalog!AE117)</f>
        <v>0</v>
      </c>
      <c r="L143" s="10">
        <f>Catalog!AD117</f>
        <v>0</v>
      </c>
      <c r="M143" s="10">
        <f>Catalog!V117</f>
        <v>0</v>
      </c>
      <c r="N143" s="10">
        <f>Catalog!Q117</f>
        <v>0</v>
      </c>
      <c r="O143" s="10">
        <f>Catalog!AF117</f>
        <v>0</v>
      </c>
    </row>
    <row r="144" spans="1:15" x14ac:dyDescent="0.25">
      <c r="A144" s="10">
        <f>Catalog!D118</f>
        <v>0</v>
      </c>
      <c r="B144" s="10">
        <f>Catalog!F118</f>
        <v>0</v>
      </c>
      <c r="C144" s="10" t="str">
        <f>IF(Catalog!I118="","",Catalog!I118)&amp;IF(AND(Catalog!I118&lt;&gt;"",Catalog!J118&lt;&gt;""),"; ","")&amp;IF(Catalog!J118="","",Catalog!J118)</f>
        <v/>
      </c>
      <c r="D144" s="10">
        <f>Catalog!P118</f>
        <v>0</v>
      </c>
      <c r="E144" s="10">
        <f>Catalog!R118</f>
        <v>0</v>
      </c>
      <c r="F144" s="10">
        <f>Catalog!M118</f>
        <v>0</v>
      </c>
      <c r="G144" s="10">
        <f>Catalog!K118</f>
        <v>0</v>
      </c>
      <c r="H144" s="10" t="str">
        <f>IF(Catalog!S118&lt;&gt;"","ISBN:"&amp;Catalog!S118,IF(Catalog!T118&lt;&gt;"","ISSN:"&amp;Catalog!T118,""))</f>
        <v/>
      </c>
      <c r="I144" s="10">
        <f>Catalog!B118</f>
        <v>0</v>
      </c>
      <c r="J144" s="10">
        <f>Catalog!L118</f>
        <v>0</v>
      </c>
      <c r="K144" s="10">
        <f>IF(Catalog!AG118&lt;&gt;"",Catalog!AG118,Catalog!AE118)</f>
        <v>0</v>
      </c>
      <c r="L144" s="10">
        <f>Catalog!AD118</f>
        <v>0</v>
      </c>
      <c r="M144" s="10">
        <f>Catalog!V118</f>
        <v>0</v>
      </c>
      <c r="N144" s="10">
        <f>Catalog!Q118</f>
        <v>0</v>
      </c>
      <c r="O144" s="10">
        <f>Catalog!AF118</f>
        <v>0</v>
      </c>
    </row>
    <row r="145" spans="1:15" x14ac:dyDescent="0.25">
      <c r="A145" s="10">
        <f>Catalog!D119</f>
        <v>0</v>
      </c>
      <c r="B145" s="10">
        <f>Catalog!F119</f>
        <v>0</v>
      </c>
      <c r="C145" s="10" t="str">
        <f>IF(Catalog!I119="","",Catalog!I119)&amp;IF(AND(Catalog!I119&lt;&gt;"",Catalog!J119&lt;&gt;""),"; ","")&amp;IF(Catalog!J119="","",Catalog!J119)</f>
        <v/>
      </c>
      <c r="D145" s="10">
        <f>Catalog!P119</f>
        <v>0</v>
      </c>
      <c r="E145" s="10">
        <f>Catalog!R119</f>
        <v>0</v>
      </c>
      <c r="F145" s="10">
        <f>Catalog!M119</f>
        <v>0</v>
      </c>
      <c r="G145" s="10">
        <f>Catalog!K119</f>
        <v>0</v>
      </c>
      <c r="H145" s="10" t="str">
        <f>IF(Catalog!S119&lt;&gt;"","ISBN:"&amp;Catalog!S119,IF(Catalog!T119&lt;&gt;"","ISSN:"&amp;Catalog!T119,""))</f>
        <v/>
      </c>
      <c r="I145" s="10">
        <f>Catalog!B119</f>
        <v>0</v>
      </c>
      <c r="J145" s="10">
        <f>Catalog!L119</f>
        <v>0</v>
      </c>
      <c r="K145" s="10">
        <f>IF(Catalog!AG119&lt;&gt;"",Catalog!AG119,Catalog!AE119)</f>
        <v>0</v>
      </c>
      <c r="L145" s="10">
        <f>Catalog!AD119</f>
        <v>0</v>
      </c>
      <c r="M145" s="10">
        <f>Catalog!V119</f>
        <v>0</v>
      </c>
      <c r="N145" s="10">
        <f>Catalog!Q119</f>
        <v>0</v>
      </c>
      <c r="O145" s="10">
        <f>Catalog!AF119</f>
        <v>0</v>
      </c>
    </row>
    <row r="146" spans="1:15" x14ac:dyDescent="0.25">
      <c r="A146" s="10">
        <f>Catalog!D120</f>
        <v>0</v>
      </c>
      <c r="B146" s="10">
        <f>Catalog!F120</f>
        <v>0</v>
      </c>
      <c r="C146" s="10" t="str">
        <f>IF(Catalog!I120="","",Catalog!I120)&amp;IF(AND(Catalog!I120&lt;&gt;"",Catalog!J120&lt;&gt;""),"; ","")&amp;IF(Catalog!J120="","",Catalog!J120)</f>
        <v/>
      </c>
      <c r="D146" s="10">
        <f>Catalog!P120</f>
        <v>0</v>
      </c>
      <c r="E146" s="10">
        <f>Catalog!R120</f>
        <v>0</v>
      </c>
      <c r="F146" s="10">
        <f>Catalog!M120</f>
        <v>0</v>
      </c>
      <c r="G146" s="10">
        <f>Catalog!K120</f>
        <v>0</v>
      </c>
      <c r="H146" s="10" t="str">
        <f>IF(Catalog!S120&lt;&gt;"","ISBN:"&amp;Catalog!S120,IF(Catalog!T120&lt;&gt;"","ISSN:"&amp;Catalog!T120,""))</f>
        <v/>
      </c>
      <c r="I146" s="10">
        <f>Catalog!B120</f>
        <v>0</v>
      </c>
      <c r="J146" s="10">
        <f>Catalog!L120</f>
        <v>0</v>
      </c>
      <c r="K146" s="10">
        <f>IF(Catalog!AG120&lt;&gt;"",Catalog!AG120,Catalog!AE120)</f>
        <v>0</v>
      </c>
      <c r="L146" s="10">
        <f>Catalog!AD120</f>
        <v>0</v>
      </c>
      <c r="M146" s="10">
        <f>Catalog!V120</f>
        <v>0</v>
      </c>
      <c r="N146" s="10">
        <f>Catalog!Q120</f>
        <v>0</v>
      </c>
      <c r="O146" s="10">
        <f>Catalog!AF120</f>
        <v>0</v>
      </c>
    </row>
    <row r="147" spans="1:15" x14ac:dyDescent="0.25">
      <c r="A147" s="10">
        <f>Catalog!D121</f>
        <v>0</v>
      </c>
      <c r="B147" s="10">
        <f>Catalog!F121</f>
        <v>0</v>
      </c>
      <c r="C147" s="10" t="str">
        <f>IF(Catalog!I121="","",Catalog!I121)&amp;IF(AND(Catalog!I121&lt;&gt;"",Catalog!J121&lt;&gt;""),"; ","")&amp;IF(Catalog!J121="","",Catalog!J121)</f>
        <v/>
      </c>
      <c r="D147" s="10">
        <f>Catalog!P121</f>
        <v>0</v>
      </c>
      <c r="E147" s="10">
        <f>Catalog!R121</f>
        <v>0</v>
      </c>
      <c r="F147" s="10">
        <f>Catalog!M121</f>
        <v>0</v>
      </c>
      <c r="G147" s="10">
        <f>Catalog!K121</f>
        <v>0</v>
      </c>
      <c r="H147" s="10" t="str">
        <f>IF(Catalog!S121&lt;&gt;"","ISBN:"&amp;Catalog!S121,IF(Catalog!T121&lt;&gt;"","ISSN:"&amp;Catalog!T121,""))</f>
        <v/>
      </c>
      <c r="I147" s="10">
        <f>Catalog!B121</f>
        <v>0</v>
      </c>
      <c r="J147" s="10">
        <f>Catalog!L121</f>
        <v>0</v>
      </c>
      <c r="K147" s="10">
        <f>IF(Catalog!AG121&lt;&gt;"",Catalog!AG121,Catalog!AE121)</f>
        <v>0</v>
      </c>
      <c r="L147" s="10">
        <f>Catalog!AD121</f>
        <v>0</v>
      </c>
      <c r="M147" s="10">
        <f>Catalog!V121</f>
        <v>0</v>
      </c>
      <c r="N147" s="10">
        <f>Catalog!Q121</f>
        <v>0</v>
      </c>
      <c r="O147" s="10">
        <f>Catalog!AF121</f>
        <v>0</v>
      </c>
    </row>
    <row r="148" spans="1:15" x14ac:dyDescent="0.25">
      <c r="A148" s="10">
        <f>Catalog!D122</f>
        <v>0</v>
      </c>
      <c r="B148" s="10">
        <f>Catalog!F122</f>
        <v>0</v>
      </c>
      <c r="C148" s="10" t="str">
        <f>IF(Catalog!I122="","",Catalog!I122)&amp;IF(AND(Catalog!I122&lt;&gt;"",Catalog!J122&lt;&gt;""),"; ","")&amp;IF(Catalog!J122="","",Catalog!J122)</f>
        <v/>
      </c>
      <c r="D148" s="10">
        <f>Catalog!P122</f>
        <v>0</v>
      </c>
      <c r="E148" s="10">
        <f>Catalog!R122</f>
        <v>0</v>
      </c>
      <c r="F148" s="10">
        <f>Catalog!M122</f>
        <v>0</v>
      </c>
      <c r="G148" s="10">
        <f>Catalog!K122</f>
        <v>0</v>
      </c>
      <c r="H148" s="10" t="str">
        <f>IF(Catalog!S122&lt;&gt;"","ISBN:"&amp;Catalog!S122,IF(Catalog!T122&lt;&gt;"","ISSN:"&amp;Catalog!T122,""))</f>
        <v/>
      </c>
      <c r="I148" s="10">
        <f>Catalog!B122</f>
        <v>0</v>
      </c>
      <c r="J148" s="10">
        <f>Catalog!L122</f>
        <v>0</v>
      </c>
      <c r="K148" s="10">
        <f>IF(Catalog!AG122&lt;&gt;"",Catalog!AG122,Catalog!AE122)</f>
        <v>0</v>
      </c>
      <c r="L148" s="10">
        <f>Catalog!AD122</f>
        <v>0</v>
      </c>
      <c r="M148" s="10">
        <f>Catalog!V122</f>
        <v>0</v>
      </c>
      <c r="N148" s="10">
        <f>Catalog!Q122</f>
        <v>0</v>
      </c>
      <c r="O148" s="10">
        <f>Catalog!AF122</f>
        <v>0</v>
      </c>
    </row>
    <row r="149" spans="1:15" x14ac:dyDescent="0.25">
      <c r="A149" s="10">
        <f>Catalog!D123</f>
        <v>0</v>
      </c>
      <c r="B149" s="10">
        <f>Catalog!F123</f>
        <v>0</v>
      </c>
      <c r="C149" s="10" t="str">
        <f>IF(Catalog!I123="","",Catalog!I123)&amp;IF(AND(Catalog!I123&lt;&gt;"",Catalog!J123&lt;&gt;""),"; ","")&amp;IF(Catalog!J123="","",Catalog!J123)</f>
        <v/>
      </c>
      <c r="D149" s="10">
        <f>Catalog!P123</f>
        <v>0</v>
      </c>
      <c r="E149" s="10">
        <f>Catalog!R123</f>
        <v>0</v>
      </c>
      <c r="F149" s="10">
        <f>Catalog!M123</f>
        <v>0</v>
      </c>
      <c r="G149" s="10">
        <f>Catalog!K123</f>
        <v>0</v>
      </c>
      <c r="H149" s="10" t="str">
        <f>IF(Catalog!S123&lt;&gt;"","ISBN:"&amp;Catalog!S123,IF(Catalog!T123&lt;&gt;"","ISSN:"&amp;Catalog!T123,""))</f>
        <v/>
      </c>
      <c r="I149" s="10">
        <f>Catalog!B123</f>
        <v>0</v>
      </c>
      <c r="J149" s="10">
        <f>Catalog!L123</f>
        <v>0</v>
      </c>
      <c r="K149" s="10">
        <f>IF(Catalog!AG123&lt;&gt;"",Catalog!AG123,Catalog!AE123)</f>
        <v>0</v>
      </c>
      <c r="L149" s="10">
        <f>Catalog!AD123</f>
        <v>0</v>
      </c>
      <c r="M149" s="10">
        <f>Catalog!V123</f>
        <v>0</v>
      </c>
      <c r="N149" s="10">
        <f>Catalog!Q123</f>
        <v>0</v>
      </c>
      <c r="O149" s="10">
        <f>Catalog!AF123</f>
        <v>0</v>
      </c>
    </row>
    <row r="150" spans="1:15" x14ac:dyDescent="0.25">
      <c r="A150" s="10">
        <f>Catalog!D124</f>
        <v>0</v>
      </c>
      <c r="B150" s="10">
        <f>Catalog!F124</f>
        <v>0</v>
      </c>
      <c r="C150" s="10" t="str">
        <f>IF(Catalog!I124="","",Catalog!I124)&amp;IF(AND(Catalog!I124&lt;&gt;"",Catalog!J124&lt;&gt;""),"; ","")&amp;IF(Catalog!J124="","",Catalog!J124)</f>
        <v/>
      </c>
      <c r="D150" s="10">
        <f>Catalog!P124</f>
        <v>0</v>
      </c>
      <c r="E150" s="10">
        <f>Catalog!R124</f>
        <v>0</v>
      </c>
      <c r="F150" s="10">
        <f>Catalog!M124</f>
        <v>0</v>
      </c>
      <c r="G150" s="10">
        <f>Catalog!K124</f>
        <v>0</v>
      </c>
      <c r="H150" s="10" t="str">
        <f>IF(Catalog!S124&lt;&gt;"","ISBN:"&amp;Catalog!S124,IF(Catalog!T124&lt;&gt;"","ISSN:"&amp;Catalog!T124,""))</f>
        <v/>
      </c>
      <c r="I150" s="10">
        <f>Catalog!B124</f>
        <v>0</v>
      </c>
      <c r="J150" s="10">
        <f>Catalog!L124</f>
        <v>0</v>
      </c>
      <c r="K150" s="10">
        <f>IF(Catalog!AG124&lt;&gt;"",Catalog!AG124,Catalog!AE124)</f>
        <v>0</v>
      </c>
      <c r="L150" s="10">
        <f>Catalog!AD124</f>
        <v>0</v>
      </c>
      <c r="M150" s="10">
        <f>Catalog!V124</f>
        <v>0</v>
      </c>
      <c r="N150" s="10">
        <f>Catalog!Q124</f>
        <v>0</v>
      </c>
      <c r="O150" s="10">
        <f>Catalog!AF124</f>
        <v>0</v>
      </c>
    </row>
    <row r="151" spans="1:15" x14ac:dyDescent="0.25">
      <c r="A151" s="10">
        <f>Catalog!D125</f>
        <v>0</v>
      </c>
      <c r="B151" s="10">
        <f>Catalog!F125</f>
        <v>0</v>
      </c>
      <c r="C151" s="10" t="str">
        <f>IF(Catalog!I125="","",Catalog!I125)&amp;IF(AND(Catalog!I125&lt;&gt;"",Catalog!J125&lt;&gt;""),"; ","")&amp;IF(Catalog!J125="","",Catalog!J125)</f>
        <v/>
      </c>
      <c r="D151" s="10">
        <f>Catalog!P125</f>
        <v>0</v>
      </c>
      <c r="E151" s="10">
        <f>Catalog!R125</f>
        <v>0</v>
      </c>
      <c r="F151" s="10">
        <f>Catalog!M125</f>
        <v>0</v>
      </c>
      <c r="G151" s="10">
        <f>Catalog!K125</f>
        <v>0</v>
      </c>
      <c r="H151" s="10" t="str">
        <f>IF(Catalog!S125&lt;&gt;"","ISBN:"&amp;Catalog!S125,IF(Catalog!T125&lt;&gt;"","ISSN:"&amp;Catalog!T125,""))</f>
        <v/>
      </c>
      <c r="I151" s="10">
        <f>Catalog!B125</f>
        <v>0</v>
      </c>
      <c r="J151" s="10">
        <f>Catalog!L125</f>
        <v>0</v>
      </c>
      <c r="K151" s="10">
        <f>IF(Catalog!AG125&lt;&gt;"",Catalog!AG125,Catalog!AE125)</f>
        <v>0</v>
      </c>
      <c r="L151" s="10">
        <f>Catalog!AD125</f>
        <v>0</v>
      </c>
      <c r="M151" s="10">
        <f>Catalog!V125</f>
        <v>0</v>
      </c>
      <c r="N151" s="10">
        <f>Catalog!Q125</f>
        <v>0</v>
      </c>
      <c r="O151" s="10">
        <f>Catalog!AF125</f>
        <v>0</v>
      </c>
    </row>
    <row r="152" spans="1:15" x14ac:dyDescent="0.25">
      <c r="A152" s="10">
        <f>Catalog!D126</f>
        <v>0</v>
      </c>
      <c r="B152" s="10">
        <f>Catalog!F126</f>
        <v>0</v>
      </c>
      <c r="C152" s="10" t="str">
        <f>IF(Catalog!I126="","",Catalog!I126)&amp;IF(AND(Catalog!I126&lt;&gt;"",Catalog!J126&lt;&gt;""),"; ","")&amp;IF(Catalog!J126="","",Catalog!J126)</f>
        <v/>
      </c>
      <c r="D152" s="10">
        <f>Catalog!P126</f>
        <v>0</v>
      </c>
      <c r="E152" s="10">
        <f>Catalog!R126</f>
        <v>0</v>
      </c>
      <c r="F152" s="10">
        <f>Catalog!M126</f>
        <v>0</v>
      </c>
      <c r="G152" s="10">
        <f>Catalog!K126</f>
        <v>0</v>
      </c>
      <c r="H152" s="10" t="str">
        <f>IF(Catalog!S126&lt;&gt;"","ISBN:"&amp;Catalog!S126,IF(Catalog!T126&lt;&gt;"","ISSN:"&amp;Catalog!T126,""))</f>
        <v/>
      </c>
      <c r="I152" s="10">
        <f>Catalog!B126</f>
        <v>0</v>
      </c>
      <c r="J152" s="10">
        <f>Catalog!L126</f>
        <v>0</v>
      </c>
      <c r="K152" s="10">
        <f>IF(Catalog!AG126&lt;&gt;"",Catalog!AG126,Catalog!AE126)</f>
        <v>0</v>
      </c>
      <c r="L152" s="10">
        <f>Catalog!AD126</f>
        <v>0</v>
      </c>
      <c r="M152" s="10">
        <f>Catalog!V126</f>
        <v>0</v>
      </c>
      <c r="N152" s="10">
        <f>Catalog!Q126</f>
        <v>0</v>
      </c>
      <c r="O152" s="10">
        <f>Catalog!AF126</f>
        <v>0</v>
      </c>
    </row>
    <row r="153" spans="1:15" x14ac:dyDescent="0.25">
      <c r="A153" s="10">
        <f>Catalog!D127</f>
        <v>0</v>
      </c>
      <c r="B153" s="10">
        <f>Catalog!F127</f>
        <v>0</v>
      </c>
      <c r="C153" s="10" t="str">
        <f>IF(Catalog!I127="","",Catalog!I127)&amp;IF(AND(Catalog!I127&lt;&gt;"",Catalog!J127&lt;&gt;""),"; ","")&amp;IF(Catalog!J127="","",Catalog!J127)</f>
        <v/>
      </c>
      <c r="D153" s="10">
        <f>Catalog!P127</f>
        <v>0</v>
      </c>
      <c r="E153" s="10">
        <f>Catalog!R127</f>
        <v>0</v>
      </c>
      <c r="F153" s="10">
        <f>Catalog!M127</f>
        <v>0</v>
      </c>
      <c r="G153" s="10">
        <f>Catalog!K127</f>
        <v>0</v>
      </c>
      <c r="H153" s="10" t="str">
        <f>IF(Catalog!S127&lt;&gt;"","ISBN:"&amp;Catalog!S127,IF(Catalog!T127&lt;&gt;"","ISSN:"&amp;Catalog!T127,""))</f>
        <v/>
      </c>
      <c r="I153" s="10">
        <f>Catalog!B127</f>
        <v>0</v>
      </c>
      <c r="J153" s="10">
        <f>Catalog!L127</f>
        <v>0</v>
      </c>
      <c r="K153" s="10">
        <f>IF(Catalog!AG127&lt;&gt;"",Catalog!AG127,Catalog!AE127)</f>
        <v>0</v>
      </c>
      <c r="L153" s="10">
        <f>Catalog!AD127</f>
        <v>0</v>
      </c>
      <c r="M153" s="10">
        <f>Catalog!V127</f>
        <v>0</v>
      </c>
      <c r="N153" s="10">
        <f>Catalog!Q127</f>
        <v>0</v>
      </c>
      <c r="O153" s="10">
        <f>Catalog!AF127</f>
        <v>0</v>
      </c>
    </row>
    <row r="154" spans="1:15" x14ac:dyDescent="0.25">
      <c r="A154" s="10">
        <f>Catalog!D128</f>
        <v>0</v>
      </c>
      <c r="B154" s="10">
        <f>Catalog!F128</f>
        <v>0</v>
      </c>
      <c r="C154" s="10" t="str">
        <f>IF(Catalog!I128="","",Catalog!I128)&amp;IF(AND(Catalog!I128&lt;&gt;"",Catalog!J128&lt;&gt;""),"; ","")&amp;IF(Catalog!J128="","",Catalog!J128)</f>
        <v/>
      </c>
      <c r="D154" s="10">
        <f>Catalog!P128</f>
        <v>0</v>
      </c>
      <c r="E154" s="10">
        <f>Catalog!R128</f>
        <v>0</v>
      </c>
      <c r="F154" s="10">
        <f>Catalog!M128</f>
        <v>0</v>
      </c>
      <c r="G154" s="10">
        <f>Catalog!K128</f>
        <v>0</v>
      </c>
      <c r="H154" s="10" t="str">
        <f>IF(Catalog!S128&lt;&gt;"","ISBN:"&amp;Catalog!S128,IF(Catalog!T128&lt;&gt;"","ISSN:"&amp;Catalog!T128,""))</f>
        <v/>
      </c>
      <c r="I154" s="10">
        <f>Catalog!B128</f>
        <v>0</v>
      </c>
      <c r="J154" s="10">
        <f>Catalog!L128</f>
        <v>0</v>
      </c>
      <c r="K154" s="10">
        <f>IF(Catalog!AG128&lt;&gt;"",Catalog!AG128,Catalog!AE128)</f>
        <v>0</v>
      </c>
      <c r="L154" s="10">
        <f>Catalog!AD128</f>
        <v>0</v>
      </c>
      <c r="M154" s="10">
        <f>Catalog!V128</f>
        <v>0</v>
      </c>
      <c r="N154" s="10">
        <f>Catalog!Q128</f>
        <v>0</v>
      </c>
      <c r="O154" s="10">
        <f>Catalog!AF128</f>
        <v>0</v>
      </c>
    </row>
    <row r="155" spans="1:15" x14ac:dyDescent="0.25">
      <c r="A155" s="10">
        <f>Catalog!D129</f>
        <v>0</v>
      </c>
      <c r="B155" s="10">
        <f>Catalog!F129</f>
        <v>0</v>
      </c>
      <c r="C155" s="10" t="str">
        <f>IF(Catalog!I129="","",Catalog!I129)&amp;IF(AND(Catalog!I129&lt;&gt;"",Catalog!J129&lt;&gt;""),"; ","")&amp;IF(Catalog!J129="","",Catalog!J129)</f>
        <v/>
      </c>
      <c r="D155" s="10">
        <f>Catalog!P129</f>
        <v>0</v>
      </c>
      <c r="E155" s="10">
        <f>Catalog!R129</f>
        <v>0</v>
      </c>
      <c r="F155" s="10">
        <f>Catalog!M129</f>
        <v>0</v>
      </c>
      <c r="G155" s="10">
        <f>Catalog!K129</f>
        <v>0</v>
      </c>
      <c r="H155" s="10" t="str">
        <f>IF(Catalog!S129&lt;&gt;"","ISBN:"&amp;Catalog!S129,IF(Catalog!T129&lt;&gt;"","ISSN:"&amp;Catalog!T129,""))</f>
        <v/>
      </c>
      <c r="I155" s="10">
        <f>Catalog!B129</f>
        <v>0</v>
      </c>
      <c r="J155" s="10">
        <f>Catalog!L129</f>
        <v>0</v>
      </c>
      <c r="K155" s="10">
        <f>IF(Catalog!AG129&lt;&gt;"",Catalog!AG129,Catalog!AE129)</f>
        <v>0</v>
      </c>
      <c r="L155" s="10">
        <f>Catalog!AD129</f>
        <v>0</v>
      </c>
      <c r="M155" s="10">
        <f>Catalog!V129</f>
        <v>0</v>
      </c>
      <c r="N155" s="10">
        <f>Catalog!Q129</f>
        <v>0</v>
      </c>
      <c r="O155" s="10">
        <f>Catalog!AF129</f>
        <v>0</v>
      </c>
    </row>
    <row r="156" spans="1:15" x14ac:dyDescent="0.25">
      <c r="A156" s="10">
        <f>Catalog!D130</f>
        <v>0</v>
      </c>
      <c r="B156" s="10">
        <f>Catalog!F130</f>
        <v>0</v>
      </c>
      <c r="C156" s="10" t="str">
        <f>IF(Catalog!I130="","",Catalog!I130)&amp;IF(AND(Catalog!I130&lt;&gt;"",Catalog!J130&lt;&gt;""),"; ","")&amp;IF(Catalog!J130="","",Catalog!J130)</f>
        <v/>
      </c>
      <c r="D156" s="10">
        <f>Catalog!P130</f>
        <v>0</v>
      </c>
      <c r="E156" s="10">
        <f>Catalog!R130</f>
        <v>0</v>
      </c>
      <c r="F156" s="10">
        <f>Catalog!M130</f>
        <v>0</v>
      </c>
      <c r="G156" s="10">
        <f>Catalog!K130</f>
        <v>0</v>
      </c>
      <c r="H156" s="10" t="str">
        <f>IF(Catalog!S130&lt;&gt;"","ISBN:"&amp;Catalog!S130,IF(Catalog!T130&lt;&gt;"","ISSN:"&amp;Catalog!T130,""))</f>
        <v/>
      </c>
      <c r="I156" s="10">
        <f>Catalog!B130</f>
        <v>0</v>
      </c>
      <c r="J156" s="10">
        <f>Catalog!L130</f>
        <v>0</v>
      </c>
      <c r="K156" s="10">
        <f>IF(Catalog!AG130&lt;&gt;"",Catalog!AG130,Catalog!AE130)</f>
        <v>0</v>
      </c>
      <c r="L156" s="10">
        <f>Catalog!AD130</f>
        <v>0</v>
      </c>
      <c r="M156" s="10">
        <f>Catalog!V130</f>
        <v>0</v>
      </c>
      <c r="N156" s="10">
        <f>Catalog!Q130</f>
        <v>0</v>
      </c>
      <c r="O156" s="10">
        <f>Catalog!AF130</f>
        <v>0</v>
      </c>
    </row>
    <row r="157" spans="1:15" x14ac:dyDescent="0.25">
      <c r="A157" s="10">
        <f>Catalog!D131</f>
        <v>0</v>
      </c>
      <c r="B157" s="10">
        <f>Catalog!F131</f>
        <v>0</v>
      </c>
      <c r="C157" s="10" t="str">
        <f>IF(Catalog!I131="","",Catalog!I131)&amp;IF(AND(Catalog!I131&lt;&gt;"",Catalog!J131&lt;&gt;""),"; ","")&amp;IF(Catalog!J131="","",Catalog!J131)</f>
        <v/>
      </c>
      <c r="D157" s="10">
        <f>Catalog!P131</f>
        <v>0</v>
      </c>
      <c r="E157" s="10">
        <f>Catalog!R131</f>
        <v>0</v>
      </c>
      <c r="F157" s="10">
        <f>Catalog!M131</f>
        <v>0</v>
      </c>
      <c r="G157" s="10">
        <f>Catalog!K131</f>
        <v>0</v>
      </c>
      <c r="H157" s="10" t="str">
        <f>IF(Catalog!S131&lt;&gt;"","ISBN:"&amp;Catalog!S131,IF(Catalog!T131&lt;&gt;"","ISSN:"&amp;Catalog!T131,""))</f>
        <v/>
      </c>
      <c r="I157" s="10">
        <f>Catalog!B131</f>
        <v>0</v>
      </c>
      <c r="J157" s="10">
        <f>Catalog!L131</f>
        <v>0</v>
      </c>
      <c r="K157" s="10">
        <f>IF(Catalog!AG131&lt;&gt;"",Catalog!AG131,Catalog!AE131)</f>
        <v>0</v>
      </c>
      <c r="L157" s="10">
        <f>Catalog!AD131</f>
        <v>0</v>
      </c>
      <c r="M157" s="10">
        <f>Catalog!V131</f>
        <v>0</v>
      </c>
      <c r="N157" s="10">
        <f>Catalog!Q131</f>
        <v>0</v>
      </c>
      <c r="O157" s="10">
        <f>Catalog!AF131</f>
        <v>0</v>
      </c>
    </row>
    <row r="158" spans="1:15" x14ac:dyDescent="0.25">
      <c r="A158" s="10">
        <f>Catalog!D132</f>
        <v>0</v>
      </c>
      <c r="B158" s="10">
        <f>Catalog!F132</f>
        <v>0</v>
      </c>
      <c r="C158" s="10" t="str">
        <f>IF(Catalog!I132="","",Catalog!I132)&amp;IF(AND(Catalog!I132&lt;&gt;"",Catalog!J132&lt;&gt;""),"; ","")&amp;IF(Catalog!J132="","",Catalog!J132)</f>
        <v/>
      </c>
      <c r="D158" s="10">
        <f>Catalog!P132</f>
        <v>0</v>
      </c>
      <c r="E158" s="10">
        <f>Catalog!R132</f>
        <v>0</v>
      </c>
      <c r="F158" s="10">
        <f>Catalog!M132</f>
        <v>0</v>
      </c>
      <c r="G158" s="10">
        <f>Catalog!K132</f>
        <v>0</v>
      </c>
      <c r="H158" s="10" t="str">
        <f>IF(Catalog!S132&lt;&gt;"","ISBN:"&amp;Catalog!S132,IF(Catalog!T132&lt;&gt;"","ISSN:"&amp;Catalog!T132,""))</f>
        <v/>
      </c>
      <c r="I158" s="10">
        <f>Catalog!B132</f>
        <v>0</v>
      </c>
      <c r="J158" s="10">
        <f>Catalog!L132</f>
        <v>0</v>
      </c>
      <c r="K158" s="10">
        <f>IF(Catalog!AG132&lt;&gt;"",Catalog!AG132,Catalog!AE132)</f>
        <v>0</v>
      </c>
      <c r="L158" s="10">
        <f>Catalog!AD132</f>
        <v>0</v>
      </c>
      <c r="M158" s="10">
        <f>Catalog!V132</f>
        <v>0</v>
      </c>
      <c r="N158" s="10">
        <f>Catalog!Q132</f>
        <v>0</v>
      </c>
      <c r="O158" s="10">
        <f>Catalog!AF132</f>
        <v>0</v>
      </c>
    </row>
    <row r="159" spans="1:15" x14ac:dyDescent="0.25">
      <c r="A159" s="10">
        <f>Catalog!D133</f>
        <v>0</v>
      </c>
      <c r="B159" s="10">
        <f>Catalog!F133</f>
        <v>0</v>
      </c>
      <c r="C159" s="10" t="str">
        <f>IF(Catalog!I133="","",Catalog!I133)&amp;IF(AND(Catalog!I133&lt;&gt;"",Catalog!J133&lt;&gt;""),"; ","")&amp;IF(Catalog!J133="","",Catalog!J133)</f>
        <v/>
      </c>
      <c r="D159" s="10">
        <f>Catalog!P133</f>
        <v>0</v>
      </c>
      <c r="E159" s="10">
        <f>Catalog!R133</f>
        <v>0</v>
      </c>
      <c r="F159" s="10">
        <f>Catalog!M133</f>
        <v>0</v>
      </c>
      <c r="G159" s="10">
        <f>Catalog!K133</f>
        <v>0</v>
      </c>
      <c r="H159" s="10" t="str">
        <f>IF(Catalog!S133&lt;&gt;"","ISBN:"&amp;Catalog!S133,IF(Catalog!T133&lt;&gt;"","ISSN:"&amp;Catalog!T133,""))</f>
        <v/>
      </c>
      <c r="I159" s="10">
        <f>Catalog!B133</f>
        <v>0</v>
      </c>
      <c r="J159" s="10">
        <f>Catalog!L133</f>
        <v>0</v>
      </c>
      <c r="K159" s="10">
        <f>IF(Catalog!AG133&lt;&gt;"",Catalog!AG133,Catalog!AE133)</f>
        <v>0</v>
      </c>
      <c r="L159" s="10">
        <f>Catalog!AD133</f>
        <v>0</v>
      </c>
      <c r="M159" s="10">
        <f>Catalog!V133</f>
        <v>0</v>
      </c>
      <c r="N159" s="10">
        <f>Catalog!Q133</f>
        <v>0</v>
      </c>
      <c r="O159" s="10">
        <f>Catalog!AF133</f>
        <v>0</v>
      </c>
    </row>
    <row r="160" spans="1:15" x14ac:dyDescent="0.25">
      <c r="A160" s="10">
        <f>Catalog!D134</f>
        <v>0</v>
      </c>
      <c r="B160" s="10">
        <f>Catalog!F134</f>
        <v>0</v>
      </c>
      <c r="C160" s="10" t="str">
        <f>IF(Catalog!I134="","",Catalog!I134)&amp;IF(AND(Catalog!I134&lt;&gt;"",Catalog!J134&lt;&gt;""),"; ","")&amp;IF(Catalog!J134="","",Catalog!J134)</f>
        <v/>
      </c>
      <c r="D160" s="10">
        <f>Catalog!P134</f>
        <v>0</v>
      </c>
      <c r="E160" s="10">
        <f>Catalog!R134</f>
        <v>0</v>
      </c>
      <c r="F160" s="10">
        <f>Catalog!M134</f>
        <v>0</v>
      </c>
      <c r="G160" s="10">
        <f>Catalog!K134</f>
        <v>0</v>
      </c>
      <c r="H160" s="10" t="str">
        <f>IF(Catalog!S134&lt;&gt;"","ISBN:"&amp;Catalog!S134,IF(Catalog!T134&lt;&gt;"","ISSN:"&amp;Catalog!T134,""))</f>
        <v/>
      </c>
      <c r="I160" s="10">
        <f>Catalog!B134</f>
        <v>0</v>
      </c>
      <c r="J160" s="10">
        <f>Catalog!L134</f>
        <v>0</v>
      </c>
      <c r="K160" s="10">
        <f>IF(Catalog!AG134&lt;&gt;"",Catalog!AG134,Catalog!AE134)</f>
        <v>0</v>
      </c>
      <c r="L160" s="10">
        <f>Catalog!AD134</f>
        <v>0</v>
      </c>
      <c r="M160" s="10">
        <f>Catalog!V134</f>
        <v>0</v>
      </c>
      <c r="N160" s="10">
        <f>Catalog!Q134</f>
        <v>0</v>
      </c>
      <c r="O160" s="10">
        <f>Catalog!AF134</f>
        <v>0</v>
      </c>
    </row>
    <row r="161" spans="1:15" x14ac:dyDescent="0.25">
      <c r="A161" s="10">
        <f>Catalog!D135</f>
        <v>0</v>
      </c>
      <c r="B161" s="10">
        <f>Catalog!F135</f>
        <v>0</v>
      </c>
      <c r="C161" s="10" t="str">
        <f>IF(Catalog!I135="","",Catalog!I135)&amp;IF(AND(Catalog!I135&lt;&gt;"",Catalog!J135&lt;&gt;""),"; ","")&amp;IF(Catalog!J135="","",Catalog!J135)</f>
        <v/>
      </c>
      <c r="D161" s="10">
        <f>Catalog!P135</f>
        <v>0</v>
      </c>
      <c r="E161" s="10">
        <f>Catalog!R135</f>
        <v>0</v>
      </c>
      <c r="F161" s="10">
        <f>Catalog!M135</f>
        <v>0</v>
      </c>
      <c r="G161" s="10">
        <f>Catalog!K135</f>
        <v>0</v>
      </c>
      <c r="H161" s="10" t="str">
        <f>IF(Catalog!S135&lt;&gt;"","ISBN:"&amp;Catalog!S135,IF(Catalog!T135&lt;&gt;"","ISSN:"&amp;Catalog!T135,""))</f>
        <v/>
      </c>
      <c r="I161" s="10">
        <f>Catalog!B135</f>
        <v>0</v>
      </c>
      <c r="J161" s="10">
        <f>Catalog!L135</f>
        <v>0</v>
      </c>
      <c r="K161" s="10">
        <f>IF(Catalog!AG135&lt;&gt;"",Catalog!AG135,Catalog!AE135)</f>
        <v>0</v>
      </c>
      <c r="L161" s="10">
        <f>Catalog!AD135</f>
        <v>0</v>
      </c>
      <c r="M161" s="10">
        <f>Catalog!V135</f>
        <v>0</v>
      </c>
      <c r="N161" s="10">
        <f>Catalog!Q135</f>
        <v>0</v>
      </c>
      <c r="O161" s="10">
        <f>Catalog!AF135</f>
        <v>0</v>
      </c>
    </row>
    <row r="162" spans="1:15" x14ac:dyDescent="0.25">
      <c r="A162" s="10">
        <f>Catalog!D136</f>
        <v>0</v>
      </c>
      <c r="B162" s="10">
        <f>Catalog!F136</f>
        <v>0</v>
      </c>
      <c r="C162" s="10" t="str">
        <f>IF(Catalog!I136="","",Catalog!I136)&amp;IF(AND(Catalog!I136&lt;&gt;"",Catalog!J136&lt;&gt;""),"; ","")&amp;IF(Catalog!J136="","",Catalog!J136)</f>
        <v/>
      </c>
      <c r="D162" s="10">
        <f>Catalog!P136</f>
        <v>0</v>
      </c>
      <c r="E162" s="10">
        <f>Catalog!R136</f>
        <v>0</v>
      </c>
      <c r="F162" s="10">
        <f>Catalog!M136</f>
        <v>0</v>
      </c>
      <c r="G162" s="10">
        <f>Catalog!K136</f>
        <v>0</v>
      </c>
      <c r="H162" s="10" t="str">
        <f>IF(Catalog!S136&lt;&gt;"","ISBN:"&amp;Catalog!S136,IF(Catalog!T136&lt;&gt;"","ISSN:"&amp;Catalog!T136,""))</f>
        <v/>
      </c>
      <c r="I162" s="10">
        <f>Catalog!B136</f>
        <v>0</v>
      </c>
      <c r="J162" s="10">
        <f>Catalog!L136</f>
        <v>0</v>
      </c>
      <c r="K162" s="10">
        <f>IF(Catalog!AG136&lt;&gt;"",Catalog!AG136,Catalog!AE136)</f>
        <v>0</v>
      </c>
      <c r="L162" s="10">
        <f>Catalog!AD136</f>
        <v>0</v>
      </c>
      <c r="M162" s="10">
        <f>Catalog!V136</f>
        <v>0</v>
      </c>
      <c r="N162" s="10">
        <f>Catalog!Q136</f>
        <v>0</v>
      </c>
      <c r="O162" s="10">
        <f>Catalog!AF136</f>
        <v>0</v>
      </c>
    </row>
    <row r="163" spans="1:15" x14ac:dyDescent="0.25">
      <c r="A163" s="10">
        <f>Catalog!D137</f>
        <v>0</v>
      </c>
      <c r="B163" s="10">
        <f>Catalog!F137</f>
        <v>0</v>
      </c>
      <c r="C163" s="10" t="str">
        <f>IF(Catalog!I137="","",Catalog!I137)&amp;IF(AND(Catalog!I137&lt;&gt;"",Catalog!J137&lt;&gt;""),"; ","")&amp;IF(Catalog!J137="","",Catalog!J137)</f>
        <v/>
      </c>
      <c r="D163" s="10">
        <f>Catalog!P137</f>
        <v>0</v>
      </c>
      <c r="E163" s="10">
        <f>Catalog!R137</f>
        <v>0</v>
      </c>
      <c r="F163" s="10">
        <f>Catalog!M137</f>
        <v>0</v>
      </c>
      <c r="G163" s="10">
        <f>Catalog!K137</f>
        <v>0</v>
      </c>
      <c r="H163" s="10" t="str">
        <f>IF(Catalog!S137&lt;&gt;"","ISBN:"&amp;Catalog!S137,IF(Catalog!T137&lt;&gt;"","ISSN:"&amp;Catalog!T137,""))</f>
        <v/>
      </c>
      <c r="I163" s="10">
        <f>Catalog!B137</f>
        <v>0</v>
      </c>
      <c r="J163" s="10">
        <f>Catalog!L137</f>
        <v>0</v>
      </c>
      <c r="K163" s="10">
        <f>IF(Catalog!AG137&lt;&gt;"",Catalog!AG137,Catalog!AE137)</f>
        <v>0</v>
      </c>
      <c r="L163" s="10">
        <f>Catalog!AD137</f>
        <v>0</v>
      </c>
      <c r="M163" s="10">
        <f>Catalog!V137</f>
        <v>0</v>
      </c>
      <c r="N163" s="10">
        <f>Catalog!Q137</f>
        <v>0</v>
      </c>
      <c r="O163" s="10">
        <f>Catalog!AF137</f>
        <v>0</v>
      </c>
    </row>
    <row r="164" spans="1:15" x14ac:dyDescent="0.25">
      <c r="A164" s="10">
        <f>Catalog!D138</f>
        <v>0</v>
      </c>
      <c r="B164" s="10">
        <f>Catalog!F138</f>
        <v>0</v>
      </c>
      <c r="C164" s="10" t="str">
        <f>IF(Catalog!I138="","",Catalog!I138)&amp;IF(AND(Catalog!I138&lt;&gt;"",Catalog!J138&lt;&gt;""),"; ","")&amp;IF(Catalog!J138="","",Catalog!J138)</f>
        <v/>
      </c>
      <c r="D164" s="10">
        <f>Catalog!P138</f>
        <v>0</v>
      </c>
      <c r="E164" s="10">
        <f>Catalog!R138</f>
        <v>0</v>
      </c>
      <c r="F164" s="10">
        <f>Catalog!M138</f>
        <v>0</v>
      </c>
      <c r="G164" s="10">
        <f>Catalog!K138</f>
        <v>0</v>
      </c>
      <c r="H164" s="10" t="str">
        <f>IF(Catalog!S138&lt;&gt;"","ISBN:"&amp;Catalog!S138,IF(Catalog!T138&lt;&gt;"","ISSN:"&amp;Catalog!T138,""))</f>
        <v/>
      </c>
      <c r="I164" s="10">
        <f>Catalog!B138</f>
        <v>0</v>
      </c>
      <c r="J164" s="10">
        <f>Catalog!L138</f>
        <v>0</v>
      </c>
      <c r="K164" s="10">
        <f>IF(Catalog!AG138&lt;&gt;"",Catalog!AG138,Catalog!AE138)</f>
        <v>0</v>
      </c>
      <c r="L164" s="10">
        <f>Catalog!AD138</f>
        <v>0</v>
      </c>
      <c r="M164" s="10">
        <f>Catalog!V138</f>
        <v>0</v>
      </c>
      <c r="N164" s="10">
        <f>Catalog!Q138</f>
        <v>0</v>
      </c>
      <c r="O164" s="10">
        <f>Catalog!AF138</f>
        <v>0</v>
      </c>
    </row>
    <row r="165" spans="1:15" x14ac:dyDescent="0.25">
      <c r="A165" s="10">
        <f>Catalog!D139</f>
        <v>0</v>
      </c>
      <c r="B165" s="10">
        <f>Catalog!F139</f>
        <v>0</v>
      </c>
      <c r="C165" s="10" t="str">
        <f>IF(Catalog!I139="","",Catalog!I139)&amp;IF(AND(Catalog!I139&lt;&gt;"",Catalog!J139&lt;&gt;""),"; ","")&amp;IF(Catalog!J139="","",Catalog!J139)</f>
        <v/>
      </c>
      <c r="D165" s="10">
        <f>Catalog!P139</f>
        <v>0</v>
      </c>
      <c r="E165" s="10">
        <f>Catalog!R139</f>
        <v>0</v>
      </c>
      <c r="F165" s="10">
        <f>Catalog!M139</f>
        <v>0</v>
      </c>
      <c r="G165" s="10">
        <f>Catalog!K139</f>
        <v>0</v>
      </c>
      <c r="H165" s="10" t="str">
        <f>IF(Catalog!S139&lt;&gt;"","ISBN:"&amp;Catalog!S139,IF(Catalog!T139&lt;&gt;"","ISSN:"&amp;Catalog!T139,""))</f>
        <v/>
      </c>
      <c r="I165" s="10">
        <f>Catalog!B139</f>
        <v>0</v>
      </c>
      <c r="J165" s="10">
        <f>Catalog!L139</f>
        <v>0</v>
      </c>
      <c r="K165" s="10">
        <f>IF(Catalog!AG139&lt;&gt;"",Catalog!AG139,Catalog!AE139)</f>
        <v>0</v>
      </c>
      <c r="L165" s="10">
        <f>Catalog!AD139</f>
        <v>0</v>
      </c>
      <c r="M165" s="10">
        <f>Catalog!V139</f>
        <v>0</v>
      </c>
      <c r="N165" s="10">
        <f>Catalog!Q139</f>
        <v>0</v>
      </c>
      <c r="O165" s="10">
        <f>Catalog!AF139</f>
        <v>0</v>
      </c>
    </row>
    <row r="166" spans="1:15" x14ac:dyDescent="0.25">
      <c r="A166" s="10">
        <f>Catalog!D140</f>
        <v>0</v>
      </c>
      <c r="B166" s="10">
        <f>Catalog!F140</f>
        <v>0</v>
      </c>
      <c r="C166" s="10" t="str">
        <f>IF(Catalog!I140="","",Catalog!I140)&amp;IF(AND(Catalog!I140&lt;&gt;"",Catalog!J140&lt;&gt;""),"; ","")&amp;IF(Catalog!J140="","",Catalog!J140)</f>
        <v/>
      </c>
      <c r="D166" s="10">
        <f>Catalog!P140</f>
        <v>0</v>
      </c>
      <c r="E166" s="10">
        <f>Catalog!R140</f>
        <v>0</v>
      </c>
      <c r="F166" s="10">
        <f>Catalog!M140</f>
        <v>0</v>
      </c>
      <c r="G166" s="10">
        <f>Catalog!K140</f>
        <v>0</v>
      </c>
      <c r="H166" s="10" t="str">
        <f>IF(Catalog!S140&lt;&gt;"","ISBN:"&amp;Catalog!S140,IF(Catalog!T140&lt;&gt;"","ISSN:"&amp;Catalog!T140,""))</f>
        <v/>
      </c>
      <c r="I166" s="10">
        <f>Catalog!B140</f>
        <v>0</v>
      </c>
      <c r="J166" s="10">
        <f>Catalog!L140</f>
        <v>0</v>
      </c>
      <c r="K166" s="10">
        <f>IF(Catalog!AG140&lt;&gt;"",Catalog!AG140,Catalog!AE140)</f>
        <v>0</v>
      </c>
      <c r="L166" s="10">
        <f>Catalog!AD140</f>
        <v>0</v>
      </c>
      <c r="M166" s="10">
        <f>Catalog!V140</f>
        <v>0</v>
      </c>
      <c r="N166" s="10">
        <f>Catalog!Q140</f>
        <v>0</v>
      </c>
      <c r="O166" s="10">
        <f>Catalog!AF140</f>
        <v>0</v>
      </c>
    </row>
    <row r="167" spans="1:15" x14ac:dyDescent="0.25">
      <c r="A167" s="10">
        <f>Catalog!D141</f>
        <v>0</v>
      </c>
      <c r="B167" s="10">
        <f>Catalog!F141</f>
        <v>0</v>
      </c>
      <c r="C167" s="10" t="str">
        <f>IF(Catalog!I141="","",Catalog!I141)&amp;IF(AND(Catalog!I141&lt;&gt;"",Catalog!J141&lt;&gt;""),"; ","")&amp;IF(Catalog!J141="","",Catalog!J141)</f>
        <v/>
      </c>
      <c r="D167" s="10">
        <f>Catalog!P141</f>
        <v>0</v>
      </c>
      <c r="E167" s="10">
        <f>Catalog!R141</f>
        <v>0</v>
      </c>
      <c r="F167" s="10">
        <f>Catalog!M141</f>
        <v>0</v>
      </c>
      <c r="G167" s="10">
        <f>Catalog!K141</f>
        <v>0</v>
      </c>
      <c r="H167" s="10" t="str">
        <f>IF(Catalog!S141&lt;&gt;"","ISBN:"&amp;Catalog!S141,IF(Catalog!T141&lt;&gt;"","ISSN:"&amp;Catalog!T141,""))</f>
        <v/>
      </c>
      <c r="I167" s="10">
        <f>Catalog!B141</f>
        <v>0</v>
      </c>
      <c r="J167" s="10">
        <f>Catalog!L141</f>
        <v>0</v>
      </c>
      <c r="K167" s="10">
        <f>IF(Catalog!AG141&lt;&gt;"",Catalog!AG141,Catalog!AE141)</f>
        <v>0</v>
      </c>
      <c r="L167" s="10">
        <f>Catalog!AD141</f>
        <v>0</v>
      </c>
      <c r="M167" s="10">
        <f>Catalog!V141</f>
        <v>0</v>
      </c>
      <c r="N167" s="10">
        <f>Catalog!Q141</f>
        <v>0</v>
      </c>
      <c r="O167" s="10">
        <f>Catalog!AF141</f>
        <v>0</v>
      </c>
    </row>
    <row r="168" spans="1:15" x14ac:dyDescent="0.25">
      <c r="A168" s="10">
        <f>Catalog!D142</f>
        <v>0</v>
      </c>
      <c r="B168" s="10">
        <f>Catalog!F142</f>
        <v>0</v>
      </c>
      <c r="C168" s="10" t="str">
        <f>IF(Catalog!I142="","",Catalog!I142)&amp;IF(AND(Catalog!I142&lt;&gt;"",Catalog!J142&lt;&gt;""),"; ","")&amp;IF(Catalog!J142="","",Catalog!J142)</f>
        <v/>
      </c>
      <c r="D168" s="10">
        <f>Catalog!P142</f>
        <v>0</v>
      </c>
      <c r="E168" s="10">
        <f>Catalog!R142</f>
        <v>0</v>
      </c>
      <c r="F168" s="10">
        <f>Catalog!M142</f>
        <v>0</v>
      </c>
      <c r="G168" s="10">
        <f>Catalog!K142</f>
        <v>0</v>
      </c>
      <c r="H168" s="10" t="str">
        <f>IF(Catalog!S142&lt;&gt;"","ISBN:"&amp;Catalog!S142,IF(Catalog!T142&lt;&gt;"","ISSN:"&amp;Catalog!T142,""))</f>
        <v/>
      </c>
      <c r="I168" s="10">
        <f>Catalog!B142</f>
        <v>0</v>
      </c>
      <c r="J168" s="10">
        <f>Catalog!L142</f>
        <v>0</v>
      </c>
      <c r="K168" s="10">
        <f>IF(Catalog!AG142&lt;&gt;"",Catalog!AG142,Catalog!AE142)</f>
        <v>0</v>
      </c>
      <c r="L168" s="10">
        <f>Catalog!AD142</f>
        <v>0</v>
      </c>
      <c r="M168" s="10">
        <f>Catalog!V142</f>
        <v>0</v>
      </c>
      <c r="N168" s="10">
        <f>Catalog!Q142</f>
        <v>0</v>
      </c>
      <c r="O168" s="10">
        <f>Catalog!AF142</f>
        <v>0</v>
      </c>
    </row>
    <row r="169" spans="1:15" x14ac:dyDescent="0.25">
      <c r="A169" s="10">
        <f>Catalog!D143</f>
        <v>0</v>
      </c>
      <c r="B169" s="10">
        <f>Catalog!F143</f>
        <v>0</v>
      </c>
      <c r="C169" s="10" t="str">
        <f>IF(Catalog!I143="","",Catalog!I143)&amp;IF(AND(Catalog!I143&lt;&gt;"",Catalog!J143&lt;&gt;""),"; ","")&amp;IF(Catalog!J143="","",Catalog!J143)</f>
        <v/>
      </c>
      <c r="D169" s="10">
        <f>Catalog!P143</f>
        <v>0</v>
      </c>
      <c r="E169" s="10">
        <f>Catalog!R143</f>
        <v>0</v>
      </c>
      <c r="F169" s="10">
        <f>Catalog!M143</f>
        <v>0</v>
      </c>
      <c r="G169" s="10">
        <f>Catalog!K143</f>
        <v>0</v>
      </c>
      <c r="H169" s="10" t="str">
        <f>IF(Catalog!S143&lt;&gt;"","ISBN:"&amp;Catalog!S143,IF(Catalog!T143&lt;&gt;"","ISSN:"&amp;Catalog!T143,""))</f>
        <v/>
      </c>
      <c r="I169" s="10">
        <f>Catalog!B143</f>
        <v>0</v>
      </c>
      <c r="J169" s="10">
        <f>Catalog!L143</f>
        <v>0</v>
      </c>
      <c r="K169" s="10">
        <f>IF(Catalog!AG143&lt;&gt;"",Catalog!AG143,Catalog!AE143)</f>
        <v>0</v>
      </c>
      <c r="L169" s="10">
        <f>Catalog!AD143</f>
        <v>0</v>
      </c>
      <c r="M169" s="10">
        <f>Catalog!V143</f>
        <v>0</v>
      </c>
      <c r="N169" s="10">
        <f>Catalog!Q143</f>
        <v>0</v>
      </c>
      <c r="O169" s="10">
        <f>Catalog!AF143</f>
        <v>0</v>
      </c>
    </row>
    <row r="170" spans="1:15" x14ac:dyDescent="0.25">
      <c r="A170" s="10">
        <f>Catalog!D144</f>
        <v>0</v>
      </c>
      <c r="B170" s="10">
        <f>Catalog!F144</f>
        <v>0</v>
      </c>
      <c r="C170" s="10" t="str">
        <f>IF(Catalog!I144="","",Catalog!I144)&amp;IF(AND(Catalog!I144&lt;&gt;"",Catalog!J144&lt;&gt;""),"; ","")&amp;IF(Catalog!J144="","",Catalog!J144)</f>
        <v/>
      </c>
      <c r="D170" s="10">
        <f>Catalog!P144</f>
        <v>0</v>
      </c>
      <c r="E170" s="10">
        <f>Catalog!R144</f>
        <v>0</v>
      </c>
      <c r="F170" s="10">
        <f>Catalog!M144</f>
        <v>0</v>
      </c>
      <c r="G170" s="10">
        <f>Catalog!K144</f>
        <v>0</v>
      </c>
      <c r="H170" s="10" t="str">
        <f>IF(Catalog!S144&lt;&gt;"","ISBN:"&amp;Catalog!S144,IF(Catalog!T144&lt;&gt;"","ISSN:"&amp;Catalog!T144,""))</f>
        <v/>
      </c>
      <c r="I170" s="10">
        <f>Catalog!B144</f>
        <v>0</v>
      </c>
      <c r="J170" s="10">
        <f>Catalog!L144</f>
        <v>0</v>
      </c>
      <c r="K170" s="10">
        <f>IF(Catalog!AG144&lt;&gt;"",Catalog!AG144,Catalog!AE144)</f>
        <v>0</v>
      </c>
      <c r="L170" s="10">
        <f>Catalog!AD144</f>
        <v>0</v>
      </c>
      <c r="M170" s="10">
        <f>Catalog!V144</f>
        <v>0</v>
      </c>
      <c r="N170" s="10">
        <f>Catalog!Q144</f>
        <v>0</v>
      </c>
      <c r="O170" s="10">
        <f>Catalog!AF144</f>
        <v>0</v>
      </c>
    </row>
    <row r="171" spans="1:15" x14ac:dyDescent="0.25">
      <c r="A171" s="10">
        <f>Catalog!D145</f>
        <v>0</v>
      </c>
      <c r="B171" s="10">
        <f>Catalog!F145</f>
        <v>0</v>
      </c>
      <c r="C171" s="10" t="str">
        <f>IF(Catalog!I145="","",Catalog!I145)&amp;IF(AND(Catalog!I145&lt;&gt;"",Catalog!J145&lt;&gt;""),"; ","")&amp;IF(Catalog!J145="","",Catalog!J145)</f>
        <v/>
      </c>
      <c r="D171" s="10">
        <f>Catalog!P145</f>
        <v>0</v>
      </c>
      <c r="E171" s="10">
        <f>Catalog!R145</f>
        <v>0</v>
      </c>
      <c r="F171" s="10">
        <f>Catalog!M145</f>
        <v>0</v>
      </c>
      <c r="G171" s="10">
        <f>Catalog!K145</f>
        <v>0</v>
      </c>
      <c r="H171" s="10" t="str">
        <f>IF(Catalog!S145&lt;&gt;"","ISBN:"&amp;Catalog!S145,IF(Catalog!T145&lt;&gt;"","ISSN:"&amp;Catalog!T145,""))</f>
        <v/>
      </c>
      <c r="I171" s="10">
        <f>Catalog!B145</f>
        <v>0</v>
      </c>
      <c r="J171" s="10">
        <f>Catalog!L145</f>
        <v>0</v>
      </c>
      <c r="K171" s="10">
        <f>IF(Catalog!AG145&lt;&gt;"",Catalog!AG145,Catalog!AE145)</f>
        <v>0</v>
      </c>
      <c r="L171" s="10">
        <f>Catalog!AD145</f>
        <v>0</v>
      </c>
      <c r="M171" s="10">
        <f>Catalog!V145</f>
        <v>0</v>
      </c>
      <c r="N171" s="10">
        <f>Catalog!Q145</f>
        <v>0</v>
      </c>
      <c r="O171" s="10">
        <f>Catalog!AF145</f>
        <v>0</v>
      </c>
    </row>
    <row r="172" spans="1:15" x14ac:dyDescent="0.25">
      <c r="A172" s="10">
        <f>Catalog!D146</f>
        <v>0</v>
      </c>
      <c r="B172" s="10">
        <f>Catalog!F146</f>
        <v>0</v>
      </c>
      <c r="C172" s="10" t="str">
        <f>IF(Catalog!I146="","",Catalog!I146)&amp;IF(AND(Catalog!I146&lt;&gt;"",Catalog!J146&lt;&gt;""),"; ","")&amp;IF(Catalog!J146="","",Catalog!J146)</f>
        <v/>
      </c>
      <c r="D172" s="10">
        <f>Catalog!P146</f>
        <v>0</v>
      </c>
      <c r="E172" s="10">
        <f>Catalog!R146</f>
        <v>0</v>
      </c>
      <c r="F172" s="10">
        <f>Catalog!M146</f>
        <v>0</v>
      </c>
      <c r="G172" s="10">
        <f>Catalog!K146</f>
        <v>0</v>
      </c>
      <c r="H172" s="10" t="str">
        <f>IF(Catalog!S146&lt;&gt;"","ISBN:"&amp;Catalog!S146,IF(Catalog!T146&lt;&gt;"","ISSN:"&amp;Catalog!T146,""))</f>
        <v/>
      </c>
      <c r="I172" s="10">
        <f>Catalog!B146</f>
        <v>0</v>
      </c>
      <c r="J172" s="10">
        <f>Catalog!L146</f>
        <v>0</v>
      </c>
      <c r="K172" s="10">
        <f>IF(Catalog!AG146&lt;&gt;"",Catalog!AG146,Catalog!AE146)</f>
        <v>0</v>
      </c>
      <c r="L172" s="10">
        <f>Catalog!AD146</f>
        <v>0</v>
      </c>
      <c r="M172" s="10">
        <f>Catalog!V146</f>
        <v>0</v>
      </c>
      <c r="N172" s="10">
        <f>Catalog!Q146</f>
        <v>0</v>
      </c>
      <c r="O172" s="10">
        <f>Catalog!AF146</f>
        <v>0</v>
      </c>
    </row>
    <row r="173" spans="1:15" x14ac:dyDescent="0.25">
      <c r="A173" s="10">
        <f>Catalog!D147</f>
        <v>0</v>
      </c>
      <c r="B173" s="10">
        <f>Catalog!F147</f>
        <v>0</v>
      </c>
      <c r="C173" s="10" t="str">
        <f>IF(Catalog!I147="","",Catalog!I147)&amp;IF(AND(Catalog!I147&lt;&gt;"",Catalog!J147&lt;&gt;""),"; ","")&amp;IF(Catalog!J147="","",Catalog!J147)</f>
        <v/>
      </c>
      <c r="D173" s="10">
        <f>Catalog!P147</f>
        <v>0</v>
      </c>
      <c r="E173" s="10">
        <f>Catalog!R147</f>
        <v>0</v>
      </c>
      <c r="F173" s="10">
        <f>Catalog!M147</f>
        <v>0</v>
      </c>
      <c r="G173" s="10">
        <f>Catalog!K147</f>
        <v>0</v>
      </c>
      <c r="H173" s="10" t="str">
        <f>IF(Catalog!S147&lt;&gt;"","ISBN:"&amp;Catalog!S147,IF(Catalog!T147&lt;&gt;"","ISSN:"&amp;Catalog!T147,""))</f>
        <v/>
      </c>
      <c r="I173" s="10">
        <f>Catalog!B147</f>
        <v>0</v>
      </c>
      <c r="J173" s="10">
        <f>Catalog!L147</f>
        <v>0</v>
      </c>
      <c r="K173" s="10">
        <f>IF(Catalog!AG147&lt;&gt;"",Catalog!AG147,Catalog!AE147)</f>
        <v>0</v>
      </c>
      <c r="L173" s="10">
        <f>Catalog!AD147</f>
        <v>0</v>
      </c>
      <c r="M173" s="10">
        <f>Catalog!V147</f>
        <v>0</v>
      </c>
      <c r="N173" s="10">
        <f>Catalog!Q147</f>
        <v>0</v>
      </c>
      <c r="O173" s="10">
        <f>Catalog!AF147</f>
        <v>0</v>
      </c>
    </row>
    <row r="174" spans="1:15" x14ac:dyDescent="0.25">
      <c r="A174" s="10">
        <f>Catalog!D148</f>
        <v>0</v>
      </c>
      <c r="B174" s="10">
        <f>Catalog!F148</f>
        <v>0</v>
      </c>
      <c r="C174" s="10" t="str">
        <f>IF(Catalog!I148="","",Catalog!I148)&amp;IF(AND(Catalog!I148&lt;&gt;"",Catalog!J148&lt;&gt;""),"; ","")&amp;IF(Catalog!J148="","",Catalog!J148)</f>
        <v/>
      </c>
      <c r="D174" s="10">
        <f>Catalog!P148</f>
        <v>0</v>
      </c>
      <c r="E174" s="10">
        <f>Catalog!R148</f>
        <v>0</v>
      </c>
      <c r="F174" s="10">
        <f>Catalog!M148</f>
        <v>0</v>
      </c>
      <c r="G174" s="10">
        <f>Catalog!K148</f>
        <v>0</v>
      </c>
      <c r="H174" s="10" t="str">
        <f>IF(Catalog!S148&lt;&gt;"","ISBN:"&amp;Catalog!S148,IF(Catalog!T148&lt;&gt;"","ISSN:"&amp;Catalog!T148,""))</f>
        <v/>
      </c>
      <c r="I174" s="10">
        <f>Catalog!B148</f>
        <v>0</v>
      </c>
      <c r="J174" s="10">
        <f>Catalog!L148</f>
        <v>0</v>
      </c>
      <c r="K174" s="10">
        <f>IF(Catalog!AG148&lt;&gt;"",Catalog!AG148,Catalog!AE148)</f>
        <v>0</v>
      </c>
      <c r="L174" s="10">
        <f>Catalog!AD148</f>
        <v>0</v>
      </c>
      <c r="M174" s="10">
        <f>Catalog!V148</f>
        <v>0</v>
      </c>
      <c r="N174" s="10">
        <f>Catalog!Q148</f>
        <v>0</v>
      </c>
      <c r="O174" s="10">
        <f>Catalog!AF148</f>
        <v>0</v>
      </c>
    </row>
    <row r="175" spans="1:15" x14ac:dyDescent="0.25">
      <c r="A175" s="10">
        <f>Catalog!D149</f>
        <v>0</v>
      </c>
      <c r="B175" s="10">
        <f>Catalog!F149</f>
        <v>0</v>
      </c>
      <c r="C175" s="10" t="str">
        <f>IF(Catalog!I149="","",Catalog!I149)&amp;IF(AND(Catalog!I149&lt;&gt;"",Catalog!J149&lt;&gt;""),"; ","")&amp;IF(Catalog!J149="","",Catalog!J149)</f>
        <v/>
      </c>
      <c r="D175" s="10">
        <f>Catalog!P149</f>
        <v>0</v>
      </c>
      <c r="E175" s="10">
        <f>Catalog!R149</f>
        <v>0</v>
      </c>
      <c r="F175" s="10">
        <f>Catalog!M149</f>
        <v>0</v>
      </c>
      <c r="G175" s="10">
        <f>Catalog!K149</f>
        <v>0</v>
      </c>
      <c r="H175" s="10" t="str">
        <f>IF(Catalog!S149&lt;&gt;"","ISBN:"&amp;Catalog!S149,IF(Catalog!T149&lt;&gt;"","ISSN:"&amp;Catalog!T149,""))</f>
        <v/>
      </c>
      <c r="I175" s="10">
        <f>Catalog!B149</f>
        <v>0</v>
      </c>
      <c r="J175" s="10">
        <f>Catalog!L149</f>
        <v>0</v>
      </c>
      <c r="K175" s="10">
        <f>IF(Catalog!AG149&lt;&gt;"",Catalog!AG149,Catalog!AE149)</f>
        <v>0</v>
      </c>
      <c r="L175" s="10">
        <f>Catalog!AD149</f>
        <v>0</v>
      </c>
      <c r="M175" s="10">
        <f>Catalog!V149</f>
        <v>0</v>
      </c>
      <c r="N175" s="10">
        <f>Catalog!Q149</f>
        <v>0</v>
      </c>
      <c r="O175" s="10">
        <f>Catalog!AF149</f>
        <v>0</v>
      </c>
    </row>
    <row r="176" spans="1:15" x14ac:dyDescent="0.25">
      <c r="A176" s="10">
        <f>Catalog!D150</f>
        <v>0</v>
      </c>
      <c r="B176" s="10">
        <f>Catalog!F150</f>
        <v>0</v>
      </c>
      <c r="C176" s="10" t="str">
        <f>IF(Catalog!I150="","",Catalog!I150)&amp;IF(AND(Catalog!I150&lt;&gt;"",Catalog!J150&lt;&gt;""),"; ","")&amp;IF(Catalog!J150="","",Catalog!J150)</f>
        <v/>
      </c>
      <c r="D176" s="10">
        <f>Catalog!P150</f>
        <v>0</v>
      </c>
      <c r="E176" s="10">
        <f>Catalog!R150</f>
        <v>0</v>
      </c>
      <c r="F176" s="10">
        <f>Catalog!M150</f>
        <v>0</v>
      </c>
      <c r="G176" s="10">
        <f>Catalog!K150</f>
        <v>0</v>
      </c>
      <c r="H176" s="10" t="str">
        <f>IF(Catalog!S150&lt;&gt;"","ISBN:"&amp;Catalog!S150,IF(Catalog!T150&lt;&gt;"","ISSN:"&amp;Catalog!T150,""))</f>
        <v/>
      </c>
      <c r="I176" s="10">
        <f>Catalog!B150</f>
        <v>0</v>
      </c>
      <c r="J176" s="10">
        <f>Catalog!L150</f>
        <v>0</v>
      </c>
      <c r="K176" s="10">
        <f>IF(Catalog!AG150&lt;&gt;"",Catalog!AG150,Catalog!AE150)</f>
        <v>0</v>
      </c>
      <c r="L176" s="10">
        <f>Catalog!AD150</f>
        <v>0</v>
      </c>
      <c r="M176" s="10">
        <f>Catalog!V150</f>
        <v>0</v>
      </c>
      <c r="N176" s="10">
        <f>Catalog!Q150</f>
        <v>0</v>
      </c>
      <c r="O176" s="10">
        <f>Catalog!AF150</f>
        <v>0</v>
      </c>
    </row>
    <row r="177" spans="1:15" x14ac:dyDescent="0.25">
      <c r="A177" s="10">
        <f>Catalog!D151</f>
        <v>0</v>
      </c>
      <c r="B177" s="10">
        <f>Catalog!F151</f>
        <v>0</v>
      </c>
      <c r="C177" s="10" t="str">
        <f>IF(Catalog!I151="","",Catalog!I151)&amp;IF(AND(Catalog!I151&lt;&gt;"",Catalog!J151&lt;&gt;""),"; ","")&amp;IF(Catalog!J151="","",Catalog!J151)</f>
        <v/>
      </c>
      <c r="D177" s="10">
        <f>Catalog!P151</f>
        <v>0</v>
      </c>
      <c r="E177" s="10">
        <f>Catalog!R151</f>
        <v>0</v>
      </c>
      <c r="F177" s="10">
        <f>Catalog!M151</f>
        <v>0</v>
      </c>
      <c r="G177" s="10">
        <f>Catalog!K151</f>
        <v>0</v>
      </c>
      <c r="H177" s="10" t="str">
        <f>IF(Catalog!S151&lt;&gt;"","ISBN:"&amp;Catalog!S151,IF(Catalog!T151&lt;&gt;"","ISSN:"&amp;Catalog!T151,""))</f>
        <v/>
      </c>
      <c r="I177" s="10">
        <f>Catalog!B151</f>
        <v>0</v>
      </c>
      <c r="J177" s="10">
        <f>Catalog!L151</f>
        <v>0</v>
      </c>
      <c r="K177" s="10">
        <f>IF(Catalog!AG151&lt;&gt;"",Catalog!AG151,Catalog!AE151)</f>
        <v>0</v>
      </c>
      <c r="L177" s="10">
        <f>Catalog!AD151</f>
        <v>0</v>
      </c>
      <c r="M177" s="10">
        <f>Catalog!V151</f>
        <v>0</v>
      </c>
      <c r="N177" s="10">
        <f>Catalog!Q151</f>
        <v>0</v>
      </c>
      <c r="O177" s="10">
        <f>Catalog!AF151</f>
        <v>0</v>
      </c>
    </row>
    <row r="178" spans="1:15" x14ac:dyDescent="0.25">
      <c r="A178" s="10">
        <f>Catalog!D152</f>
        <v>0</v>
      </c>
      <c r="B178" s="10">
        <f>Catalog!F152</f>
        <v>0</v>
      </c>
      <c r="C178" s="10" t="str">
        <f>IF(Catalog!I152="","",Catalog!I152)&amp;IF(AND(Catalog!I152&lt;&gt;"",Catalog!J152&lt;&gt;""),"; ","")&amp;IF(Catalog!J152="","",Catalog!J152)</f>
        <v/>
      </c>
      <c r="D178" s="10">
        <f>Catalog!P152</f>
        <v>0</v>
      </c>
      <c r="E178" s="10">
        <f>Catalog!R152</f>
        <v>0</v>
      </c>
      <c r="F178" s="10">
        <f>Catalog!M152</f>
        <v>0</v>
      </c>
      <c r="G178" s="10">
        <f>Catalog!K152</f>
        <v>0</v>
      </c>
      <c r="H178" s="10" t="str">
        <f>IF(Catalog!S152&lt;&gt;"","ISBN:"&amp;Catalog!S152,IF(Catalog!T152&lt;&gt;"","ISSN:"&amp;Catalog!T152,""))</f>
        <v/>
      </c>
      <c r="I178" s="10">
        <f>Catalog!B152</f>
        <v>0</v>
      </c>
      <c r="J178" s="10">
        <f>Catalog!L152</f>
        <v>0</v>
      </c>
      <c r="K178" s="10">
        <f>IF(Catalog!AG152&lt;&gt;"",Catalog!AG152,Catalog!AE152)</f>
        <v>0</v>
      </c>
      <c r="L178" s="10">
        <f>Catalog!AD152</f>
        <v>0</v>
      </c>
      <c r="M178" s="10">
        <f>Catalog!V152</f>
        <v>0</v>
      </c>
      <c r="N178" s="10">
        <f>Catalog!Q152</f>
        <v>0</v>
      </c>
      <c r="O178" s="10">
        <f>Catalog!AF152</f>
        <v>0</v>
      </c>
    </row>
    <row r="179" spans="1:15" x14ac:dyDescent="0.25">
      <c r="A179" s="10">
        <f>Catalog!D153</f>
        <v>0</v>
      </c>
      <c r="B179" s="10">
        <f>Catalog!F153</f>
        <v>0</v>
      </c>
      <c r="C179" s="10" t="str">
        <f>IF(Catalog!I153="","",Catalog!I153)&amp;IF(AND(Catalog!I153&lt;&gt;"",Catalog!J153&lt;&gt;""),"; ","")&amp;IF(Catalog!J153="","",Catalog!J153)</f>
        <v/>
      </c>
      <c r="D179" s="10">
        <f>Catalog!P153</f>
        <v>0</v>
      </c>
      <c r="E179" s="10">
        <f>Catalog!R153</f>
        <v>0</v>
      </c>
      <c r="F179" s="10">
        <f>Catalog!M153</f>
        <v>0</v>
      </c>
      <c r="G179" s="10">
        <f>Catalog!K153</f>
        <v>0</v>
      </c>
      <c r="H179" s="10" t="str">
        <f>IF(Catalog!S153&lt;&gt;"","ISBN:"&amp;Catalog!S153,IF(Catalog!T153&lt;&gt;"","ISSN:"&amp;Catalog!T153,""))</f>
        <v/>
      </c>
      <c r="I179" s="10">
        <f>Catalog!B153</f>
        <v>0</v>
      </c>
      <c r="J179" s="10">
        <f>Catalog!L153</f>
        <v>0</v>
      </c>
      <c r="K179" s="10">
        <f>IF(Catalog!AG153&lt;&gt;"",Catalog!AG153,Catalog!AE153)</f>
        <v>0</v>
      </c>
      <c r="L179" s="10">
        <f>Catalog!AD153</f>
        <v>0</v>
      </c>
      <c r="M179" s="10">
        <f>Catalog!V153</f>
        <v>0</v>
      </c>
      <c r="N179" s="10">
        <f>Catalog!Q153</f>
        <v>0</v>
      </c>
      <c r="O179" s="10">
        <f>Catalog!AF153</f>
        <v>0</v>
      </c>
    </row>
    <row r="180" spans="1:15" x14ac:dyDescent="0.25">
      <c r="A180" s="10">
        <f>Catalog!D154</f>
        <v>0</v>
      </c>
      <c r="B180" s="10">
        <f>Catalog!F154</f>
        <v>0</v>
      </c>
      <c r="C180" s="10" t="str">
        <f>IF(Catalog!I154="","",Catalog!I154)&amp;IF(AND(Catalog!I154&lt;&gt;"",Catalog!J154&lt;&gt;""),"; ","")&amp;IF(Catalog!J154="","",Catalog!J154)</f>
        <v/>
      </c>
      <c r="D180" s="10">
        <f>Catalog!P154</f>
        <v>0</v>
      </c>
      <c r="E180" s="10">
        <f>Catalog!R154</f>
        <v>0</v>
      </c>
      <c r="F180" s="10">
        <f>Catalog!M154</f>
        <v>0</v>
      </c>
      <c r="G180" s="10">
        <f>Catalog!K154</f>
        <v>0</v>
      </c>
      <c r="H180" s="10" t="str">
        <f>IF(Catalog!S154&lt;&gt;"","ISBN:"&amp;Catalog!S154,IF(Catalog!T154&lt;&gt;"","ISSN:"&amp;Catalog!T154,""))</f>
        <v/>
      </c>
      <c r="I180" s="10">
        <f>Catalog!B154</f>
        <v>0</v>
      </c>
      <c r="J180" s="10">
        <f>Catalog!L154</f>
        <v>0</v>
      </c>
      <c r="K180" s="10">
        <f>IF(Catalog!AG154&lt;&gt;"",Catalog!AG154,Catalog!AE154)</f>
        <v>0</v>
      </c>
      <c r="L180" s="10">
        <f>Catalog!AD154</f>
        <v>0</v>
      </c>
      <c r="M180" s="10">
        <f>Catalog!V154</f>
        <v>0</v>
      </c>
      <c r="N180" s="10">
        <f>Catalog!Q154</f>
        <v>0</v>
      </c>
      <c r="O180" s="10">
        <f>Catalog!AF154</f>
        <v>0</v>
      </c>
    </row>
    <row r="181" spans="1:15" x14ac:dyDescent="0.25">
      <c r="A181" s="10">
        <f>Catalog!D155</f>
        <v>0</v>
      </c>
      <c r="B181" s="10">
        <f>Catalog!F155</f>
        <v>0</v>
      </c>
      <c r="C181" s="10" t="str">
        <f>IF(Catalog!I155="","",Catalog!I155)&amp;IF(AND(Catalog!I155&lt;&gt;"",Catalog!J155&lt;&gt;""),"; ","")&amp;IF(Catalog!J155="","",Catalog!J155)</f>
        <v/>
      </c>
      <c r="D181" s="10">
        <f>Catalog!P155</f>
        <v>0</v>
      </c>
      <c r="E181" s="10">
        <f>Catalog!R155</f>
        <v>0</v>
      </c>
      <c r="F181" s="10">
        <f>Catalog!M155</f>
        <v>0</v>
      </c>
      <c r="G181" s="10">
        <f>Catalog!K155</f>
        <v>0</v>
      </c>
      <c r="H181" s="10" t="str">
        <f>IF(Catalog!S155&lt;&gt;"","ISBN:"&amp;Catalog!S155,IF(Catalog!T155&lt;&gt;"","ISSN:"&amp;Catalog!T155,""))</f>
        <v/>
      </c>
      <c r="I181" s="10">
        <f>Catalog!B155</f>
        <v>0</v>
      </c>
      <c r="J181" s="10">
        <f>Catalog!L155</f>
        <v>0</v>
      </c>
      <c r="K181" s="10">
        <f>IF(Catalog!AG155&lt;&gt;"",Catalog!AG155,Catalog!AE155)</f>
        <v>0</v>
      </c>
      <c r="L181" s="10">
        <f>Catalog!AD155</f>
        <v>0</v>
      </c>
      <c r="M181" s="10">
        <f>Catalog!V155</f>
        <v>0</v>
      </c>
      <c r="N181" s="10">
        <f>Catalog!Q155</f>
        <v>0</v>
      </c>
      <c r="O181" s="10">
        <f>Catalog!AF155</f>
        <v>0</v>
      </c>
    </row>
    <row r="182" spans="1:15" x14ac:dyDescent="0.25">
      <c r="A182" s="10">
        <f>Catalog!D156</f>
        <v>0</v>
      </c>
      <c r="B182" s="10">
        <f>Catalog!F156</f>
        <v>0</v>
      </c>
      <c r="C182" s="10" t="str">
        <f>IF(Catalog!I156="","",Catalog!I156)&amp;IF(AND(Catalog!I156&lt;&gt;"",Catalog!J156&lt;&gt;""),"; ","")&amp;IF(Catalog!J156="","",Catalog!J156)</f>
        <v/>
      </c>
      <c r="D182" s="10">
        <f>Catalog!P156</f>
        <v>0</v>
      </c>
      <c r="E182" s="10">
        <f>Catalog!R156</f>
        <v>0</v>
      </c>
      <c r="F182" s="10">
        <f>Catalog!M156</f>
        <v>0</v>
      </c>
      <c r="G182" s="10">
        <f>Catalog!K156</f>
        <v>0</v>
      </c>
      <c r="H182" s="10" t="str">
        <f>IF(Catalog!S156&lt;&gt;"","ISBN:"&amp;Catalog!S156,IF(Catalog!T156&lt;&gt;"","ISSN:"&amp;Catalog!T156,""))</f>
        <v/>
      </c>
      <c r="I182" s="10">
        <f>Catalog!B156</f>
        <v>0</v>
      </c>
      <c r="J182" s="10">
        <f>Catalog!L156</f>
        <v>0</v>
      </c>
      <c r="K182" s="10">
        <f>IF(Catalog!AG156&lt;&gt;"",Catalog!AG156,Catalog!AE156)</f>
        <v>0</v>
      </c>
      <c r="L182" s="10">
        <f>Catalog!AD156</f>
        <v>0</v>
      </c>
      <c r="M182" s="10">
        <f>Catalog!V156</f>
        <v>0</v>
      </c>
      <c r="N182" s="10">
        <f>Catalog!Q156</f>
        <v>0</v>
      </c>
      <c r="O182" s="10">
        <f>Catalog!AF156</f>
        <v>0</v>
      </c>
    </row>
    <row r="183" spans="1:15" x14ac:dyDescent="0.25">
      <c r="A183" s="10">
        <f>Catalog!D157</f>
        <v>0</v>
      </c>
      <c r="B183" s="10">
        <f>Catalog!F157</f>
        <v>0</v>
      </c>
      <c r="C183" s="10" t="str">
        <f>IF(Catalog!I157="","",Catalog!I157)&amp;IF(AND(Catalog!I157&lt;&gt;"",Catalog!J157&lt;&gt;""),"; ","")&amp;IF(Catalog!J157="","",Catalog!J157)</f>
        <v/>
      </c>
      <c r="D183" s="10">
        <f>Catalog!P157</f>
        <v>0</v>
      </c>
      <c r="E183" s="10">
        <f>Catalog!R157</f>
        <v>0</v>
      </c>
      <c r="F183" s="10">
        <f>Catalog!M157</f>
        <v>0</v>
      </c>
      <c r="G183" s="10">
        <f>Catalog!K157</f>
        <v>0</v>
      </c>
      <c r="H183" s="10" t="str">
        <f>IF(Catalog!S157&lt;&gt;"","ISBN:"&amp;Catalog!S157,IF(Catalog!T157&lt;&gt;"","ISSN:"&amp;Catalog!T157,""))</f>
        <v/>
      </c>
      <c r="I183" s="10">
        <f>Catalog!B157</f>
        <v>0</v>
      </c>
      <c r="J183" s="10">
        <f>Catalog!L157</f>
        <v>0</v>
      </c>
      <c r="K183" s="10">
        <f>IF(Catalog!AG157&lt;&gt;"",Catalog!AG157,Catalog!AE157)</f>
        <v>0</v>
      </c>
      <c r="L183" s="10">
        <f>Catalog!AD157</f>
        <v>0</v>
      </c>
      <c r="M183" s="10">
        <f>Catalog!V157</f>
        <v>0</v>
      </c>
      <c r="N183" s="10">
        <f>Catalog!Q157</f>
        <v>0</v>
      </c>
      <c r="O183" s="10">
        <f>Catalog!AF157</f>
        <v>0</v>
      </c>
    </row>
    <row r="184" spans="1:15" x14ac:dyDescent="0.25">
      <c r="A184" s="10">
        <f>Catalog!D158</f>
        <v>0</v>
      </c>
      <c r="B184" s="10">
        <f>Catalog!F158</f>
        <v>0</v>
      </c>
      <c r="C184" s="10" t="str">
        <f>IF(Catalog!I158="","",Catalog!I158)&amp;IF(AND(Catalog!I158&lt;&gt;"",Catalog!J158&lt;&gt;""),"; ","")&amp;IF(Catalog!J158="","",Catalog!J158)</f>
        <v/>
      </c>
      <c r="D184" s="10">
        <f>Catalog!P158</f>
        <v>0</v>
      </c>
      <c r="E184" s="10">
        <f>Catalog!R158</f>
        <v>0</v>
      </c>
      <c r="F184" s="10">
        <f>Catalog!M158</f>
        <v>0</v>
      </c>
      <c r="G184" s="10">
        <f>Catalog!K158</f>
        <v>0</v>
      </c>
      <c r="H184" s="10" t="str">
        <f>IF(Catalog!S158&lt;&gt;"","ISBN:"&amp;Catalog!S158,IF(Catalog!T158&lt;&gt;"","ISSN:"&amp;Catalog!T158,""))</f>
        <v/>
      </c>
      <c r="I184" s="10">
        <f>Catalog!B158</f>
        <v>0</v>
      </c>
      <c r="J184" s="10">
        <f>Catalog!L158</f>
        <v>0</v>
      </c>
      <c r="K184" s="10">
        <f>IF(Catalog!AG158&lt;&gt;"",Catalog!AG158,Catalog!AE158)</f>
        <v>0</v>
      </c>
      <c r="L184" s="10">
        <f>Catalog!AD158</f>
        <v>0</v>
      </c>
      <c r="M184" s="10">
        <f>Catalog!V158</f>
        <v>0</v>
      </c>
      <c r="N184" s="10">
        <f>Catalog!Q158</f>
        <v>0</v>
      </c>
      <c r="O184" s="10">
        <f>Catalog!AF158</f>
        <v>0</v>
      </c>
    </row>
    <row r="185" spans="1:15" x14ac:dyDescent="0.25">
      <c r="A185" s="10">
        <f>Catalog!D159</f>
        <v>0</v>
      </c>
      <c r="B185" s="10">
        <f>Catalog!F159</f>
        <v>0</v>
      </c>
      <c r="C185" s="10" t="str">
        <f>IF(Catalog!I159="","",Catalog!I159)&amp;IF(AND(Catalog!I159&lt;&gt;"",Catalog!J159&lt;&gt;""),"; ","")&amp;IF(Catalog!J159="","",Catalog!J159)</f>
        <v/>
      </c>
      <c r="D185" s="10">
        <f>Catalog!P159</f>
        <v>0</v>
      </c>
      <c r="E185" s="10">
        <f>Catalog!R159</f>
        <v>0</v>
      </c>
      <c r="F185" s="10">
        <f>Catalog!M159</f>
        <v>0</v>
      </c>
      <c r="G185" s="10">
        <f>Catalog!K159</f>
        <v>0</v>
      </c>
      <c r="H185" s="10" t="str">
        <f>IF(Catalog!S159&lt;&gt;"","ISBN:"&amp;Catalog!S159,IF(Catalog!T159&lt;&gt;"","ISSN:"&amp;Catalog!T159,""))</f>
        <v/>
      </c>
      <c r="I185" s="10">
        <f>Catalog!B159</f>
        <v>0</v>
      </c>
      <c r="J185" s="10">
        <f>Catalog!L159</f>
        <v>0</v>
      </c>
      <c r="K185" s="10">
        <f>IF(Catalog!AG159&lt;&gt;"",Catalog!AG159,Catalog!AE159)</f>
        <v>0</v>
      </c>
      <c r="L185" s="10">
        <f>Catalog!AD159</f>
        <v>0</v>
      </c>
      <c r="M185" s="10">
        <f>Catalog!V159</f>
        <v>0</v>
      </c>
      <c r="N185" s="10">
        <f>Catalog!Q159</f>
        <v>0</v>
      </c>
      <c r="O185" s="10">
        <f>Catalog!AF159</f>
        <v>0</v>
      </c>
    </row>
    <row r="186" spans="1:15" x14ac:dyDescent="0.25">
      <c r="A186" s="10">
        <f>Catalog!D160</f>
        <v>0</v>
      </c>
      <c r="B186" s="10">
        <f>Catalog!F160</f>
        <v>0</v>
      </c>
      <c r="C186" s="10" t="str">
        <f>IF(Catalog!I160="","",Catalog!I160)&amp;IF(AND(Catalog!I160&lt;&gt;"",Catalog!J160&lt;&gt;""),"; ","")&amp;IF(Catalog!J160="","",Catalog!J160)</f>
        <v/>
      </c>
      <c r="D186" s="10">
        <f>Catalog!P160</f>
        <v>0</v>
      </c>
      <c r="E186" s="10">
        <f>Catalog!R160</f>
        <v>0</v>
      </c>
      <c r="F186" s="10">
        <f>Catalog!M160</f>
        <v>0</v>
      </c>
      <c r="G186" s="10">
        <f>Catalog!K160</f>
        <v>0</v>
      </c>
      <c r="H186" s="10" t="str">
        <f>IF(Catalog!S160&lt;&gt;"","ISBN:"&amp;Catalog!S160,IF(Catalog!T160&lt;&gt;"","ISSN:"&amp;Catalog!T160,""))</f>
        <v/>
      </c>
      <c r="I186" s="10">
        <f>Catalog!B160</f>
        <v>0</v>
      </c>
      <c r="J186" s="10">
        <f>Catalog!L160</f>
        <v>0</v>
      </c>
      <c r="K186" s="10">
        <f>IF(Catalog!AG160&lt;&gt;"",Catalog!AG160,Catalog!AE160)</f>
        <v>0</v>
      </c>
      <c r="L186" s="10">
        <f>Catalog!AD160</f>
        <v>0</v>
      </c>
      <c r="M186" s="10">
        <f>Catalog!V160</f>
        <v>0</v>
      </c>
      <c r="N186" s="10">
        <f>Catalog!Q160</f>
        <v>0</v>
      </c>
      <c r="O186" s="10">
        <f>Catalog!AF160</f>
        <v>0</v>
      </c>
    </row>
    <row r="187" spans="1:15" x14ac:dyDescent="0.25">
      <c r="A187" s="10">
        <f>Catalog!D161</f>
        <v>0</v>
      </c>
      <c r="B187" s="10">
        <f>Catalog!F161</f>
        <v>0</v>
      </c>
      <c r="C187" s="10" t="str">
        <f>IF(Catalog!I161="","",Catalog!I161)&amp;IF(AND(Catalog!I161&lt;&gt;"",Catalog!J161&lt;&gt;""),"; ","")&amp;IF(Catalog!J161="","",Catalog!J161)</f>
        <v/>
      </c>
      <c r="D187" s="10">
        <f>Catalog!P161</f>
        <v>0</v>
      </c>
      <c r="E187" s="10">
        <f>Catalog!R161</f>
        <v>0</v>
      </c>
      <c r="F187" s="10">
        <f>Catalog!M161</f>
        <v>0</v>
      </c>
      <c r="G187" s="10">
        <f>Catalog!K161</f>
        <v>0</v>
      </c>
      <c r="H187" s="10" t="str">
        <f>IF(Catalog!S161&lt;&gt;"","ISBN:"&amp;Catalog!S161,IF(Catalog!T161&lt;&gt;"","ISSN:"&amp;Catalog!T161,""))</f>
        <v/>
      </c>
      <c r="I187" s="10">
        <f>Catalog!B161</f>
        <v>0</v>
      </c>
      <c r="J187" s="10">
        <f>Catalog!L161</f>
        <v>0</v>
      </c>
      <c r="K187" s="10">
        <f>IF(Catalog!AG161&lt;&gt;"",Catalog!AG161,Catalog!AE161)</f>
        <v>0</v>
      </c>
      <c r="L187" s="10">
        <f>Catalog!AD161</f>
        <v>0</v>
      </c>
      <c r="M187" s="10">
        <f>Catalog!V161</f>
        <v>0</v>
      </c>
      <c r="N187" s="10">
        <f>Catalog!Q161</f>
        <v>0</v>
      </c>
      <c r="O187" s="10">
        <f>Catalog!AF161</f>
        <v>0</v>
      </c>
    </row>
    <row r="188" spans="1:15" x14ac:dyDescent="0.25">
      <c r="A188" s="10">
        <f>Catalog!D162</f>
        <v>0</v>
      </c>
      <c r="B188" s="10">
        <f>Catalog!F162</f>
        <v>0</v>
      </c>
      <c r="C188" s="10" t="str">
        <f>IF(Catalog!I162="","",Catalog!I162)&amp;IF(AND(Catalog!I162&lt;&gt;"",Catalog!J162&lt;&gt;""),"; ","")&amp;IF(Catalog!J162="","",Catalog!J162)</f>
        <v/>
      </c>
      <c r="D188" s="10">
        <f>Catalog!P162</f>
        <v>0</v>
      </c>
      <c r="E188" s="10">
        <f>Catalog!R162</f>
        <v>0</v>
      </c>
      <c r="F188" s="10">
        <f>Catalog!M162</f>
        <v>0</v>
      </c>
      <c r="G188" s="10">
        <f>Catalog!K162</f>
        <v>0</v>
      </c>
      <c r="H188" s="10" t="str">
        <f>IF(Catalog!S162&lt;&gt;"","ISBN:"&amp;Catalog!S162,IF(Catalog!T162&lt;&gt;"","ISSN:"&amp;Catalog!T162,""))</f>
        <v/>
      </c>
      <c r="I188" s="10">
        <f>Catalog!B162</f>
        <v>0</v>
      </c>
      <c r="J188" s="10">
        <f>Catalog!L162</f>
        <v>0</v>
      </c>
      <c r="K188" s="10">
        <f>IF(Catalog!AG162&lt;&gt;"",Catalog!AG162,Catalog!AE162)</f>
        <v>0</v>
      </c>
      <c r="L188" s="10">
        <f>Catalog!AD162</f>
        <v>0</v>
      </c>
      <c r="M188" s="10">
        <f>Catalog!V162</f>
        <v>0</v>
      </c>
      <c r="N188" s="10">
        <f>Catalog!Q162</f>
        <v>0</v>
      </c>
      <c r="O188" s="10">
        <f>Catalog!AF162</f>
        <v>0</v>
      </c>
    </row>
    <row r="189" spans="1:15" x14ac:dyDescent="0.25">
      <c r="A189" s="10">
        <f>Catalog!D163</f>
        <v>0</v>
      </c>
      <c r="B189" s="10">
        <f>Catalog!F163</f>
        <v>0</v>
      </c>
      <c r="C189" s="10" t="str">
        <f>IF(Catalog!I163="","",Catalog!I163)&amp;IF(AND(Catalog!I163&lt;&gt;"",Catalog!J163&lt;&gt;""),"; ","")&amp;IF(Catalog!J163="","",Catalog!J163)</f>
        <v/>
      </c>
      <c r="D189" s="10">
        <f>Catalog!P163</f>
        <v>0</v>
      </c>
      <c r="E189" s="10">
        <f>Catalog!R163</f>
        <v>0</v>
      </c>
      <c r="F189" s="10">
        <f>Catalog!M163</f>
        <v>0</v>
      </c>
      <c r="G189" s="10">
        <f>Catalog!K163</f>
        <v>0</v>
      </c>
      <c r="H189" s="10" t="str">
        <f>IF(Catalog!S163&lt;&gt;"","ISBN:"&amp;Catalog!S163,IF(Catalog!T163&lt;&gt;"","ISSN:"&amp;Catalog!T163,""))</f>
        <v/>
      </c>
      <c r="I189" s="10">
        <f>Catalog!B163</f>
        <v>0</v>
      </c>
      <c r="J189" s="10">
        <f>Catalog!L163</f>
        <v>0</v>
      </c>
      <c r="K189" s="10">
        <f>IF(Catalog!AG163&lt;&gt;"",Catalog!AG163,Catalog!AE163)</f>
        <v>0</v>
      </c>
      <c r="L189" s="10">
        <f>Catalog!AD163</f>
        <v>0</v>
      </c>
      <c r="M189" s="10">
        <f>Catalog!V163</f>
        <v>0</v>
      </c>
      <c r="N189" s="10">
        <f>Catalog!Q163</f>
        <v>0</v>
      </c>
      <c r="O189" s="10">
        <f>Catalog!AF163</f>
        <v>0</v>
      </c>
    </row>
    <row r="190" spans="1:15" x14ac:dyDescent="0.25">
      <c r="A190" s="10">
        <f>Catalog!D164</f>
        <v>0</v>
      </c>
      <c r="B190" s="10">
        <f>Catalog!F164</f>
        <v>0</v>
      </c>
      <c r="C190" s="10" t="str">
        <f>IF(Catalog!I164="","",Catalog!I164)&amp;IF(AND(Catalog!I164&lt;&gt;"",Catalog!J164&lt;&gt;""),"; ","")&amp;IF(Catalog!J164="","",Catalog!J164)</f>
        <v/>
      </c>
      <c r="D190" s="10">
        <f>Catalog!P164</f>
        <v>0</v>
      </c>
      <c r="E190" s="10">
        <f>Catalog!R164</f>
        <v>0</v>
      </c>
      <c r="F190" s="10">
        <f>Catalog!M164</f>
        <v>0</v>
      </c>
      <c r="G190" s="10">
        <f>Catalog!K164</f>
        <v>0</v>
      </c>
      <c r="H190" s="10" t="str">
        <f>IF(Catalog!S164&lt;&gt;"","ISBN:"&amp;Catalog!S164,IF(Catalog!T164&lt;&gt;"","ISSN:"&amp;Catalog!T164,""))</f>
        <v/>
      </c>
      <c r="I190" s="10">
        <f>Catalog!B164</f>
        <v>0</v>
      </c>
      <c r="J190" s="10">
        <f>Catalog!L164</f>
        <v>0</v>
      </c>
      <c r="K190" s="10">
        <f>IF(Catalog!AG164&lt;&gt;"",Catalog!AG164,Catalog!AE164)</f>
        <v>0</v>
      </c>
      <c r="L190" s="10">
        <f>Catalog!AD164</f>
        <v>0</v>
      </c>
      <c r="M190" s="10">
        <f>Catalog!V164</f>
        <v>0</v>
      </c>
      <c r="N190" s="10">
        <f>Catalog!Q164</f>
        <v>0</v>
      </c>
      <c r="O190" s="10">
        <f>Catalog!AF164</f>
        <v>0</v>
      </c>
    </row>
    <row r="191" spans="1:15" x14ac:dyDescent="0.25">
      <c r="A191" s="10">
        <f>Catalog!D165</f>
        <v>0</v>
      </c>
      <c r="B191" s="10">
        <f>Catalog!F165</f>
        <v>0</v>
      </c>
      <c r="C191" s="10" t="str">
        <f>IF(Catalog!I165="","",Catalog!I165)&amp;IF(AND(Catalog!I165&lt;&gt;"",Catalog!J165&lt;&gt;""),"; ","")&amp;IF(Catalog!J165="","",Catalog!J165)</f>
        <v/>
      </c>
      <c r="D191" s="10">
        <f>Catalog!P165</f>
        <v>0</v>
      </c>
      <c r="E191" s="10">
        <f>Catalog!R165</f>
        <v>0</v>
      </c>
      <c r="F191" s="10">
        <f>Catalog!M165</f>
        <v>0</v>
      </c>
      <c r="G191" s="10">
        <f>Catalog!K165</f>
        <v>0</v>
      </c>
      <c r="H191" s="10" t="str">
        <f>IF(Catalog!S165&lt;&gt;"","ISBN:"&amp;Catalog!S165,IF(Catalog!T165&lt;&gt;"","ISSN:"&amp;Catalog!T165,""))</f>
        <v/>
      </c>
      <c r="I191" s="10">
        <f>Catalog!B165</f>
        <v>0</v>
      </c>
      <c r="J191" s="10">
        <f>Catalog!L165</f>
        <v>0</v>
      </c>
      <c r="K191" s="10">
        <f>IF(Catalog!AG165&lt;&gt;"",Catalog!AG165,Catalog!AE165)</f>
        <v>0</v>
      </c>
      <c r="L191" s="10">
        <f>Catalog!AD165</f>
        <v>0</v>
      </c>
      <c r="M191" s="10">
        <f>Catalog!V165</f>
        <v>0</v>
      </c>
      <c r="N191" s="10">
        <f>Catalog!Q165</f>
        <v>0</v>
      </c>
      <c r="O191" s="10">
        <f>Catalog!AF165</f>
        <v>0</v>
      </c>
    </row>
    <row r="192" spans="1:15" x14ac:dyDescent="0.25">
      <c r="A192" s="10">
        <f>Catalog!D166</f>
        <v>0</v>
      </c>
      <c r="B192" s="10">
        <f>Catalog!F166</f>
        <v>0</v>
      </c>
      <c r="C192" s="10" t="str">
        <f>IF(Catalog!I166="","",Catalog!I166)&amp;IF(AND(Catalog!I166&lt;&gt;"",Catalog!J166&lt;&gt;""),"; ","")&amp;IF(Catalog!J166="","",Catalog!J166)</f>
        <v/>
      </c>
      <c r="D192" s="10">
        <f>Catalog!P166</f>
        <v>0</v>
      </c>
      <c r="E192" s="10">
        <f>Catalog!R166</f>
        <v>0</v>
      </c>
      <c r="F192" s="10">
        <f>Catalog!M166</f>
        <v>0</v>
      </c>
      <c r="G192" s="10">
        <f>Catalog!K166</f>
        <v>0</v>
      </c>
      <c r="H192" s="10" t="str">
        <f>IF(Catalog!S166&lt;&gt;"","ISBN:"&amp;Catalog!S166,IF(Catalog!T166&lt;&gt;"","ISSN:"&amp;Catalog!T166,""))</f>
        <v/>
      </c>
      <c r="I192" s="10">
        <f>Catalog!B166</f>
        <v>0</v>
      </c>
      <c r="J192" s="10">
        <f>Catalog!L166</f>
        <v>0</v>
      </c>
      <c r="K192" s="10">
        <f>IF(Catalog!AG166&lt;&gt;"",Catalog!AG166,Catalog!AE166)</f>
        <v>0</v>
      </c>
      <c r="L192" s="10">
        <f>Catalog!AD166</f>
        <v>0</v>
      </c>
      <c r="M192" s="10">
        <f>Catalog!V166</f>
        <v>0</v>
      </c>
      <c r="N192" s="10">
        <f>Catalog!Q166</f>
        <v>0</v>
      </c>
      <c r="O192" s="10">
        <f>Catalog!AF166</f>
        <v>0</v>
      </c>
    </row>
    <row r="193" spans="1:15" x14ac:dyDescent="0.25">
      <c r="A193" s="10">
        <f>Catalog!D167</f>
        <v>0</v>
      </c>
      <c r="B193" s="10">
        <f>Catalog!F167</f>
        <v>0</v>
      </c>
      <c r="C193" s="10" t="str">
        <f>IF(Catalog!I167="","",Catalog!I167)&amp;IF(AND(Catalog!I167&lt;&gt;"",Catalog!J167&lt;&gt;""),"; ","")&amp;IF(Catalog!J167="","",Catalog!J167)</f>
        <v/>
      </c>
      <c r="D193" s="10">
        <f>Catalog!P167</f>
        <v>0</v>
      </c>
      <c r="E193" s="10">
        <f>Catalog!R167</f>
        <v>0</v>
      </c>
      <c r="F193" s="10">
        <f>Catalog!M167</f>
        <v>0</v>
      </c>
      <c r="G193" s="10">
        <f>Catalog!K167</f>
        <v>0</v>
      </c>
      <c r="H193" s="10" t="str">
        <f>IF(Catalog!S167&lt;&gt;"","ISBN:"&amp;Catalog!S167,IF(Catalog!T167&lt;&gt;"","ISSN:"&amp;Catalog!T167,""))</f>
        <v/>
      </c>
      <c r="I193" s="10">
        <f>Catalog!B167</f>
        <v>0</v>
      </c>
      <c r="J193" s="10">
        <f>Catalog!L167</f>
        <v>0</v>
      </c>
      <c r="K193" s="10">
        <f>IF(Catalog!AG167&lt;&gt;"",Catalog!AG167,Catalog!AE167)</f>
        <v>0</v>
      </c>
      <c r="L193" s="10">
        <f>Catalog!AD167</f>
        <v>0</v>
      </c>
      <c r="M193" s="10">
        <f>Catalog!V167</f>
        <v>0</v>
      </c>
      <c r="N193" s="10">
        <f>Catalog!Q167</f>
        <v>0</v>
      </c>
      <c r="O193" s="10">
        <f>Catalog!AF167</f>
        <v>0</v>
      </c>
    </row>
    <row r="194" spans="1:15" x14ac:dyDescent="0.25">
      <c r="A194" s="10">
        <f>Catalog!D168</f>
        <v>0</v>
      </c>
      <c r="B194" s="10">
        <f>Catalog!F168</f>
        <v>0</v>
      </c>
      <c r="C194" s="10" t="str">
        <f>IF(Catalog!I168="","",Catalog!I168)&amp;IF(AND(Catalog!I168&lt;&gt;"",Catalog!J168&lt;&gt;""),"; ","")&amp;IF(Catalog!J168="","",Catalog!J168)</f>
        <v/>
      </c>
      <c r="D194" s="10">
        <f>Catalog!P168</f>
        <v>0</v>
      </c>
      <c r="E194" s="10">
        <f>Catalog!R168</f>
        <v>0</v>
      </c>
      <c r="F194" s="10">
        <f>Catalog!M168</f>
        <v>0</v>
      </c>
      <c r="G194" s="10">
        <f>Catalog!K168</f>
        <v>0</v>
      </c>
      <c r="H194" s="10" t="str">
        <f>IF(Catalog!S168&lt;&gt;"","ISBN:"&amp;Catalog!S168,IF(Catalog!T168&lt;&gt;"","ISSN:"&amp;Catalog!T168,""))</f>
        <v/>
      </c>
      <c r="I194" s="10">
        <f>Catalog!B168</f>
        <v>0</v>
      </c>
      <c r="J194" s="10">
        <f>Catalog!L168</f>
        <v>0</v>
      </c>
      <c r="K194" s="10">
        <f>IF(Catalog!AG168&lt;&gt;"",Catalog!AG168,Catalog!AE168)</f>
        <v>0</v>
      </c>
      <c r="L194" s="10">
        <f>Catalog!AD168</f>
        <v>0</v>
      </c>
      <c r="M194" s="10">
        <f>Catalog!V168</f>
        <v>0</v>
      </c>
      <c r="N194" s="10">
        <f>Catalog!Q168</f>
        <v>0</v>
      </c>
      <c r="O194" s="10">
        <f>Catalog!AF168</f>
        <v>0</v>
      </c>
    </row>
    <row r="195" spans="1:15" x14ac:dyDescent="0.25">
      <c r="A195" s="10">
        <f>Catalog!D169</f>
        <v>0</v>
      </c>
      <c r="B195" s="10">
        <f>Catalog!F169</f>
        <v>0</v>
      </c>
      <c r="C195" s="10" t="str">
        <f>IF(Catalog!I169="","",Catalog!I169)&amp;IF(AND(Catalog!I169&lt;&gt;"",Catalog!J169&lt;&gt;""),"; ","")&amp;IF(Catalog!J169="","",Catalog!J169)</f>
        <v/>
      </c>
      <c r="D195" s="10">
        <f>Catalog!P169</f>
        <v>0</v>
      </c>
      <c r="E195" s="10">
        <f>Catalog!R169</f>
        <v>0</v>
      </c>
      <c r="F195" s="10">
        <f>Catalog!M169</f>
        <v>0</v>
      </c>
      <c r="G195" s="10">
        <f>Catalog!K169</f>
        <v>0</v>
      </c>
      <c r="H195" s="10" t="str">
        <f>IF(Catalog!S169&lt;&gt;"","ISBN:"&amp;Catalog!S169,IF(Catalog!T169&lt;&gt;"","ISSN:"&amp;Catalog!T169,""))</f>
        <v/>
      </c>
      <c r="I195" s="10">
        <f>Catalog!B169</f>
        <v>0</v>
      </c>
      <c r="J195" s="10">
        <f>Catalog!L169</f>
        <v>0</v>
      </c>
      <c r="K195" s="10">
        <f>IF(Catalog!AG169&lt;&gt;"",Catalog!AG169,Catalog!AE169)</f>
        <v>0</v>
      </c>
      <c r="L195" s="10">
        <f>Catalog!AD169</f>
        <v>0</v>
      </c>
      <c r="M195" s="10">
        <f>Catalog!V169</f>
        <v>0</v>
      </c>
      <c r="N195" s="10">
        <f>Catalog!Q169</f>
        <v>0</v>
      </c>
      <c r="O195" s="10">
        <f>Catalog!AF169</f>
        <v>0</v>
      </c>
    </row>
    <row r="196" spans="1:15" x14ac:dyDescent="0.25">
      <c r="A196" s="10">
        <f>Catalog!D170</f>
        <v>0</v>
      </c>
      <c r="B196" s="10">
        <f>Catalog!F170</f>
        <v>0</v>
      </c>
      <c r="C196" s="10" t="str">
        <f>IF(Catalog!I170="","",Catalog!I170)&amp;IF(AND(Catalog!I170&lt;&gt;"",Catalog!J170&lt;&gt;""),"; ","")&amp;IF(Catalog!J170="","",Catalog!J170)</f>
        <v/>
      </c>
      <c r="D196" s="10">
        <f>Catalog!P170</f>
        <v>0</v>
      </c>
      <c r="E196" s="10">
        <f>Catalog!R170</f>
        <v>0</v>
      </c>
      <c r="F196" s="10">
        <f>Catalog!M170</f>
        <v>0</v>
      </c>
      <c r="G196" s="10">
        <f>Catalog!K170</f>
        <v>0</v>
      </c>
      <c r="H196" s="10" t="str">
        <f>IF(Catalog!S170&lt;&gt;"","ISBN:"&amp;Catalog!S170,IF(Catalog!T170&lt;&gt;"","ISSN:"&amp;Catalog!T170,""))</f>
        <v/>
      </c>
      <c r="I196" s="10">
        <f>Catalog!B170</f>
        <v>0</v>
      </c>
      <c r="J196" s="10">
        <f>Catalog!L170</f>
        <v>0</v>
      </c>
      <c r="K196" s="10">
        <f>IF(Catalog!AG170&lt;&gt;"",Catalog!AG170,Catalog!AE170)</f>
        <v>0</v>
      </c>
      <c r="L196" s="10">
        <f>Catalog!AD170</f>
        <v>0</v>
      </c>
      <c r="M196" s="10">
        <f>Catalog!V170</f>
        <v>0</v>
      </c>
      <c r="N196" s="10">
        <f>Catalog!Q170</f>
        <v>0</v>
      </c>
      <c r="O196" s="10">
        <f>Catalog!AF170</f>
        <v>0</v>
      </c>
    </row>
    <row r="197" spans="1:15" x14ac:dyDescent="0.25">
      <c r="A197" s="10">
        <f>Catalog!D171</f>
        <v>0</v>
      </c>
      <c r="B197" s="10">
        <f>Catalog!F171</f>
        <v>0</v>
      </c>
      <c r="C197" s="10" t="str">
        <f>IF(Catalog!I171="","",Catalog!I171)&amp;IF(AND(Catalog!I171&lt;&gt;"",Catalog!J171&lt;&gt;""),"; ","")&amp;IF(Catalog!J171="","",Catalog!J171)</f>
        <v/>
      </c>
      <c r="D197" s="10">
        <f>Catalog!P171</f>
        <v>0</v>
      </c>
      <c r="E197" s="10">
        <f>Catalog!R171</f>
        <v>0</v>
      </c>
      <c r="F197" s="10">
        <f>Catalog!M171</f>
        <v>0</v>
      </c>
      <c r="G197" s="10">
        <f>Catalog!K171</f>
        <v>0</v>
      </c>
      <c r="H197" s="10" t="str">
        <f>IF(Catalog!S171&lt;&gt;"","ISBN:"&amp;Catalog!S171,IF(Catalog!T171&lt;&gt;"","ISSN:"&amp;Catalog!T171,""))</f>
        <v/>
      </c>
      <c r="I197" s="10">
        <f>Catalog!B171</f>
        <v>0</v>
      </c>
      <c r="J197" s="10">
        <f>Catalog!L171</f>
        <v>0</v>
      </c>
      <c r="K197" s="10">
        <f>IF(Catalog!AG171&lt;&gt;"",Catalog!AG171,Catalog!AE171)</f>
        <v>0</v>
      </c>
      <c r="L197" s="10">
        <f>Catalog!AD171</f>
        <v>0</v>
      </c>
      <c r="M197" s="10">
        <f>Catalog!V171</f>
        <v>0</v>
      </c>
      <c r="N197" s="10">
        <f>Catalog!Q171</f>
        <v>0</v>
      </c>
      <c r="O197" s="10">
        <f>Catalog!AF171</f>
        <v>0</v>
      </c>
    </row>
    <row r="198" spans="1:15" x14ac:dyDescent="0.25">
      <c r="A198" s="10">
        <f>Catalog!D172</f>
        <v>0</v>
      </c>
      <c r="B198" s="10">
        <f>Catalog!F172</f>
        <v>0</v>
      </c>
      <c r="C198" s="10" t="str">
        <f>IF(Catalog!I172="","",Catalog!I172)&amp;IF(AND(Catalog!I172&lt;&gt;"",Catalog!J172&lt;&gt;""),"; ","")&amp;IF(Catalog!J172="","",Catalog!J172)</f>
        <v/>
      </c>
      <c r="D198" s="10">
        <f>Catalog!P172</f>
        <v>0</v>
      </c>
      <c r="E198" s="10">
        <f>Catalog!R172</f>
        <v>0</v>
      </c>
      <c r="F198" s="10">
        <f>Catalog!M172</f>
        <v>0</v>
      </c>
      <c r="G198" s="10">
        <f>Catalog!K172</f>
        <v>0</v>
      </c>
      <c r="H198" s="10" t="str">
        <f>IF(Catalog!S172&lt;&gt;"","ISBN:"&amp;Catalog!S172,IF(Catalog!T172&lt;&gt;"","ISSN:"&amp;Catalog!T172,""))</f>
        <v/>
      </c>
      <c r="I198" s="10">
        <f>Catalog!B172</f>
        <v>0</v>
      </c>
      <c r="J198" s="10">
        <f>Catalog!L172</f>
        <v>0</v>
      </c>
      <c r="K198" s="10">
        <f>IF(Catalog!AG172&lt;&gt;"",Catalog!AG172,Catalog!AE172)</f>
        <v>0</v>
      </c>
      <c r="L198" s="10">
        <f>Catalog!AD172</f>
        <v>0</v>
      </c>
      <c r="M198" s="10">
        <f>Catalog!V172</f>
        <v>0</v>
      </c>
      <c r="N198" s="10">
        <f>Catalog!Q172</f>
        <v>0</v>
      </c>
      <c r="O198" s="10">
        <f>Catalog!AF172</f>
        <v>0</v>
      </c>
    </row>
    <row r="199" spans="1:15" x14ac:dyDescent="0.25">
      <c r="A199" s="10">
        <f>Catalog!D173</f>
        <v>0</v>
      </c>
      <c r="B199" s="10">
        <f>Catalog!F173</f>
        <v>0</v>
      </c>
      <c r="C199" s="10" t="str">
        <f>IF(Catalog!I173="","",Catalog!I173)&amp;IF(AND(Catalog!I173&lt;&gt;"",Catalog!J173&lt;&gt;""),"; ","")&amp;IF(Catalog!J173="","",Catalog!J173)</f>
        <v/>
      </c>
      <c r="D199" s="10">
        <f>Catalog!P173</f>
        <v>0</v>
      </c>
      <c r="E199" s="10">
        <f>Catalog!R173</f>
        <v>0</v>
      </c>
      <c r="F199" s="10">
        <f>Catalog!M173</f>
        <v>0</v>
      </c>
      <c r="G199" s="10">
        <f>Catalog!K173</f>
        <v>0</v>
      </c>
      <c r="H199" s="10" t="str">
        <f>IF(Catalog!S173&lt;&gt;"","ISBN:"&amp;Catalog!S173,IF(Catalog!T173&lt;&gt;"","ISSN:"&amp;Catalog!T173,""))</f>
        <v/>
      </c>
      <c r="I199" s="10">
        <f>Catalog!B173</f>
        <v>0</v>
      </c>
      <c r="J199" s="10">
        <f>Catalog!L173</f>
        <v>0</v>
      </c>
      <c r="K199" s="10">
        <f>IF(Catalog!AG173&lt;&gt;"",Catalog!AG173,Catalog!AE173)</f>
        <v>0</v>
      </c>
      <c r="L199" s="10">
        <f>Catalog!AD173</f>
        <v>0</v>
      </c>
      <c r="M199" s="10">
        <f>Catalog!V173</f>
        <v>0</v>
      </c>
      <c r="N199" s="10">
        <f>Catalog!Q173</f>
        <v>0</v>
      </c>
      <c r="O199" s="10">
        <f>Catalog!AF173</f>
        <v>0</v>
      </c>
    </row>
    <row r="200" spans="1:15" x14ac:dyDescent="0.25">
      <c r="A200" s="10">
        <f>Catalog!D174</f>
        <v>0</v>
      </c>
      <c r="B200" s="10">
        <f>Catalog!F174</f>
        <v>0</v>
      </c>
      <c r="C200" s="10" t="str">
        <f>IF(Catalog!I174="","",Catalog!I174)&amp;IF(AND(Catalog!I174&lt;&gt;"",Catalog!J174&lt;&gt;""),"; ","")&amp;IF(Catalog!J174="","",Catalog!J174)</f>
        <v/>
      </c>
      <c r="D200" s="10">
        <f>Catalog!P174</f>
        <v>0</v>
      </c>
      <c r="E200" s="10">
        <f>Catalog!R174</f>
        <v>0</v>
      </c>
      <c r="F200" s="10">
        <f>Catalog!M174</f>
        <v>0</v>
      </c>
      <c r="G200" s="10">
        <f>Catalog!K174</f>
        <v>0</v>
      </c>
      <c r="H200" s="10" t="str">
        <f>IF(Catalog!S174&lt;&gt;"","ISBN:"&amp;Catalog!S174,IF(Catalog!T174&lt;&gt;"","ISSN:"&amp;Catalog!T174,""))</f>
        <v/>
      </c>
      <c r="I200" s="10">
        <f>Catalog!B174</f>
        <v>0</v>
      </c>
      <c r="J200" s="10">
        <f>Catalog!L174</f>
        <v>0</v>
      </c>
      <c r="K200" s="10">
        <f>IF(Catalog!AG174&lt;&gt;"",Catalog!AG174,Catalog!AE174)</f>
        <v>0</v>
      </c>
      <c r="L200" s="10">
        <f>Catalog!AD174</f>
        <v>0</v>
      </c>
      <c r="M200" s="10">
        <f>Catalog!V174</f>
        <v>0</v>
      </c>
      <c r="N200" s="10">
        <f>Catalog!Q174</f>
        <v>0</v>
      </c>
      <c r="O200" s="10">
        <f>Catalog!AF174</f>
        <v>0</v>
      </c>
    </row>
    <row r="201" spans="1:15" x14ac:dyDescent="0.25">
      <c r="A201" s="10">
        <f>Catalog!D175</f>
        <v>0</v>
      </c>
      <c r="B201" s="10">
        <f>Catalog!F175</f>
        <v>0</v>
      </c>
      <c r="C201" s="10" t="str">
        <f>IF(Catalog!I175="","",Catalog!I175)&amp;IF(AND(Catalog!I175&lt;&gt;"",Catalog!J175&lt;&gt;""),"; ","")&amp;IF(Catalog!J175="","",Catalog!J175)</f>
        <v/>
      </c>
      <c r="D201" s="10">
        <f>Catalog!P175</f>
        <v>0</v>
      </c>
      <c r="E201" s="10">
        <f>Catalog!R175</f>
        <v>0</v>
      </c>
      <c r="F201" s="10">
        <f>Catalog!M175</f>
        <v>0</v>
      </c>
      <c r="G201" s="10">
        <f>Catalog!K175</f>
        <v>0</v>
      </c>
      <c r="H201" s="10" t="str">
        <f>IF(Catalog!S175&lt;&gt;"","ISBN:"&amp;Catalog!S175,IF(Catalog!T175&lt;&gt;"","ISSN:"&amp;Catalog!T175,""))</f>
        <v/>
      </c>
      <c r="I201" s="10">
        <f>Catalog!B175</f>
        <v>0</v>
      </c>
      <c r="J201" s="10">
        <f>Catalog!L175</f>
        <v>0</v>
      </c>
      <c r="K201" s="10">
        <f>IF(Catalog!AG175&lt;&gt;"",Catalog!AG175,Catalog!AE175)</f>
        <v>0</v>
      </c>
      <c r="L201" s="10">
        <f>Catalog!AD175</f>
        <v>0</v>
      </c>
      <c r="M201" s="10">
        <f>Catalog!V175</f>
        <v>0</v>
      </c>
      <c r="N201" s="10">
        <f>Catalog!Q175</f>
        <v>0</v>
      </c>
      <c r="O201" s="10">
        <f>Catalog!AF175</f>
        <v>0</v>
      </c>
    </row>
    <row r="202" spans="1:15" x14ac:dyDescent="0.25">
      <c r="A202" s="10">
        <f>Catalog!D176</f>
        <v>0</v>
      </c>
      <c r="B202" s="10">
        <f>Catalog!F176</f>
        <v>0</v>
      </c>
      <c r="C202" s="10" t="str">
        <f>IF(Catalog!I176="","",Catalog!I176)&amp;IF(AND(Catalog!I176&lt;&gt;"",Catalog!J176&lt;&gt;""),"; ","")&amp;IF(Catalog!J176="","",Catalog!J176)</f>
        <v/>
      </c>
      <c r="D202" s="10">
        <f>Catalog!P176</f>
        <v>0</v>
      </c>
      <c r="E202" s="10">
        <f>Catalog!R176</f>
        <v>0</v>
      </c>
      <c r="F202" s="10">
        <f>Catalog!M176</f>
        <v>0</v>
      </c>
      <c r="G202" s="10">
        <f>Catalog!K176</f>
        <v>0</v>
      </c>
      <c r="H202" s="10" t="str">
        <f>IF(Catalog!S176&lt;&gt;"","ISBN:"&amp;Catalog!S176,IF(Catalog!T176&lt;&gt;"","ISSN:"&amp;Catalog!T176,""))</f>
        <v/>
      </c>
      <c r="I202" s="10">
        <f>Catalog!B176</f>
        <v>0</v>
      </c>
      <c r="J202" s="10">
        <f>Catalog!L176</f>
        <v>0</v>
      </c>
      <c r="K202" s="10">
        <f>IF(Catalog!AG176&lt;&gt;"",Catalog!AG176,Catalog!AE176)</f>
        <v>0</v>
      </c>
      <c r="L202" s="10">
        <f>Catalog!AD176</f>
        <v>0</v>
      </c>
      <c r="M202" s="10">
        <f>Catalog!V176</f>
        <v>0</v>
      </c>
      <c r="N202" s="10">
        <f>Catalog!Q176</f>
        <v>0</v>
      </c>
      <c r="O202" s="10">
        <f>Catalog!AF176</f>
        <v>0</v>
      </c>
    </row>
    <row r="203" spans="1:15" x14ac:dyDescent="0.25">
      <c r="A203" s="10">
        <f>Catalog!D177</f>
        <v>0</v>
      </c>
      <c r="B203" s="10">
        <f>Catalog!F177</f>
        <v>0</v>
      </c>
      <c r="C203" s="10" t="str">
        <f>IF(Catalog!I177="","",Catalog!I177)&amp;IF(AND(Catalog!I177&lt;&gt;"",Catalog!J177&lt;&gt;""),"; ","")&amp;IF(Catalog!J177="","",Catalog!J177)</f>
        <v/>
      </c>
      <c r="D203" s="10">
        <f>Catalog!P177</f>
        <v>0</v>
      </c>
      <c r="E203" s="10">
        <f>Catalog!R177</f>
        <v>0</v>
      </c>
      <c r="F203" s="10">
        <f>Catalog!M177</f>
        <v>0</v>
      </c>
      <c r="G203" s="10">
        <f>Catalog!K177</f>
        <v>0</v>
      </c>
      <c r="H203" s="10" t="str">
        <f>IF(Catalog!S177&lt;&gt;"","ISBN:"&amp;Catalog!S177,IF(Catalog!T177&lt;&gt;"","ISSN:"&amp;Catalog!T177,""))</f>
        <v/>
      </c>
      <c r="I203" s="10">
        <f>Catalog!B177</f>
        <v>0</v>
      </c>
      <c r="J203" s="10">
        <f>Catalog!L177</f>
        <v>0</v>
      </c>
      <c r="K203" s="10">
        <f>IF(Catalog!AG177&lt;&gt;"",Catalog!AG177,Catalog!AE177)</f>
        <v>0</v>
      </c>
      <c r="L203" s="10">
        <f>Catalog!AD177</f>
        <v>0</v>
      </c>
      <c r="M203" s="10">
        <f>Catalog!V177</f>
        <v>0</v>
      </c>
      <c r="N203" s="10">
        <f>Catalog!Q177</f>
        <v>0</v>
      </c>
      <c r="O203" s="10">
        <f>Catalog!AF177</f>
        <v>0</v>
      </c>
    </row>
    <row r="204" spans="1:15" x14ac:dyDescent="0.25">
      <c r="A204" s="10">
        <f>Catalog!D178</f>
        <v>0</v>
      </c>
      <c r="B204" s="10">
        <f>Catalog!F178</f>
        <v>0</v>
      </c>
      <c r="C204" s="10" t="str">
        <f>IF(Catalog!I178="","",Catalog!I178)&amp;IF(AND(Catalog!I178&lt;&gt;"",Catalog!J178&lt;&gt;""),"; ","")&amp;IF(Catalog!J178="","",Catalog!J178)</f>
        <v/>
      </c>
      <c r="D204" s="10">
        <f>Catalog!P178</f>
        <v>0</v>
      </c>
      <c r="E204" s="10">
        <f>Catalog!R178</f>
        <v>0</v>
      </c>
      <c r="F204" s="10">
        <f>Catalog!M178</f>
        <v>0</v>
      </c>
      <c r="G204" s="10">
        <f>Catalog!K178</f>
        <v>0</v>
      </c>
      <c r="H204" s="10" t="str">
        <f>IF(Catalog!S178&lt;&gt;"","ISBN:"&amp;Catalog!S178,IF(Catalog!T178&lt;&gt;"","ISSN:"&amp;Catalog!T178,""))</f>
        <v/>
      </c>
      <c r="I204" s="10">
        <f>Catalog!B178</f>
        <v>0</v>
      </c>
      <c r="J204" s="10">
        <f>Catalog!L178</f>
        <v>0</v>
      </c>
      <c r="K204" s="10">
        <f>IF(Catalog!AG178&lt;&gt;"",Catalog!AG178,Catalog!AE178)</f>
        <v>0</v>
      </c>
      <c r="L204" s="10">
        <f>Catalog!AD178</f>
        <v>0</v>
      </c>
      <c r="M204" s="10">
        <f>Catalog!V178</f>
        <v>0</v>
      </c>
      <c r="N204" s="10">
        <f>Catalog!Q178</f>
        <v>0</v>
      </c>
      <c r="O204" s="10">
        <f>Catalog!AF178</f>
        <v>0</v>
      </c>
    </row>
    <row r="205" spans="1:15" x14ac:dyDescent="0.25">
      <c r="A205" s="10">
        <f>Catalog!D179</f>
        <v>0</v>
      </c>
      <c r="B205" s="10">
        <f>Catalog!F179</f>
        <v>0</v>
      </c>
      <c r="C205" s="10" t="str">
        <f>IF(Catalog!I179="","",Catalog!I179)&amp;IF(AND(Catalog!I179&lt;&gt;"",Catalog!J179&lt;&gt;""),"; ","")&amp;IF(Catalog!J179="","",Catalog!J179)</f>
        <v/>
      </c>
      <c r="D205" s="10">
        <f>Catalog!P179</f>
        <v>0</v>
      </c>
      <c r="E205" s="10">
        <f>Catalog!R179</f>
        <v>0</v>
      </c>
      <c r="F205" s="10">
        <f>Catalog!M179</f>
        <v>0</v>
      </c>
      <c r="G205" s="10">
        <f>Catalog!K179</f>
        <v>0</v>
      </c>
      <c r="H205" s="10" t="str">
        <f>IF(Catalog!S179&lt;&gt;"","ISBN:"&amp;Catalog!S179,IF(Catalog!T179&lt;&gt;"","ISSN:"&amp;Catalog!T179,""))</f>
        <v/>
      </c>
      <c r="I205" s="10">
        <f>Catalog!B179</f>
        <v>0</v>
      </c>
      <c r="J205" s="10">
        <f>Catalog!L179</f>
        <v>0</v>
      </c>
      <c r="K205" s="10">
        <f>IF(Catalog!AG179&lt;&gt;"",Catalog!AG179,Catalog!AE179)</f>
        <v>0</v>
      </c>
      <c r="L205" s="10">
        <f>Catalog!AD179</f>
        <v>0</v>
      </c>
      <c r="M205" s="10">
        <f>Catalog!V179</f>
        <v>0</v>
      </c>
      <c r="N205" s="10">
        <f>Catalog!Q179</f>
        <v>0</v>
      </c>
      <c r="O205" s="10">
        <f>Catalog!AF179</f>
        <v>0</v>
      </c>
    </row>
    <row r="206" spans="1:15" x14ac:dyDescent="0.25">
      <c r="A206" s="10">
        <f>Catalog!D180</f>
        <v>0</v>
      </c>
      <c r="B206" s="10">
        <f>Catalog!F180</f>
        <v>0</v>
      </c>
      <c r="C206" s="10" t="str">
        <f>IF(Catalog!I180="","",Catalog!I180)&amp;IF(AND(Catalog!I180&lt;&gt;"",Catalog!J180&lt;&gt;""),"; ","")&amp;IF(Catalog!J180="","",Catalog!J180)</f>
        <v/>
      </c>
      <c r="D206" s="10">
        <f>Catalog!P180</f>
        <v>0</v>
      </c>
      <c r="E206" s="10">
        <f>Catalog!R180</f>
        <v>0</v>
      </c>
      <c r="F206" s="10">
        <f>Catalog!M180</f>
        <v>0</v>
      </c>
      <c r="G206" s="10">
        <f>Catalog!K180</f>
        <v>0</v>
      </c>
      <c r="H206" s="10" t="str">
        <f>IF(Catalog!S180&lt;&gt;"","ISBN:"&amp;Catalog!S180,IF(Catalog!T180&lt;&gt;"","ISSN:"&amp;Catalog!T180,""))</f>
        <v/>
      </c>
      <c r="I206" s="10">
        <f>Catalog!B180</f>
        <v>0</v>
      </c>
      <c r="J206" s="10">
        <f>Catalog!L180</f>
        <v>0</v>
      </c>
      <c r="K206" s="10">
        <f>IF(Catalog!AG180&lt;&gt;"",Catalog!AG180,Catalog!AE180)</f>
        <v>0</v>
      </c>
      <c r="L206" s="10">
        <f>Catalog!AD180</f>
        <v>0</v>
      </c>
      <c r="M206" s="10">
        <f>Catalog!V180</f>
        <v>0</v>
      </c>
      <c r="N206" s="10">
        <f>Catalog!Q180</f>
        <v>0</v>
      </c>
      <c r="O206" s="10">
        <f>Catalog!AF180</f>
        <v>0</v>
      </c>
    </row>
    <row r="207" spans="1:15" x14ac:dyDescent="0.25">
      <c r="A207" s="10">
        <f>Catalog!D181</f>
        <v>0</v>
      </c>
      <c r="B207" s="10">
        <f>Catalog!F181</f>
        <v>0</v>
      </c>
      <c r="C207" s="10" t="str">
        <f>IF(Catalog!I181="","",Catalog!I181)&amp;IF(AND(Catalog!I181&lt;&gt;"",Catalog!J181&lt;&gt;""),"; ","")&amp;IF(Catalog!J181="","",Catalog!J181)</f>
        <v/>
      </c>
      <c r="D207" s="10">
        <f>Catalog!P181</f>
        <v>0</v>
      </c>
      <c r="E207" s="10">
        <f>Catalog!R181</f>
        <v>0</v>
      </c>
      <c r="F207" s="10">
        <f>Catalog!M181</f>
        <v>0</v>
      </c>
      <c r="G207" s="10">
        <f>Catalog!K181</f>
        <v>0</v>
      </c>
      <c r="H207" s="10" t="str">
        <f>IF(Catalog!S181&lt;&gt;"","ISBN:"&amp;Catalog!S181,IF(Catalog!T181&lt;&gt;"","ISSN:"&amp;Catalog!T181,""))</f>
        <v/>
      </c>
      <c r="I207" s="10">
        <f>Catalog!B181</f>
        <v>0</v>
      </c>
      <c r="J207" s="10">
        <f>Catalog!L181</f>
        <v>0</v>
      </c>
      <c r="K207" s="10">
        <f>IF(Catalog!AG181&lt;&gt;"",Catalog!AG181,Catalog!AE181)</f>
        <v>0</v>
      </c>
      <c r="L207" s="10">
        <f>Catalog!AD181</f>
        <v>0</v>
      </c>
      <c r="M207" s="10">
        <f>Catalog!V181</f>
        <v>0</v>
      </c>
      <c r="N207" s="10">
        <f>Catalog!Q181</f>
        <v>0</v>
      </c>
      <c r="O207" s="10">
        <f>Catalog!AF181</f>
        <v>0</v>
      </c>
    </row>
    <row r="208" spans="1:15" x14ac:dyDescent="0.25">
      <c r="A208" s="10">
        <f>Catalog!D182</f>
        <v>0</v>
      </c>
      <c r="B208" s="10">
        <f>Catalog!F182</f>
        <v>0</v>
      </c>
      <c r="C208" s="10" t="str">
        <f>IF(Catalog!I182="","",Catalog!I182)&amp;IF(AND(Catalog!I182&lt;&gt;"",Catalog!J182&lt;&gt;""),"; ","")&amp;IF(Catalog!J182="","",Catalog!J182)</f>
        <v/>
      </c>
      <c r="D208" s="10">
        <f>Catalog!P182</f>
        <v>0</v>
      </c>
      <c r="E208" s="10">
        <f>Catalog!R182</f>
        <v>0</v>
      </c>
      <c r="F208" s="10">
        <f>Catalog!M182</f>
        <v>0</v>
      </c>
      <c r="G208" s="10">
        <f>Catalog!K182</f>
        <v>0</v>
      </c>
      <c r="H208" s="10" t="str">
        <f>IF(Catalog!S182&lt;&gt;"","ISBN:"&amp;Catalog!S182,IF(Catalog!T182&lt;&gt;"","ISSN:"&amp;Catalog!T182,""))</f>
        <v/>
      </c>
      <c r="I208" s="10">
        <f>Catalog!B182</f>
        <v>0</v>
      </c>
      <c r="J208" s="10">
        <f>Catalog!L182</f>
        <v>0</v>
      </c>
      <c r="K208" s="10">
        <f>IF(Catalog!AG182&lt;&gt;"",Catalog!AG182,Catalog!AE182)</f>
        <v>0</v>
      </c>
      <c r="L208" s="10">
        <f>Catalog!AD182</f>
        <v>0</v>
      </c>
      <c r="M208" s="10">
        <f>Catalog!V182</f>
        <v>0</v>
      </c>
      <c r="N208" s="10">
        <f>Catalog!Q182</f>
        <v>0</v>
      </c>
      <c r="O208" s="10">
        <f>Catalog!AF182</f>
        <v>0</v>
      </c>
    </row>
    <row r="209" spans="1:15" x14ac:dyDescent="0.25">
      <c r="A209" s="10">
        <f>Catalog!D183</f>
        <v>0</v>
      </c>
      <c r="B209" s="10">
        <f>Catalog!F183</f>
        <v>0</v>
      </c>
      <c r="C209" s="10" t="str">
        <f>IF(Catalog!I183="","",Catalog!I183)&amp;IF(AND(Catalog!I183&lt;&gt;"",Catalog!J183&lt;&gt;""),"; ","")&amp;IF(Catalog!J183="","",Catalog!J183)</f>
        <v/>
      </c>
      <c r="D209" s="10">
        <f>Catalog!P183</f>
        <v>0</v>
      </c>
      <c r="E209" s="10">
        <f>Catalog!R183</f>
        <v>0</v>
      </c>
      <c r="F209" s="10">
        <f>Catalog!M183</f>
        <v>0</v>
      </c>
      <c r="G209" s="10">
        <f>Catalog!K183</f>
        <v>0</v>
      </c>
      <c r="H209" s="10" t="str">
        <f>IF(Catalog!S183&lt;&gt;"","ISBN:"&amp;Catalog!S183,IF(Catalog!T183&lt;&gt;"","ISSN:"&amp;Catalog!T183,""))</f>
        <v/>
      </c>
      <c r="I209" s="10">
        <f>Catalog!B183</f>
        <v>0</v>
      </c>
      <c r="J209" s="10">
        <f>Catalog!L183</f>
        <v>0</v>
      </c>
      <c r="K209" s="10">
        <f>IF(Catalog!AG183&lt;&gt;"",Catalog!AG183,Catalog!AE183)</f>
        <v>0</v>
      </c>
      <c r="L209" s="10">
        <f>Catalog!AD183</f>
        <v>0</v>
      </c>
      <c r="M209" s="10">
        <f>Catalog!V183</f>
        <v>0</v>
      </c>
      <c r="N209" s="10">
        <f>Catalog!Q183</f>
        <v>0</v>
      </c>
      <c r="O209" s="10">
        <f>Catalog!AF183</f>
        <v>0</v>
      </c>
    </row>
    <row r="210" spans="1:15" x14ac:dyDescent="0.25">
      <c r="A210" s="10">
        <f>Catalog!D184</f>
        <v>0</v>
      </c>
      <c r="B210" s="10">
        <f>Catalog!F184</f>
        <v>0</v>
      </c>
      <c r="C210" s="10" t="str">
        <f>IF(Catalog!I184="","",Catalog!I184)&amp;IF(AND(Catalog!I184&lt;&gt;"",Catalog!J184&lt;&gt;""),"; ","")&amp;IF(Catalog!J184="","",Catalog!J184)</f>
        <v/>
      </c>
      <c r="D210" s="10">
        <f>Catalog!P184</f>
        <v>0</v>
      </c>
      <c r="E210" s="10">
        <f>Catalog!R184</f>
        <v>0</v>
      </c>
      <c r="F210" s="10">
        <f>Catalog!M184</f>
        <v>0</v>
      </c>
      <c r="G210" s="10">
        <f>Catalog!K184</f>
        <v>0</v>
      </c>
      <c r="H210" s="10" t="str">
        <f>IF(Catalog!S184&lt;&gt;"","ISBN:"&amp;Catalog!S184,IF(Catalog!T184&lt;&gt;"","ISSN:"&amp;Catalog!T184,""))</f>
        <v/>
      </c>
      <c r="I210" s="10">
        <f>Catalog!B184</f>
        <v>0</v>
      </c>
      <c r="J210" s="10">
        <f>Catalog!L184</f>
        <v>0</v>
      </c>
      <c r="K210" s="10">
        <f>IF(Catalog!AG184&lt;&gt;"",Catalog!AG184,Catalog!AE184)</f>
        <v>0</v>
      </c>
      <c r="L210" s="10">
        <f>Catalog!AD184</f>
        <v>0</v>
      </c>
      <c r="M210" s="10">
        <f>Catalog!V184</f>
        <v>0</v>
      </c>
      <c r="N210" s="10">
        <f>Catalog!Q184</f>
        <v>0</v>
      </c>
      <c r="O210" s="10">
        <f>Catalog!AF184</f>
        <v>0</v>
      </c>
    </row>
    <row r="211" spans="1:15" x14ac:dyDescent="0.25">
      <c r="A211" s="10">
        <f>Catalog!D185</f>
        <v>0</v>
      </c>
      <c r="B211" s="10">
        <f>Catalog!F185</f>
        <v>0</v>
      </c>
      <c r="C211" s="10" t="str">
        <f>IF(Catalog!I185="","",Catalog!I185)&amp;IF(AND(Catalog!I185&lt;&gt;"",Catalog!J185&lt;&gt;""),"; ","")&amp;IF(Catalog!J185="","",Catalog!J185)</f>
        <v/>
      </c>
      <c r="D211" s="10">
        <f>Catalog!P185</f>
        <v>0</v>
      </c>
      <c r="E211" s="10">
        <f>Catalog!R185</f>
        <v>0</v>
      </c>
      <c r="F211" s="10">
        <f>Catalog!M185</f>
        <v>0</v>
      </c>
      <c r="G211" s="10">
        <f>Catalog!K185</f>
        <v>0</v>
      </c>
      <c r="H211" s="10" t="str">
        <f>IF(Catalog!S185&lt;&gt;"","ISBN:"&amp;Catalog!S185,IF(Catalog!T185&lt;&gt;"","ISSN:"&amp;Catalog!T185,""))</f>
        <v/>
      </c>
      <c r="I211" s="10">
        <f>Catalog!B185</f>
        <v>0</v>
      </c>
      <c r="J211" s="10">
        <f>Catalog!L185</f>
        <v>0</v>
      </c>
      <c r="K211" s="10">
        <f>IF(Catalog!AG185&lt;&gt;"",Catalog!AG185,Catalog!AE185)</f>
        <v>0</v>
      </c>
      <c r="L211" s="10">
        <f>Catalog!AD185</f>
        <v>0</v>
      </c>
      <c r="M211" s="10">
        <f>Catalog!V185</f>
        <v>0</v>
      </c>
      <c r="N211" s="10">
        <f>Catalog!Q185</f>
        <v>0</v>
      </c>
      <c r="O211" s="10">
        <f>Catalog!AF185</f>
        <v>0</v>
      </c>
    </row>
    <row r="212" spans="1:15" x14ac:dyDescent="0.25">
      <c r="A212" s="10">
        <f>Catalog!D186</f>
        <v>0</v>
      </c>
      <c r="B212" s="10">
        <f>Catalog!F186</f>
        <v>0</v>
      </c>
      <c r="C212" s="10" t="str">
        <f>IF(Catalog!I186="","",Catalog!I186)&amp;IF(AND(Catalog!I186&lt;&gt;"",Catalog!J186&lt;&gt;""),"; ","")&amp;IF(Catalog!J186="","",Catalog!J186)</f>
        <v/>
      </c>
      <c r="D212" s="10">
        <f>Catalog!P186</f>
        <v>0</v>
      </c>
      <c r="E212" s="10">
        <f>Catalog!R186</f>
        <v>0</v>
      </c>
      <c r="F212" s="10">
        <f>Catalog!M186</f>
        <v>0</v>
      </c>
      <c r="G212" s="10">
        <f>Catalog!K186</f>
        <v>0</v>
      </c>
      <c r="H212" s="10" t="str">
        <f>IF(Catalog!S186&lt;&gt;"","ISBN:"&amp;Catalog!S186,IF(Catalog!T186&lt;&gt;"","ISSN:"&amp;Catalog!T186,""))</f>
        <v/>
      </c>
      <c r="I212" s="10">
        <f>Catalog!B186</f>
        <v>0</v>
      </c>
      <c r="J212" s="10">
        <f>Catalog!L186</f>
        <v>0</v>
      </c>
      <c r="K212" s="10">
        <f>IF(Catalog!AG186&lt;&gt;"",Catalog!AG186,Catalog!AE186)</f>
        <v>0</v>
      </c>
      <c r="L212" s="10">
        <f>Catalog!AD186</f>
        <v>0</v>
      </c>
      <c r="M212" s="10">
        <f>Catalog!V186</f>
        <v>0</v>
      </c>
      <c r="N212" s="10">
        <f>Catalog!Q186</f>
        <v>0</v>
      </c>
      <c r="O212" s="10">
        <f>Catalog!AF186</f>
        <v>0</v>
      </c>
    </row>
    <row r="213" spans="1:15" x14ac:dyDescent="0.25">
      <c r="A213" s="10">
        <f>Catalog!D187</f>
        <v>0</v>
      </c>
      <c r="B213" s="10">
        <f>Catalog!F187</f>
        <v>0</v>
      </c>
      <c r="C213" s="10" t="str">
        <f>IF(Catalog!I187="","",Catalog!I187)&amp;IF(AND(Catalog!I187&lt;&gt;"",Catalog!J187&lt;&gt;""),"; ","")&amp;IF(Catalog!J187="","",Catalog!J187)</f>
        <v/>
      </c>
      <c r="D213" s="10">
        <f>Catalog!P187</f>
        <v>0</v>
      </c>
      <c r="E213" s="10">
        <f>Catalog!R187</f>
        <v>0</v>
      </c>
      <c r="F213" s="10">
        <f>Catalog!M187</f>
        <v>0</v>
      </c>
      <c r="G213" s="10">
        <f>Catalog!K187</f>
        <v>0</v>
      </c>
      <c r="H213" s="10" t="str">
        <f>IF(Catalog!S187&lt;&gt;"","ISBN:"&amp;Catalog!S187,IF(Catalog!T187&lt;&gt;"","ISSN:"&amp;Catalog!T187,""))</f>
        <v/>
      </c>
      <c r="I213" s="10">
        <f>Catalog!B187</f>
        <v>0</v>
      </c>
      <c r="J213" s="10">
        <f>Catalog!L187</f>
        <v>0</v>
      </c>
      <c r="K213" s="10">
        <f>IF(Catalog!AG187&lt;&gt;"",Catalog!AG187,Catalog!AE187)</f>
        <v>0</v>
      </c>
      <c r="L213" s="10">
        <f>Catalog!AD187</f>
        <v>0</v>
      </c>
      <c r="M213" s="10">
        <f>Catalog!V187</f>
        <v>0</v>
      </c>
      <c r="N213" s="10">
        <f>Catalog!Q187</f>
        <v>0</v>
      </c>
      <c r="O213" s="10">
        <f>Catalog!AF187</f>
        <v>0</v>
      </c>
    </row>
    <row r="214" spans="1:15" x14ac:dyDescent="0.25">
      <c r="A214" s="10">
        <f>Catalog!D188</f>
        <v>0</v>
      </c>
      <c r="B214" s="10">
        <f>Catalog!F188</f>
        <v>0</v>
      </c>
      <c r="C214" s="10" t="str">
        <f>IF(Catalog!I188="","",Catalog!I188)&amp;IF(AND(Catalog!I188&lt;&gt;"",Catalog!J188&lt;&gt;""),"; ","")&amp;IF(Catalog!J188="","",Catalog!J188)</f>
        <v/>
      </c>
      <c r="D214" s="10">
        <f>Catalog!P188</f>
        <v>0</v>
      </c>
      <c r="E214" s="10">
        <f>Catalog!R188</f>
        <v>0</v>
      </c>
      <c r="F214" s="10">
        <f>Catalog!M188</f>
        <v>0</v>
      </c>
      <c r="G214" s="10">
        <f>Catalog!K188</f>
        <v>0</v>
      </c>
      <c r="H214" s="10" t="str">
        <f>IF(Catalog!S188&lt;&gt;"","ISBN:"&amp;Catalog!S188,IF(Catalog!T188&lt;&gt;"","ISSN:"&amp;Catalog!T188,""))</f>
        <v/>
      </c>
      <c r="I214" s="10">
        <f>Catalog!B188</f>
        <v>0</v>
      </c>
      <c r="J214" s="10">
        <f>Catalog!L188</f>
        <v>0</v>
      </c>
      <c r="K214" s="10">
        <f>IF(Catalog!AG188&lt;&gt;"",Catalog!AG188,Catalog!AE188)</f>
        <v>0</v>
      </c>
      <c r="L214" s="10">
        <f>Catalog!AD188</f>
        <v>0</v>
      </c>
      <c r="M214" s="10">
        <f>Catalog!V188</f>
        <v>0</v>
      </c>
      <c r="N214" s="10">
        <f>Catalog!Q188</f>
        <v>0</v>
      </c>
      <c r="O214" s="10">
        <f>Catalog!AF188</f>
        <v>0</v>
      </c>
    </row>
    <row r="215" spans="1:15" x14ac:dyDescent="0.25">
      <c r="A215" s="10">
        <f>Catalog!D189</f>
        <v>0</v>
      </c>
      <c r="B215" s="10">
        <f>Catalog!F189</f>
        <v>0</v>
      </c>
      <c r="C215" s="10" t="str">
        <f>IF(Catalog!I189="","",Catalog!I189)&amp;IF(AND(Catalog!I189&lt;&gt;"",Catalog!J189&lt;&gt;""),"; ","")&amp;IF(Catalog!J189="","",Catalog!J189)</f>
        <v/>
      </c>
      <c r="D215" s="10">
        <f>Catalog!P189</f>
        <v>0</v>
      </c>
      <c r="E215" s="10">
        <f>Catalog!R189</f>
        <v>0</v>
      </c>
      <c r="F215" s="10">
        <f>Catalog!M189</f>
        <v>0</v>
      </c>
      <c r="G215" s="10">
        <f>Catalog!K189</f>
        <v>0</v>
      </c>
      <c r="H215" s="10" t="str">
        <f>IF(Catalog!S189&lt;&gt;"","ISBN:"&amp;Catalog!S189,IF(Catalog!T189&lt;&gt;"","ISSN:"&amp;Catalog!T189,""))</f>
        <v/>
      </c>
      <c r="I215" s="10">
        <f>Catalog!B189</f>
        <v>0</v>
      </c>
      <c r="J215" s="10">
        <f>Catalog!L189</f>
        <v>0</v>
      </c>
      <c r="K215" s="10">
        <f>IF(Catalog!AG189&lt;&gt;"",Catalog!AG189,Catalog!AE189)</f>
        <v>0</v>
      </c>
      <c r="L215" s="10">
        <f>Catalog!AD189</f>
        <v>0</v>
      </c>
      <c r="M215" s="10">
        <f>Catalog!V189</f>
        <v>0</v>
      </c>
      <c r="N215" s="10">
        <f>Catalog!Q189</f>
        <v>0</v>
      </c>
      <c r="O215" s="10">
        <f>Catalog!AF189</f>
        <v>0</v>
      </c>
    </row>
    <row r="216" spans="1:15" x14ac:dyDescent="0.25">
      <c r="A216" s="10">
        <f>Catalog!D190</f>
        <v>0</v>
      </c>
      <c r="B216" s="10">
        <f>Catalog!F190</f>
        <v>0</v>
      </c>
      <c r="C216" s="10" t="str">
        <f>IF(Catalog!I190="","",Catalog!I190)&amp;IF(AND(Catalog!I190&lt;&gt;"",Catalog!J190&lt;&gt;""),"; ","")&amp;IF(Catalog!J190="","",Catalog!J190)</f>
        <v/>
      </c>
      <c r="D216" s="10">
        <f>Catalog!P190</f>
        <v>0</v>
      </c>
      <c r="E216" s="10">
        <f>Catalog!R190</f>
        <v>0</v>
      </c>
      <c r="F216" s="10">
        <f>Catalog!M190</f>
        <v>0</v>
      </c>
      <c r="G216" s="10">
        <f>Catalog!K190</f>
        <v>0</v>
      </c>
      <c r="H216" s="10" t="str">
        <f>IF(Catalog!S190&lt;&gt;"","ISBN:"&amp;Catalog!S190,IF(Catalog!T190&lt;&gt;"","ISSN:"&amp;Catalog!T190,""))</f>
        <v/>
      </c>
      <c r="I216" s="10">
        <f>Catalog!B190</f>
        <v>0</v>
      </c>
      <c r="J216" s="10">
        <f>Catalog!L190</f>
        <v>0</v>
      </c>
      <c r="K216" s="10">
        <f>IF(Catalog!AG190&lt;&gt;"",Catalog!AG190,Catalog!AE190)</f>
        <v>0</v>
      </c>
      <c r="L216" s="10">
        <f>Catalog!AD190</f>
        <v>0</v>
      </c>
      <c r="M216" s="10">
        <f>Catalog!V190</f>
        <v>0</v>
      </c>
      <c r="N216" s="10">
        <f>Catalog!Q190</f>
        <v>0</v>
      </c>
      <c r="O216" s="10">
        <f>Catalog!AF190</f>
        <v>0</v>
      </c>
    </row>
    <row r="217" spans="1:15" x14ac:dyDescent="0.25">
      <c r="A217" s="10">
        <f>Catalog!D191</f>
        <v>0</v>
      </c>
      <c r="B217" s="10">
        <f>Catalog!F191</f>
        <v>0</v>
      </c>
      <c r="C217" s="10" t="str">
        <f>IF(Catalog!I191="","",Catalog!I191)&amp;IF(AND(Catalog!I191&lt;&gt;"",Catalog!J191&lt;&gt;""),"; ","")&amp;IF(Catalog!J191="","",Catalog!J191)</f>
        <v/>
      </c>
      <c r="D217" s="10">
        <f>Catalog!P191</f>
        <v>0</v>
      </c>
      <c r="E217" s="10">
        <f>Catalog!R191</f>
        <v>0</v>
      </c>
      <c r="F217" s="10">
        <f>Catalog!M191</f>
        <v>0</v>
      </c>
      <c r="G217" s="10">
        <f>Catalog!K191</f>
        <v>0</v>
      </c>
      <c r="H217" s="10" t="str">
        <f>IF(Catalog!S191&lt;&gt;"","ISBN:"&amp;Catalog!S191,IF(Catalog!T191&lt;&gt;"","ISSN:"&amp;Catalog!T191,""))</f>
        <v/>
      </c>
      <c r="I217" s="10">
        <f>Catalog!B191</f>
        <v>0</v>
      </c>
      <c r="J217" s="10">
        <f>Catalog!L191</f>
        <v>0</v>
      </c>
      <c r="K217" s="10">
        <f>IF(Catalog!AG191&lt;&gt;"",Catalog!AG191,Catalog!AE191)</f>
        <v>0</v>
      </c>
      <c r="L217" s="10">
        <f>Catalog!AD191</f>
        <v>0</v>
      </c>
      <c r="M217" s="10">
        <f>Catalog!V191</f>
        <v>0</v>
      </c>
      <c r="N217" s="10">
        <f>Catalog!Q191</f>
        <v>0</v>
      </c>
      <c r="O217" s="10">
        <f>Catalog!AF191</f>
        <v>0</v>
      </c>
    </row>
    <row r="218" spans="1:15" x14ac:dyDescent="0.25">
      <c r="A218" s="10">
        <f>Catalog!D192</f>
        <v>0</v>
      </c>
      <c r="B218" s="10">
        <f>Catalog!F192</f>
        <v>0</v>
      </c>
      <c r="C218" s="10" t="str">
        <f>IF(Catalog!I192="","",Catalog!I192)&amp;IF(AND(Catalog!I192&lt;&gt;"",Catalog!J192&lt;&gt;""),"; ","")&amp;IF(Catalog!J192="","",Catalog!J192)</f>
        <v/>
      </c>
      <c r="D218" s="10">
        <f>Catalog!P192</f>
        <v>0</v>
      </c>
      <c r="E218" s="10">
        <f>Catalog!R192</f>
        <v>0</v>
      </c>
      <c r="F218" s="10">
        <f>Catalog!M192</f>
        <v>0</v>
      </c>
      <c r="G218" s="10">
        <f>Catalog!K192</f>
        <v>0</v>
      </c>
      <c r="H218" s="10" t="str">
        <f>IF(Catalog!S192&lt;&gt;"","ISBN:"&amp;Catalog!S192,IF(Catalog!T192&lt;&gt;"","ISSN:"&amp;Catalog!T192,""))</f>
        <v/>
      </c>
      <c r="I218" s="10">
        <f>Catalog!B192</f>
        <v>0</v>
      </c>
      <c r="J218" s="10">
        <f>Catalog!L192</f>
        <v>0</v>
      </c>
      <c r="K218" s="10">
        <f>IF(Catalog!AG192&lt;&gt;"",Catalog!AG192,Catalog!AE192)</f>
        <v>0</v>
      </c>
      <c r="L218" s="10">
        <f>Catalog!AD192</f>
        <v>0</v>
      </c>
      <c r="M218" s="10">
        <f>Catalog!V192</f>
        <v>0</v>
      </c>
      <c r="N218" s="10">
        <f>Catalog!Q192</f>
        <v>0</v>
      </c>
      <c r="O218" s="10">
        <f>Catalog!AF192</f>
        <v>0</v>
      </c>
    </row>
    <row r="219" spans="1:15" x14ac:dyDescent="0.25">
      <c r="A219" s="10">
        <f>Catalog!D193</f>
        <v>0</v>
      </c>
      <c r="B219" s="10">
        <f>Catalog!F193</f>
        <v>0</v>
      </c>
      <c r="C219" s="10" t="str">
        <f>IF(Catalog!I193="","",Catalog!I193)&amp;IF(AND(Catalog!I193&lt;&gt;"",Catalog!J193&lt;&gt;""),"; ","")&amp;IF(Catalog!J193="","",Catalog!J193)</f>
        <v/>
      </c>
      <c r="D219" s="10">
        <f>Catalog!P193</f>
        <v>0</v>
      </c>
      <c r="E219" s="10">
        <f>Catalog!R193</f>
        <v>0</v>
      </c>
      <c r="F219" s="10">
        <f>Catalog!M193</f>
        <v>0</v>
      </c>
      <c r="G219" s="10">
        <f>Catalog!K193</f>
        <v>0</v>
      </c>
      <c r="H219" s="10" t="str">
        <f>IF(Catalog!S193&lt;&gt;"","ISBN:"&amp;Catalog!S193,IF(Catalog!T193&lt;&gt;"","ISSN:"&amp;Catalog!T193,""))</f>
        <v/>
      </c>
      <c r="I219" s="10">
        <f>Catalog!B193</f>
        <v>0</v>
      </c>
      <c r="J219" s="10">
        <f>Catalog!L193</f>
        <v>0</v>
      </c>
      <c r="K219" s="10">
        <f>IF(Catalog!AG193&lt;&gt;"",Catalog!AG193,Catalog!AE193)</f>
        <v>0</v>
      </c>
      <c r="L219" s="10">
        <f>Catalog!AD193</f>
        <v>0</v>
      </c>
      <c r="M219" s="10">
        <f>Catalog!V193</f>
        <v>0</v>
      </c>
      <c r="N219" s="10">
        <f>Catalog!Q193</f>
        <v>0</v>
      </c>
      <c r="O219" s="10">
        <f>Catalog!AF193</f>
        <v>0</v>
      </c>
    </row>
    <row r="220" spans="1:15" x14ac:dyDescent="0.25">
      <c r="A220" s="10">
        <f>Catalog!D194</f>
        <v>0</v>
      </c>
      <c r="B220" s="10">
        <f>Catalog!F194</f>
        <v>0</v>
      </c>
      <c r="C220" s="10" t="str">
        <f>IF(Catalog!I194="","",Catalog!I194)&amp;IF(AND(Catalog!I194&lt;&gt;"",Catalog!J194&lt;&gt;""),"; ","")&amp;IF(Catalog!J194="","",Catalog!J194)</f>
        <v/>
      </c>
      <c r="D220" s="10">
        <f>Catalog!P194</f>
        <v>0</v>
      </c>
      <c r="E220" s="10">
        <f>Catalog!R194</f>
        <v>0</v>
      </c>
      <c r="F220" s="10">
        <f>Catalog!M194</f>
        <v>0</v>
      </c>
      <c r="G220" s="10">
        <f>Catalog!K194</f>
        <v>0</v>
      </c>
      <c r="H220" s="10" t="str">
        <f>IF(Catalog!S194&lt;&gt;"","ISBN:"&amp;Catalog!S194,IF(Catalog!T194&lt;&gt;"","ISSN:"&amp;Catalog!T194,""))</f>
        <v/>
      </c>
      <c r="I220" s="10">
        <f>Catalog!B194</f>
        <v>0</v>
      </c>
      <c r="J220" s="10">
        <f>Catalog!L194</f>
        <v>0</v>
      </c>
      <c r="K220" s="10">
        <f>IF(Catalog!AG194&lt;&gt;"",Catalog!AG194,Catalog!AE194)</f>
        <v>0</v>
      </c>
      <c r="L220" s="10">
        <f>Catalog!AD194</f>
        <v>0</v>
      </c>
      <c r="M220" s="10">
        <f>Catalog!V194</f>
        <v>0</v>
      </c>
      <c r="N220" s="10">
        <f>Catalog!Q194</f>
        <v>0</v>
      </c>
      <c r="O220" s="10">
        <f>Catalog!AF194</f>
        <v>0</v>
      </c>
    </row>
    <row r="221" spans="1:15" x14ac:dyDescent="0.25">
      <c r="A221" s="10">
        <f>Catalog!D195</f>
        <v>0</v>
      </c>
      <c r="B221" s="10">
        <f>Catalog!F195</f>
        <v>0</v>
      </c>
      <c r="C221" s="10" t="str">
        <f>IF(Catalog!I195="","",Catalog!I195)&amp;IF(AND(Catalog!I195&lt;&gt;"",Catalog!J195&lt;&gt;""),"; ","")&amp;IF(Catalog!J195="","",Catalog!J195)</f>
        <v/>
      </c>
      <c r="D221" s="10">
        <f>Catalog!P195</f>
        <v>0</v>
      </c>
      <c r="E221" s="10">
        <f>Catalog!R195</f>
        <v>0</v>
      </c>
      <c r="F221" s="10">
        <f>Catalog!M195</f>
        <v>0</v>
      </c>
      <c r="G221" s="10">
        <f>Catalog!K195</f>
        <v>0</v>
      </c>
      <c r="H221" s="10" t="str">
        <f>IF(Catalog!S195&lt;&gt;"","ISBN:"&amp;Catalog!S195,IF(Catalog!T195&lt;&gt;"","ISSN:"&amp;Catalog!T195,""))</f>
        <v/>
      </c>
      <c r="I221" s="10">
        <f>Catalog!B195</f>
        <v>0</v>
      </c>
      <c r="J221" s="10">
        <f>Catalog!L195</f>
        <v>0</v>
      </c>
      <c r="K221" s="10">
        <f>IF(Catalog!AG195&lt;&gt;"",Catalog!AG195,Catalog!AE195)</f>
        <v>0</v>
      </c>
      <c r="L221" s="10">
        <f>Catalog!AD195</f>
        <v>0</v>
      </c>
      <c r="M221" s="10">
        <f>Catalog!V195</f>
        <v>0</v>
      </c>
      <c r="N221" s="10">
        <f>Catalog!Q195</f>
        <v>0</v>
      </c>
      <c r="O221" s="10">
        <f>Catalog!AF195</f>
        <v>0</v>
      </c>
    </row>
    <row r="222" spans="1:15" x14ac:dyDescent="0.25">
      <c r="A222" s="10">
        <f>Catalog!D196</f>
        <v>0</v>
      </c>
      <c r="B222" s="10">
        <f>Catalog!F196</f>
        <v>0</v>
      </c>
      <c r="C222" s="10" t="str">
        <f>IF(Catalog!I196="","",Catalog!I196)&amp;IF(AND(Catalog!I196&lt;&gt;"",Catalog!J196&lt;&gt;""),"; ","")&amp;IF(Catalog!J196="","",Catalog!J196)</f>
        <v/>
      </c>
      <c r="D222" s="10">
        <f>Catalog!P196</f>
        <v>0</v>
      </c>
      <c r="E222" s="10">
        <f>Catalog!R196</f>
        <v>0</v>
      </c>
      <c r="F222" s="10">
        <f>Catalog!M196</f>
        <v>0</v>
      </c>
      <c r="G222" s="10">
        <f>Catalog!K196</f>
        <v>0</v>
      </c>
      <c r="H222" s="10" t="str">
        <f>IF(Catalog!S196&lt;&gt;"","ISBN:"&amp;Catalog!S196,IF(Catalog!T196&lt;&gt;"","ISSN:"&amp;Catalog!T196,""))</f>
        <v/>
      </c>
      <c r="I222" s="10">
        <f>Catalog!B196</f>
        <v>0</v>
      </c>
      <c r="J222" s="10">
        <f>Catalog!L196</f>
        <v>0</v>
      </c>
      <c r="K222" s="10">
        <f>IF(Catalog!AG196&lt;&gt;"",Catalog!AG196,Catalog!AE196)</f>
        <v>0</v>
      </c>
      <c r="L222" s="10">
        <f>Catalog!AD196</f>
        <v>0</v>
      </c>
      <c r="M222" s="10">
        <f>Catalog!V196</f>
        <v>0</v>
      </c>
      <c r="N222" s="10">
        <f>Catalog!Q196</f>
        <v>0</v>
      </c>
      <c r="O222" s="10">
        <f>Catalog!AF196</f>
        <v>0</v>
      </c>
    </row>
    <row r="223" spans="1:15" x14ac:dyDescent="0.25">
      <c r="A223" s="10">
        <f>Catalog!D197</f>
        <v>0</v>
      </c>
      <c r="B223" s="10">
        <f>Catalog!F197</f>
        <v>0</v>
      </c>
      <c r="C223" s="10" t="str">
        <f>IF(Catalog!I197="","",Catalog!I197)&amp;IF(AND(Catalog!I197&lt;&gt;"",Catalog!J197&lt;&gt;""),"; ","")&amp;IF(Catalog!J197="","",Catalog!J197)</f>
        <v/>
      </c>
      <c r="D223" s="10">
        <f>Catalog!P197</f>
        <v>0</v>
      </c>
      <c r="E223" s="10">
        <f>Catalog!R197</f>
        <v>0</v>
      </c>
      <c r="F223" s="10">
        <f>Catalog!M197</f>
        <v>0</v>
      </c>
      <c r="G223" s="10">
        <f>Catalog!K197</f>
        <v>0</v>
      </c>
      <c r="H223" s="10" t="str">
        <f>IF(Catalog!S197&lt;&gt;"","ISBN:"&amp;Catalog!S197,IF(Catalog!T197&lt;&gt;"","ISSN:"&amp;Catalog!T197,""))</f>
        <v/>
      </c>
      <c r="I223" s="10">
        <f>Catalog!B197</f>
        <v>0</v>
      </c>
      <c r="J223" s="10">
        <f>Catalog!L197</f>
        <v>0</v>
      </c>
      <c r="K223" s="10">
        <f>IF(Catalog!AG197&lt;&gt;"",Catalog!AG197,Catalog!AE197)</f>
        <v>0</v>
      </c>
      <c r="L223" s="10">
        <f>Catalog!AD197</f>
        <v>0</v>
      </c>
      <c r="M223" s="10">
        <f>Catalog!V197</f>
        <v>0</v>
      </c>
      <c r="N223" s="10">
        <f>Catalog!Q197</f>
        <v>0</v>
      </c>
      <c r="O223" s="10">
        <f>Catalog!AF197</f>
        <v>0</v>
      </c>
    </row>
    <row r="224" spans="1:15" x14ac:dyDescent="0.25">
      <c r="A224" s="10">
        <f>Catalog!D198</f>
        <v>0</v>
      </c>
      <c r="B224" s="10">
        <f>Catalog!F198</f>
        <v>0</v>
      </c>
      <c r="C224" s="10" t="str">
        <f>IF(Catalog!I198="","",Catalog!I198)&amp;IF(AND(Catalog!I198&lt;&gt;"",Catalog!J198&lt;&gt;""),"; ","")&amp;IF(Catalog!J198="","",Catalog!J198)</f>
        <v/>
      </c>
      <c r="D224" s="10">
        <f>Catalog!P198</f>
        <v>0</v>
      </c>
      <c r="E224" s="10">
        <f>Catalog!R198</f>
        <v>0</v>
      </c>
      <c r="F224" s="10">
        <f>Catalog!M198</f>
        <v>0</v>
      </c>
      <c r="G224" s="10">
        <f>Catalog!K198</f>
        <v>0</v>
      </c>
      <c r="H224" s="10" t="str">
        <f>IF(Catalog!S198&lt;&gt;"","ISBN:"&amp;Catalog!S198,IF(Catalog!T198&lt;&gt;"","ISSN:"&amp;Catalog!T198,""))</f>
        <v/>
      </c>
      <c r="I224" s="10">
        <f>Catalog!B198</f>
        <v>0</v>
      </c>
      <c r="J224" s="10">
        <f>Catalog!L198</f>
        <v>0</v>
      </c>
      <c r="K224" s="10">
        <f>IF(Catalog!AG198&lt;&gt;"",Catalog!AG198,Catalog!AE198)</f>
        <v>0</v>
      </c>
      <c r="L224" s="10">
        <f>Catalog!AD198</f>
        <v>0</v>
      </c>
      <c r="M224" s="10">
        <f>Catalog!V198</f>
        <v>0</v>
      </c>
      <c r="N224" s="10">
        <f>Catalog!Q198</f>
        <v>0</v>
      </c>
      <c r="O224" s="10">
        <f>Catalog!AF198</f>
        <v>0</v>
      </c>
    </row>
    <row r="225" spans="1:15" x14ac:dyDescent="0.25">
      <c r="A225" s="10">
        <f>Catalog!D199</f>
        <v>0</v>
      </c>
      <c r="B225" s="10">
        <f>Catalog!F199</f>
        <v>0</v>
      </c>
      <c r="C225" s="10" t="str">
        <f>IF(Catalog!I199="","",Catalog!I199)&amp;IF(AND(Catalog!I199&lt;&gt;"",Catalog!J199&lt;&gt;""),"; ","")&amp;IF(Catalog!J199="","",Catalog!J199)</f>
        <v/>
      </c>
      <c r="D225" s="10">
        <f>Catalog!P199</f>
        <v>0</v>
      </c>
      <c r="E225" s="10">
        <f>Catalog!R199</f>
        <v>0</v>
      </c>
      <c r="F225" s="10">
        <f>Catalog!M199</f>
        <v>0</v>
      </c>
      <c r="G225" s="10">
        <f>Catalog!K199</f>
        <v>0</v>
      </c>
      <c r="H225" s="10" t="str">
        <f>IF(Catalog!S199&lt;&gt;"","ISBN:"&amp;Catalog!S199,IF(Catalog!T199&lt;&gt;"","ISSN:"&amp;Catalog!T199,""))</f>
        <v/>
      </c>
      <c r="I225" s="10">
        <f>Catalog!B199</f>
        <v>0</v>
      </c>
      <c r="J225" s="10">
        <f>Catalog!L199</f>
        <v>0</v>
      </c>
      <c r="K225" s="10">
        <f>IF(Catalog!AG199&lt;&gt;"",Catalog!AG199,Catalog!AE199)</f>
        <v>0</v>
      </c>
      <c r="L225" s="10">
        <f>Catalog!AD199</f>
        <v>0</v>
      </c>
      <c r="M225" s="10">
        <f>Catalog!V199</f>
        <v>0</v>
      </c>
      <c r="N225" s="10">
        <f>Catalog!Q199</f>
        <v>0</v>
      </c>
      <c r="O225" s="10">
        <f>Catalog!AF199</f>
        <v>0</v>
      </c>
    </row>
    <row r="226" spans="1:15" x14ac:dyDescent="0.25">
      <c r="A226" s="10">
        <f>Catalog!D200</f>
        <v>0</v>
      </c>
      <c r="B226" s="10">
        <f>Catalog!F200</f>
        <v>0</v>
      </c>
      <c r="C226" s="10" t="str">
        <f>IF(Catalog!I200="","",Catalog!I200)&amp;IF(AND(Catalog!I200&lt;&gt;"",Catalog!J200&lt;&gt;""),"; ","")&amp;IF(Catalog!J200="","",Catalog!J200)</f>
        <v/>
      </c>
      <c r="D226" s="10">
        <f>Catalog!P200</f>
        <v>0</v>
      </c>
      <c r="E226" s="10">
        <f>Catalog!R200</f>
        <v>0</v>
      </c>
      <c r="F226" s="10">
        <f>Catalog!M200</f>
        <v>0</v>
      </c>
      <c r="G226" s="10">
        <f>Catalog!K200</f>
        <v>0</v>
      </c>
      <c r="H226" s="10" t="str">
        <f>IF(Catalog!S200&lt;&gt;"","ISBN:"&amp;Catalog!S200,IF(Catalog!T200&lt;&gt;"","ISSN:"&amp;Catalog!T200,""))</f>
        <v/>
      </c>
      <c r="I226" s="10">
        <f>Catalog!B200</f>
        <v>0</v>
      </c>
      <c r="J226" s="10">
        <f>Catalog!L200</f>
        <v>0</v>
      </c>
      <c r="K226" s="10">
        <f>IF(Catalog!AG200&lt;&gt;"",Catalog!AG200,Catalog!AE200)</f>
        <v>0</v>
      </c>
      <c r="L226" s="10">
        <f>Catalog!AD200</f>
        <v>0</v>
      </c>
      <c r="M226" s="10">
        <f>Catalog!V200</f>
        <v>0</v>
      </c>
      <c r="N226" s="10">
        <f>Catalog!Q200</f>
        <v>0</v>
      </c>
      <c r="O226" s="10">
        <f>Catalog!AF200</f>
        <v>0</v>
      </c>
    </row>
    <row r="227" spans="1:15" x14ac:dyDescent="0.25">
      <c r="A227" s="10">
        <f>Catalog!D201</f>
        <v>0</v>
      </c>
      <c r="B227" s="10">
        <f>Catalog!F201</f>
        <v>0</v>
      </c>
      <c r="C227" s="10" t="str">
        <f>IF(Catalog!I201="","",Catalog!I201)&amp;IF(AND(Catalog!I201&lt;&gt;"",Catalog!J201&lt;&gt;""),"; ","")&amp;IF(Catalog!J201="","",Catalog!J201)</f>
        <v/>
      </c>
      <c r="D227" s="10">
        <f>Catalog!P201</f>
        <v>0</v>
      </c>
      <c r="E227" s="10">
        <f>Catalog!R201</f>
        <v>0</v>
      </c>
      <c r="F227" s="10">
        <f>Catalog!M201</f>
        <v>0</v>
      </c>
      <c r="G227" s="10">
        <f>Catalog!K201</f>
        <v>0</v>
      </c>
      <c r="H227" s="10" t="str">
        <f>IF(Catalog!S201&lt;&gt;"","ISBN:"&amp;Catalog!S201,IF(Catalog!T201&lt;&gt;"","ISSN:"&amp;Catalog!T201,""))</f>
        <v/>
      </c>
      <c r="I227" s="10">
        <f>Catalog!B201</f>
        <v>0</v>
      </c>
      <c r="J227" s="10">
        <f>Catalog!L201</f>
        <v>0</v>
      </c>
      <c r="K227" s="10">
        <f>IF(Catalog!AG201&lt;&gt;"",Catalog!AG201,Catalog!AE201)</f>
        <v>0</v>
      </c>
      <c r="L227" s="10">
        <f>Catalog!AD201</f>
        <v>0</v>
      </c>
      <c r="M227" s="10">
        <f>Catalog!V201</f>
        <v>0</v>
      </c>
      <c r="N227" s="10">
        <f>Catalog!Q201</f>
        <v>0</v>
      </c>
      <c r="O227" s="10">
        <f>Catalog!AF201</f>
        <v>0</v>
      </c>
    </row>
    <row r="228" spans="1:15" x14ac:dyDescent="0.25">
      <c r="A228" s="10">
        <f>Catalog!D202</f>
        <v>0</v>
      </c>
      <c r="B228" s="10">
        <f>Catalog!F202</f>
        <v>0</v>
      </c>
      <c r="C228" s="10" t="str">
        <f>IF(Catalog!I202="","",Catalog!I202)&amp;IF(AND(Catalog!I202&lt;&gt;"",Catalog!J202&lt;&gt;""),"; ","")&amp;IF(Catalog!J202="","",Catalog!J202)</f>
        <v/>
      </c>
      <c r="D228" s="10">
        <f>Catalog!P202</f>
        <v>0</v>
      </c>
      <c r="E228" s="10">
        <f>Catalog!R202</f>
        <v>0</v>
      </c>
      <c r="F228" s="10">
        <f>Catalog!M202</f>
        <v>0</v>
      </c>
      <c r="G228" s="10">
        <f>Catalog!K202</f>
        <v>0</v>
      </c>
      <c r="H228" s="10" t="str">
        <f>IF(Catalog!S202&lt;&gt;"","ISBN:"&amp;Catalog!S202,IF(Catalog!T202&lt;&gt;"","ISSN:"&amp;Catalog!T202,""))</f>
        <v/>
      </c>
      <c r="I228" s="10">
        <f>Catalog!B202</f>
        <v>0</v>
      </c>
      <c r="J228" s="10">
        <f>Catalog!L202</f>
        <v>0</v>
      </c>
      <c r="K228" s="10">
        <f>IF(Catalog!AG202&lt;&gt;"",Catalog!AG202,Catalog!AE202)</f>
        <v>0</v>
      </c>
      <c r="L228" s="10">
        <f>Catalog!AD202</f>
        <v>0</v>
      </c>
      <c r="M228" s="10">
        <f>Catalog!V202</f>
        <v>0</v>
      </c>
      <c r="N228" s="10">
        <f>Catalog!Q202</f>
        <v>0</v>
      </c>
      <c r="O228" s="10">
        <f>Catalog!AF202</f>
        <v>0</v>
      </c>
    </row>
    <row r="229" spans="1:15" x14ac:dyDescent="0.25">
      <c r="A229" s="10">
        <f>Catalog!D203</f>
        <v>0</v>
      </c>
      <c r="B229" s="10">
        <f>Catalog!F203</f>
        <v>0</v>
      </c>
      <c r="C229" s="10" t="str">
        <f>IF(Catalog!I203="","",Catalog!I203)&amp;IF(AND(Catalog!I203&lt;&gt;"",Catalog!J203&lt;&gt;""),"; ","")&amp;IF(Catalog!J203="","",Catalog!J203)</f>
        <v/>
      </c>
      <c r="D229" s="10">
        <f>Catalog!P203</f>
        <v>0</v>
      </c>
      <c r="E229" s="10">
        <f>Catalog!R203</f>
        <v>0</v>
      </c>
      <c r="F229" s="10">
        <f>Catalog!M203</f>
        <v>0</v>
      </c>
      <c r="G229" s="10">
        <f>Catalog!K203</f>
        <v>0</v>
      </c>
      <c r="H229" s="10" t="str">
        <f>IF(Catalog!S203&lt;&gt;"","ISBN:"&amp;Catalog!S203,IF(Catalog!T203&lt;&gt;"","ISSN:"&amp;Catalog!T203,""))</f>
        <v/>
      </c>
      <c r="I229" s="10">
        <f>Catalog!B203</f>
        <v>0</v>
      </c>
      <c r="J229" s="10">
        <f>Catalog!L203</f>
        <v>0</v>
      </c>
      <c r="K229" s="10">
        <f>IF(Catalog!AG203&lt;&gt;"",Catalog!AG203,Catalog!AE203)</f>
        <v>0</v>
      </c>
      <c r="L229" s="10">
        <f>Catalog!AD203</f>
        <v>0</v>
      </c>
      <c r="M229" s="10">
        <f>Catalog!V203</f>
        <v>0</v>
      </c>
      <c r="N229" s="10">
        <f>Catalog!Q203</f>
        <v>0</v>
      </c>
      <c r="O229" s="10">
        <f>Catalog!AF203</f>
        <v>0</v>
      </c>
    </row>
    <row r="230" spans="1:15" x14ac:dyDescent="0.25">
      <c r="A230" s="10">
        <f>Catalog!D204</f>
        <v>0</v>
      </c>
      <c r="B230" s="10">
        <f>Catalog!F204</f>
        <v>0</v>
      </c>
      <c r="C230" s="10" t="str">
        <f>IF(Catalog!I204="","",Catalog!I204)&amp;IF(AND(Catalog!I204&lt;&gt;"",Catalog!J204&lt;&gt;""),"; ","")&amp;IF(Catalog!J204="","",Catalog!J204)</f>
        <v/>
      </c>
      <c r="D230" s="10">
        <f>Catalog!P204</f>
        <v>0</v>
      </c>
      <c r="E230" s="10">
        <f>Catalog!R204</f>
        <v>0</v>
      </c>
      <c r="F230" s="10">
        <f>Catalog!M204</f>
        <v>0</v>
      </c>
      <c r="G230" s="10">
        <f>Catalog!K204</f>
        <v>0</v>
      </c>
      <c r="H230" s="10" t="str">
        <f>IF(Catalog!S204&lt;&gt;"","ISBN:"&amp;Catalog!S204,IF(Catalog!T204&lt;&gt;"","ISSN:"&amp;Catalog!T204,""))</f>
        <v/>
      </c>
      <c r="I230" s="10">
        <f>Catalog!B204</f>
        <v>0</v>
      </c>
      <c r="J230" s="10">
        <f>Catalog!L204</f>
        <v>0</v>
      </c>
      <c r="K230" s="10">
        <f>IF(Catalog!AG204&lt;&gt;"",Catalog!AG204,Catalog!AE204)</f>
        <v>0</v>
      </c>
      <c r="L230" s="10">
        <f>Catalog!AD204</f>
        <v>0</v>
      </c>
      <c r="M230" s="10">
        <f>Catalog!V204</f>
        <v>0</v>
      </c>
      <c r="N230" s="10">
        <f>Catalog!Q204</f>
        <v>0</v>
      </c>
      <c r="O230" s="10">
        <f>Catalog!AF204</f>
        <v>0</v>
      </c>
    </row>
    <row r="231" spans="1:15" x14ac:dyDescent="0.25">
      <c r="A231" s="10">
        <f>Catalog!D205</f>
        <v>0</v>
      </c>
      <c r="B231" s="10">
        <f>Catalog!F205</f>
        <v>0</v>
      </c>
      <c r="C231" s="10" t="str">
        <f>IF(Catalog!I205="","",Catalog!I205)&amp;IF(AND(Catalog!I205&lt;&gt;"",Catalog!J205&lt;&gt;""),"; ","")&amp;IF(Catalog!J205="","",Catalog!J205)</f>
        <v/>
      </c>
      <c r="D231" s="10">
        <f>Catalog!P205</f>
        <v>0</v>
      </c>
      <c r="E231" s="10">
        <f>Catalog!R205</f>
        <v>0</v>
      </c>
      <c r="F231" s="10">
        <f>Catalog!M205</f>
        <v>0</v>
      </c>
      <c r="G231" s="10">
        <f>Catalog!K205</f>
        <v>0</v>
      </c>
      <c r="H231" s="10" t="str">
        <f>IF(Catalog!S205&lt;&gt;"","ISBN:"&amp;Catalog!S205,IF(Catalog!T205&lt;&gt;"","ISSN:"&amp;Catalog!T205,""))</f>
        <v/>
      </c>
      <c r="I231" s="10">
        <f>Catalog!B205</f>
        <v>0</v>
      </c>
      <c r="J231" s="10">
        <f>Catalog!L205</f>
        <v>0</v>
      </c>
      <c r="K231" s="10">
        <f>IF(Catalog!AG205&lt;&gt;"",Catalog!AG205,Catalog!AE205)</f>
        <v>0</v>
      </c>
      <c r="L231" s="10">
        <f>Catalog!AD205</f>
        <v>0</v>
      </c>
      <c r="M231" s="10">
        <f>Catalog!V205</f>
        <v>0</v>
      </c>
      <c r="N231" s="10">
        <f>Catalog!Q205</f>
        <v>0</v>
      </c>
      <c r="O231" s="10">
        <f>Catalog!AF205</f>
        <v>0</v>
      </c>
    </row>
    <row r="232" spans="1:15" x14ac:dyDescent="0.25">
      <c r="A232" s="10">
        <f>Catalog!D206</f>
        <v>0</v>
      </c>
      <c r="B232" s="10">
        <f>Catalog!F206</f>
        <v>0</v>
      </c>
      <c r="C232" s="10" t="str">
        <f>IF(Catalog!I206="","",Catalog!I206)&amp;IF(AND(Catalog!I206&lt;&gt;"",Catalog!J206&lt;&gt;""),"; ","")&amp;IF(Catalog!J206="","",Catalog!J206)</f>
        <v/>
      </c>
      <c r="D232" s="10">
        <f>Catalog!P206</f>
        <v>0</v>
      </c>
      <c r="E232" s="10">
        <f>Catalog!R206</f>
        <v>0</v>
      </c>
      <c r="F232" s="10">
        <f>Catalog!M206</f>
        <v>0</v>
      </c>
      <c r="G232" s="10">
        <f>Catalog!K206</f>
        <v>0</v>
      </c>
      <c r="H232" s="10" t="str">
        <f>IF(Catalog!S206&lt;&gt;"","ISBN:"&amp;Catalog!S206,IF(Catalog!T206&lt;&gt;"","ISSN:"&amp;Catalog!T206,""))</f>
        <v/>
      </c>
      <c r="I232" s="10">
        <f>Catalog!B206</f>
        <v>0</v>
      </c>
      <c r="J232" s="10">
        <f>Catalog!L206</f>
        <v>0</v>
      </c>
      <c r="K232" s="10">
        <f>IF(Catalog!AG206&lt;&gt;"",Catalog!AG206,Catalog!AE206)</f>
        <v>0</v>
      </c>
      <c r="L232" s="10">
        <f>Catalog!AD206</f>
        <v>0</v>
      </c>
      <c r="M232" s="10">
        <f>Catalog!V206</f>
        <v>0</v>
      </c>
      <c r="N232" s="10">
        <f>Catalog!Q206</f>
        <v>0</v>
      </c>
      <c r="O232" s="10">
        <f>Catalog!AF206</f>
        <v>0</v>
      </c>
    </row>
    <row r="233" spans="1:15" x14ac:dyDescent="0.25">
      <c r="A233" s="10">
        <f>Catalog!D207</f>
        <v>0</v>
      </c>
      <c r="B233" s="10">
        <f>Catalog!F207</f>
        <v>0</v>
      </c>
      <c r="C233" s="10" t="str">
        <f>IF(Catalog!I207="","",Catalog!I207)&amp;IF(AND(Catalog!I207&lt;&gt;"",Catalog!J207&lt;&gt;""),"; ","")&amp;IF(Catalog!J207="","",Catalog!J207)</f>
        <v/>
      </c>
      <c r="D233" s="10">
        <f>Catalog!P207</f>
        <v>0</v>
      </c>
      <c r="E233" s="10">
        <f>Catalog!R207</f>
        <v>0</v>
      </c>
      <c r="F233" s="10">
        <f>Catalog!M207</f>
        <v>0</v>
      </c>
      <c r="G233" s="10">
        <f>Catalog!K207</f>
        <v>0</v>
      </c>
      <c r="H233" s="10" t="str">
        <f>IF(Catalog!S207&lt;&gt;"","ISBN:"&amp;Catalog!S207,IF(Catalog!T207&lt;&gt;"","ISSN:"&amp;Catalog!T207,""))</f>
        <v/>
      </c>
      <c r="I233" s="10">
        <f>Catalog!B207</f>
        <v>0</v>
      </c>
      <c r="J233" s="10">
        <f>Catalog!L207</f>
        <v>0</v>
      </c>
      <c r="K233" s="10">
        <f>IF(Catalog!AG207&lt;&gt;"",Catalog!AG207,Catalog!AE207)</f>
        <v>0</v>
      </c>
      <c r="L233" s="10">
        <f>Catalog!AD207</f>
        <v>0</v>
      </c>
      <c r="M233" s="10">
        <f>Catalog!V207</f>
        <v>0</v>
      </c>
      <c r="N233" s="10">
        <f>Catalog!Q207</f>
        <v>0</v>
      </c>
      <c r="O233" s="10">
        <f>Catalog!AF207</f>
        <v>0</v>
      </c>
    </row>
    <row r="234" spans="1:15" x14ac:dyDescent="0.25">
      <c r="A234" s="10">
        <f>Catalog!D208</f>
        <v>0</v>
      </c>
      <c r="B234" s="10">
        <f>Catalog!F208</f>
        <v>0</v>
      </c>
      <c r="C234" s="10" t="str">
        <f>IF(Catalog!I208="","",Catalog!I208)&amp;IF(AND(Catalog!I208&lt;&gt;"",Catalog!J208&lt;&gt;""),"; ","")&amp;IF(Catalog!J208="","",Catalog!J208)</f>
        <v/>
      </c>
      <c r="D234" s="10">
        <f>Catalog!P208</f>
        <v>0</v>
      </c>
      <c r="E234" s="10">
        <f>Catalog!R208</f>
        <v>0</v>
      </c>
      <c r="F234" s="10">
        <f>Catalog!M208</f>
        <v>0</v>
      </c>
      <c r="G234" s="10">
        <f>Catalog!K208</f>
        <v>0</v>
      </c>
      <c r="H234" s="10" t="str">
        <f>IF(Catalog!S208&lt;&gt;"","ISBN:"&amp;Catalog!S208,IF(Catalog!T208&lt;&gt;"","ISSN:"&amp;Catalog!T208,""))</f>
        <v/>
      </c>
      <c r="I234" s="10">
        <f>Catalog!B208</f>
        <v>0</v>
      </c>
      <c r="J234" s="10">
        <f>Catalog!L208</f>
        <v>0</v>
      </c>
      <c r="K234" s="10">
        <f>IF(Catalog!AG208&lt;&gt;"",Catalog!AG208,Catalog!AE208)</f>
        <v>0</v>
      </c>
      <c r="L234" s="10">
        <f>Catalog!AD208</f>
        <v>0</v>
      </c>
      <c r="M234" s="10">
        <f>Catalog!V208</f>
        <v>0</v>
      </c>
      <c r="N234" s="10">
        <f>Catalog!Q208</f>
        <v>0</v>
      </c>
      <c r="O234" s="10">
        <f>Catalog!AF208</f>
        <v>0</v>
      </c>
    </row>
    <row r="235" spans="1:15" x14ac:dyDescent="0.25">
      <c r="A235" s="10">
        <f>Catalog!D209</f>
        <v>0</v>
      </c>
      <c r="B235" s="10">
        <f>Catalog!F209</f>
        <v>0</v>
      </c>
      <c r="C235" s="10" t="str">
        <f>IF(Catalog!I209="","",Catalog!I209)&amp;IF(AND(Catalog!I209&lt;&gt;"",Catalog!J209&lt;&gt;""),"; ","")&amp;IF(Catalog!J209="","",Catalog!J209)</f>
        <v/>
      </c>
      <c r="D235" s="10">
        <f>Catalog!P209</f>
        <v>0</v>
      </c>
      <c r="E235" s="10">
        <f>Catalog!R209</f>
        <v>0</v>
      </c>
      <c r="F235" s="10">
        <f>Catalog!M209</f>
        <v>0</v>
      </c>
      <c r="G235" s="10">
        <f>Catalog!K209</f>
        <v>0</v>
      </c>
      <c r="H235" s="10" t="str">
        <f>IF(Catalog!S209&lt;&gt;"","ISBN:"&amp;Catalog!S209,IF(Catalog!T209&lt;&gt;"","ISSN:"&amp;Catalog!T209,""))</f>
        <v/>
      </c>
      <c r="I235" s="10">
        <f>Catalog!B209</f>
        <v>0</v>
      </c>
      <c r="J235" s="10">
        <f>Catalog!L209</f>
        <v>0</v>
      </c>
      <c r="K235" s="10">
        <f>IF(Catalog!AG209&lt;&gt;"",Catalog!AG209,Catalog!AE209)</f>
        <v>0</v>
      </c>
      <c r="L235" s="10">
        <f>Catalog!AD209</f>
        <v>0</v>
      </c>
      <c r="M235" s="10">
        <f>Catalog!V209</f>
        <v>0</v>
      </c>
      <c r="N235" s="10">
        <f>Catalog!Q209</f>
        <v>0</v>
      </c>
      <c r="O235" s="10">
        <f>Catalog!AF209</f>
        <v>0</v>
      </c>
    </row>
    <row r="236" spans="1:15" x14ac:dyDescent="0.25">
      <c r="A236" s="10">
        <f>Catalog!D210</f>
        <v>0</v>
      </c>
      <c r="B236" s="10">
        <f>Catalog!F210</f>
        <v>0</v>
      </c>
      <c r="C236" s="10" t="str">
        <f>IF(Catalog!I210="","",Catalog!I210)&amp;IF(AND(Catalog!I210&lt;&gt;"",Catalog!J210&lt;&gt;""),"; ","")&amp;IF(Catalog!J210="","",Catalog!J210)</f>
        <v/>
      </c>
      <c r="D236" s="10">
        <f>Catalog!P210</f>
        <v>0</v>
      </c>
      <c r="E236" s="10">
        <f>Catalog!R210</f>
        <v>0</v>
      </c>
      <c r="F236" s="10">
        <f>Catalog!M210</f>
        <v>0</v>
      </c>
      <c r="G236" s="10">
        <f>Catalog!K210</f>
        <v>0</v>
      </c>
      <c r="H236" s="10" t="str">
        <f>IF(Catalog!S210&lt;&gt;"","ISBN:"&amp;Catalog!S210,IF(Catalog!T210&lt;&gt;"","ISSN:"&amp;Catalog!T210,""))</f>
        <v/>
      </c>
      <c r="I236" s="10">
        <f>Catalog!B210</f>
        <v>0</v>
      </c>
      <c r="J236" s="10">
        <f>Catalog!L210</f>
        <v>0</v>
      </c>
      <c r="K236" s="10">
        <f>IF(Catalog!AG210&lt;&gt;"",Catalog!AG210,Catalog!AE210)</f>
        <v>0</v>
      </c>
      <c r="L236" s="10">
        <f>Catalog!AD210</f>
        <v>0</v>
      </c>
      <c r="M236" s="10">
        <f>Catalog!V210</f>
        <v>0</v>
      </c>
      <c r="N236" s="10">
        <f>Catalog!Q210</f>
        <v>0</v>
      </c>
      <c r="O236" s="10">
        <f>Catalog!AF210</f>
        <v>0</v>
      </c>
    </row>
    <row r="237" spans="1:15" x14ac:dyDescent="0.25">
      <c r="A237" s="10">
        <f>Catalog!D211</f>
        <v>0</v>
      </c>
      <c r="B237" s="10">
        <f>Catalog!F211</f>
        <v>0</v>
      </c>
      <c r="C237" s="10" t="str">
        <f>IF(Catalog!I211="","",Catalog!I211)&amp;IF(AND(Catalog!I211&lt;&gt;"",Catalog!J211&lt;&gt;""),"; ","")&amp;IF(Catalog!J211="","",Catalog!J211)</f>
        <v/>
      </c>
      <c r="D237" s="10">
        <f>Catalog!P211</f>
        <v>0</v>
      </c>
      <c r="E237" s="10">
        <f>Catalog!R211</f>
        <v>0</v>
      </c>
      <c r="F237" s="10">
        <f>Catalog!M211</f>
        <v>0</v>
      </c>
      <c r="G237" s="10">
        <f>Catalog!K211</f>
        <v>0</v>
      </c>
      <c r="H237" s="10" t="str">
        <f>IF(Catalog!S211&lt;&gt;"","ISBN:"&amp;Catalog!S211,IF(Catalog!T211&lt;&gt;"","ISSN:"&amp;Catalog!T211,""))</f>
        <v/>
      </c>
      <c r="I237" s="10">
        <f>Catalog!B211</f>
        <v>0</v>
      </c>
      <c r="J237" s="10">
        <f>Catalog!L211</f>
        <v>0</v>
      </c>
      <c r="K237" s="10">
        <f>IF(Catalog!AG211&lt;&gt;"",Catalog!AG211,Catalog!AE211)</f>
        <v>0</v>
      </c>
      <c r="L237" s="10">
        <f>Catalog!AD211</f>
        <v>0</v>
      </c>
      <c r="M237" s="10">
        <f>Catalog!V211</f>
        <v>0</v>
      </c>
      <c r="N237" s="10">
        <f>Catalog!Q211</f>
        <v>0</v>
      </c>
      <c r="O237" s="10">
        <f>Catalog!AF211</f>
        <v>0</v>
      </c>
    </row>
    <row r="238" spans="1:15" x14ac:dyDescent="0.25">
      <c r="A238" s="10">
        <f>Catalog!D212</f>
        <v>0</v>
      </c>
      <c r="B238" s="10">
        <f>Catalog!F212</f>
        <v>0</v>
      </c>
      <c r="C238" s="10" t="str">
        <f>IF(Catalog!I212="","",Catalog!I212)&amp;IF(AND(Catalog!I212&lt;&gt;"",Catalog!J212&lt;&gt;""),"; ","")&amp;IF(Catalog!J212="","",Catalog!J212)</f>
        <v/>
      </c>
      <c r="D238" s="10">
        <f>Catalog!P212</f>
        <v>0</v>
      </c>
      <c r="E238" s="10">
        <f>Catalog!R212</f>
        <v>0</v>
      </c>
      <c r="F238" s="10">
        <f>Catalog!M212</f>
        <v>0</v>
      </c>
      <c r="G238" s="10">
        <f>Catalog!K212</f>
        <v>0</v>
      </c>
      <c r="H238" s="10" t="str">
        <f>IF(Catalog!S212&lt;&gt;"","ISBN:"&amp;Catalog!S212,IF(Catalog!T212&lt;&gt;"","ISSN:"&amp;Catalog!T212,""))</f>
        <v/>
      </c>
      <c r="I238" s="10">
        <f>Catalog!B212</f>
        <v>0</v>
      </c>
      <c r="J238" s="10">
        <f>Catalog!L212</f>
        <v>0</v>
      </c>
      <c r="K238" s="10">
        <f>IF(Catalog!AG212&lt;&gt;"",Catalog!AG212,Catalog!AE212)</f>
        <v>0</v>
      </c>
      <c r="L238" s="10">
        <f>Catalog!AD212</f>
        <v>0</v>
      </c>
      <c r="M238" s="10">
        <f>Catalog!V212</f>
        <v>0</v>
      </c>
      <c r="N238" s="10">
        <f>Catalog!Q212</f>
        <v>0</v>
      </c>
      <c r="O238" s="10">
        <f>Catalog!AF212</f>
        <v>0</v>
      </c>
    </row>
    <row r="239" spans="1:15" x14ac:dyDescent="0.25">
      <c r="A239" s="10">
        <f>Catalog!D213</f>
        <v>0</v>
      </c>
      <c r="B239" s="10">
        <f>Catalog!F213</f>
        <v>0</v>
      </c>
      <c r="C239" s="10" t="str">
        <f>IF(Catalog!I213="","",Catalog!I213)&amp;IF(AND(Catalog!I213&lt;&gt;"",Catalog!J213&lt;&gt;""),"; ","")&amp;IF(Catalog!J213="","",Catalog!J213)</f>
        <v/>
      </c>
      <c r="D239" s="10">
        <f>Catalog!P213</f>
        <v>0</v>
      </c>
      <c r="E239" s="10">
        <f>Catalog!R213</f>
        <v>0</v>
      </c>
      <c r="F239" s="10">
        <f>Catalog!M213</f>
        <v>0</v>
      </c>
      <c r="G239" s="10">
        <f>Catalog!K213</f>
        <v>0</v>
      </c>
      <c r="H239" s="10" t="str">
        <f>IF(Catalog!S213&lt;&gt;"","ISBN:"&amp;Catalog!S213,IF(Catalog!T213&lt;&gt;"","ISSN:"&amp;Catalog!T213,""))</f>
        <v/>
      </c>
      <c r="I239" s="10">
        <f>Catalog!B213</f>
        <v>0</v>
      </c>
      <c r="J239" s="10">
        <f>Catalog!L213</f>
        <v>0</v>
      </c>
      <c r="K239" s="10">
        <f>IF(Catalog!AG213&lt;&gt;"",Catalog!AG213,Catalog!AE213)</f>
        <v>0</v>
      </c>
      <c r="L239" s="10">
        <f>Catalog!AD213</f>
        <v>0</v>
      </c>
      <c r="M239" s="10">
        <f>Catalog!V213</f>
        <v>0</v>
      </c>
      <c r="N239" s="10">
        <f>Catalog!Q213</f>
        <v>0</v>
      </c>
      <c r="O239" s="10">
        <f>Catalog!AF213</f>
        <v>0</v>
      </c>
    </row>
    <row r="240" spans="1:15" x14ac:dyDescent="0.25">
      <c r="A240" s="10">
        <f>Catalog!D214</f>
        <v>0</v>
      </c>
      <c r="B240" s="10">
        <f>Catalog!F214</f>
        <v>0</v>
      </c>
      <c r="C240" s="10" t="str">
        <f>IF(Catalog!I214="","",Catalog!I214)&amp;IF(AND(Catalog!I214&lt;&gt;"",Catalog!J214&lt;&gt;""),"; ","")&amp;IF(Catalog!J214="","",Catalog!J214)</f>
        <v/>
      </c>
      <c r="D240" s="10">
        <f>Catalog!P214</f>
        <v>0</v>
      </c>
      <c r="E240" s="10">
        <f>Catalog!R214</f>
        <v>0</v>
      </c>
      <c r="F240" s="10">
        <f>Catalog!M214</f>
        <v>0</v>
      </c>
      <c r="G240" s="10">
        <f>Catalog!K214</f>
        <v>0</v>
      </c>
      <c r="H240" s="10" t="str">
        <f>IF(Catalog!S214&lt;&gt;"","ISBN:"&amp;Catalog!S214,IF(Catalog!T214&lt;&gt;"","ISSN:"&amp;Catalog!T214,""))</f>
        <v/>
      </c>
      <c r="I240" s="10">
        <f>Catalog!B214</f>
        <v>0</v>
      </c>
      <c r="J240" s="10">
        <f>Catalog!L214</f>
        <v>0</v>
      </c>
      <c r="K240" s="10">
        <f>IF(Catalog!AG214&lt;&gt;"",Catalog!AG214,Catalog!AE214)</f>
        <v>0</v>
      </c>
      <c r="L240" s="10">
        <f>Catalog!AD214</f>
        <v>0</v>
      </c>
      <c r="M240" s="10">
        <f>Catalog!V214</f>
        <v>0</v>
      </c>
      <c r="N240" s="10">
        <f>Catalog!Q214</f>
        <v>0</v>
      </c>
      <c r="O240" s="10">
        <f>Catalog!AF214</f>
        <v>0</v>
      </c>
    </row>
    <row r="241" spans="1:15" x14ac:dyDescent="0.25">
      <c r="A241" s="10">
        <f>Catalog!D215</f>
        <v>0</v>
      </c>
      <c r="B241" s="10">
        <f>Catalog!F215</f>
        <v>0</v>
      </c>
      <c r="C241" s="10" t="str">
        <f>IF(Catalog!I215="","",Catalog!I215)&amp;IF(AND(Catalog!I215&lt;&gt;"",Catalog!J215&lt;&gt;""),"; ","")&amp;IF(Catalog!J215="","",Catalog!J215)</f>
        <v/>
      </c>
      <c r="D241" s="10">
        <f>Catalog!P215</f>
        <v>0</v>
      </c>
      <c r="E241" s="10">
        <f>Catalog!R215</f>
        <v>0</v>
      </c>
      <c r="F241" s="10">
        <f>Catalog!M215</f>
        <v>0</v>
      </c>
      <c r="G241" s="10">
        <f>Catalog!K215</f>
        <v>0</v>
      </c>
      <c r="H241" s="10" t="str">
        <f>IF(Catalog!S215&lt;&gt;"","ISBN:"&amp;Catalog!S215,IF(Catalog!T215&lt;&gt;"","ISSN:"&amp;Catalog!T215,""))</f>
        <v/>
      </c>
      <c r="I241" s="10">
        <f>Catalog!B215</f>
        <v>0</v>
      </c>
      <c r="J241" s="10">
        <f>Catalog!L215</f>
        <v>0</v>
      </c>
      <c r="K241" s="10">
        <f>IF(Catalog!AG215&lt;&gt;"",Catalog!AG215,Catalog!AE215)</f>
        <v>0</v>
      </c>
      <c r="L241" s="10">
        <f>Catalog!AD215</f>
        <v>0</v>
      </c>
      <c r="M241" s="10">
        <f>Catalog!V215</f>
        <v>0</v>
      </c>
      <c r="N241" s="10">
        <f>Catalog!Q215</f>
        <v>0</v>
      </c>
      <c r="O241" s="10">
        <f>Catalog!AF215</f>
        <v>0</v>
      </c>
    </row>
    <row r="242" spans="1:15" x14ac:dyDescent="0.25">
      <c r="A242" s="10">
        <f>Catalog!D216</f>
        <v>0</v>
      </c>
      <c r="B242" s="10">
        <f>Catalog!F216</f>
        <v>0</v>
      </c>
      <c r="C242" s="10" t="str">
        <f>IF(Catalog!I216="","",Catalog!I216)&amp;IF(AND(Catalog!I216&lt;&gt;"",Catalog!J216&lt;&gt;""),"; ","")&amp;IF(Catalog!J216="","",Catalog!J216)</f>
        <v/>
      </c>
      <c r="D242" s="10">
        <f>Catalog!P216</f>
        <v>0</v>
      </c>
      <c r="E242" s="10">
        <f>Catalog!R216</f>
        <v>0</v>
      </c>
      <c r="F242" s="10">
        <f>Catalog!M216</f>
        <v>0</v>
      </c>
      <c r="G242" s="10">
        <f>Catalog!K216</f>
        <v>0</v>
      </c>
      <c r="H242" s="10" t="str">
        <f>IF(Catalog!S216&lt;&gt;"","ISBN:"&amp;Catalog!S216,IF(Catalog!T216&lt;&gt;"","ISSN:"&amp;Catalog!T216,""))</f>
        <v/>
      </c>
      <c r="I242" s="10">
        <f>Catalog!B216</f>
        <v>0</v>
      </c>
      <c r="J242" s="10">
        <f>Catalog!L216</f>
        <v>0</v>
      </c>
      <c r="K242" s="10">
        <f>IF(Catalog!AG216&lt;&gt;"",Catalog!AG216,Catalog!AE216)</f>
        <v>0</v>
      </c>
      <c r="L242" s="10">
        <f>Catalog!AD216</f>
        <v>0</v>
      </c>
      <c r="M242" s="10">
        <f>Catalog!V216</f>
        <v>0</v>
      </c>
      <c r="N242" s="10">
        <f>Catalog!Q216</f>
        <v>0</v>
      </c>
      <c r="O242" s="10">
        <f>Catalog!AF216</f>
        <v>0</v>
      </c>
    </row>
    <row r="243" spans="1:15" x14ac:dyDescent="0.25">
      <c r="A243" s="10">
        <f>Catalog!D217</f>
        <v>0</v>
      </c>
      <c r="B243" s="10">
        <f>Catalog!F217</f>
        <v>0</v>
      </c>
      <c r="C243" s="10" t="str">
        <f>IF(Catalog!I217="","",Catalog!I217)&amp;IF(AND(Catalog!I217&lt;&gt;"",Catalog!J217&lt;&gt;""),"; ","")&amp;IF(Catalog!J217="","",Catalog!J217)</f>
        <v/>
      </c>
      <c r="D243" s="10">
        <f>Catalog!P217</f>
        <v>0</v>
      </c>
      <c r="E243" s="10">
        <f>Catalog!R217</f>
        <v>0</v>
      </c>
      <c r="F243" s="10">
        <f>Catalog!M217</f>
        <v>0</v>
      </c>
      <c r="G243" s="10">
        <f>Catalog!K217</f>
        <v>0</v>
      </c>
      <c r="H243" s="10" t="str">
        <f>IF(Catalog!S217&lt;&gt;"","ISBN:"&amp;Catalog!S217,IF(Catalog!T217&lt;&gt;"","ISSN:"&amp;Catalog!T217,""))</f>
        <v/>
      </c>
      <c r="I243" s="10">
        <f>Catalog!B217</f>
        <v>0</v>
      </c>
      <c r="J243" s="10">
        <f>Catalog!L217</f>
        <v>0</v>
      </c>
      <c r="K243" s="10">
        <f>IF(Catalog!AG217&lt;&gt;"",Catalog!AG217,Catalog!AE217)</f>
        <v>0</v>
      </c>
      <c r="L243" s="10">
        <f>Catalog!AD217</f>
        <v>0</v>
      </c>
      <c r="M243" s="10">
        <f>Catalog!V217</f>
        <v>0</v>
      </c>
      <c r="N243" s="10">
        <f>Catalog!Q217</f>
        <v>0</v>
      </c>
      <c r="O243" s="10">
        <f>Catalog!AF217</f>
        <v>0</v>
      </c>
    </row>
    <row r="244" spans="1:15" x14ac:dyDescent="0.25">
      <c r="A244" s="10">
        <f>Catalog!D218</f>
        <v>0</v>
      </c>
      <c r="B244" s="10">
        <f>Catalog!F218</f>
        <v>0</v>
      </c>
      <c r="C244" s="10" t="str">
        <f>IF(Catalog!I218="","",Catalog!I218)&amp;IF(AND(Catalog!I218&lt;&gt;"",Catalog!J218&lt;&gt;""),"; ","")&amp;IF(Catalog!J218="","",Catalog!J218)</f>
        <v/>
      </c>
      <c r="D244" s="10">
        <f>Catalog!P218</f>
        <v>0</v>
      </c>
      <c r="E244" s="10">
        <f>Catalog!R218</f>
        <v>0</v>
      </c>
      <c r="F244" s="10">
        <f>Catalog!M218</f>
        <v>0</v>
      </c>
      <c r="G244" s="10">
        <f>Catalog!K218</f>
        <v>0</v>
      </c>
      <c r="H244" s="10" t="str">
        <f>IF(Catalog!S218&lt;&gt;"","ISBN:"&amp;Catalog!S218,IF(Catalog!T218&lt;&gt;"","ISSN:"&amp;Catalog!T218,""))</f>
        <v/>
      </c>
      <c r="I244" s="10">
        <f>Catalog!B218</f>
        <v>0</v>
      </c>
      <c r="J244" s="10">
        <f>Catalog!L218</f>
        <v>0</v>
      </c>
      <c r="K244" s="10">
        <f>IF(Catalog!AG218&lt;&gt;"",Catalog!AG218,Catalog!AE218)</f>
        <v>0</v>
      </c>
      <c r="L244" s="10">
        <f>Catalog!AD218</f>
        <v>0</v>
      </c>
      <c r="M244" s="10">
        <f>Catalog!V218</f>
        <v>0</v>
      </c>
      <c r="N244" s="10">
        <f>Catalog!Q218</f>
        <v>0</v>
      </c>
      <c r="O244" s="10">
        <f>Catalog!AF218</f>
        <v>0</v>
      </c>
    </row>
    <row r="245" spans="1:15" x14ac:dyDescent="0.25">
      <c r="A245" s="10">
        <f>Catalog!D219</f>
        <v>0</v>
      </c>
      <c r="B245" s="10">
        <f>Catalog!F219</f>
        <v>0</v>
      </c>
      <c r="C245" s="10" t="str">
        <f>IF(Catalog!I219="","",Catalog!I219)&amp;IF(AND(Catalog!I219&lt;&gt;"",Catalog!J219&lt;&gt;""),"; ","")&amp;IF(Catalog!J219="","",Catalog!J219)</f>
        <v/>
      </c>
      <c r="D245" s="10">
        <f>Catalog!P219</f>
        <v>0</v>
      </c>
      <c r="E245" s="10">
        <f>Catalog!R219</f>
        <v>0</v>
      </c>
      <c r="F245" s="10">
        <f>Catalog!M219</f>
        <v>0</v>
      </c>
      <c r="G245" s="10">
        <f>Catalog!K219</f>
        <v>0</v>
      </c>
      <c r="H245" s="10" t="str">
        <f>IF(Catalog!S219&lt;&gt;"","ISBN:"&amp;Catalog!S219,IF(Catalog!T219&lt;&gt;"","ISSN:"&amp;Catalog!T219,""))</f>
        <v/>
      </c>
      <c r="I245" s="10">
        <f>Catalog!B219</f>
        <v>0</v>
      </c>
      <c r="J245" s="10">
        <f>Catalog!L219</f>
        <v>0</v>
      </c>
      <c r="K245" s="10">
        <f>IF(Catalog!AG219&lt;&gt;"",Catalog!AG219,Catalog!AE219)</f>
        <v>0</v>
      </c>
      <c r="L245" s="10">
        <f>Catalog!AD219</f>
        <v>0</v>
      </c>
      <c r="M245" s="10">
        <f>Catalog!V219</f>
        <v>0</v>
      </c>
      <c r="N245" s="10">
        <f>Catalog!Q219</f>
        <v>0</v>
      </c>
      <c r="O245" s="10">
        <f>Catalog!AF219</f>
        <v>0</v>
      </c>
    </row>
    <row r="246" spans="1:15" x14ac:dyDescent="0.25">
      <c r="A246" s="10">
        <f>Catalog!D220</f>
        <v>0</v>
      </c>
      <c r="B246" s="10">
        <f>Catalog!F220</f>
        <v>0</v>
      </c>
      <c r="C246" s="10" t="str">
        <f>IF(Catalog!I220="","",Catalog!I220)&amp;IF(AND(Catalog!I220&lt;&gt;"",Catalog!J220&lt;&gt;""),"; ","")&amp;IF(Catalog!J220="","",Catalog!J220)</f>
        <v/>
      </c>
      <c r="D246" s="10">
        <f>Catalog!P220</f>
        <v>0</v>
      </c>
      <c r="E246" s="10">
        <f>Catalog!R220</f>
        <v>0</v>
      </c>
      <c r="F246" s="10">
        <f>Catalog!M220</f>
        <v>0</v>
      </c>
      <c r="G246" s="10">
        <f>Catalog!K220</f>
        <v>0</v>
      </c>
      <c r="H246" s="10" t="str">
        <f>IF(Catalog!S220&lt;&gt;"","ISBN:"&amp;Catalog!S220,IF(Catalog!T220&lt;&gt;"","ISSN:"&amp;Catalog!T220,""))</f>
        <v/>
      </c>
      <c r="I246" s="10">
        <f>Catalog!B220</f>
        <v>0</v>
      </c>
      <c r="J246" s="10">
        <f>Catalog!L220</f>
        <v>0</v>
      </c>
      <c r="K246" s="10">
        <f>IF(Catalog!AG220&lt;&gt;"",Catalog!AG220,Catalog!AE220)</f>
        <v>0</v>
      </c>
      <c r="L246" s="10">
        <f>Catalog!AD220</f>
        <v>0</v>
      </c>
      <c r="M246" s="10">
        <f>Catalog!V220</f>
        <v>0</v>
      </c>
      <c r="N246" s="10">
        <f>Catalog!Q220</f>
        <v>0</v>
      </c>
      <c r="O246" s="10">
        <f>Catalog!AF220</f>
        <v>0</v>
      </c>
    </row>
    <row r="247" spans="1:15" x14ac:dyDescent="0.25">
      <c r="A247" s="10">
        <f>Catalog!D221</f>
        <v>0</v>
      </c>
      <c r="B247" s="10">
        <f>Catalog!F221</f>
        <v>0</v>
      </c>
      <c r="C247" s="10" t="str">
        <f>IF(Catalog!I221="","",Catalog!I221)&amp;IF(AND(Catalog!I221&lt;&gt;"",Catalog!J221&lt;&gt;""),"; ","")&amp;IF(Catalog!J221="","",Catalog!J221)</f>
        <v/>
      </c>
      <c r="D247" s="10">
        <f>Catalog!P221</f>
        <v>0</v>
      </c>
      <c r="E247" s="10">
        <f>Catalog!R221</f>
        <v>0</v>
      </c>
      <c r="F247" s="10">
        <f>Catalog!M221</f>
        <v>0</v>
      </c>
      <c r="G247" s="10">
        <f>Catalog!K221</f>
        <v>0</v>
      </c>
      <c r="H247" s="10" t="str">
        <f>IF(Catalog!S221&lt;&gt;"","ISBN:"&amp;Catalog!S221,IF(Catalog!T221&lt;&gt;"","ISSN:"&amp;Catalog!T221,""))</f>
        <v/>
      </c>
      <c r="I247" s="10">
        <f>Catalog!B221</f>
        <v>0</v>
      </c>
      <c r="J247" s="10">
        <f>Catalog!L221</f>
        <v>0</v>
      </c>
      <c r="K247" s="10">
        <f>IF(Catalog!AG221&lt;&gt;"",Catalog!AG221,Catalog!AE221)</f>
        <v>0</v>
      </c>
      <c r="L247" s="10">
        <f>Catalog!AD221</f>
        <v>0</v>
      </c>
      <c r="M247" s="10">
        <f>Catalog!V221</f>
        <v>0</v>
      </c>
      <c r="N247" s="10">
        <f>Catalog!Q221</f>
        <v>0</v>
      </c>
      <c r="O247" s="10">
        <f>Catalog!AF221</f>
        <v>0</v>
      </c>
    </row>
    <row r="248" spans="1:15" x14ac:dyDescent="0.25">
      <c r="A248" s="10">
        <f>Catalog!D222</f>
        <v>0</v>
      </c>
      <c r="B248" s="10">
        <f>Catalog!F222</f>
        <v>0</v>
      </c>
      <c r="C248" s="10" t="str">
        <f>IF(Catalog!I222="","",Catalog!I222)&amp;IF(AND(Catalog!I222&lt;&gt;"",Catalog!J222&lt;&gt;""),"; ","")&amp;IF(Catalog!J222="","",Catalog!J222)</f>
        <v/>
      </c>
      <c r="D248" s="10">
        <f>Catalog!P222</f>
        <v>0</v>
      </c>
      <c r="E248" s="10">
        <f>Catalog!R222</f>
        <v>0</v>
      </c>
      <c r="F248" s="10">
        <f>Catalog!M222</f>
        <v>0</v>
      </c>
      <c r="G248" s="10">
        <f>Catalog!K222</f>
        <v>0</v>
      </c>
      <c r="H248" s="10" t="str">
        <f>IF(Catalog!S222&lt;&gt;"","ISBN:"&amp;Catalog!S222,IF(Catalog!T222&lt;&gt;"","ISSN:"&amp;Catalog!T222,""))</f>
        <v/>
      </c>
      <c r="I248" s="10">
        <f>Catalog!B222</f>
        <v>0</v>
      </c>
      <c r="J248" s="10">
        <f>Catalog!L222</f>
        <v>0</v>
      </c>
      <c r="K248" s="10">
        <f>IF(Catalog!AG222&lt;&gt;"",Catalog!AG222,Catalog!AE222)</f>
        <v>0</v>
      </c>
      <c r="L248" s="10">
        <f>Catalog!AD222</f>
        <v>0</v>
      </c>
      <c r="M248" s="10">
        <f>Catalog!V222</f>
        <v>0</v>
      </c>
      <c r="N248" s="10">
        <f>Catalog!Q222</f>
        <v>0</v>
      </c>
      <c r="O248" s="10">
        <f>Catalog!AF222</f>
        <v>0</v>
      </c>
    </row>
    <row r="249" spans="1:15" x14ac:dyDescent="0.25">
      <c r="A249" s="10">
        <f>Catalog!D223</f>
        <v>0</v>
      </c>
      <c r="B249" s="10">
        <f>Catalog!F223</f>
        <v>0</v>
      </c>
      <c r="C249" s="10" t="str">
        <f>IF(Catalog!I223="","",Catalog!I223)&amp;IF(AND(Catalog!I223&lt;&gt;"",Catalog!J223&lt;&gt;""),"; ","")&amp;IF(Catalog!J223="","",Catalog!J223)</f>
        <v/>
      </c>
      <c r="D249" s="10">
        <f>Catalog!P223</f>
        <v>0</v>
      </c>
      <c r="E249" s="10">
        <f>Catalog!R223</f>
        <v>0</v>
      </c>
      <c r="F249" s="10">
        <f>Catalog!M223</f>
        <v>0</v>
      </c>
      <c r="G249" s="10">
        <f>Catalog!K223</f>
        <v>0</v>
      </c>
      <c r="H249" s="10" t="str">
        <f>IF(Catalog!S223&lt;&gt;"","ISBN:"&amp;Catalog!S223,IF(Catalog!T223&lt;&gt;"","ISSN:"&amp;Catalog!T223,""))</f>
        <v/>
      </c>
      <c r="I249" s="10">
        <f>Catalog!B223</f>
        <v>0</v>
      </c>
      <c r="J249" s="10">
        <f>Catalog!L223</f>
        <v>0</v>
      </c>
      <c r="K249" s="10">
        <f>IF(Catalog!AG223&lt;&gt;"",Catalog!AG223,Catalog!AE223)</f>
        <v>0</v>
      </c>
      <c r="L249" s="10">
        <f>Catalog!AD223</f>
        <v>0</v>
      </c>
      <c r="M249" s="10">
        <f>Catalog!V223</f>
        <v>0</v>
      </c>
      <c r="N249" s="10">
        <f>Catalog!Q223</f>
        <v>0</v>
      </c>
      <c r="O249" s="10">
        <f>Catalog!AF223</f>
        <v>0</v>
      </c>
    </row>
    <row r="250" spans="1:15" x14ac:dyDescent="0.25">
      <c r="A250" s="10">
        <f>Catalog!D224</f>
        <v>0</v>
      </c>
      <c r="B250" s="10">
        <f>Catalog!F224</f>
        <v>0</v>
      </c>
      <c r="C250" s="10" t="str">
        <f>IF(Catalog!I224="","",Catalog!I224)&amp;IF(AND(Catalog!I224&lt;&gt;"",Catalog!J224&lt;&gt;""),"; ","")&amp;IF(Catalog!J224="","",Catalog!J224)</f>
        <v/>
      </c>
      <c r="D250" s="10">
        <f>Catalog!P224</f>
        <v>0</v>
      </c>
      <c r="E250" s="10">
        <f>Catalog!R224</f>
        <v>0</v>
      </c>
      <c r="F250" s="10">
        <f>Catalog!M224</f>
        <v>0</v>
      </c>
      <c r="G250" s="10">
        <f>Catalog!K224</f>
        <v>0</v>
      </c>
      <c r="H250" s="10" t="str">
        <f>IF(Catalog!S224&lt;&gt;"","ISBN:"&amp;Catalog!S224,IF(Catalog!T224&lt;&gt;"","ISSN:"&amp;Catalog!T224,""))</f>
        <v/>
      </c>
      <c r="I250" s="10">
        <f>Catalog!B224</f>
        <v>0</v>
      </c>
      <c r="J250" s="10">
        <f>Catalog!L224</f>
        <v>0</v>
      </c>
      <c r="K250" s="10">
        <f>IF(Catalog!AG224&lt;&gt;"",Catalog!AG224,Catalog!AE224)</f>
        <v>0</v>
      </c>
      <c r="L250" s="10">
        <f>Catalog!AD224</f>
        <v>0</v>
      </c>
      <c r="M250" s="10">
        <f>Catalog!V224</f>
        <v>0</v>
      </c>
      <c r="N250" s="10">
        <f>Catalog!Q224</f>
        <v>0</v>
      </c>
      <c r="O250" s="10">
        <f>Catalog!AF224</f>
        <v>0</v>
      </c>
    </row>
    <row r="251" spans="1:15" x14ac:dyDescent="0.25">
      <c r="A251" s="10">
        <f>Catalog!D225</f>
        <v>0</v>
      </c>
      <c r="B251" s="10">
        <f>Catalog!F225</f>
        <v>0</v>
      </c>
      <c r="C251" s="10" t="str">
        <f>IF(Catalog!I225="","",Catalog!I225)&amp;IF(AND(Catalog!I225&lt;&gt;"",Catalog!J225&lt;&gt;""),"; ","")&amp;IF(Catalog!J225="","",Catalog!J225)</f>
        <v/>
      </c>
      <c r="D251" s="10">
        <f>Catalog!P225</f>
        <v>0</v>
      </c>
      <c r="E251" s="10">
        <f>Catalog!R225</f>
        <v>0</v>
      </c>
      <c r="F251" s="10">
        <f>Catalog!M225</f>
        <v>0</v>
      </c>
      <c r="G251" s="10">
        <f>Catalog!K225</f>
        <v>0</v>
      </c>
      <c r="H251" s="10" t="str">
        <f>IF(Catalog!S225&lt;&gt;"","ISBN:"&amp;Catalog!S225,IF(Catalog!T225&lt;&gt;"","ISSN:"&amp;Catalog!T225,""))</f>
        <v/>
      </c>
      <c r="I251" s="10">
        <f>Catalog!B225</f>
        <v>0</v>
      </c>
      <c r="J251" s="10">
        <f>Catalog!L225</f>
        <v>0</v>
      </c>
      <c r="K251" s="10">
        <f>IF(Catalog!AG225&lt;&gt;"",Catalog!AG225,Catalog!AE225)</f>
        <v>0</v>
      </c>
      <c r="L251" s="10">
        <f>Catalog!AD225</f>
        <v>0</v>
      </c>
      <c r="M251" s="10">
        <f>Catalog!V225</f>
        <v>0</v>
      </c>
      <c r="N251" s="10">
        <f>Catalog!Q225</f>
        <v>0</v>
      </c>
      <c r="O251" s="10">
        <f>Catalog!AF225</f>
        <v>0</v>
      </c>
    </row>
    <row r="252" spans="1:15" x14ac:dyDescent="0.25">
      <c r="A252" s="10">
        <f>Catalog!D226</f>
        <v>0</v>
      </c>
      <c r="B252" s="10">
        <f>Catalog!F226</f>
        <v>0</v>
      </c>
      <c r="C252" s="10" t="str">
        <f>IF(Catalog!I226="","",Catalog!I226)&amp;IF(AND(Catalog!I226&lt;&gt;"",Catalog!J226&lt;&gt;""),"; ","")&amp;IF(Catalog!J226="","",Catalog!J226)</f>
        <v/>
      </c>
      <c r="D252" s="10">
        <f>Catalog!P226</f>
        <v>0</v>
      </c>
      <c r="E252" s="10">
        <f>Catalog!R226</f>
        <v>0</v>
      </c>
      <c r="F252" s="10">
        <f>Catalog!M226</f>
        <v>0</v>
      </c>
      <c r="G252" s="10">
        <f>Catalog!K226</f>
        <v>0</v>
      </c>
      <c r="H252" s="10" t="str">
        <f>IF(Catalog!S226&lt;&gt;"","ISBN:"&amp;Catalog!S226,IF(Catalog!T226&lt;&gt;"","ISSN:"&amp;Catalog!T226,""))</f>
        <v/>
      </c>
      <c r="I252" s="10">
        <f>Catalog!B226</f>
        <v>0</v>
      </c>
      <c r="J252" s="10">
        <f>Catalog!L226</f>
        <v>0</v>
      </c>
      <c r="K252" s="10">
        <f>IF(Catalog!AG226&lt;&gt;"",Catalog!AG226,Catalog!AE226)</f>
        <v>0</v>
      </c>
      <c r="L252" s="10">
        <f>Catalog!AD226</f>
        <v>0</v>
      </c>
      <c r="M252" s="10">
        <f>Catalog!V226</f>
        <v>0</v>
      </c>
      <c r="N252" s="10">
        <f>Catalog!Q226</f>
        <v>0</v>
      </c>
      <c r="O252" s="10">
        <f>Catalog!AF226</f>
        <v>0</v>
      </c>
    </row>
    <row r="253" spans="1:15" x14ac:dyDescent="0.25">
      <c r="A253" s="10">
        <f>Catalog!D227</f>
        <v>0</v>
      </c>
      <c r="B253" s="10">
        <f>Catalog!F227</f>
        <v>0</v>
      </c>
      <c r="C253" s="10" t="str">
        <f>IF(Catalog!I227="","",Catalog!I227)&amp;IF(AND(Catalog!I227&lt;&gt;"",Catalog!J227&lt;&gt;""),"; ","")&amp;IF(Catalog!J227="","",Catalog!J227)</f>
        <v/>
      </c>
      <c r="D253" s="10">
        <f>Catalog!P227</f>
        <v>0</v>
      </c>
      <c r="E253" s="10">
        <f>Catalog!R227</f>
        <v>0</v>
      </c>
      <c r="F253" s="10">
        <f>Catalog!M227</f>
        <v>0</v>
      </c>
      <c r="G253" s="10">
        <f>Catalog!K227</f>
        <v>0</v>
      </c>
      <c r="H253" s="10" t="str">
        <f>IF(Catalog!S227&lt;&gt;"","ISBN:"&amp;Catalog!S227,IF(Catalog!T227&lt;&gt;"","ISSN:"&amp;Catalog!T227,""))</f>
        <v/>
      </c>
      <c r="I253" s="10">
        <f>Catalog!B227</f>
        <v>0</v>
      </c>
      <c r="J253" s="10">
        <f>Catalog!L227</f>
        <v>0</v>
      </c>
      <c r="K253" s="10">
        <f>IF(Catalog!AG227&lt;&gt;"",Catalog!AG227,Catalog!AE227)</f>
        <v>0</v>
      </c>
      <c r="L253" s="10">
        <f>Catalog!AD227</f>
        <v>0</v>
      </c>
      <c r="M253" s="10">
        <f>Catalog!V227</f>
        <v>0</v>
      </c>
      <c r="N253" s="10">
        <f>Catalog!Q227</f>
        <v>0</v>
      </c>
      <c r="O253" s="10">
        <f>Catalog!AF227</f>
        <v>0</v>
      </c>
    </row>
    <row r="254" spans="1:15" x14ac:dyDescent="0.25">
      <c r="A254" s="10">
        <f>Catalog!D228</f>
        <v>0</v>
      </c>
      <c r="B254" s="10">
        <f>Catalog!F228</f>
        <v>0</v>
      </c>
      <c r="C254" s="10" t="str">
        <f>IF(Catalog!I228="","",Catalog!I228)&amp;IF(AND(Catalog!I228&lt;&gt;"",Catalog!J228&lt;&gt;""),"; ","")&amp;IF(Catalog!J228="","",Catalog!J228)</f>
        <v/>
      </c>
      <c r="D254" s="10">
        <f>Catalog!P228</f>
        <v>0</v>
      </c>
      <c r="E254" s="10">
        <f>Catalog!R228</f>
        <v>0</v>
      </c>
      <c r="F254" s="10">
        <f>Catalog!M228</f>
        <v>0</v>
      </c>
      <c r="G254" s="10">
        <f>Catalog!K228</f>
        <v>0</v>
      </c>
      <c r="H254" s="10" t="str">
        <f>IF(Catalog!S228&lt;&gt;"","ISBN:"&amp;Catalog!S228,IF(Catalog!T228&lt;&gt;"","ISSN:"&amp;Catalog!T228,""))</f>
        <v/>
      </c>
      <c r="I254" s="10">
        <f>Catalog!B228</f>
        <v>0</v>
      </c>
      <c r="J254" s="10">
        <f>Catalog!L228</f>
        <v>0</v>
      </c>
      <c r="K254" s="10">
        <f>IF(Catalog!AG228&lt;&gt;"",Catalog!AG228,Catalog!AE228)</f>
        <v>0</v>
      </c>
      <c r="L254" s="10">
        <f>Catalog!AD228</f>
        <v>0</v>
      </c>
      <c r="M254" s="10">
        <f>Catalog!V228</f>
        <v>0</v>
      </c>
      <c r="N254" s="10">
        <f>Catalog!Q228</f>
        <v>0</v>
      </c>
      <c r="O254" s="10">
        <f>Catalog!AF228</f>
        <v>0</v>
      </c>
    </row>
    <row r="255" spans="1:15" x14ac:dyDescent="0.25">
      <c r="A255" s="10">
        <f>Catalog!D229</f>
        <v>0</v>
      </c>
      <c r="B255" s="10">
        <f>Catalog!F229</f>
        <v>0</v>
      </c>
      <c r="C255" s="10" t="str">
        <f>IF(Catalog!I229="","",Catalog!I229)&amp;IF(AND(Catalog!I229&lt;&gt;"",Catalog!J229&lt;&gt;""),"; ","")&amp;IF(Catalog!J229="","",Catalog!J229)</f>
        <v/>
      </c>
      <c r="D255" s="10">
        <f>Catalog!P229</f>
        <v>0</v>
      </c>
      <c r="E255" s="10">
        <f>Catalog!R229</f>
        <v>0</v>
      </c>
      <c r="F255" s="10">
        <f>Catalog!M229</f>
        <v>0</v>
      </c>
      <c r="G255" s="10">
        <f>Catalog!K229</f>
        <v>0</v>
      </c>
      <c r="H255" s="10" t="str">
        <f>IF(Catalog!S229&lt;&gt;"","ISBN:"&amp;Catalog!S229,IF(Catalog!T229&lt;&gt;"","ISSN:"&amp;Catalog!T229,""))</f>
        <v/>
      </c>
      <c r="I255" s="10">
        <f>Catalog!B229</f>
        <v>0</v>
      </c>
      <c r="J255" s="10">
        <f>Catalog!L229</f>
        <v>0</v>
      </c>
      <c r="K255" s="10">
        <f>IF(Catalog!AG229&lt;&gt;"",Catalog!AG229,Catalog!AE229)</f>
        <v>0</v>
      </c>
      <c r="L255" s="10">
        <f>Catalog!AD229</f>
        <v>0</v>
      </c>
      <c r="M255" s="10">
        <f>Catalog!V229</f>
        <v>0</v>
      </c>
      <c r="N255" s="10">
        <f>Catalog!Q229</f>
        <v>0</v>
      </c>
      <c r="O255" s="10">
        <f>Catalog!AF229</f>
        <v>0</v>
      </c>
    </row>
    <row r="256" spans="1:15" x14ac:dyDescent="0.25">
      <c r="A256" s="10">
        <f>Catalog!D230</f>
        <v>0</v>
      </c>
      <c r="B256" s="10">
        <f>Catalog!F230</f>
        <v>0</v>
      </c>
      <c r="C256" s="10" t="str">
        <f>IF(Catalog!I230="","",Catalog!I230)&amp;IF(AND(Catalog!I230&lt;&gt;"",Catalog!J230&lt;&gt;""),"; ","")&amp;IF(Catalog!J230="","",Catalog!J230)</f>
        <v/>
      </c>
      <c r="D256" s="10">
        <f>Catalog!P230</f>
        <v>0</v>
      </c>
      <c r="E256" s="10">
        <f>Catalog!R230</f>
        <v>0</v>
      </c>
      <c r="F256" s="10">
        <f>Catalog!M230</f>
        <v>0</v>
      </c>
      <c r="G256" s="10">
        <f>Catalog!K230</f>
        <v>0</v>
      </c>
      <c r="H256" s="10" t="str">
        <f>IF(Catalog!S230&lt;&gt;"","ISBN:"&amp;Catalog!S230,IF(Catalog!T230&lt;&gt;"","ISSN:"&amp;Catalog!T230,""))</f>
        <v/>
      </c>
      <c r="I256" s="10">
        <f>Catalog!B230</f>
        <v>0</v>
      </c>
      <c r="J256" s="10">
        <f>Catalog!L230</f>
        <v>0</v>
      </c>
      <c r="K256" s="10">
        <f>IF(Catalog!AG230&lt;&gt;"",Catalog!AG230,Catalog!AE230)</f>
        <v>0</v>
      </c>
      <c r="L256" s="10">
        <f>Catalog!AD230</f>
        <v>0</v>
      </c>
      <c r="M256" s="10">
        <f>Catalog!V230</f>
        <v>0</v>
      </c>
      <c r="N256" s="10">
        <f>Catalog!Q230</f>
        <v>0</v>
      </c>
      <c r="O256" s="10">
        <f>Catalog!AF230</f>
        <v>0</v>
      </c>
    </row>
    <row r="257" spans="1:15" x14ac:dyDescent="0.25">
      <c r="A257" s="10">
        <f>Catalog!D231</f>
        <v>0</v>
      </c>
      <c r="B257" s="10">
        <f>Catalog!F231</f>
        <v>0</v>
      </c>
      <c r="C257" s="10" t="str">
        <f>IF(Catalog!I231="","",Catalog!I231)&amp;IF(AND(Catalog!I231&lt;&gt;"",Catalog!J231&lt;&gt;""),"; ","")&amp;IF(Catalog!J231="","",Catalog!J231)</f>
        <v/>
      </c>
      <c r="D257" s="10">
        <f>Catalog!P231</f>
        <v>0</v>
      </c>
      <c r="E257" s="10">
        <f>Catalog!R231</f>
        <v>0</v>
      </c>
      <c r="F257" s="10">
        <f>Catalog!M231</f>
        <v>0</v>
      </c>
      <c r="G257" s="10">
        <f>Catalog!K231</f>
        <v>0</v>
      </c>
      <c r="H257" s="10" t="str">
        <f>IF(Catalog!S231&lt;&gt;"","ISBN:"&amp;Catalog!S231,IF(Catalog!T231&lt;&gt;"","ISSN:"&amp;Catalog!T231,""))</f>
        <v/>
      </c>
      <c r="I257" s="10">
        <f>Catalog!B231</f>
        <v>0</v>
      </c>
      <c r="J257" s="10">
        <f>Catalog!L231</f>
        <v>0</v>
      </c>
      <c r="K257" s="10">
        <f>IF(Catalog!AG231&lt;&gt;"",Catalog!AG231,Catalog!AE231)</f>
        <v>0</v>
      </c>
      <c r="L257" s="10">
        <f>Catalog!AD231</f>
        <v>0</v>
      </c>
      <c r="M257" s="10">
        <f>Catalog!V231</f>
        <v>0</v>
      </c>
      <c r="N257" s="10">
        <f>Catalog!Q231</f>
        <v>0</v>
      </c>
      <c r="O257" s="10">
        <f>Catalog!AF231</f>
        <v>0</v>
      </c>
    </row>
    <row r="258" spans="1:15" x14ac:dyDescent="0.25">
      <c r="A258" s="10">
        <f>Catalog!D232</f>
        <v>0</v>
      </c>
      <c r="B258" s="10">
        <f>Catalog!F232</f>
        <v>0</v>
      </c>
      <c r="C258" s="10" t="str">
        <f>IF(Catalog!I232="","",Catalog!I232)&amp;IF(AND(Catalog!I232&lt;&gt;"",Catalog!J232&lt;&gt;""),"; ","")&amp;IF(Catalog!J232="","",Catalog!J232)</f>
        <v/>
      </c>
      <c r="D258" s="10">
        <f>Catalog!P232</f>
        <v>0</v>
      </c>
      <c r="E258" s="10">
        <f>Catalog!R232</f>
        <v>0</v>
      </c>
      <c r="F258" s="10">
        <f>Catalog!M232</f>
        <v>0</v>
      </c>
      <c r="G258" s="10">
        <f>Catalog!K232</f>
        <v>0</v>
      </c>
      <c r="H258" s="10" t="str">
        <f>IF(Catalog!S232&lt;&gt;"","ISBN:"&amp;Catalog!S232,IF(Catalog!T232&lt;&gt;"","ISSN:"&amp;Catalog!T232,""))</f>
        <v/>
      </c>
      <c r="I258" s="10">
        <f>Catalog!B232</f>
        <v>0</v>
      </c>
      <c r="J258" s="10">
        <f>Catalog!L232</f>
        <v>0</v>
      </c>
      <c r="K258" s="10">
        <f>IF(Catalog!AG232&lt;&gt;"",Catalog!AG232,Catalog!AE232)</f>
        <v>0</v>
      </c>
      <c r="L258" s="10">
        <f>Catalog!AD232</f>
        <v>0</v>
      </c>
      <c r="M258" s="10">
        <f>Catalog!V232</f>
        <v>0</v>
      </c>
      <c r="N258" s="10">
        <f>Catalog!Q232</f>
        <v>0</v>
      </c>
      <c r="O258" s="10">
        <f>Catalog!AF232</f>
        <v>0</v>
      </c>
    </row>
    <row r="259" spans="1:15" x14ac:dyDescent="0.25">
      <c r="A259" s="10">
        <f>Catalog!D233</f>
        <v>0</v>
      </c>
      <c r="B259" s="10">
        <f>Catalog!F233</f>
        <v>0</v>
      </c>
      <c r="C259" s="10" t="str">
        <f>IF(Catalog!I233="","",Catalog!I233)&amp;IF(AND(Catalog!I233&lt;&gt;"",Catalog!J233&lt;&gt;""),"; ","")&amp;IF(Catalog!J233="","",Catalog!J233)</f>
        <v/>
      </c>
      <c r="D259" s="10">
        <f>Catalog!P233</f>
        <v>0</v>
      </c>
      <c r="E259" s="10">
        <f>Catalog!R233</f>
        <v>0</v>
      </c>
      <c r="F259" s="10">
        <f>Catalog!M233</f>
        <v>0</v>
      </c>
      <c r="G259" s="10">
        <f>Catalog!K233</f>
        <v>0</v>
      </c>
      <c r="H259" s="10" t="str">
        <f>IF(Catalog!S233&lt;&gt;"","ISBN:"&amp;Catalog!S233,IF(Catalog!T233&lt;&gt;"","ISSN:"&amp;Catalog!T233,""))</f>
        <v/>
      </c>
      <c r="I259" s="10">
        <f>Catalog!B233</f>
        <v>0</v>
      </c>
      <c r="J259" s="10">
        <f>Catalog!L233</f>
        <v>0</v>
      </c>
      <c r="K259" s="10">
        <f>IF(Catalog!AG233&lt;&gt;"",Catalog!AG233,Catalog!AE233)</f>
        <v>0</v>
      </c>
      <c r="L259" s="10">
        <f>Catalog!AD233</f>
        <v>0</v>
      </c>
      <c r="M259" s="10">
        <f>Catalog!V233</f>
        <v>0</v>
      </c>
      <c r="N259" s="10">
        <f>Catalog!Q233</f>
        <v>0</v>
      </c>
      <c r="O259" s="10">
        <f>Catalog!AF233</f>
        <v>0</v>
      </c>
    </row>
    <row r="260" spans="1:15" x14ac:dyDescent="0.25">
      <c r="A260" s="10">
        <f>Catalog!D234</f>
        <v>0</v>
      </c>
      <c r="B260" s="10">
        <f>Catalog!F234</f>
        <v>0</v>
      </c>
      <c r="C260" s="10" t="str">
        <f>IF(Catalog!I234="","",Catalog!I234)&amp;IF(AND(Catalog!I234&lt;&gt;"",Catalog!J234&lt;&gt;""),"; ","")&amp;IF(Catalog!J234="","",Catalog!J234)</f>
        <v/>
      </c>
      <c r="D260" s="10">
        <f>Catalog!P234</f>
        <v>0</v>
      </c>
      <c r="E260" s="10">
        <f>Catalog!R234</f>
        <v>0</v>
      </c>
      <c r="F260" s="10">
        <f>Catalog!M234</f>
        <v>0</v>
      </c>
      <c r="G260" s="10">
        <f>Catalog!K234</f>
        <v>0</v>
      </c>
      <c r="H260" s="10" t="str">
        <f>IF(Catalog!S234&lt;&gt;"","ISBN:"&amp;Catalog!S234,IF(Catalog!T234&lt;&gt;"","ISSN:"&amp;Catalog!T234,""))</f>
        <v/>
      </c>
      <c r="I260" s="10">
        <f>Catalog!B234</f>
        <v>0</v>
      </c>
      <c r="J260" s="10">
        <f>Catalog!L234</f>
        <v>0</v>
      </c>
      <c r="K260" s="10">
        <f>IF(Catalog!AG234&lt;&gt;"",Catalog!AG234,Catalog!AE234)</f>
        <v>0</v>
      </c>
      <c r="L260" s="10">
        <f>Catalog!AD234</f>
        <v>0</v>
      </c>
      <c r="M260" s="10">
        <f>Catalog!V234</f>
        <v>0</v>
      </c>
      <c r="N260" s="10">
        <f>Catalog!Q234</f>
        <v>0</v>
      </c>
      <c r="O260" s="10">
        <f>Catalog!AF234</f>
        <v>0</v>
      </c>
    </row>
    <row r="261" spans="1:15" x14ac:dyDescent="0.25">
      <c r="A261" s="10">
        <f>Catalog!D235</f>
        <v>0</v>
      </c>
      <c r="B261" s="10">
        <f>Catalog!F235</f>
        <v>0</v>
      </c>
      <c r="C261" s="10" t="str">
        <f>IF(Catalog!I235="","",Catalog!I235)&amp;IF(AND(Catalog!I235&lt;&gt;"",Catalog!J235&lt;&gt;""),"; ","")&amp;IF(Catalog!J235="","",Catalog!J235)</f>
        <v/>
      </c>
      <c r="D261" s="10">
        <f>Catalog!P235</f>
        <v>0</v>
      </c>
      <c r="E261" s="10">
        <f>Catalog!R235</f>
        <v>0</v>
      </c>
      <c r="F261" s="10">
        <f>Catalog!M235</f>
        <v>0</v>
      </c>
      <c r="G261" s="10">
        <f>Catalog!K235</f>
        <v>0</v>
      </c>
      <c r="H261" s="10" t="str">
        <f>IF(Catalog!S235&lt;&gt;"","ISBN:"&amp;Catalog!S235,IF(Catalog!T235&lt;&gt;"","ISSN:"&amp;Catalog!T235,""))</f>
        <v/>
      </c>
      <c r="I261" s="10">
        <f>Catalog!B235</f>
        <v>0</v>
      </c>
      <c r="J261" s="10">
        <f>Catalog!L235</f>
        <v>0</v>
      </c>
      <c r="K261" s="10">
        <f>IF(Catalog!AG235&lt;&gt;"",Catalog!AG235,Catalog!AE235)</f>
        <v>0</v>
      </c>
      <c r="L261" s="10">
        <f>Catalog!AD235</f>
        <v>0</v>
      </c>
      <c r="M261" s="10">
        <f>Catalog!V235</f>
        <v>0</v>
      </c>
      <c r="N261" s="10">
        <f>Catalog!Q235</f>
        <v>0</v>
      </c>
      <c r="O261" s="10">
        <f>Catalog!AF235</f>
        <v>0</v>
      </c>
    </row>
    <row r="262" spans="1:15" x14ac:dyDescent="0.25">
      <c r="A262" s="10">
        <f>Catalog!D236</f>
        <v>0</v>
      </c>
      <c r="B262" s="10">
        <f>Catalog!F236</f>
        <v>0</v>
      </c>
      <c r="C262" s="10" t="str">
        <f>IF(Catalog!I236="","",Catalog!I236)&amp;IF(AND(Catalog!I236&lt;&gt;"",Catalog!J236&lt;&gt;""),"; ","")&amp;IF(Catalog!J236="","",Catalog!J236)</f>
        <v/>
      </c>
      <c r="D262" s="10">
        <f>Catalog!P236</f>
        <v>0</v>
      </c>
      <c r="E262" s="10">
        <f>Catalog!R236</f>
        <v>0</v>
      </c>
      <c r="F262" s="10">
        <f>Catalog!M236</f>
        <v>0</v>
      </c>
      <c r="G262" s="10">
        <f>Catalog!K236</f>
        <v>0</v>
      </c>
      <c r="H262" s="10" t="str">
        <f>IF(Catalog!S236&lt;&gt;"","ISBN:"&amp;Catalog!S236,IF(Catalog!T236&lt;&gt;"","ISSN:"&amp;Catalog!T236,""))</f>
        <v/>
      </c>
      <c r="I262" s="10">
        <f>Catalog!B236</f>
        <v>0</v>
      </c>
      <c r="J262" s="10">
        <f>Catalog!L236</f>
        <v>0</v>
      </c>
      <c r="K262" s="10">
        <f>IF(Catalog!AG236&lt;&gt;"",Catalog!AG236,Catalog!AE236)</f>
        <v>0</v>
      </c>
      <c r="L262" s="10">
        <f>Catalog!AD236</f>
        <v>0</v>
      </c>
      <c r="M262" s="10">
        <f>Catalog!V236</f>
        <v>0</v>
      </c>
      <c r="N262" s="10">
        <f>Catalog!Q236</f>
        <v>0</v>
      </c>
      <c r="O262" s="10">
        <f>Catalog!AF236</f>
        <v>0</v>
      </c>
    </row>
    <row r="263" spans="1:15" x14ac:dyDescent="0.25">
      <c r="A263" s="10">
        <f>Catalog!D237</f>
        <v>0</v>
      </c>
      <c r="B263" s="10">
        <f>Catalog!F237</f>
        <v>0</v>
      </c>
      <c r="C263" s="10" t="str">
        <f>IF(Catalog!I237="","",Catalog!I237)&amp;IF(AND(Catalog!I237&lt;&gt;"",Catalog!J237&lt;&gt;""),"; ","")&amp;IF(Catalog!J237="","",Catalog!J237)</f>
        <v/>
      </c>
      <c r="D263" s="10">
        <f>Catalog!P237</f>
        <v>0</v>
      </c>
      <c r="E263" s="10">
        <f>Catalog!R237</f>
        <v>0</v>
      </c>
      <c r="F263" s="10">
        <f>Catalog!M237</f>
        <v>0</v>
      </c>
      <c r="G263" s="10">
        <f>Catalog!K237</f>
        <v>0</v>
      </c>
      <c r="H263" s="10" t="str">
        <f>IF(Catalog!S237&lt;&gt;"","ISBN:"&amp;Catalog!S237,IF(Catalog!T237&lt;&gt;"","ISSN:"&amp;Catalog!T237,""))</f>
        <v/>
      </c>
      <c r="I263" s="10">
        <f>Catalog!B237</f>
        <v>0</v>
      </c>
      <c r="J263" s="10">
        <f>Catalog!L237</f>
        <v>0</v>
      </c>
      <c r="K263" s="10">
        <f>IF(Catalog!AG237&lt;&gt;"",Catalog!AG237,Catalog!AE237)</f>
        <v>0</v>
      </c>
      <c r="L263" s="10">
        <f>Catalog!AD237</f>
        <v>0</v>
      </c>
      <c r="M263" s="10">
        <f>Catalog!V237</f>
        <v>0</v>
      </c>
      <c r="N263" s="10">
        <f>Catalog!Q237</f>
        <v>0</v>
      </c>
      <c r="O263" s="10">
        <f>Catalog!AF237</f>
        <v>0</v>
      </c>
    </row>
    <row r="264" spans="1:15" x14ac:dyDescent="0.25">
      <c r="A264" s="10">
        <f>Catalog!D238</f>
        <v>0</v>
      </c>
      <c r="B264" s="10">
        <f>Catalog!F238</f>
        <v>0</v>
      </c>
      <c r="C264" s="10" t="str">
        <f>IF(Catalog!I238="","",Catalog!I238)&amp;IF(AND(Catalog!I238&lt;&gt;"",Catalog!J238&lt;&gt;""),"; ","")&amp;IF(Catalog!J238="","",Catalog!J238)</f>
        <v/>
      </c>
      <c r="D264" s="10">
        <f>Catalog!P238</f>
        <v>0</v>
      </c>
      <c r="E264" s="10">
        <f>Catalog!R238</f>
        <v>0</v>
      </c>
      <c r="F264" s="10">
        <f>Catalog!M238</f>
        <v>0</v>
      </c>
      <c r="G264" s="10">
        <f>Catalog!K238</f>
        <v>0</v>
      </c>
      <c r="H264" s="10" t="str">
        <f>IF(Catalog!S238&lt;&gt;"","ISBN:"&amp;Catalog!S238,IF(Catalog!T238&lt;&gt;"","ISSN:"&amp;Catalog!T238,""))</f>
        <v/>
      </c>
      <c r="I264" s="10">
        <f>Catalog!B238</f>
        <v>0</v>
      </c>
      <c r="J264" s="10">
        <f>Catalog!L238</f>
        <v>0</v>
      </c>
      <c r="K264" s="10">
        <f>IF(Catalog!AG238&lt;&gt;"",Catalog!AG238,Catalog!AE238)</f>
        <v>0</v>
      </c>
      <c r="L264" s="10">
        <f>Catalog!AD238</f>
        <v>0</v>
      </c>
      <c r="M264" s="10">
        <f>Catalog!V238</f>
        <v>0</v>
      </c>
      <c r="N264" s="10">
        <f>Catalog!Q238</f>
        <v>0</v>
      </c>
      <c r="O264" s="10">
        <f>Catalog!AF238</f>
        <v>0</v>
      </c>
    </row>
    <row r="265" spans="1:15" x14ac:dyDescent="0.25">
      <c r="A265" s="10">
        <f>Catalog!D239</f>
        <v>0</v>
      </c>
      <c r="B265" s="10">
        <f>Catalog!F239</f>
        <v>0</v>
      </c>
      <c r="C265" s="10" t="str">
        <f>IF(Catalog!I239="","",Catalog!I239)&amp;IF(AND(Catalog!I239&lt;&gt;"",Catalog!J239&lt;&gt;""),"; ","")&amp;IF(Catalog!J239="","",Catalog!J239)</f>
        <v/>
      </c>
      <c r="D265" s="10">
        <f>Catalog!P239</f>
        <v>0</v>
      </c>
      <c r="E265" s="10">
        <f>Catalog!R239</f>
        <v>0</v>
      </c>
      <c r="F265" s="10">
        <f>Catalog!M239</f>
        <v>0</v>
      </c>
      <c r="G265" s="10">
        <f>Catalog!K239</f>
        <v>0</v>
      </c>
      <c r="H265" s="10" t="str">
        <f>IF(Catalog!S239&lt;&gt;"","ISBN:"&amp;Catalog!S239,IF(Catalog!T239&lt;&gt;"","ISSN:"&amp;Catalog!T239,""))</f>
        <v/>
      </c>
      <c r="I265" s="10">
        <f>Catalog!B239</f>
        <v>0</v>
      </c>
      <c r="J265" s="10">
        <f>Catalog!L239</f>
        <v>0</v>
      </c>
      <c r="K265" s="10">
        <f>IF(Catalog!AG239&lt;&gt;"",Catalog!AG239,Catalog!AE239)</f>
        <v>0</v>
      </c>
      <c r="L265" s="10">
        <f>Catalog!AD239</f>
        <v>0</v>
      </c>
      <c r="M265" s="10">
        <f>Catalog!V239</f>
        <v>0</v>
      </c>
      <c r="N265" s="10">
        <f>Catalog!Q239</f>
        <v>0</v>
      </c>
      <c r="O265" s="10">
        <f>Catalog!AF239</f>
        <v>0</v>
      </c>
    </row>
    <row r="266" spans="1:15" x14ac:dyDescent="0.25">
      <c r="A266" s="10">
        <f>Catalog!D240</f>
        <v>0</v>
      </c>
      <c r="B266" s="10">
        <f>Catalog!F240</f>
        <v>0</v>
      </c>
      <c r="C266" s="10" t="str">
        <f>IF(Catalog!I240="","",Catalog!I240)&amp;IF(AND(Catalog!I240&lt;&gt;"",Catalog!J240&lt;&gt;""),"; ","")&amp;IF(Catalog!J240="","",Catalog!J240)</f>
        <v/>
      </c>
      <c r="D266" s="10">
        <f>Catalog!P240</f>
        <v>0</v>
      </c>
      <c r="E266" s="10">
        <f>Catalog!R240</f>
        <v>0</v>
      </c>
      <c r="F266" s="10">
        <f>Catalog!M240</f>
        <v>0</v>
      </c>
      <c r="G266" s="10">
        <f>Catalog!K240</f>
        <v>0</v>
      </c>
      <c r="H266" s="10" t="str">
        <f>IF(Catalog!S240&lt;&gt;"","ISBN:"&amp;Catalog!S240,IF(Catalog!T240&lt;&gt;"","ISSN:"&amp;Catalog!T240,""))</f>
        <v/>
      </c>
      <c r="I266" s="10">
        <f>Catalog!B240</f>
        <v>0</v>
      </c>
      <c r="J266" s="10">
        <f>Catalog!L240</f>
        <v>0</v>
      </c>
      <c r="K266" s="10">
        <f>IF(Catalog!AG240&lt;&gt;"",Catalog!AG240,Catalog!AE240)</f>
        <v>0</v>
      </c>
      <c r="L266" s="10">
        <f>Catalog!AD240</f>
        <v>0</v>
      </c>
      <c r="M266" s="10">
        <f>Catalog!V240</f>
        <v>0</v>
      </c>
      <c r="N266" s="10">
        <f>Catalog!Q240</f>
        <v>0</v>
      </c>
      <c r="O266" s="10">
        <f>Catalog!AF240</f>
        <v>0</v>
      </c>
    </row>
    <row r="267" spans="1:15" x14ac:dyDescent="0.25">
      <c r="A267" s="10">
        <f>Catalog!D241</f>
        <v>0</v>
      </c>
      <c r="B267" s="10">
        <f>Catalog!F241</f>
        <v>0</v>
      </c>
      <c r="C267" s="10" t="str">
        <f>IF(Catalog!I241="","",Catalog!I241)&amp;IF(AND(Catalog!I241&lt;&gt;"",Catalog!J241&lt;&gt;""),"; ","")&amp;IF(Catalog!J241="","",Catalog!J241)</f>
        <v/>
      </c>
      <c r="D267" s="10">
        <f>Catalog!P241</f>
        <v>0</v>
      </c>
      <c r="E267" s="10">
        <f>Catalog!R241</f>
        <v>0</v>
      </c>
      <c r="F267" s="10">
        <f>Catalog!M241</f>
        <v>0</v>
      </c>
      <c r="G267" s="10">
        <f>Catalog!K241</f>
        <v>0</v>
      </c>
      <c r="H267" s="10" t="str">
        <f>IF(Catalog!S241&lt;&gt;"","ISBN:"&amp;Catalog!S241,IF(Catalog!T241&lt;&gt;"","ISSN:"&amp;Catalog!T241,""))</f>
        <v/>
      </c>
      <c r="I267" s="10">
        <f>Catalog!B241</f>
        <v>0</v>
      </c>
      <c r="J267" s="10">
        <f>Catalog!L241</f>
        <v>0</v>
      </c>
      <c r="K267" s="10">
        <f>IF(Catalog!AG241&lt;&gt;"",Catalog!AG241,Catalog!AE241)</f>
        <v>0</v>
      </c>
      <c r="L267" s="10">
        <f>Catalog!AD241</f>
        <v>0</v>
      </c>
      <c r="M267" s="10">
        <f>Catalog!V241</f>
        <v>0</v>
      </c>
      <c r="N267" s="10">
        <f>Catalog!Q241</f>
        <v>0</v>
      </c>
      <c r="O267" s="10">
        <f>Catalog!AF241</f>
        <v>0</v>
      </c>
    </row>
    <row r="268" spans="1:15" x14ac:dyDescent="0.25">
      <c r="A268" s="10">
        <f>Catalog!D242</f>
        <v>0</v>
      </c>
      <c r="B268" s="10">
        <f>Catalog!F242</f>
        <v>0</v>
      </c>
      <c r="C268" s="10" t="str">
        <f>IF(Catalog!I242="","",Catalog!I242)&amp;IF(AND(Catalog!I242&lt;&gt;"",Catalog!J242&lt;&gt;""),"; ","")&amp;IF(Catalog!J242="","",Catalog!J242)</f>
        <v/>
      </c>
      <c r="D268" s="10">
        <f>Catalog!P242</f>
        <v>0</v>
      </c>
      <c r="E268" s="10">
        <f>Catalog!R242</f>
        <v>0</v>
      </c>
      <c r="F268" s="10">
        <f>Catalog!M242</f>
        <v>0</v>
      </c>
      <c r="G268" s="10">
        <f>Catalog!K242</f>
        <v>0</v>
      </c>
      <c r="H268" s="10" t="str">
        <f>IF(Catalog!S242&lt;&gt;"","ISBN:"&amp;Catalog!S242,IF(Catalog!T242&lt;&gt;"","ISSN:"&amp;Catalog!T242,""))</f>
        <v/>
      </c>
      <c r="I268" s="10">
        <f>Catalog!B242</f>
        <v>0</v>
      </c>
      <c r="J268" s="10">
        <f>Catalog!L242</f>
        <v>0</v>
      </c>
      <c r="K268" s="10">
        <f>IF(Catalog!AG242&lt;&gt;"",Catalog!AG242,Catalog!AE242)</f>
        <v>0</v>
      </c>
      <c r="L268" s="10">
        <f>Catalog!AD242</f>
        <v>0</v>
      </c>
      <c r="M268" s="10">
        <f>Catalog!V242</f>
        <v>0</v>
      </c>
      <c r="N268" s="10">
        <f>Catalog!Q242</f>
        <v>0</v>
      </c>
      <c r="O268" s="10">
        <f>Catalog!AF242</f>
        <v>0</v>
      </c>
    </row>
    <row r="269" spans="1:15" x14ac:dyDescent="0.25">
      <c r="A269" s="10">
        <f>Catalog!D243</f>
        <v>0</v>
      </c>
      <c r="B269" s="10">
        <f>Catalog!F243</f>
        <v>0</v>
      </c>
      <c r="C269" s="10" t="str">
        <f>IF(Catalog!I243="","",Catalog!I243)&amp;IF(AND(Catalog!I243&lt;&gt;"",Catalog!J243&lt;&gt;""),"; ","")&amp;IF(Catalog!J243="","",Catalog!J243)</f>
        <v/>
      </c>
      <c r="D269" s="10">
        <f>Catalog!P243</f>
        <v>0</v>
      </c>
      <c r="E269" s="10">
        <f>Catalog!R243</f>
        <v>0</v>
      </c>
      <c r="F269" s="10">
        <f>Catalog!M243</f>
        <v>0</v>
      </c>
      <c r="G269" s="10">
        <f>Catalog!K243</f>
        <v>0</v>
      </c>
      <c r="H269" s="10" t="str">
        <f>IF(Catalog!S243&lt;&gt;"","ISBN:"&amp;Catalog!S243,IF(Catalog!T243&lt;&gt;"","ISSN:"&amp;Catalog!T243,""))</f>
        <v/>
      </c>
      <c r="I269" s="10">
        <f>Catalog!B243</f>
        <v>0</v>
      </c>
      <c r="J269" s="10">
        <f>Catalog!L243</f>
        <v>0</v>
      </c>
      <c r="K269" s="10">
        <f>IF(Catalog!AG243&lt;&gt;"",Catalog!AG243,Catalog!AE243)</f>
        <v>0</v>
      </c>
      <c r="L269" s="10">
        <f>Catalog!AD243</f>
        <v>0</v>
      </c>
      <c r="M269" s="10">
        <f>Catalog!V243</f>
        <v>0</v>
      </c>
      <c r="N269" s="10">
        <f>Catalog!Q243</f>
        <v>0</v>
      </c>
      <c r="O269" s="10">
        <f>Catalog!AF243</f>
        <v>0</v>
      </c>
    </row>
    <row r="270" spans="1:15" x14ac:dyDescent="0.25">
      <c r="A270" s="10">
        <f>Catalog!D244</f>
        <v>0</v>
      </c>
      <c r="B270" s="10">
        <f>Catalog!F244</f>
        <v>0</v>
      </c>
      <c r="C270" s="10" t="str">
        <f>IF(Catalog!I244="","",Catalog!I244)&amp;IF(AND(Catalog!I244&lt;&gt;"",Catalog!J244&lt;&gt;""),"; ","")&amp;IF(Catalog!J244="","",Catalog!J244)</f>
        <v/>
      </c>
      <c r="D270" s="10">
        <f>Catalog!P244</f>
        <v>0</v>
      </c>
      <c r="E270" s="10">
        <f>Catalog!R244</f>
        <v>0</v>
      </c>
      <c r="F270" s="10">
        <f>Catalog!M244</f>
        <v>0</v>
      </c>
      <c r="G270" s="10">
        <f>Catalog!K244</f>
        <v>0</v>
      </c>
      <c r="H270" s="10" t="str">
        <f>IF(Catalog!S244&lt;&gt;"","ISBN:"&amp;Catalog!S244,IF(Catalog!T244&lt;&gt;"","ISSN:"&amp;Catalog!T244,""))</f>
        <v/>
      </c>
      <c r="I270" s="10">
        <f>Catalog!B244</f>
        <v>0</v>
      </c>
      <c r="J270" s="10">
        <f>Catalog!L244</f>
        <v>0</v>
      </c>
      <c r="K270" s="10">
        <f>IF(Catalog!AG244&lt;&gt;"",Catalog!AG244,Catalog!AE244)</f>
        <v>0</v>
      </c>
      <c r="L270" s="10">
        <f>Catalog!AD244</f>
        <v>0</v>
      </c>
      <c r="M270" s="10">
        <f>Catalog!V244</f>
        <v>0</v>
      </c>
      <c r="N270" s="10">
        <f>Catalog!Q244</f>
        <v>0</v>
      </c>
      <c r="O270" s="10">
        <f>Catalog!AF244</f>
        <v>0</v>
      </c>
    </row>
    <row r="271" spans="1:15" x14ac:dyDescent="0.25">
      <c r="A271" s="10">
        <f>Catalog!D245</f>
        <v>0</v>
      </c>
      <c r="B271" s="10">
        <f>Catalog!F245</f>
        <v>0</v>
      </c>
      <c r="C271" s="10" t="str">
        <f>IF(Catalog!I245="","",Catalog!I245)&amp;IF(AND(Catalog!I245&lt;&gt;"",Catalog!J245&lt;&gt;""),"; ","")&amp;IF(Catalog!J245="","",Catalog!J245)</f>
        <v/>
      </c>
      <c r="D271" s="10">
        <f>Catalog!P245</f>
        <v>0</v>
      </c>
      <c r="E271" s="10">
        <f>Catalog!R245</f>
        <v>0</v>
      </c>
      <c r="F271" s="10">
        <f>Catalog!M245</f>
        <v>0</v>
      </c>
      <c r="G271" s="10">
        <f>Catalog!K245</f>
        <v>0</v>
      </c>
      <c r="H271" s="10" t="str">
        <f>IF(Catalog!S245&lt;&gt;"","ISBN:"&amp;Catalog!S245,IF(Catalog!T245&lt;&gt;"","ISSN:"&amp;Catalog!T245,""))</f>
        <v/>
      </c>
      <c r="I271" s="10">
        <f>Catalog!B245</f>
        <v>0</v>
      </c>
      <c r="J271" s="10">
        <f>Catalog!L245</f>
        <v>0</v>
      </c>
      <c r="K271" s="10">
        <f>IF(Catalog!AG245&lt;&gt;"",Catalog!AG245,Catalog!AE245)</f>
        <v>0</v>
      </c>
      <c r="L271" s="10">
        <f>Catalog!AD245</f>
        <v>0</v>
      </c>
      <c r="M271" s="10">
        <f>Catalog!V245</f>
        <v>0</v>
      </c>
      <c r="N271" s="10">
        <f>Catalog!Q245</f>
        <v>0</v>
      </c>
      <c r="O271" s="10">
        <f>Catalog!AF245</f>
        <v>0</v>
      </c>
    </row>
    <row r="272" spans="1:15" x14ac:dyDescent="0.25">
      <c r="A272" s="10">
        <f>Catalog!D246</f>
        <v>0</v>
      </c>
      <c r="B272" s="10">
        <f>Catalog!F246</f>
        <v>0</v>
      </c>
      <c r="C272" s="10" t="str">
        <f>IF(Catalog!I246="","",Catalog!I246)&amp;IF(AND(Catalog!I246&lt;&gt;"",Catalog!J246&lt;&gt;""),"; ","")&amp;IF(Catalog!J246="","",Catalog!J246)</f>
        <v/>
      </c>
      <c r="D272" s="10">
        <f>Catalog!P246</f>
        <v>0</v>
      </c>
      <c r="E272" s="10">
        <f>Catalog!R246</f>
        <v>0</v>
      </c>
      <c r="F272" s="10">
        <f>Catalog!M246</f>
        <v>0</v>
      </c>
      <c r="G272" s="10">
        <f>Catalog!K246</f>
        <v>0</v>
      </c>
      <c r="H272" s="10" t="str">
        <f>IF(Catalog!S246&lt;&gt;"","ISBN:"&amp;Catalog!S246,IF(Catalog!T246&lt;&gt;"","ISSN:"&amp;Catalog!T246,""))</f>
        <v/>
      </c>
      <c r="I272" s="10">
        <f>Catalog!B246</f>
        <v>0</v>
      </c>
      <c r="J272" s="10">
        <f>Catalog!L246</f>
        <v>0</v>
      </c>
      <c r="K272" s="10">
        <f>IF(Catalog!AG246&lt;&gt;"",Catalog!AG246,Catalog!AE246)</f>
        <v>0</v>
      </c>
      <c r="L272" s="10">
        <f>Catalog!AD246</f>
        <v>0</v>
      </c>
      <c r="M272" s="10">
        <f>Catalog!V246</f>
        <v>0</v>
      </c>
      <c r="N272" s="10">
        <f>Catalog!Q246</f>
        <v>0</v>
      </c>
      <c r="O272" s="10">
        <f>Catalog!AF246</f>
        <v>0</v>
      </c>
    </row>
    <row r="273" spans="1:15" x14ac:dyDescent="0.25">
      <c r="A273" s="10">
        <f>Catalog!D247</f>
        <v>0</v>
      </c>
      <c r="B273" s="10">
        <f>Catalog!F247</f>
        <v>0</v>
      </c>
      <c r="C273" s="10" t="str">
        <f>IF(Catalog!I247="","",Catalog!I247)&amp;IF(AND(Catalog!I247&lt;&gt;"",Catalog!J247&lt;&gt;""),"; ","")&amp;IF(Catalog!J247="","",Catalog!J247)</f>
        <v/>
      </c>
      <c r="D273" s="10">
        <f>Catalog!P247</f>
        <v>0</v>
      </c>
      <c r="E273" s="10">
        <f>Catalog!R247</f>
        <v>0</v>
      </c>
      <c r="F273" s="10">
        <f>Catalog!M247</f>
        <v>0</v>
      </c>
      <c r="G273" s="10">
        <f>Catalog!K247</f>
        <v>0</v>
      </c>
      <c r="H273" s="10" t="str">
        <f>IF(Catalog!S247&lt;&gt;"","ISBN:"&amp;Catalog!S247,IF(Catalog!T247&lt;&gt;"","ISSN:"&amp;Catalog!T247,""))</f>
        <v/>
      </c>
      <c r="I273" s="10">
        <f>Catalog!B247</f>
        <v>0</v>
      </c>
      <c r="J273" s="10">
        <f>Catalog!L247</f>
        <v>0</v>
      </c>
      <c r="K273" s="10">
        <f>IF(Catalog!AG247&lt;&gt;"",Catalog!AG247,Catalog!AE247)</f>
        <v>0</v>
      </c>
      <c r="L273" s="10">
        <f>Catalog!AD247</f>
        <v>0</v>
      </c>
      <c r="M273" s="10">
        <f>Catalog!V247</f>
        <v>0</v>
      </c>
      <c r="N273" s="10">
        <f>Catalog!Q247</f>
        <v>0</v>
      </c>
      <c r="O273" s="10">
        <f>Catalog!AF247</f>
        <v>0</v>
      </c>
    </row>
    <row r="274" spans="1:15" x14ac:dyDescent="0.25">
      <c r="A274" s="10">
        <f>Catalog!D248</f>
        <v>0</v>
      </c>
      <c r="B274" s="10">
        <f>Catalog!F248</f>
        <v>0</v>
      </c>
      <c r="C274" s="10" t="str">
        <f>IF(Catalog!I248="","",Catalog!I248)&amp;IF(AND(Catalog!I248&lt;&gt;"",Catalog!J248&lt;&gt;""),"; ","")&amp;IF(Catalog!J248="","",Catalog!J248)</f>
        <v/>
      </c>
      <c r="D274" s="10">
        <f>Catalog!P248</f>
        <v>0</v>
      </c>
      <c r="E274" s="10">
        <f>Catalog!R248</f>
        <v>0</v>
      </c>
      <c r="F274" s="10">
        <f>Catalog!M248</f>
        <v>0</v>
      </c>
      <c r="G274" s="10">
        <f>Catalog!K248</f>
        <v>0</v>
      </c>
      <c r="H274" s="10" t="str">
        <f>IF(Catalog!S248&lt;&gt;"","ISBN:"&amp;Catalog!S248,IF(Catalog!T248&lt;&gt;"","ISSN:"&amp;Catalog!T248,""))</f>
        <v/>
      </c>
      <c r="I274" s="10">
        <f>Catalog!B248</f>
        <v>0</v>
      </c>
      <c r="J274" s="10">
        <f>Catalog!L248</f>
        <v>0</v>
      </c>
      <c r="K274" s="10">
        <f>IF(Catalog!AG248&lt;&gt;"",Catalog!AG248,Catalog!AE248)</f>
        <v>0</v>
      </c>
      <c r="L274" s="10">
        <f>Catalog!AD248</f>
        <v>0</v>
      </c>
      <c r="M274" s="10">
        <f>Catalog!V248</f>
        <v>0</v>
      </c>
      <c r="N274" s="10">
        <f>Catalog!Q248</f>
        <v>0</v>
      </c>
      <c r="O274" s="10">
        <f>Catalog!AF248</f>
        <v>0</v>
      </c>
    </row>
    <row r="275" spans="1:15" x14ac:dyDescent="0.25">
      <c r="A275" s="10">
        <f>Catalog!D249</f>
        <v>0</v>
      </c>
      <c r="B275" s="10">
        <f>Catalog!F249</f>
        <v>0</v>
      </c>
      <c r="C275" s="10" t="str">
        <f>IF(Catalog!I249="","",Catalog!I249)&amp;IF(AND(Catalog!I249&lt;&gt;"",Catalog!J249&lt;&gt;""),"; ","")&amp;IF(Catalog!J249="","",Catalog!J249)</f>
        <v/>
      </c>
      <c r="D275" s="10">
        <f>Catalog!P249</f>
        <v>0</v>
      </c>
      <c r="E275" s="10">
        <f>Catalog!R249</f>
        <v>0</v>
      </c>
      <c r="F275" s="10">
        <f>Catalog!M249</f>
        <v>0</v>
      </c>
      <c r="G275" s="10">
        <f>Catalog!K249</f>
        <v>0</v>
      </c>
      <c r="H275" s="10" t="str">
        <f>IF(Catalog!S249&lt;&gt;"","ISBN:"&amp;Catalog!S249,IF(Catalog!T249&lt;&gt;"","ISSN:"&amp;Catalog!T249,""))</f>
        <v/>
      </c>
      <c r="I275" s="10">
        <f>Catalog!B249</f>
        <v>0</v>
      </c>
      <c r="J275" s="10">
        <f>Catalog!L249</f>
        <v>0</v>
      </c>
      <c r="K275" s="10">
        <f>IF(Catalog!AG249&lt;&gt;"",Catalog!AG249,Catalog!AE249)</f>
        <v>0</v>
      </c>
      <c r="L275" s="10">
        <f>Catalog!AD249</f>
        <v>0</v>
      </c>
      <c r="M275" s="10">
        <f>Catalog!V249</f>
        <v>0</v>
      </c>
      <c r="N275" s="10">
        <f>Catalog!Q249</f>
        <v>0</v>
      </c>
      <c r="O275" s="10">
        <f>Catalog!AF249</f>
        <v>0</v>
      </c>
    </row>
    <row r="276" spans="1:15" x14ac:dyDescent="0.25">
      <c r="A276" s="10">
        <f>Catalog!D250</f>
        <v>0</v>
      </c>
      <c r="B276" s="10">
        <f>Catalog!F250</f>
        <v>0</v>
      </c>
      <c r="C276" s="10" t="str">
        <f>IF(Catalog!I250="","",Catalog!I250)&amp;IF(AND(Catalog!I250&lt;&gt;"",Catalog!J250&lt;&gt;""),"; ","")&amp;IF(Catalog!J250="","",Catalog!J250)</f>
        <v/>
      </c>
      <c r="D276" s="10">
        <f>Catalog!P250</f>
        <v>0</v>
      </c>
      <c r="E276" s="10">
        <f>Catalog!R250</f>
        <v>0</v>
      </c>
      <c r="F276" s="10">
        <f>Catalog!M250</f>
        <v>0</v>
      </c>
      <c r="G276" s="10">
        <f>Catalog!K250</f>
        <v>0</v>
      </c>
      <c r="H276" s="10" t="str">
        <f>IF(Catalog!S250&lt;&gt;"","ISBN:"&amp;Catalog!S250,IF(Catalog!T250&lt;&gt;"","ISSN:"&amp;Catalog!T250,""))</f>
        <v/>
      </c>
      <c r="I276" s="10">
        <f>Catalog!B250</f>
        <v>0</v>
      </c>
      <c r="J276" s="10">
        <f>Catalog!L250</f>
        <v>0</v>
      </c>
      <c r="K276" s="10">
        <f>IF(Catalog!AG250&lt;&gt;"",Catalog!AG250,Catalog!AE250)</f>
        <v>0</v>
      </c>
      <c r="L276" s="10">
        <f>Catalog!AD250</f>
        <v>0</v>
      </c>
      <c r="M276" s="10">
        <f>Catalog!V250</f>
        <v>0</v>
      </c>
      <c r="N276" s="10">
        <f>Catalog!Q250</f>
        <v>0</v>
      </c>
      <c r="O276" s="10">
        <f>Catalog!AF250</f>
        <v>0</v>
      </c>
    </row>
    <row r="277" spans="1:15" x14ac:dyDescent="0.25">
      <c r="A277" s="10">
        <f>Catalog!D251</f>
        <v>0</v>
      </c>
      <c r="B277" s="10">
        <f>Catalog!F251</f>
        <v>0</v>
      </c>
      <c r="C277" s="10" t="str">
        <f>IF(Catalog!I251="","",Catalog!I251)&amp;IF(AND(Catalog!I251&lt;&gt;"",Catalog!J251&lt;&gt;""),"; ","")&amp;IF(Catalog!J251="","",Catalog!J251)</f>
        <v/>
      </c>
      <c r="D277" s="10">
        <f>Catalog!P251</f>
        <v>0</v>
      </c>
      <c r="E277" s="10">
        <f>Catalog!R251</f>
        <v>0</v>
      </c>
      <c r="F277" s="10">
        <f>Catalog!M251</f>
        <v>0</v>
      </c>
      <c r="G277" s="10">
        <f>Catalog!K251</f>
        <v>0</v>
      </c>
      <c r="H277" s="10" t="str">
        <f>IF(Catalog!S251&lt;&gt;"","ISBN:"&amp;Catalog!S251,IF(Catalog!T251&lt;&gt;"","ISSN:"&amp;Catalog!T251,""))</f>
        <v/>
      </c>
      <c r="I277" s="10">
        <f>Catalog!B251</f>
        <v>0</v>
      </c>
      <c r="J277" s="10">
        <f>Catalog!L251</f>
        <v>0</v>
      </c>
      <c r="K277" s="10">
        <f>IF(Catalog!AG251&lt;&gt;"",Catalog!AG251,Catalog!AE251)</f>
        <v>0</v>
      </c>
      <c r="L277" s="10">
        <f>Catalog!AD251</f>
        <v>0</v>
      </c>
      <c r="M277" s="10">
        <f>Catalog!V251</f>
        <v>0</v>
      </c>
      <c r="N277" s="10">
        <f>Catalog!Q251</f>
        <v>0</v>
      </c>
      <c r="O277" s="10">
        <f>Catalog!AF251</f>
        <v>0</v>
      </c>
    </row>
    <row r="278" spans="1:15" x14ac:dyDescent="0.25">
      <c r="A278" s="10">
        <f>Catalog!D252</f>
        <v>0</v>
      </c>
      <c r="B278" s="10">
        <f>Catalog!F252</f>
        <v>0</v>
      </c>
      <c r="C278" s="10" t="str">
        <f>IF(Catalog!I252="","",Catalog!I252)&amp;IF(AND(Catalog!I252&lt;&gt;"",Catalog!J252&lt;&gt;""),"; ","")&amp;IF(Catalog!J252="","",Catalog!J252)</f>
        <v/>
      </c>
      <c r="D278" s="10">
        <f>Catalog!P252</f>
        <v>0</v>
      </c>
      <c r="E278" s="10">
        <f>Catalog!R252</f>
        <v>0</v>
      </c>
      <c r="F278" s="10">
        <f>Catalog!M252</f>
        <v>0</v>
      </c>
      <c r="G278" s="10">
        <f>Catalog!K252</f>
        <v>0</v>
      </c>
      <c r="H278" s="10" t="str">
        <f>IF(Catalog!S252&lt;&gt;"","ISBN:"&amp;Catalog!S252,IF(Catalog!T252&lt;&gt;"","ISSN:"&amp;Catalog!T252,""))</f>
        <v/>
      </c>
      <c r="I278" s="10">
        <f>Catalog!B252</f>
        <v>0</v>
      </c>
      <c r="J278" s="10">
        <f>Catalog!L252</f>
        <v>0</v>
      </c>
      <c r="K278" s="10">
        <f>IF(Catalog!AG252&lt;&gt;"",Catalog!AG252,Catalog!AE252)</f>
        <v>0</v>
      </c>
      <c r="L278" s="10">
        <f>Catalog!AD252</f>
        <v>0</v>
      </c>
      <c r="M278" s="10">
        <f>Catalog!V252</f>
        <v>0</v>
      </c>
      <c r="N278" s="10">
        <f>Catalog!Q252</f>
        <v>0</v>
      </c>
      <c r="O278" s="10">
        <f>Catalog!AF252</f>
        <v>0</v>
      </c>
    </row>
    <row r="279" spans="1:15" x14ac:dyDescent="0.25">
      <c r="A279" s="10">
        <f>Catalog!D253</f>
        <v>0</v>
      </c>
      <c r="B279" s="10">
        <f>Catalog!F253</f>
        <v>0</v>
      </c>
      <c r="C279" s="10" t="str">
        <f>IF(Catalog!I253="","",Catalog!I253)&amp;IF(AND(Catalog!I253&lt;&gt;"",Catalog!J253&lt;&gt;""),"; ","")&amp;IF(Catalog!J253="","",Catalog!J253)</f>
        <v/>
      </c>
      <c r="D279" s="10">
        <f>Catalog!P253</f>
        <v>0</v>
      </c>
      <c r="E279" s="10">
        <f>Catalog!R253</f>
        <v>0</v>
      </c>
      <c r="F279" s="10">
        <f>Catalog!M253</f>
        <v>0</v>
      </c>
      <c r="G279" s="10">
        <f>Catalog!K253</f>
        <v>0</v>
      </c>
      <c r="H279" s="10" t="str">
        <f>IF(Catalog!S253&lt;&gt;"","ISBN:"&amp;Catalog!S253,IF(Catalog!T253&lt;&gt;"","ISSN:"&amp;Catalog!T253,""))</f>
        <v/>
      </c>
      <c r="I279" s="10">
        <f>Catalog!B253</f>
        <v>0</v>
      </c>
      <c r="J279" s="10">
        <f>Catalog!L253</f>
        <v>0</v>
      </c>
      <c r="K279" s="10">
        <f>IF(Catalog!AG253&lt;&gt;"",Catalog!AG253,Catalog!AE253)</f>
        <v>0</v>
      </c>
      <c r="L279" s="10">
        <f>Catalog!AD253</f>
        <v>0</v>
      </c>
      <c r="M279" s="10">
        <f>Catalog!V253</f>
        <v>0</v>
      </c>
      <c r="N279" s="10">
        <f>Catalog!Q253</f>
        <v>0</v>
      </c>
      <c r="O279" s="10">
        <f>Catalog!AF253</f>
        <v>0</v>
      </c>
    </row>
    <row r="280" spans="1:15" x14ac:dyDescent="0.25">
      <c r="A280" s="10">
        <f>Catalog!D254</f>
        <v>0</v>
      </c>
      <c r="B280" s="10">
        <f>Catalog!F254</f>
        <v>0</v>
      </c>
      <c r="C280" s="10" t="str">
        <f>IF(Catalog!I254="","",Catalog!I254)&amp;IF(AND(Catalog!I254&lt;&gt;"",Catalog!J254&lt;&gt;""),"; ","")&amp;IF(Catalog!J254="","",Catalog!J254)</f>
        <v/>
      </c>
      <c r="D280" s="10">
        <f>Catalog!P254</f>
        <v>0</v>
      </c>
      <c r="E280" s="10">
        <f>Catalog!R254</f>
        <v>0</v>
      </c>
      <c r="F280" s="10">
        <f>Catalog!M254</f>
        <v>0</v>
      </c>
      <c r="G280" s="10">
        <f>Catalog!K254</f>
        <v>0</v>
      </c>
      <c r="H280" s="10" t="str">
        <f>IF(Catalog!S254&lt;&gt;"","ISBN:"&amp;Catalog!S254,IF(Catalog!T254&lt;&gt;"","ISSN:"&amp;Catalog!T254,""))</f>
        <v/>
      </c>
      <c r="I280" s="10">
        <f>Catalog!B254</f>
        <v>0</v>
      </c>
      <c r="J280" s="10">
        <f>Catalog!L254</f>
        <v>0</v>
      </c>
      <c r="K280" s="10">
        <f>IF(Catalog!AG254&lt;&gt;"",Catalog!AG254,Catalog!AE254)</f>
        <v>0</v>
      </c>
      <c r="L280" s="10">
        <f>Catalog!AD254</f>
        <v>0</v>
      </c>
      <c r="M280" s="10">
        <f>Catalog!V254</f>
        <v>0</v>
      </c>
      <c r="N280" s="10">
        <f>Catalog!Q254</f>
        <v>0</v>
      </c>
      <c r="O280" s="10">
        <f>Catalog!AF254</f>
        <v>0</v>
      </c>
    </row>
    <row r="281" spans="1:15" x14ac:dyDescent="0.25">
      <c r="A281" s="10">
        <f>Catalog!D255</f>
        <v>0</v>
      </c>
      <c r="B281" s="10">
        <f>Catalog!F255</f>
        <v>0</v>
      </c>
      <c r="C281" s="10" t="str">
        <f>IF(Catalog!I255="","",Catalog!I255)&amp;IF(AND(Catalog!I255&lt;&gt;"",Catalog!J255&lt;&gt;""),"; ","")&amp;IF(Catalog!J255="","",Catalog!J255)</f>
        <v/>
      </c>
      <c r="D281" s="10">
        <f>Catalog!P255</f>
        <v>0</v>
      </c>
      <c r="E281" s="10">
        <f>Catalog!R255</f>
        <v>0</v>
      </c>
      <c r="F281" s="10">
        <f>Catalog!M255</f>
        <v>0</v>
      </c>
      <c r="G281" s="10">
        <f>Catalog!K255</f>
        <v>0</v>
      </c>
      <c r="H281" s="10" t="str">
        <f>IF(Catalog!S255&lt;&gt;"","ISBN:"&amp;Catalog!S255,IF(Catalog!T255&lt;&gt;"","ISSN:"&amp;Catalog!T255,""))</f>
        <v/>
      </c>
      <c r="I281" s="10">
        <f>Catalog!B255</f>
        <v>0</v>
      </c>
      <c r="J281" s="10">
        <f>Catalog!L255</f>
        <v>0</v>
      </c>
      <c r="K281" s="10">
        <f>IF(Catalog!AG255&lt;&gt;"",Catalog!AG255,Catalog!AE255)</f>
        <v>0</v>
      </c>
      <c r="L281" s="10">
        <f>Catalog!AD255</f>
        <v>0</v>
      </c>
      <c r="M281" s="10">
        <f>Catalog!V255</f>
        <v>0</v>
      </c>
      <c r="N281" s="10">
        <f>Catalog!Q255</f>
        <v>0</v>
      </c>
      <c r="O281" s="10">
        <f>Catalog!AF255</f>
        <v>0</v>
      </c>
    </row>
    <row r="282" spans="1:15" x14ac:dyDescent="0.25">
      <c r="A282" s="10">
        <f>Catalog!D256</f>
        <v>0</v>
      </c>
      <c r="B282" s="10">
        <f>Catalog!F256</f>
        <v>0</v>
      </c>
      <c r="C282" s="10" t="str">
        <f>IF(Catalog!I256="","",Catalog!I256)&amp;IF(AND(Catalog!I256&lt;&gt;"",Catalog!J256&lt;&gt;""),"; ","")&amp;IF(Catalog!J256="","",Catalog!J256)</f>
        <v/>
      </c>
      <c r="D282" s="10">
        <f>Catalog!P256</f>
        <v>0</v>
      </c>
      <c r="E282" s="10">
        <f>Catalog!R256</f>
        <v>0</v>
      </c>
      <c r="F282" s="10">
        <f>Catalog!M256</f>
        <v>0</v>
      </c>
      <c r="G282" s="10">
        <f>Catalog!K256</f>
        <v>0</v>
      </c>
      <c r="H282" s="10" t="str">
        <f>IF(Catalog!S256&lt;&gt;"","ISBN:"&amp;Catalog!S256,IF(Catalog!T256&lt;&gt;"","ISSN:"&amp;Catalog!T256,""))</f>
        <v/>
      </c>
      <c r="I282" s="10">
        <f>Catalog!B256</f>
        <v>0</v>
      </c>
      <c r="J282" s="10">
        <f>Catalog!L256</f>
        <v>0</v>
      </c>
      <c r="K282" s="10">
        <f>IF(Catalog!AG256&lt;&gt;"",Catalog!AG256,Catalog!AE256)</f>
        <v>0</v>
      </c>
      <c r="L282" s="10">
        <f>Catalog!AD256</f>
        <v>0</v>
      </c>
      <c r="M282" s="10">
        <f>Catalog!V256</f>
        <v>0</v>
      </c>
      <c r="N282" s="10">
        <f>Catalog!Q256</f>
        <v>0</v>
      </c>
      <c r="O282" s="10">
        <f>Catalog!AF256</f>
        <v>0</v>
      </c>
    </row>
    <row r="283" spans="1:15" x14ac:dyDescent="0.25">
      <c r="A283" s="10">
        <f>Catalog!D257</f>
        <v>0</v>
      </c>
      <c r="B283" s="10">
        <f>Catalog!F257</f>
        <v>0</v>
      </c>
      <c r="C283" s="10" t="str">
        <f>IF(Catalog!I257="","",Catalog!I257)&amp;IF(AND(Catalog!I257&lt;&gt;"",Catalog!J257&lt;&gt;""),"; ","")&amp;IF(Catalog!J257="","",Catalog!J257)</f>
        <v/>
      </c>
      <c r="D283" s="10">
        <f>Catalog!P257</f>
        <v>0</v>
      </c>
      <c r="E283" s="10">
        <f>Catalog!R257</f>
        <v>0</v>
      </c>
      <c r="F283" s="10">
        <f>Catalog!M257</f>
        <v>0</v>
      </c>
      <c r="G283" s="10">
        <f>Catalog!K257</f>
        <v>0</v>
      </c>
      <c r="H283" s="10" t="str">
        <f>IF(Catalog!S257&lt;&gt;"","ISBN:"&amp;Catalog!S257,IF(Catalog!T257&lt;&gt;"","ISSN:"&amp;Catalog!T257,""))</f>
        <v/>
      </c>
      <c r="I283" s="10">
        <f>Catalog!B257</f>
        <v>0</v>
      </c>
      <c r="J283" s="10">
        <f>Catalog!L257</f>
        <v>0</v>
      </c>
      <c r="K283" s="10">
        <f>IF(Catalog!AG257&lt;&gt;"",Catalog!AG257,Catalog!AE257)</f>
        <v>0</v>
      </c>
      <c r="L283" s="10">
        <f>Catalog!AD257</f>
        <v>0</v>
      </c>
      <c r="M283" s="10">
        <f>Catalog!V257</f>
        <v>0</v>
      </c>
      <c r="N283" s="10">
        <f>Catalog!Q257</f>
        <v>0</v>
      </c>
      <c r="O283" s="10">
        <f>Catalog!AF257</f>
        <v>0</v>
      </c>
    </row>
    <row r="284" spans="1:15" x14ac:dyDescent="0.25">
      <c r="A284" s="10">
        <f>Catalog!D258</f>
        <v>0</v>
      </c>
      <c r="B284" s="10">
        <f>Catalog!F258</f>
        <v>0</v>
      </c>
      <c r="C284" s="10" t="str">
        <f>IF(Catalog!I258="","",Catalog!I258)&amp;IF(AND(Catalog!I258&lt;&gt;"",Catalog!J258&lt;&gt;""),"; ","")&amp;IF(Catalog!J258="","",Catalog!J258)</f>
        <v/>
      </c>
      <c r="D284" s="10">
        <f>Catalog!P258</f>
        <v>0</v>
      </c>
      <c r="E284" s="10">
        <f>Catalog!R258</f>
        <v>0</v>
      </c>
      <c r="F284" s="10">
        <f>Catalog!M258</f>
        <v>0</v>
      </c>
      <c r="G284" s="10">
        <f>Catalog!K258</f>
        <v>0</v>
      </c>
      <c r="H284" s="10" t="str">
        <f>IF(Catalog!S258&lt;&gt;"","ISBN:"&amp;Catalog!S258,IF(Catalog!T258&lt;&gt;"","ISSN:"&amp;Catalog!T258,""))</f>
        <v/>
      </c>
      <c r="I284" s="10">
        <f>Catalog!B258</f>
        <v>0</v>
      </c>
      <c r="J284" s="10">
        <f>Catalog!L258</f>
        <v>0</v>
      </c>
      <c r="K284" s="10">
        <f>IF(Catalog!AG258&lt;&gt;"",Catalog!AG258,Catalog!AE258)</f>
        <v>0</v>
      </c>
      <c r="L284" s="10">
        <f>Catalog!AD258</f>
        <v>0</v>
      </c>
      <c r="M284" s="10">
        <f>Catalog!V258</f>
        <v>0</v>
      </c>
      <c r="N284" s="10">
        <f>Catalog!Q258</f>
        <v>0</v>
      </c>
      <c r="O284" s="10">
        <f>Catalog!AF258</f>
        <v>0</v>
      </c>
    </row>
    <row r="285" spans="1:15" x14ac:dyDescent="0.25">
      <c r="A285" s="10">
        <f>Catalog!D259</f>
        <v>0</v>
      </c>
      <c r="B285" s="10">
        <f>Catalog!F259</f>
        <v>0</v>
      </c>
      <c r="C285" s="10" t="str">
        <f>IF(Catalog!I259="","",Catalog!I259)&amp;IF(AND(Catalog!I259&lt;&gt;"",Catalog!J259&lt;&gt;""),"; ","")&amp;IF(Catalog!J259="","",Catalog!J259)</f>
        <v/>
      </c>
      <c r="D285" s="10">
        <f>Catalog!P259</f>
        <v>0</v>
      </c>
      <c r="E285" s="10">
        <f>Catalog!R259</f>
        <v>0</v>
      </c>
      <c r="F285" s="10">
        <f>Catalog!M259</f>
        <v>0</v>
      </c>
      <c r="G285" s="10">
        <f>Catalog!K259</f>
        <v>0</v>
      </c>
      <c r="H285" s="10" t="str">
        <f>IF(Catalog!S259&lt;&gt;"","ISBN:"&amp;Catalog!S259,IF(Catalog!T259&lt;&gt;"","ISSN:"&amp;Catalog!T259,""))</f>
        <v/>
      </c>
      <c r="I285" s="10">
        <f>Catalog!B259</f>
        <v>0</v>
      </c>
      <c r="J285" s="10">
        <f>Catalog!L259</f>
        <v>0</v>
      </c>
      <c r="K285" s="10">
        <f>IF(Catalog!AG259&lt;&gt;"",Catalog!AG259,Catalog!AE259)</f>
        <v>0</v>
      </c>
      <c r="L285" s="10">
        <f>Catalog!AD259</f>
        <v>0</v>
      </c>
      <c r="M285" s="10">
        <f>Catalog!V259</f>
        <v>0</v>
      </c>
      <c r="N285" s="10">
        <f>Catalog!Q259</f>
        <v>0</v>
      </c>
      <c r="O285" s="10">
        <f>Catalog!AF259</f>
        <v>0</v>
      </c>
    </row>
    <row r="286" spans="1:15" x14ac:dyDescent="0.25">
      <c r="A286" s="10">
        <f>Catalog!D260</f>
        <v>0</v>
      </c>
      <c r="B286" s="10">
        <f>Catalog!F260</f>
        <v>0</v>
      </c>
      <c r="C286" s="10" t="str">
        <f>IF(Catalog!I260="","",Catalog!I260)&amp;IF(AND(Catalog!I260&lt;&gt;"",Catalog!J260&lt;&gt;""),"; ","")&amp;IF(Catalog!J260="","",Catalog!J260)</f>
        <v/>
      </c>
      <c r="D286" s="10">
        <f>Catalog!P260</f>
        <v>0</v>
      </c>
      <c r="E286" s="10">
        <f>Catalog!R260</f>
        <v>0</v>
      </c>
      <c r="F286" s="10">
        <f>Catalog!M260</f>
        <v>0</v>
      </c>
      <c r="G286" s="10">
        <f>Catalog!K260</f>
        <v>0</v>
      </c>
      <c r="H286" s="10" t="str">
        <f>IF(Catalog!S260&lt;&gt;"","ISBN:"&amp;Catalog!S260,IF(Catalog!T260&lt;&gt;"","ISSN:"&amp;Catalog!T260,""))</f>
        <v/>
      </c>
      <c r="I286" s="10">
        <f>Catalog!B260</f>
        <v>0</v>
      </c>
      <c r="J286" s="10">
        <f>Catalog!L260</f>
        <v>0</v>
      </c>
      <c r="K286" s="10">
        <f>IF(Catalog!AG260&lt;&gt;"",Catalog!AG260,Catalog!AE260)</f>
        <v>0</v>
      </c>
      <c r="L286" s="10">
        <f>Catalog!AD260</f>
        <v>0</v>
      </c>
      <c r="M286" s="10">
        <f>Catalog!V260</f>
        <v>0</v>
      </c>
      <c r="N286" s="10">
        <f>Catalog!Q260</f>
        <v>0</v>
      </c>
      <c r="O286" s="10">
        <f>Catalog!AF260</f>
        <v>0</v>
      </c>
    </row>
    <row r="287" spans="1:15" x14ac:dyDescent="0.25">
      <c r="A287" s="10">
        <f>Catalog!D261</f>
        <v>0</v>
      </c>
      <c r="B287" s="10">
        <f>Catalog!F261</f>
        <v>0</v>
      </c>
      <c r="C287" s="10" t="str">
        <f>IF(Catalog!I261="","",Catalog!I261)&amp;IF(AND(Catalog!I261&lt;&gt;"",Catalog!J261&lt;&gt;""),"; ","")&amp;IF(Catalog!J261="","",Catalog!J261)</f>
        <v/>
      </c>
      <c r="D287" s="10">
        <f>Catalog!P261</f>
        <v>0</v>
      </c>
      <c r="E287" s="10">
        <f>Catalog!R261</f>
        <v>0</v>
      </c>
      <c r="F287" s="10">
        <f>Catalog!M261</f>
        <v>0</v>
      </c>
      <c r="G287" s="10">
        <f>Catalog!K261</f>
        <v>0</v>
      </c>
      <c r="H287" s="10" t="str">
        <f>IF(Catalog!S261&lt;&gt;"","ISBN:"&amp;Catalog!S261,IF(Catalog!T261&lt;&gt;"","ISSN:"&amp;Catalog!T261,""))</f>
        <v/>
      </c>
      <c r="I287" s="10">
        <f>Catalog!B261</f>
        <v>0</v>
      </c>
      <c r="J287" s="10">
        <f>Catalog!L261</f>
        <v>0</v>
      </c>
      <c r="K287" s="10">
        <f>IF(Catalog!AG261&lt;&gt;"",Catalog!AG261,Catalog!AE261)</f>
        <v>0</v>
      </c>
      <c r="L287" s="10">
        <f>Catalog!AD261</f>
        <v>0</v>
      </c>
      <c r="M287" s="10">
        <f>Catalog!V261</f>
        <v>0</v>
      </c>
      <c r="N287" s="10">
        <f>Catalog!Q261</f>
        <v>0</v>
      </c>
      <c r="O287" s="10">
        <f>Catalog!AF261</f>
        <v>0</v>
      </c>
    </row>
    <row r="288" spans="1:15" x14ac:dyDescent="0.25">
      <c r="A288" s="10">
        <f>Catalog!D262</f>
        <v>0</v>
      </c>
      <c r="B288" s="10">
        <f>Catalog!F262</f>
        <v>0</v>
      </c>
      <c r="C288" s="10" t="str">
        <f>IF(Catalog!I262="","",Catalog!I262)&amp;IF(AND(Catalog!I262&lt;&gt;"",Catalog!J262&lt;&gt;""),"; ","")&amp;IF(Catalog!J262="","",Catalog!J262)</f>
        <v/>
      </c>
      <c r="D288" s="10">
        <f>Catalog!P262</f>
        <v>0</v>
      </c>
      <c r="E288" s="10">
        <f>Catalog!R262</f>
        <v>0</v>
      </c>
      <c r="F288" s="10">
        <f>Catalog!M262</f>
        <v>0</v>
      </c>
      <c r="G288" s="10">
        <f>Catalog!K262</f>
        <v>0</v>
      </c>
      <c r="H288" s="10" t="str">
        <f>IF(Catalog!S262&lt;&gt;"","ISBN:"&amp;Catalog!S262,IF(Catalog!T262&lt;&gt;"","ISSN:"&amp;Catalog!T262,""))</f>
        <v/>
      </c>
      <c r="I288" s="10">
        <f>Catalog!B262</f>
        <v>0</v>
      </c>
      <c r="J288" s="10">
        <f>Catalog!L262</f>
        <v>0</v>
      </c>
      <c r="K288" s="10">
        <f>IF(Catalog!AG262&lt;&gt;"",Catalog!AG262,Catalog!AE262)</f>
        <v>0</v>
      </c>
      <c r="L288" s="10">
        <f>Catalog!AD262</f>
        <v>0</v>
      </c>
      <c r="M288" s="10">
        <f>Catalog!V262</f>
        <v>0</v>
      </c>
      <c r="N288" s="10">
        <f>Catalog!Q262</f>
        <v>0</v>
      </c>
      <c r="O288" s="10">
        <f>Catalog!AF262</f>
        <v>0</v>
      </c>
    </row>
    <row r="289" spans="1:15" x14ac:dyDescent="0.25">
      <c r="A289" s="10">
        <f>Catalog!D263</f>
        <v>0</v>
      </c>
      <c r="B289" s="10">
        <f>Catalog!F263</f>
        <v>0</v>
      </c>
      <c r="C289" s="10" t="str">
        <f>IF(Catalog!I263="","",Catalog!I263)&amp;IF(AND(Catalog!I263&lt;&gt;"",Catalog!J263&lt;&gt;""),"; ","")&amp;IF(Catalog!J263="","",Catalog!J263)</f>
        <v/>
      </c>
      <c r="D289" s="10">
        <f>Catalog!P263</f>
        <v>0</v>
      </c>
      <c r="E289" s="10">
        <f>Catalog!R263</f>
        <v>0</v>
      </c>
      <c r="F289" s="10">
        <f>Catalog!M263</f>
        <v>0</v>
      </c>
      <c r="G289" s="10">
        <f>Catalog!K263</f>
        <v>0</v>
      </c>
      <c r="H289" s="10" t="str">
        <f>IF(Catalog!S263&lt;&gt;"","ISBN:"&amp;Catalog!S263,IF(Catalog!T263&lt;&gt;"","ISSN:"&amp;Catalog!T263,""))</f>
        <v/>
      </c>
      <c r="I289" s="10">
        <f>Catalog!B263</f>
        <v>0</v>
      </c>
      <c r="J289" s="10">
        <f>Catalog!L263</f>
        <v>0</v>
      </c>
      <c r="K289" s="10">
        <f>IF(Catalog!AG263&lt;&gt;"",Catalog!AG263,Catalog!AE263)</f>
        <v>0</v>
      </c>
      <c r="L289" s="10">
        <f>Catalog!AD263</f>
        <v>0</v>
      </c>
      <c r="M289" s="10">
        <f>Catalog!V263</f>
        <v>0</v>
      </c>
      <c r="N289" s="10">
        <f>Catalog!Q263</f>
        <v>0</v>
      </c>
      <c r="O289" s="10">
        <f>Catalog!AF263</f>
        <v>0</v>
      </c>
    </row>
    <row r="290" spans="1:15" x14ac:dyDescent="0.25">
      <c r="A290" s="10">
        <f>Catalog!D264</f>
        <v>0</v>
      </c>
      <c r="B290" s="10">
        <f>Catalog!F264</f>
        <v>0</v>
      </c>
      <c r="C290" s="10" t="str">
        <f>IF(Catalog!I264="","",Catalog!I264)&amp;IF(AND(Catalog!I264&lt;&gt;"",Catalog!J264&lt;&gt;""),"; ","")&amp;IF(Catalog!J264="","",Catalog!J264)</f>
        <v/>
      </c>
      <c r="D290" s="10">
        <f>Catalog!P264</f>
        <v>0</v>
      </c>
      <c r="E290" s="10">
        <f>Catalog!R264</f>
        <v>0</v>
      </c>
      <c r="F290" s="10">
        <f>Catalog!M264</f>
        <v>0</v>
      </c>
      <c r="G290" s="10">
        <f>Catalog!K264</f>
        <v>0</v>
      </c>
      <c r="H290" s="10" t="str">
        <f>IF(Catalog!S264&lt;&gt;"","ISBN:"&amp;Catalog!S264,IF(Catalog!T264&lt;&gt;"","ISSN:"&amp;Catalog!T264,""))</f>
        <v/>
      </c>
      <c r="I290" s="10">
        <f>Catalog!B264</f>
        <v>0</v>
      </c>
      <c r="J290" s="10">
        <f>Catalog!L264</f>
        <v>0</v>
      </c>
      <c r="K290" s="10">
        <f>IF(Catalog!AG264&lt;&gt;"",Catalog!AG264,Catalog!AE264)</f>
        <v>0</v>
      </c>
      <c r="L290" s="10">
        <f>Catalog!AD264</f>
        <v>0</v>
      </c>
      <c r="M290" s="10">
        <f>Catalog!V264</f>
        <v>0</v>
      </c>
      <c r="N290" s="10">
        <f>Catalog!Q264</f>
        <v>0</v>
      </c>
      <c r="O290" s="10">
        <f>Catalog!AF264</f>
        <v>0</v>
      </c>
    </row>
    <row r="291" spans="1:15" x14ac:dyDescent="0.25">
      <c r="A291" s="10">
        <f>Catalog!D265</f>
        <v>0</v>
      </c>
      <c r="B291" s="10">
        <f>Catalog!F265</f>
        <v>0</v>
      </c>
      <c r="C291" s="10" t="str">
        <f>IF(Catalog!I265="","",Catalog!I265)&amp;IF(AND(Catalog!I265&lt;&gt;"",Catalog!J265&lt;&gt;""),"; ","")&amp;IF(Catalog!J265="","",Catalog!J265)</f>
        <v/>
      </c>
      <c r="D291" s="10">
        <f>Catalog!P265</f>
        <v>0</v>
      </c>
      <c r="E291" s="10">
        <f>Catalog!R265</f>
        <v>0</v>
      </c>
      <c r="F291" s="10">
        <f>Catalog!M265</f>
        <v>0</v>
      </c>
      <c r="G291" s="10">
        <f>Catalog!K265</f>
        <v>0</v>
      </c>
      <c r="H291" s="10" t="str">
        <f>IF(Catalog!S265&lt;&gt;"","ISBN:"&amp;Catalog!S265,IF(Catalog!T265&lt;&gt;"","ISSN:"&amp;Catalog!T265,""))</f>
        <v/>
      </c>
      <c r="I291" s="10">
        <f>Catalog!B265</f>
        <v>0</v>
      </c>
      <c r="J291" s="10">
        <f>Catalog!L265</f>
        <v>0</v>
      </c>
      <c r="K291" s="10">
        <f>IF(Catalog!AG265&lt;&gt;"",Catalog!AG265,Catalog!AE265)</f>
        <v>0</v>
      </c>
      <c r="L291" s="10">
        <f>Catalog!AD265</f>
        <v>0</v>
      </c>
      <c r="M291" s="10">
        <f>Catalog!V265</f>
        <v>0</v>
      </c>
      <c r="N291" s="10">
        <f>Catalog!Q265</f>
        <v>0</v>
      </c>
      <c r="O291" s="10">
        <f>Catalog!AF265</f>
        <v>0</v>
      </c>
    </row>
    <row r="292" spans="1:15" x14ac:dyDescent="0.25">
      <c r="A292" s="10">
        <f>Catalog!D266</f>
        <v>0</v>
      </c>
      <c r="B292" s="10">
        <f>Catalog!F266</f>
        <v>0</v>
      </c>
      <c r="C292" s="10" t="str">
        <f>IF(Catalog!I266="","",Catalog!I266)&amp;IF(AND(Catalog!I266&lt;&gt;"",Catalog!J266&lt;&gt;""),"; ","")&amp;IF(Catalog!J266="","",Catalog!J266)</f>
        <v/>
      </c>
      <c r="D292" s="10">
        <f>Catalog!P266</f>
        <v>0</v>
      </c>
      <c r="E292" s="10">
        <f>Catalog!R266</f>
        <v>0</v>
      </c>
      <c r="F292" s="10">
        <f>Catalog!M266</f>
        <v>0</v>
      </c>
      <c r="G292" s="10">
        <f>Catalog!K266</f>
        <v>0</v>
      </c>
      <c r="H292" s="10" t="str">
        <f>IF(Catalog!S266&lt;&gt;"","ISBN:"&amp;Catalog!S266,IF(Catalog!T266&lt;&gt;"","ISSN:"&amp;Catalog!T266,""))</f>
        <v/>
      </c>
      <c r="I292" s="10">
        <f>Catalog!B266</f>
        <v>0</v>
      </c>
      <c r="J292" s="10">
        <f>Catalog!L266</f>
        <v>0</v>
      </c>
      <c r="K292" s="10">
        <f>IF(Catalog!AG266&lt;&gt;"",Catalog!AG266,Catalog!AE266)</f>
        <v>0</v>
      </c>
      <c r="L292" s="10">
        <f>Catalog!AD266</f>
        <v>0</v>
      </c>
      <c r="M292" s="10">
        <f>Catalog!V266</f>
        <v>0</v>
      </c>
      <c r="N292" s="10">
        <f>Catalog!Q266</f>
        <v>0</v>
      </c>
      <c r="O292" s="10">
        <f>Catalog!AF266</f>
        <v>0</v>
      </c>
    </row>
    <row r="293" spans="1:15" x14ac:dyDescent="0.25">
      <c r="A293" s="10">
        <f>Catalog!D267</f>
        <v>0</v>
      </c>
      <c r="B293" s="10">
        <f>Catalog!F267</f>
        <v>0</v>
      </c>
      <c r="C293" s="10" t="str">
        <f>IF(Catalog!I267="","",Catalog!I267)&amp;IF(AND(Catalog!I267&lt;&gt;"",Catalog!J267&lt;&gt;""),"; ","")&amp;IF(Catalog!J267="","",Catalog!J267)</f>
        <v/>
      </c>
      <c r="D293" s="10">
        <f>Catalog!P267</f>
        <v>0</v>
      </c>
      <c r="E293" s="10">
        <f>Catalog!R267</f>
        <v>0</v>
      </c>
      <c r="F293" s="10">
        <f>Catalog!M267</f>
        <v>0</v>
      </c>
      <c r="G293" s="10">
        <f>Catalog!K267</f>
        <v>0</v>
      </c>
      <c r="H293" s="10" t="str">
        <f>IF(Catalog!S267&lt;&gt;"","ISBN:"&amp;Catalog!S267,IF(Catalog!T267&lt;&gt;"","ISSN:"&amp;Catalog!T267,""))</f>
        <v/>
      </c>
      <c r="I293" s="10">
        <f>Catalog!B267</f>
        <v>0</v>
      </c>
      <c r="J293" s="10">
        <f>Catalog!L267</f>
        <v>0</v>
      </c>
      <c r="K293" s="10">
        <f>IF(Catalog!AG267&lt;&gt;"",Catalog!AG267,Catalog!AE267)</f>
        <v>0</v>
      </c>
      <c r="L293" s="10">
        <f>Catalog!AD267</f>
        <v>0</v>
      </c>
      <c r="M293" s="10">
        <f>Catalog!V267</f>
        <v>0</v>
      </c>
      <c r="N293" s="10">
        <f>Catalog!Q267</f>
        <v>0</v>
      </c>
      <c r="O293" s="10">
        <f>Catalog!AF267</f>
        <v>0</v>
      </c>
    </row>
    <row r="294" spans="1:15" x14ac:dyDescent="0.25">
      <c r="A294" s="10">
        <f>Catalog!D268</f>
        <v>0</v>
      </c>
      <c r="B294" s="10">
        <f>Catalog!F268</f>
        <v>0</v>
      </c>
      <c r="C294" s="10" t="str">
        <f>IF(Catalog!I268="","",Catalog!I268)&amp;IF(AND(Catalog!I268&lt;&gt;"",Catalog!J268&lt;&gt;""),"; ","")&amp;IF(Catalog!J268="","",Catalog!J268)</f>
        <v/>
      </c>
      <c r="D294" s="10">
        <f>Catalog!P268</f>
        <v>0</v>
      </c>
      <c r="E294" s="10">
        <f>Catalog!R268</f>
        <v>0</v>
      </c>
      <c r="F294" s="10">
        <f>Catalog!M268</f>
        <v>0</v>
      </c>
      <c r="G294" s="10">
        <f>Catalog!K268</f>
        <v>0</v>
      </c>
      <c r="H294" s="10" t="str">
        <f>IF(Catalog!S268&lt;&gt;"","ISBN:"&amp;Catalog!S268,IF(Catalog!T268&lt;&gt;"","ISSN:"&amp;Catalog!T268,""))</f>
        <v/>
      </c>
      <c r="I294" s="10">
        <f>Catalog!B268</f>
        <v>0</v>
      </c>
      <c r="J294" s="10">
        <f>Catalog!L268</f>
        <v>0</v>
      </c>
      <c r="K294" s="10">
        <f>IF(Catalog!AG268&lt;&gt;"",Catalog!AG268,Catalog!AE268)</f>
        <v>0</v>
      </c>
      <c r="L294" s="10">
        <f>Catalog!AD268</f>
        <v>0</v>
      </c>
      <c r="M294" s="10">
        <f>Catalog!V268</f>
        <v>0</v>
      </c>
      <c r="N294" s="10">
        <f>Catalog!Q268</f>
        <v>0</v>
      </c>
      <c r="O294" s="10">
        <f>Catalog!AF268</f>
        <v>0</v>
      </c>
    </row>
    <row r="295" spans="1:15" x14ac:dyDescent="0.25">
      <c r="A295" s="10">
        <f>Catalog!D269</f>
        <v>0</v>
      </c>
      <c r="B295" s="10">
        <f>Catalog!F269</f>
        <v>0</v>
      </c>
      <c r="C295" s="10" t="str">
        <f>IF(Catalog!I269="","",Catalog!I269)&amp;IF(AND(Catalog!I269&lt;&gt;"",Catalog!J269&lt;&gt;""),"; ","")&amp;IF(Catalog!J269="","",Catalog!J269)</f>
        <v/>
      </c>
      <c r="D295" s="10">
        <f>Catalog!P269</f>
        <v>0</v>
      </c>
      <c r="E295" s="10">
        <f>Catalog!R269</f>
        <v>0</v>
      </c>
      <c r="F295" s="10">
        <f>Catalog!M269</f>
        <v>0</v>
      </c>
      <c r="G295" s="10">
        <f>Catalog!K269</f>
        <v>0</v>
      </c>
      <c r="H295" s="10" t="str">
        <f>IF(Catalog!S269&lt;&gt;"","ISBN:"&amp;Catalog!S269,IF(Catalog!T269&lt;&gt;"","ISSN:"&amp;Catalog!T269,""))</f>
        <v/>
      </c>
      <c r="I295" s="10">
        <f>Catalog!B269</f>
        <v>0</v>
      </c>
      <c r="J295" s="10">
        <f>Catalog!L269</f>
        <v>0</v>
      </c>
      <c r="K295" s="10">
        <f>IF(Catalog!AG269&lt;&gt;"",Catalog!AG269,Catalog!AE269)</f>
        <v>0</v>
      </c>
      <c r="L295" s="10">
        <f>Catalog!AD269</f>
        <v>0</v>
      </c>
      <c r="M295" s="10">
        <f>Catalog!V269</f>
        <v>0</v>
      </c>
      <c r="N295" s="10">
        <f>Catalog!Q269</f>
        <v>0</v>
      </c>
      <c r="O295" s="10">
        <f>Catalog!AF269</f>
        <v>0</v>
      </c>
    </row>
    <row r="296" spans="1:15" x14ac:dyDescent="0.25">
      <c r="A296" s="10">
        <f>Catalog!D270</f>
        <v>0</v>
      </c>
      <c r="B296" s="10">
        <f>Catalog!F270</f>
        <v>0</v>
      </c>
      <c r="C296" s="10" t="str">
        <f>IF(Catalog!I270="","",Catalog!I270)&amp;IF(AND(Catalog!I270&lt;&gt;"",Catalog!J270&lt;&gt;""),"; ","")&amp;IF(Catalog!J270="","",Catalog!J270)</f>
        <v/>
      </c>
      <c r="D296" s="10">
        <f>Catalog!P270</f>
        <v>0</v>
      </c>
      <c r="E296" s="10">
        <f>Catalog!R270</f>
        <v>0</v>
      </c>
      <c r="F296" s="10">
        <f>Catalog!M270</f>
        <v>0</v>
      </c>
      <c r="G296" s="10">
        <f>Catalog!K270</f>
        <v>0</v>
      </c>
      <c r="H296" s="10" t="str">
        <f>IF(Catalog!S270&lt;&gt;"","ISBN:"&amp;Catalog!S270,IF(Catalog!T270&lt;&gt;"","ISSN:"&amp;Catalog!T270,""))</f>
        <v/>
      </c>
      <c r="I296" s="10">
        <f>Catalog!B270</f>
        <v>0</v>
      </c>
      <c r="J296" s="10">
        <f>Catalog!L270</f>
        <v>0</v>
      </c>
      <c r="K296" s="10">
        <f>IF(Catalog!AG270&lt;&gt;"",Catalog!AG270,Catalog!AE270)</f>
        <v>0</v>
      </c>
      <c r="L296" s="10">
        <f>Catalog!AD270</f>
        <v>0</v>
      </c>
      <c r="M296" s="10">
        <f>Catalog!V270</f>
        <v>0</v>
      </c>
      <c r="N296" s="10">
        <f>Catalog!Q270</f>
        <v>0</v>
      </c>
      <c r="O296" s="10">
        <f>Catalog!AF270</f>
        <v>0</v>
      </c>
    </row>
    <row r="297" spans="1:15" x14ac:dyDescent="0.25">
      <c r="A297" s="10">
        <f>Catalog!D271</f>
        <v>0</v>
      </c>
      <c r="B297" s="10">
        <f>Catalog!F271</f>
        <v>0</v>
      </c>
      <c r="C297" s="10" t="str">
        <f>IF(Catalog!I271="","",Catalog!I271)&amp;IF(AND(Catalog!I271&lt;&gt;"",Catalog!J271&lt;&gt;""),"; ","")&amp;IF(Catalog!J271="","",Catalog!J271)</f>
        <v/>
      </c>
      <c r="D297" s="10">
        <f>Catalog!P271</f>
        <v>0</v>
      </c>
      <c r="E297" s="10">
        <f>Catalog!R271</f>
        <v>0</v>
      </c>
      <c r="F297" s="10">
        <f>Catalog!M271</f>
        <v>0</v>
      </c>
      <c r="G297" s="10">
        <f>Catalog!K271</f>
        <v>0</v>
      </c>
      <c r="H297" s="10" t="str">
        <f>IF(Catalog!S271&lt;&gt;"","ISBN:"&amp;Catalog!S271,IF(Catalog!T271&lt;&gt;"","ISSN:"&amp;Catalog!T271,""))</f>
        <v/>
      </c>
      <c r="I297" s="10">
        <f>Catalog!B271</f>
        <v>0</v>
      </c>
      <c r="J297" s="10">
        <f>Catalog!L271</f>
        <v>0</v>
      </c>
      <c r="K297" s="10">
        <f>IF(Catalog!AG271&lt;&gt;"",Catalog!AG271,Catalog!AE271)</f>
        <v>0</v>
      </c>
      <c r="L297" s="10">
        <f>Catalog!AD271</f>
        <v>0</v>
      </c>
      <c r="M297" s="10">
        <f>Catalog!V271</f>
        <v>0</v>
      </c>
      <c r="N297" s="10">
        <f>Catalog!Q271</f>
        <v>0</v>
      </c>
      <c r="O297" s="10">
        <f>Catalog!AF271</f>
        <v>0</v>
      </c>
    </row>
    <row r="298" spans="1:15" x14ac:dyDescent="0.25">
      <c r="A298" s="10">
        <f>Catalog!D272</f>
        <v>0</v>
      </c>
      <c r="B298" s="10">
        <f>Catalog!F272</f>
        <v>0</v>
      </c>
      <c r="C298" s="10" t="str">
        <f>IF(Catalog!I272="","",Catalog!I272)&amp;IF(AND(Catalog!I272&lt;&gt;"",Catalog!J272&lt;&gt;""),"; ","")&amp;IF(Catalog!J272="","",Catalog!J272)</f>
        <v/>
      </c>
      <c r="D298" s="10">
        <f>Catalog!P272</f>
        <v>0</v>
      </c>
      <c r="E298" s="10">
        <f>Catalog!R272</f>
        <v>0</v>
      </c>
      <c r="F298" s="10">
        <f>Catalog!M272</f>
        <v>0</v>
      </c>
      <c r="G298" s="10">
        <f>Catalog!K272</f>
        <v>0</v>
      </c>
      <c r="H298" s="10" t="str">
        <f>IF(Catalog!S272&lt;&gt;"","ISBN:"&amp;Catalog!S272,IF(Catalog!T272&lt;&gt;"","ISSN:"&amp;Catalog!T272,""))</f>
        <v/>
      </c>
      <c r="I298" s="10">
        <f>Catalog!B272</f>
        <v>0</v>
      </c>
      <c r="J298" s="10">
        <f>Catalog!L272</f>
        <v>0</v>
      </c>
      <c r="K298" s="10">
        <f>IF(Catalog!AG272&lt;&gt;"",Catalog!AG272,Catalog!AE272)</f>
        <v>0</v>
      </c>
      <c r="L298" s="10">
        <f>Catalog!AD272</f>
        <v>0</v>
      </c>
      <c r="M298" s="10">
        <f>Catalog!V272</f>
        <v>0</v>
      </c>
      <c r="N298" s="10">
        <f>Catalog!Q272</f>
        <v>0</v>
      </c>
      <c r="O298" s="10">
        <f>Catalog!AF272</f>
        <v>0</v>
      </c>
    </row>
    <row r="299" spans="1:15" x14ac:dyDescent="0.25">
      <c r="A299" s="10">
        <f>Catalog!D273</f>
        <v>0</v>
      </c>
      <c r="B299" s="10">
        <f>Catalog!F273</f>
        <v>0</v>
      </c>
      <c r="C299" s="10" t="str">
        <f>IF(Catalog!I273="","",Catalog!I273)&amp;IF(AND(Catalog!I273&lt;&gt;"",Catalog!J273&lt;&gt;""),"; ","")&amp;IF(Catalog!J273="","",Catalog!J273)</f>
        <v/>
      </c>
      <c r="D299" s="10">
        <f>Catalog!P273</f>
        <v>0</v>
      </c>
      <c r="E299" s="10">
        <f>Catalog!R273</f>
        <v>0</v>
      </c>
      <c r="F299" s="10">
        <f>Catalog!M273</f>
        <v>0</v>
      </c>
      <c r="G299" s="10">
        <f>Catalog!K273</f>
        <v>0</v>
      </c>
      <c r="H299" s="10" t="str">
        <f>IF(Catalog!S273&lt;&gt;"","ISBN:"&amp;Catalog!S273,IF(Catalog!T273&lt;&gt;"","ISSN:"&amp;Catalog!T273,""))</f>
        <v/>
      </c>
      <c r="I299" s="10">
        <f>Catalog!B273</f>
        <v>0</v>
      </c>
      <c r="J299" s="10">
        <f>Catalog!L273</f>
        <v>0</v>
      </c>
      <c r="K299" s="10">
        <f>IF(Catalog!AG273&lt;&gt;"",Catalog!AG273,Catalog!AE273)</f>
        <v>0</v>
      </c>
      <c r="L299" s="10">
        <f>Catalog!AD273</f>
        <v>0</v>
      </c>
      <c r="M299" s="10">
        <f>Catalog!V273</f>
        <v>0</v>
      </c>
      <c r="N299" s="10">
        <f>Catalog!Q273</f>
        <v>0</v>
      </c>
      <c r="O299" s="10">
        <f>Catalog!AF273</f>
        <v>0</v>
      </c>
    </row>
    <row r="300" spans="1:15" x14ac:dyDescent="0.25">
      <c r="A300" s="10">
        <f>Catalog!D274</f>
        <v>0</v>
      </c>
      <c r="B300" s="10">
        <f>Catalog!F274</f>
        <v>0</v>
      </c>
      <c r="C300" s="10" t="str">
        <f>IF(Catalog!I274="","",Catalog!I274)&amp;IF(AND(Catalog!I274&lt;&gt;"",Catalog!J274&lt;&gt;""),"; ","")&amp;IF(Catalog!J274="","",Catalog!J274)</f>
        <v/>
      </c>
      <c r="D300" s="10">
        <f>Catalog!P274</f>
        <v>0</v>
      </c>
      <c r="E300" s="10">
        <f>Catalog!R274</f>
        <v>0</v>
      </c>
      <c r="F300" s="10">
        <f>Catalog!M274</f>
        <v>0</v>
      </c>
      <c r="G300" s="10">
        <f>Catalog!K274</f>
        <v>0</v>
      </c>
      <c r="H300" s="10" t="str">
        <f>IF(Catalog!S274&lt;&gt;"","ISBN:"&amp;Catalog!S274,IF(Catalog!T274&lt;&gt;"","ISSN:"&amp;Catalog!T274,""))</f>
        <v/>
      </c>
      <c r="I300" s="10">
        <f>Catalog!B274</f>
        <v>0</v>
      </c>
      <c r="J300" s="10">
        <f>Catalog!L274</f>
        <v>0</v>
      </c>
      <c r="K300" s="10">
        <f>IF(Catalog!AG274&lt;&gt;"",Catalog!AG274,Catalog!AE274)</f>
        <v>0</v>
      </c>
      <c r="L300" s="10">
        <f>Catalog!AD274</f>
        <v>0</v>
      </c>
      <c r="M300" s="10">
        <f>Catalog!V274</f>
        <v>0</v>
      </c>
      <c r="N300" s="10">
        <f>Catalog!Q274</f>
        <v>0</v>
      </c>
      <c r="O300" s="10">
        <f>Catalog!AF274</f>
        <v>0</v>
      </c>
    </row>
    <row r="301" spans="1:15" x14ac:dyDescent="0.25">
      <c r="A301" s="10">
        <f>Catalog!D275</f>
        <v>0</v>
      </c>
      <c r="B301" s="10">
        <f>Catalog!F275</f>
        <v>0</v>
      </c>
      <c r="C301" s="10" t="str">
        <f>IF(Catalog!I275="","",Catalog!I275)&amp;IF(AND(Catalog!I275&lt;&gt;"",Catalog!J275&lt;&gt;""),"; ","")&amp;IF(Catalog!J275="","",Catalog!J275)</f>
        <v/>
      </c>
      <c r="D301" s="10">
        <f>Catalog!P275</f>
        <v>0</v>
      </c>
      <c r="E301" s="10">
        <f>Catalog!R275</f>
        <v>0</v>
      </c>
      <c r="F301" s="10">
        <f>Catalog!M275</f>
        <v>0</v>
      </c>
      <c r="G301" s="10">
        <f>Catalog!K275</f>
        <v>0</v>
      </c>
      <c r="H301" s="10" t="str">
        <f>IF(Catalog!S275&lt;&gt;"","ISBN:"&amp;Catalog!S275,IF(Catalog!T275&lt;&gt;"","ISSN:"&amp;Catalog!T275,""))</f>
        <v/>
      </c>
      <c r="I301" s="10">
        <f>Catalog!B275</f>
        <v>0</v>
      </c>
      <c r="J301" s="10">
        <f>Catalog!L275</f>
        <v>0</v>
      </c>
      <c r="K301" s="10">
        <f>IF(Catalog!AG275&lt;&gt;"",Catalog!AG275,Catalog!AE275)</f>
        <v>0</v>
      </c>
      <c r="L301" s="10">
        <f>Catalog!AD275</f>
        <v>0</v>
      </c>
      <c r="M301" s="10">
        <f>Catalog!V275</f>
        <v>0</v>
      </c>
      <c r="N301" s="10">
        <f>Catalog!Q275</f>
        <v>0</v>
      </c>
      <c r="O301" s="10">
        <f>Catalog!AF275</f>
        <v>0</v>
      </c>
    </row>
    <row r="302" spans="1:15" x14ac:dyDescent="0.25">
      <c r="A302" s="10">
        <f>Catalog!D276</f>
        <v>0</v>
      </c>
      <c r="B302" s="10">
        <f>Catalog!F276</f>
        <v>0</v>
      </c>
      <c r="C302" s="10" t="str">
        <f>IF(Catalog!I276="","",Catalog!I276)&amp;IF(AND(Catalog!I276&lt;&gt;"",Catalog!J276&lt;&gt;""),"; ","")&amp;IF(Catalog!J276="","",Catalog!J276)</f>
        <v/>
      </c>
      <c r="D302" s="10">
        <f>Catalog!P276</f>
        <v>0</v>
      </c>
      <c r="E302" s="10">
        <f>Catalog!R276</f>
        <v>0</v>
      </c>
      <c r="F302" s="10">
        <f>Catalog!M276</f>
        <v>0</v>
      </c>
      <c r="G302" s="10">
        <f>Catalog!K276</f>
        <v>0</v>
      </c>
      <c r="H302" s="10" t="str">
        <f>IF(Catalog!S276&lt;&gt;"","ISBN:"&amp;Catalog!S276,IF(Catalog!T276&lt;&gt;"","ISSN:"&amp;Catalog!T276,""))</f>
        <v/>
      </c>
      <c r="I302" s="10">
        <f>Catalog!B276</f>
        <v>0</v>
      </c>
      <c r="J302" s="10">
        <f>Catalog!L276</f>
        <v>0</v>
      </c>
      <c r="K302" s="10">
        <f>IF(Catalog!AG276&lt;&gt;"",Catalog!AG276,Catalog!AE276)</f>
        <v>0</v>
      </c>
      <c r="L302" s="10">
        <f>Catalog!AD276</f>
        <v>0</v>
      </c>
      <c r="M302" s="10">
        <f>Catalog!V276</f>
        <v>0</v>
      </c>
      <c r="N302" s="10">
        <f>Catalog!Q276</f>
        <v>0</v>
      </c>
      <c r="O302" s="10">
        <f>Catalog!AF276</f>
        <v>0</v>
      </c>
    </row>
    <row r="303" spans="1:15" x14ac:dyDescent="0.25">
      <c r="A303" s="10">
        <f>Catalog!D277</f>
        <v>0</v>
      </c>
      <c r="B303" s="10">
        <f>Catalog!F277</f>
        <v>0</v>
      </c>
      <c r="C303" s="10" t="str">
        <f>IF(Catalog!I277="","",Catalog!I277)&amp;IF(AND(Catalog!I277&lt;&gt;"",Catalog!J277&lt;&gt;""),"; ","")&amp;IF(Catalog!J277="","",Catalog!J277)</f>
        <v/>
      </c>
      <c r="D303" s="10">
        <f>Catalog!P277</f>
        <v>0</v>
      </c>
      <c r="E303" s="10">
        <f>Catalog!R277</f>
        <v>0</v>
      </c>
      <c r="F303" s="10">
        <f>Catalog!M277</f>
        <v>0</v>
      </c>
      <c r="G303" s="10">
        <f>Catalog!K277</f>
        <v>0</v>
      </c>
      <c r="H303" s="10" t="str">
        <f>IF(Catalog!S277&lt;&gt;"","ISBN:"&amp;Catalog!S277,IF(Catalog!T277&lt;&gt;"","ISSN:"&amp;Catalog!T277,""))</f>
        <v/>
      </c>
      <c r="I303" s="10">
        <f>Catalog!B277</f>
        <v>0</v>
      </c>
      <c r="J303" s="10">
        <f>Catalog!L277</f>
        <v>0</v>
      </c>
      <c r="K303" s="10">
        <f>IF(Catalog!AG277&lt;&gt;"",Catalog!AG277,Catalog!AE277)</f>
        <v>0</v>
      </c>
      <c r="L303" s="10">
        <f>Catalog!AD277</f>
        <v>0</v>
      </c>
      <c r="M303" s="10">
        <f>Catalog!V277</f>
        <v>0</v>
      </c>
      <c r="N303" s="10">
        <f>Catalog!Q277</f>
        <v>0</v>
      </c>
      <c r="O303" s="10">
        <f>Catalog!AF277</f>
        <v>0</v>
      </c>
    </row>
    <row r="304" spans="1:15" x14ac:dyDescent="0.25">
      <c r="A304" s="10">
        <f>Catalog!D278</f>
        <v>0</v>
      </c>
      <c r="B304" s="10">
        <f>Catalog!F278</f>
        <v>0</v>
      </c>
      <c r="C304" s="10" t="str">
        <f>IF(Catalog!I278="","",Catalog!I278)&amp;IF(AND(Catalog!I278&lt;&gt;"",Catalog!J278&lt;&gt;""),"; ","")&amp;IF(Catalog!J278="","",Catalog!J278)</f>
        <v/>
      </c>
      <c r="D304" s="10">
        <f>Catalog!P278</f>
        <v>0</v>
      </c>
      <c r="E304" s="10">
        <f>Catalog!R278</f>
        <v>0</v>
      </c>
      <c r="F304" s="10">
        <f>Catalog!M278</f>
        <v>0</v>
      </c>
      <c r="G304" s="10">
        <f>Catalog!K278</f>
        <v>0</v>
      </c>
      <c r="H304" s="10" t="str">
        <f>IF(Catalog!S278&lt;&gt;"","ISBN:"&amp;Catalog!S278,IF(Catalog!T278&lt;&gt;"","ISSN:"&amp;Catalog!T278,""))</f>
        <v/>
      </c>
      <c r="I304" s="10">
        <f>Catalog!B278</f>
        <v>0</v>
      </c>
      <c r="J304" s="10">
        <f>Catalog!L278</f>
        <v>0</v>
      </c>
      <c r="K304" s="10">
        <f>IF(Catalog!AG278&lt;&gt;"",Catalog!AG278,Catalog!AE278)</f>
        <v>0</v>
      </c>
      <c r="L304" s="10">
        <f>Catalog!AD278</f>
        <v>0</v>
      </c>
      <c r="M304" s="10">
        <f>Catalog!V278</f>
        <v>0</v>
      </c>
      <c r="N304" s="10">
        <f>Catalog!Q278</f>
        <v>0</v>
      </c>
      <c r="O304" s="10">
        <f>Catalog!AF278</f>
        <v>0</v>
      </c>
    </row>
    <row r="305" spans="1:15" x14ac:dyDescent="0.25">
      <c r="A305" s="10">
        <f>Catalog!D279</f>
        <v>0</v>
      </c>
      <c r="B305" s="10">
        <f>Catalog!F279</f>
        <v>0</v>
      </c>
      <c r="C305" s="10" t="str">
        <f>IF(Catalog!I279="","",Catalog!I279)&amp;IF(AND(Catalog!I279&lt;&gt;"",Catalog!J279&lt;&gt;""),"; ","")&amp;IF(Catalog!J279="","",Catalog!J279)</f>
        <v/>
      </c>
      <c r="D305" s="10">
        <f>Catalog!P279</f>
        <v>0</v>
      </c>
      <c r="E305" s="10">
        <f>Catalog!R279</f>
        <v>0</v>
      </c>
      <c r="F305" s="10">
        <f>Catalog!M279</f>
        <v>0</v>
      </c>
      <c r="G305" s="10">
        <f>Catalog!K279</f>
        <v>0</v>
      </c>
      <c r="H305" s="10" t="str">
        <f>IF(Catalog!S279&lt;&gt;"","ISBN:"&amp;Catalog!S279,IF(Catalog!T279&lt;&gt;"","ISSN:"&amp;Catalog!T279,""))</f>
        <v/>
      </c>
      <c r="I305" s="10">
        <f>Catalog!B279</f>
        <v>0</v>
      </c>
      <c r="J305" s="10">
        <f>Catalog!L279</f>
        <v>0</v>
      </c>
      <c r="K305" s="10">
        <f>IF(Catalog!AG279&lt;&gt;"",Catalog!AG279,Catalog!AE279)</f>
        <v>0</v>
      </c>
      <c r="L305" s="10">
        <f>Catalog!AD279</f>
        <v>0</v>
      </c>
      <c r="M305" s="10">
        <f>Catalog!V279</f>
        <v>0</v>
      </c>
      <c r="N305" s="10">
        <f>Catalog!Q279</f>
        <v>0</v>
      </c>
      <c r="O305" s="10">
        <f>Catalog!AF279</f>
        <v>0</v>
      </c>
    </row>
    <row r="306" spans="1:15" x14ac:dyDescent="0.25">
      <c r="A306" s="10">
        <f>Catalog!D280</f>
        <v>0</v>
      </c>
      <c r="B306" s="10">
        <f>Catalog!F280</f>
        <v>0</v>
      </c>
      <c r="C306" s="10" t="str">
        <f>IF(Catalog!I280="","",Catalog!I280)&amp;IF(AND(Catalog!I280&lt;&gt;"",Catalog!J280&lt;&gt;""),"; ","")&amp;IF(Catalog!J280="","",Catalog!J280)</f>
        <v/>
      </c>
      <c r="D306" s="10">
        <f>Catalog!P280</f>
        <v>0</v>
      </c>
      <c r="E306" s="10">
        <f>Catalog!R280</f>
        <v>0</v>
      </c>
      <c r="F306" s="10">
        <f>Catalog!M280</f>
        <v>0</v>
      </c>
      <c r="G306" s="10">
        <f>Catalog!K280</f>
        <v>0</v>
      </c>
      <c r="H306" s="10" t="str">
        <f>IF(Catalog!S280&lt;&gt;"","ISBN:"&amp;Catalog!S280,IF(Catalog!T280&lt;&gt;"","ISSN:"&amp;Catalog!T280,""))</f>
        <v/>
      </c>
      <c r="I306" s="10">
        <f>Catalog!B280</f>
        <v>0</v>
      </c>
      <c r="J306" s="10">
        <f>Catalog!L280</f>
        <v>0</v>
      </c>
      <c r="K306" s="10">
        <f>IF(Catalog!AG280&lt;&gt;"",Catalog!AG280,Catalog!AE280)</f>
        <v>0</v>
      </c>
      <c r="L306" s="10">
        <f>Catalog!AD280</f>
        <v>0</v>
      </c>
      <c r="M306" s="10">
        <f>Catalog!V280</f>
        <v>0</v>
      </c>
      <c r="N306" s="10">
        <f>Catalog!Q280</f>
        <v>0</v>
      </c>
      <c r="O306" s="10">
        <f>Catalog!AF280</f>
        <v>0</v>
      </c>
    </row>
    <row r="307" spans="1:15" x14ac:dyDescent="0.25">
      <c r="A307" s="10">
        <f>Catalog!D281</f>
        <v>0</v>
      </c>
      <c r="B307" s="10">
        <f>Catalog!F281</f>
        <v>0</v>
      </c>
      <c r="C307" s="10" t="str">
        <f>IF(Catalog!I281="","",Catalog!I281)&amp;IF(AND(Catalog!I281&lt;&gt;"",Catalog!J281&lt;&gt;""),"; ","")&amp;IF(Catalog!J281="","",Catalog!J281)</f>
        <v/>
      </c>
      <c r="D307" s="10">
        <f>Catalog!P281</f>
        <v>0</v>
      </c>
      <c r="E307" s="10">
        <f>Catalog!R281</f>
        <v>0</v>
      </c>
      <c r="F307" s="10">
        <f>Catalog!M281</f>
        <v>0</v>
      </c>
      <c r="G307" s="10">
        <f>Catalog!K281</f>
        <v>0</v>
      </c>
      <c r="H307" s="10" t="str">
        <f>IF(Catalog!S281&lt;&gt;"","ISBN:"&amp;Catalog!S281,IF(Catalog!T281&lt;&gt;"","ISSN:"&amp;Catalog!T281,""))</f>
        <v/>
      </c>
      <c r="I307" s="10">
        <f>Catalog!B281</f>
        <v>0</v>
      </c>
      <c r="J307" s="10">
        <f>Catalog!L281</f>
        <v>0</v>
      </c>
      <c r="K307" s="10">
        <f>IF(Catalog!AG281&lt;&gt;"",Catalog!AG281,Catalog!AE281)</f>
        <v>0</v>
      </c>
      <c r="L307" s="10">
        <f>Catalog!AD281</f>
        <v>0</v>
      </c>
      <c r="M307" s="10">
        <f>Catalog!V281</f>
        <v>0</v>
      </c>
      <c r="N307" s="10">
        <f>Catalog!Q281</f>
        <v>0</v>
      </c>
      <c r="O307" s="10">
        <f>Catalog!AF281</f>
        <v>0</v>
      </c>
    </row>
    <row r="308" spans="1:15" x14ac:dyDescent="0.25">
      <c r="A308" s="10">
        <f>Catalog!D282</f>
        <v>0</v>
      </c>
      <c r="B308" s="10">
        <f>Catalog!F282</f>
        <v>0</v>
      </c>
      <c r="C308" s="10" t="str">
        <f>IF(Catalog!I282="","",Catalog!I282)&amp;IF(AND(Catalog!I282&lt;&gt;"",Catalog!J282&lt;&gt;""),"; ","")&amp;IF(Catalog!J282="","",Catalog!J282)</f>
        <v/>
      </c>
      <c r="D308" s="10">
        <f>Catalog!P282</f>
        <v>0</v>
      </c>
      <c r="E308" s="10">
        <f>Catalog!R282</f>
        <v>0</v>
      </c>
      <c r="F308" s="10">
        <f>Catalog!M282</f>
        <v>0</v>
      </c>
      <c r="G308" s="10">
        <f>Catalog!K282</f>
        <v>0</v>
      </c>
      <c r="H308" s="10" t="str">
        <f>IF(Catalog!S282&lt;&gt;"","ISBN:"&amp;Catalog!S282,IF(Catalog!T282&lt;&gt;"","ISSN:"&amp;Catalog!T282,""))</f>
        <v/>
      </c>
      <c r="I308" s="10">
        <f>Catalog!B282</f>
        <v>0</v>
      </c>
      <c r="J308" s="10">
        <f>Catalog!L282</f>
        <v>0</v>
      </c>
      <c r="K308" s="10">
        <f>IF(Catalog!AG282&lt;&gt;"",Catalog!AG282,Catalog!AE282)</f>
        <v>0</v>
      </c>
      <c r="L308" s="10">
        <f>Catalog!AD282</f>
        <v>0</v>
      </c>
      <c r="M308" s="10">
        <f>Catalog!V282</f>
        <v>0</v>
      </c>
      <c r="N308" s="10">
        <f>Catalog!Q282</f>
        <v>0</v>
      </c>
      <c r="O308" s="10">
        <f>Catalog!AF282</f>
        <v>0</v>
      </c>
    </row>
    <row r="309" spans="1:15" x14ac:dyDescent="0.25">
      <c r="A309" s="10">
        <f>Catalog!D283</f>
        <v>0</v>
      </c>
      <c r="B309" s="10">
        <f>Catalog!F283</f>
        <v>0</v>
      </c>
      <c r="C309" s="10" t="str">
        <f>IF(Catalog!I283="","",Catalog!I283)&amp;IF(AND(Catalog!I283&lt;&gt;"",Catalog!J283&lt;&gt;""),"; ","")&amp;IF(Catalog!J283="","",Catalog!J283)</f>
        <v/>
      </c>
      <c r="D309" s="10">
        <f>Catalog!P283</f>
        <v>0</v>
      </c>
      <c r="E309" s="10">
        <f>Catalog!R283</f>
        <v>0</v>
      </c>
      <c r="F309" s="10">
        <f>Catalog!M283</f>
        <v>0</v>
      </c>
      <c r="G309" s="10">
        <f>Catalog!K283</f>
        <v>0</v>
      </c>
      <c r="H309" s="10" t="str">
        <f>IF(Catalog!S283&lt;&gt;"","ISBN:"&amp;Catalog!S283,IF(Catalog!T283&lt;&gt;"","ISSN:"&amp;Catalog!T283,""))</f>
        <v/>
      </c>
      <c r="I309" s="10">
        <f>Catalog!B283</f>
        <v>0</v>
      </c>
      <c r="J309" s="10">
        <f>Catalog!L283</f>
        <v>0</v>
      </c>
      <c r="K309" s="10">
        <f>IF(Catalog!AG283&lt;&gt;"",Catalog!AG283,Catalog!AE283)</f>
        <v>0</v>
      </c>
      <c r="L309" s="10">
        <f>Catalog!AD283</f>
        <v>0</v>
      </c>
      <c r="M309" s="10">
        <f>Catalog!V283</f>
        <v>0</v>
      </c>
      <c r="N309" s="10">
        <f>Catalog!Q283</f>
        <v>0</v>
      </c>
      <c r="O309" s="10">
        <f>Catalog!AF283</f>
        <v>0</v>
      </c>
    </row>
    <row r="310" spans="1:15" x14ac:dyDescent="0.25">
      <c r="A310" s="10">
        <f>Catalog!D284</f>
        <v>0</v>
      </c>
      <c r="B310" s="10">
        <f>Catalog!F284</f>
        <v>0</v>
      </c>
      <c r="C310" s="10" t="str">
        <f>IF(Catalog!I284="","",Catalog!I284)&amp;IF(AND(Catalog!I284&lt;&gt;"",Catalog!J284&lt;&gt;""),"; ","")&amp;IF(Catalog!J284="","",Catalog!J284)</f>
        <v/>
      </c>
      <c r="D310" s="10">
        <f>Catalog!P284</f>
        <v>0</v>
      </c>
      <c r="E310" s="10">
        <f>Catalog!R284</f>
        <v>0</v>
      </c>
      <c r="F310" s="10">
        <f>Catalog!M284</f>
        <v>0</v>
      </c>
      <c r="G310" s="10">
        <f>Catalog!K284</f>
        <v>0</v>
      </c>
      <c r="H310" s="10" t="str">
        <f>IF(Catalog!S284&lt;&gt;"","ISBN:"&amp;Catalog!S284,IF(Catalog!T284&lt;&gt;"","ISSN:"&amp;Catalog!T284,""))</f>
        <v/>
      </c>
      <c r="I310" s="10">
        <f>Catalog!B284</f>
        <v>0</v>
      </c>
      <c r="J310" s="10">
        <f>Catalog!L284</f>
        <v>0</v>
      </c>
      <c r="K310" s="10">
        <f>IF(Catalog!AG284&lt;&gt;"",Catalog!AG284,Catalog!AE284)</f>
        <v>0</v>
      </c>
      <c r="L310" s="10">
        <f>Catalog!AD284</f>
        <v>0</v>
      </c>
      <c r="M310" s="10">
        <f>Catalog!V284</f>
        <v>0</v>
      </c>
      <c r="N310" s="10">
        <f>Catalog!Q284</f>
        <v>0</v>
      </c>
      <c r="O310" s="10">
        <f>Catalog!AF284</f>
        <v>0</v>
      </c>
    </row>
    <row r="311" spans="1:15" x14ac:dyDescent="0.25">
      <c r="A311" s="10">
        <f>Catalog!D285</f>
        <v>0</v>
      </c>
      <c r="B311" s="10">
        <f>Catalog!F285</f>
        <v>0</v>
      </c>
      <c r="C311" s="10" t="str">
        <f>IF(Catalog!I285="","",Catalog!I285)&amp;IF(AND(Catalog!I285&lt;&gt;"",Catalog!J285&lt;&gt;""),"; ","")&amp;IF(Catalog!J285="","",Catalog!J285)</f>
        <v/>
      </c>
      <c r="D311" s="10">
        <f>Catalog!P285</f>
        <v>0</v>
      </c>
      <c r="E311" s="10">
        <f>Catalog!R285</f>
        <v>0</v>
      </c>
      <c r="F311" s="10">
        <f>Catalog!M285</f>
        <v>0</v>
      </c>
      <c r="G311" s="10">
        <f>Catalog!K285</f>
        <v>0</v>
      </c>
      <c r="H311" s="10" t="str">
        <f>IF(Catalog!S285&lt;&gt;"","ISBN:"&amp;Catalog!S285,IF(Catalog!T285&lt;&gt;"","ISSN:"&amp;Catalog!T285,""))</f>
        <v/>
      </c>
      <c r="I311" s="10">
        <f>Catalog!B285</f>
        <v>0</v>
      </c>
      <c r="J311" s="10">
        <f>Catalog!L285</f>
        <v>0</v>
      </c>
      <c r="K311" s="10">
        <f>IF(Catalog!AG285&lt;&gt;"",Catalog!AG285,Catalog!AE285)</f>
        <v>0</v>
      </c>
      <c r="L311" s="10">
        <f>Catalog!AD285</f>
        <v>0</v>
      </c>
      <c r="M311" s="10">
        <f>Catalog!V285</f>
        <v>0</v>
      </c>
      <c r="N311" s="10">
        <f>Catalog!Q285</f>
        <v>0</v>
      </c>
      <c r="O311" s="10">
        <f>Catalog!AF285</f>
        <v>0</v>
      </c>
    </row>
    <row r="312" spans="1:15" x14ac:dyDescent="0.25">
      <c r="A312" s="10">
        <f>Catalog!D286</f>
        <v>0</v>
      </c>
      <c r="B312" s="10">
        <f>Catalog!F286</f>
        <v>0</v>
      </c>
      <c r="C312" s="10" t="str">
        <f>IF(Catalog!I286="","",Catalog!I286)&amp;IF(AND(Catalog!I286&lt;&gt;"",Catalog!J286&lt;&gt;""),"; ","")&amp;IF(Catalog!J286="","",Catalog!J286)</f>
        <v/>
      </c>
      <c r="D312" s="10">
        <f>Catalog!P286</f>
        <v>0</v>
      </c>
      <c r="E312" s="10">
        <f>Catalog!R286</f>
        <v>0</v>
      </c>
      <c r="F312" s="10">
        <f>Catalog!M286</f>
        <v>0</v>
      </c>
      <c r="G312" s="10">
        <f>Catalog!K286</f>
        <v>0</v>
      </c>
      <c r="H312" s="10" t="str">
        <f>IF(Catalog!S286&lt;&gt;"","ISBN:"&amp;Catalog!S286,IF(Catalog!T286&lt;&gt;"","ISSN:"&amp;Catalog!T286,""))</f>
        <v/>
      </c>
      <c r="I312" s="10">
        <f>Catalog!B286</f>
        <v>0</v>
      </c>
      <c r="J312" s="10">
        <f>Catalog!L286</f>
        <v>0</v>
      </c>
      <c r="K312" s="10">
        <f>IF(Catalog!AG286&lt;&gt;"",Catalog!AG286,Catalog!AE286)</f>
        <v>0</v>
      </c>
      <c r="L312" s="10">
        <f>Catalog!AD286</f>
        <v>0</v>
      </c>
      <c r="M312" s="10">
        <f>Catalog!V286</f>
        <v>0</v>
      </c>
      <c r="N312" s="10">
        <f>Catalog!Q286</f>
        <v>0</v>
      </c>
      <c r="O312" s="10">
        <f>Catalog!AF286</f>
        <v>0</v>
      </c>
    </row>
    <row r="313" spans="1:15" x14ac:dyDescent="0.25">
      <c r="A313" s="10">
        <f>Catalog!D287</f>
        <v>0</v>
      </c>
      <c r="B313" s="10">
        <f>Catalog!F287</f>
        <v>0</v>
      </c>
      <c r="C313" s="10" t="str">
        <f>IF(Catalog!I287="","",Catalog!I287)&amp;IF(AND(Catalog!I287&lt;&gt;"",Catalog!J287&lt;&gt;""),"; ","")&amp;IF(Catalog!J287="","",Catalog!J287)</f>
        <v/>
      </c>
      <c r="D313" s="10">
        <f>Catalog!P287</f>
        <v>0</v>
      </c>
      <c r="E313" s="10">
        <f>Catalog!R287</f>
        <v>0</v>
      </c>
      <c r="F313" s="10">
        <f>Catalog!M287</f>
        <v>0</v>
      </c>
      <c r="G313" s="10">
        <f>Catalog!K287</f>
        <v>0</v>
      </c>
      <c r="H313" s="10" t="str">
        <f>IF(Catalog!S287&lt;&gt;"","ISBN:"&amp;Catalog!S287,IF(Catalog!T287&lt;&gt;"","ISSN:"&amp;Catalog!T287,""))</f>
        <v/>
      </c>
      <c r="I313" s="10">
        <f>Catalog!B287</f>
        <v>0</v>
      </c>
      <c r="J313" s="10">
        <f>Catalog!L287</f>
        <v>0</v>
      </c>
      <c r="K313" s="10">
        <f>IF(Catalog!AG287&lt;&gt;"",Catalog!AG287,Catalog!AE287)</f>
        <v>0</v>
      </c>
      <c r="L313" s="10">
        <f>Catalog!AD287</f>
        <v>0</v>
      </c>
      <c r="M313" s="10">
        <f>Catalog!V287</f>
        <v>0</v>
      </c>
      <c r="N313" s="10">
        <f>Catalog!Q287</f>
        <v>0</v>
      </c>
      <c r="O313" s="10">
        <f>Catalog!AF287</f>
        <v>0</v>
      </c>
    </row>
    <row r="314" spans="1:15" x14ac:dyDescent="0.25">
      <c r="A314" s="10">
        <f>Catalog!D288</f>
        <v>0</v>
      </c>
      <c r="B314" s="10">
        <f>Catalog!F288</f>
        <v>0</v>
      </c>
      <c r="C314" s="10" t="str">
        <f>IF(Catalog!I288="","",Catalog!I288)&amp;IF(AND(Catalog!I288&lt;&gt;"",Catalog!J288&lt;&gt;""),"; ","")&amp;IF(Catalog!J288="","",Catalog!J288)</f>
        <v/>
      </c>
      <c r="D314" s="10">
        <f>Catalog!P288</f>
        <v>0</v>
      </c>
      <c r="E314" s="10">
        <f>Catalog!R288</f>
        <v>0</v>
      </c>
      <c r="F314" s="10">
        <f>Catalog!M288</f>
        <v>0</v>
      </c>
      <c r="G314" s="10">
        <f>Catalog!K288</f>
        <v>0</v>
      </c>
      <c r="H314" s="10" t="str">
        <f>IF(Catalog!S288&lt;&gt;"","ISBN:"&amp;Catalog!S288,IF(Catalog!T288&lt;&gt;"","ISSN:"&amp;Catalog!T288,""))</f>
        <v/>
      </c>
      <c r="I314" s="10">
        <f>Catalog!B288</f>
        <v>0</v>
      </c>
      <c r="J314" s="10">
        <f>Catalog!L288</f>
        <v>0</v>
      </c>
      <c r="K314" s="10">
        <f>IF(Catalog!AG288&lt;&gt;"",Catalog!AG288,Catalog!AE288)</f>
        <v>0</v>
      </c>
      <c r="L314" s="10">
        <f>Catalog!AD288</f>
        <v>0</v>
      </c>
      <c r="M314" s="10">
        <f>Catalog!V288</f>
        <v>0</v>
      </c>
      <c r="N314" s="10">
        <f>Catalog!Q288</f>
        <v>0</v>
      </c>
      <c r="O314" s="10">
        <f>Catalog!AF288</f>
        <v>0</v>
      </c>
    </row>
    <row r="315" spans="1:15" x14ac:dyDescent="0.25">
      <c r="A315" s="10">
        <f>Catalog!D289</f>
        <v>0</v>
      </c>
      <c r="B315" s="10">
        <f>Catalog!F289</f>
        <v>0</v>
      </c>
      <c r="C315" s="10" t="str">
        <f>IF(Catalog!I289="","",Catalog!I289)&amp;IF(AND(Catalog!I289&lt;&gt;"",Catalog!J289&lt;&gt;""),"; ","")&amp;IF(Catalog!J289="","",Catalog!J289)</f>
        <v/>
      </c>
      <c r="D315" s="10">
        <f>Catalog!P289</f>
        <v>0</v>
      </c>
      <c r="E315" s="10">
        <f>Catalog!R289</f>
        <v>0</v>
      </c>
      <c r="F315" s="10">
        <f>Catalog!M289</f>
        <v>0</v>
      </c>
      <c r="G315" s="10">
        <f>Catalog!K289</f>
        <v>0</v>
      </c>
      <c r="H315" s="10" t="str">
        <f>IF(Catalog!S289&lt;&gt;"","ISBN:"&amp;Catalog!S289,IF(Catalog!T289&lt;&gt;"","ISSN:"&amp;Catalog!T289,""))</f>
        <v/>
      </c>
      <c r="I315" s="10">
        <f>Catalog!B289</f>
        <v>0</v>
      </c>
      <c r="J315" s="10">
        <f>Catalog!L289</f>
        <v>0</v>
      </c>
      <c r="K315" s="10">
        <f>IF(Catalog!AG289&lt;&gt;"",Catalog!AG289,Catalog!AE289)</f>
        <v>0</v>
      </c>
      <c r="L315" s="10">
        <f>Catalog!AD289</f>
        <v>0</v>
      </c>
      <c r="M315" s="10">
        <f>Catalog!V289</f>
        <v>0</v>
      </c>
      <c r="N315" s="10">
        <f>Catalog!Q289</f>
        <v>0</v>
      </c>
      <c r="O315" s="10">
        <f>Catalog!AF289</f>
        <v>0</v>
      </c>
    </row>
    <row r="316" spans="1:15" x14ac:dyDescent="0.25">
      <c r="A316" s="10">
        <f>Catalog!D290</f>
        <v>0</v>
      </c>
      <c r="B316" s="10">
        <f>Catalog!F290</f>
        <v>0</v>
      </c>
      <c r="C316" s="10" t="str">
        <f>IF(Catalog!I290="","",Catalog!I290)&amp;IF(AND(Catalog!I290&lt;&gt;"",Catalog!J290&lt;&gt;""),"; ","")&amp;IF(Catalog!J290="","",Catalog!J290)</f>
        <v/>
      </c>
      <c r="D316" s="10">
        <f>Catalog!P290</f>
        <v>0</v>
      </c>
      <c r="E316" s="10">
        <f>Catalog!R290</f>
        <v>0</v>
      </c>
      <c r="F316" s="10">
        <f>Catalog!M290</f>
        <v>0</v>
      </c>
      <c r="G316" s="10">
        <f>Catalog!K290</f>
        <v>0</v>
      </c>
      <c r="H316" s="10" t="str">
        <f>IF(Catalog!S290&lt;&gt;"","ISBN:"&amp;Catalog!S290,IF(Catalog!T290&lt;&gt;"","ISSN:"&amp;Catalog!T290,""))</f>
        <v/>
      </c>
      <c r="I316" s="10">
        <f>Catalog!B290</f>
        <v>0</v>
      </c>
      <c r="J316" s="10">
        <f>Catalog!L290</f>
        <v>0</v>
      </c>
      <c r="K316" s="10">
        <f>IF(Catalog!AG290&lt;&gt;"",Catalog!AG290,Catalog!AE290)</f>
        <v>0</v>
      </c>
      <c r="L316" s="10">
        <f>Catalog!AD290</f>
        <v>0</v>
      </c>
      <c r="M316" s="10">
        <f>Catalog!V290</f>
        <v>0</v>
      </c>
      <c r="N316" s="10">
        <f>Catalog!Q290</f>
        <v>0</v>
      </c>
      <c r="O316" s="10">
        <f>Catalog!AF290</f>
        <v>0</v>
      </c>
    </row>
    <row r="317" spans="1:15" x14ac:dyDescent="0.25">
      <c r="A317" s="10">
        <f>Catalog!D291</f>
        <v>0</v>
      </c>
      <c r="B317" s="10">
        <f>Catalog!F291</f>
        <v>0</v>
      </c>
      <c r="C317" s="10" t="str">
        <f>IF(Catalog!I291="","",Catalog!I291)&amp;IF(AND(Catalog!I291&lt;&gt;"",Catalog!J291&lt;&gt;""),"; ","")&amp;IF(Catalog!J291="","",Catalog!J291)</f>
        <v/>
      </c>
      <c r="D317" s="10">
        <f>Catalog!P291</f>
        <v>0</v>
      </c>
      <c r="E317" s="10">
        <f>Catalog!R291</f>
        <v>0</v>
      </c>
      <c r="F317" s="10">
        <f>Catalog!M291</f>
        <v>0</v>
      </c>
      <c r="G317" s="10">
        <f>Catalog!K291</f>
        <v>0</v>
      </c>
      <c r="H317" s="10" t="str">
        <f>IF(Catalog!S291&lt;&gt;"","ISBN:"&amp;Catalog!S291,IF(Catalog!T291&lt;&gt;"","ISSN:"&amp;Catalog!T291,""))</f>
        <v/>
      </c>
      <c r="I317" s="10">
        <f>Catalog!B291</f>
        <v>0</v>
      </c>
      <c r="J317" s="10">
        <f>Catalog!L291</f>
        <v>0</v>
      </c>
      <c r="K317" s="10">
        <f>IF(Catalog!AG291&lt;&gt;"",Catalog!AG291,Catalog!AE291)</f>
        <v>0</v>
      </c>
      <c r="L317" s="10">
        <f>Catalog!AD291</f>
        <v>0</v>
      </c>
      <c r="M317" s="10">
        <f>Catalog!V291</f>
        <v>0</v>
      </c>
      <c r="N317" s="10">
        <f>Catalog!Q291</f>
        <v>0</v>
      </c>
      <c r="O317" s="10">
        <f>Catalog!AF291</f>
        <v>0</v>
      </c>
    </row>
    <row r="318" spans="1:15" x14ac:dyDescent="0.25">
      <c r="A318" s="10">
        <f>Catalog!D292</f>
        <v>0</v>
      </c>
      <c r="B318" s="10">
        <f>Catalog!F292</f>
        <v>0</v>
      </c>
      <c r="C318" s="10" t="str">
        <f>IF(Catalog!I292="","",Catalog!I292)&amp;IF(AND(Catalog!I292&lt;&gt;"",Catalog!J292&lt;&gt;""),"; ","")&amp;IF(Catalog!J292="","",Catalog!J292)</f>
        <v/>
      </c>
      <c r="D318" s="10">
        <f>Catalog!P292</f>
        <v>0</v>
      </c>
      <c r="E318" s="10">
        <f>Catalog!R292</f>
        <v>0</v>
      </c>
      <c r="F318" s="10">
        <f>Catalog!M292</f>
        <v>0</v>
      </c>
      <c r="G318" s="10">
        <f>Catalog!K292</f>
        <v>0</v>
      </c>
      <c r="H318" s="10" t="str">
        <f>IF(Catalog!S292&lt;&gt;"","ISBN:"&amp;Catalog!S292,IF(Catalog!T292&lt;&gt;"","ISSN:"&amp;Catalog!T292,""))</f>
        <v/>
      </c>
      <c r="I318" s="10">
        <f>Catalog!B292</f>
        <v>0</v>
      </c>
      <c r="J318" s="10">
        <f>Catalog!L292</f>
        <v>0</v>
      </c>
      <c r="K318" s="10">
        <f>IF(Catalog!AG292&lt;&gt;"",Catalog!AG292,Catalog!AE292)</f>
        <v>0</v>
      </c>
      <c r="L318" s="10">
        <f>Catalog!AD292</f>
        <v>0</v>
      </c>
      <c r="M318" s="10">
        <f>Catalog!V292</f>
        <v>0</v>
      </c>
      <c r="N318" s="10">
        <f>Catalog!Q292</f>
        <v>0</v>
      </c>
      <c r="O318" s="10">
        <f>Catalog!AF292</f>
        <v>0</v>
      </c>
    </row>
    <row r="319" spans="1:15" x14ac:dyDescent="0.25">
      <c r="A319" s="10">
        <f>Catalog!D293</f>
        <v>0</v>
      </c>
      <c r="B319" s="10">
        <f>Catalog!F293</f>
        <v>0</v>
      </c>
      <c r="C319" s="10" t="str">
        <f>IF(Catalog!I293="","",Catalog!I293)&amp;IF(AND(Catalog!I293&lt;&gt;"",Catalog!J293&lt;&gt;""),"; ","")&amp;IF(Catalog!J293="","",Catalog!J293)</f>
        <v/>
      </c>
      <c r="D319" s="10">
        <f>Catalog!P293</f>
        <v>0</v>
      </c>
      <c r="E319" s="10">
        <f>Catalog!R293</f>
        <v>0</v>
      </c>
      <c r="F319" s="10">
        <f>Catalog!M293</f>
        <v>0</v>
      </c>
      <c r="G319" s="10">
        <f>Catalog!K293</f>
        <v>0</v>
      </c>
      <c r="H319" s="10" t="str">
        <f>IF(Catalog!S293&lt;&gt;"","ISBN:"&amp;Catalog!S293,IF(Catalog!T293&lt;&gt;"","ISSN:"&amp;Catalog!T293,""))</f>
        <v/>
      </c>
      <c r="I319" s="10">
        <f>Catalog!B293</f>
        <v>0</v>
      </c>
      <c r="J319" s="10">
        <f>Catalog!L293</f>
        <v>0</v>
      </c>
      <c r="K319" s="10">
        <f>IF(Catalog!AG293&lt;&gt;"",Catalog!AG293,Catalog!AE293)</f>
        <v>0</v>
      </c>
      <c r="L319" s="10">
        <f>Catalog!AD293</f>
        <v>0</v>
      </c>
      <c r="M319" s="10">
        <f>Catalog!V293</f>
        <v>0</v>
      </c>
      <c r="N319" s="10">
        <f>Catalog!Q293</f>
        <v>0</v>
      </c>
      <c r="O319" s="10">
        <f>Catalog!AF293</f>
        <v>0</v>
      </c>
    </row>
    <row r="320" spans="1:15" x14ac:dyDescent="0.25">
      <c r="A320" s="10">
        <f>Catalog!D294</f>
        <v>0</v>
      </c>
      <c r="B320" s="10">
        <f>Catalog!F294</f>
        <v>0</v>
      </c>
      <c r="C320" s="10" t="str">
        <f>IF(Catalog!I294="","",Catalog!I294)&amp;IF(AND(Catalog!I294&lt;&gt;"",Catalog!J294&lt;&gt;""),"; ","")&amp;IF(Catalog!J294="","",Catalog!J294)</f>
        <v/>
      </c>
      <c r="D320" s="10">
        <f>Catalog!P294</f>
        <v>0</v>
      </c>
      <c r="E320" s="10">
        <f>Catalog!R294</f>
        <v>0</v>
      </c>
      <c r="F320" s="10">
        <f>Catalog!M294</f>
        <v>0</v>
      </c>
      <c r="G320" s="10">
        <f>Catalog!K294</f>
        <v>0</v>
      </c>
      <c r="H320" s="10" t="str">
        <f>IF(Catalog!S294&lt;&gt;"","ISBN:"&amp;Catalog!S294,IF(Catalog!T294&lt;&gt;"","ISSN:"&amp;Catalog!T294,""))</f>
        <v/>
      </c>
      <c r="I320" s="10">
        <f>Catalog!B294</f>
        <v>0</v>
      </c>
      <c r="J320" s="10">
        <f>Catalog!L294</f>
        <v>0</v>
      </c>
      <c r="K320" s="10">
        <f>IF(Catalog!AG294&lt;&gt;"",Catalog!AG294,Catalog!AE294)</f>
        <v>0</v>
      </c>
      <c r="L320" s="10">
        <f>Catalog!AD294</f>
        <v>0</v>
      </c>
      <c r="M320" s="10">
        <f>Catalog!V294</f>
        <v>0</v>
      </c>
      <c r="N320" s="10">
        <f>Catalog!Q294</f>
        <v>0</v>
      </c>
      <c r="O320" s="10">
        <f>Catalog!AF294</f>
        <v>0</v>
      </c>
    </row>
    <row r="321" spans="1:15" x14ac:dyDescent="0.25">
      <c r="A321" s="10">
        <f>Catalog!D295</f>
        <v>0</v>
      </c>
      <c r="B321" s="10">
        <f>Catalog!F295</f>
        <v>0</v>
      </c>
      <c r="C321" s="10" t="str">
        <f>IF(Catalog!I295="","",Catalog!I295)&amp;IF(AND(Catalog!I295&lt;&gt;"",Catalog!J295&lt;&gt;""),"; ","")&amp;IF(Catalog!J295="","",Catalog!J295)</f>
        <v/>
      </c>
      <c r="D321" s="10">
        <f>Catalog!P295</f>
        <v>0</v>
      </c>
      <c r="E321" s="10">
        <f>Catalog!R295</f>
        <v>0</v>
      </c>
      <c r="F321" s="10">
        <f>Catalog!M295</f>
        <v>0</v>
      </c>
      <c r="G321" s="10">
        <f>Catalog!K295</f>
        <v>0</v>
      </c>
      <c r="H321" s="10" t="str">
        <f>IF(Catalog!S295&lt;&gt;"","ISBN:"&amp;Catalog!S295,IF(Catalog!T295&lt;&gt;"","ISSN:"&amp;Catalog!T295,""))</f>
        <v/>
      </c>
      <c r="I321" s="10">
        <f>Catalog!B295</f>
        <v>0</v>
      </c>
      <c r="J321" s="10">
        <f>Catalog!L295</f>
        <v>0</v>
      </c>
      <c r="K321" s="10">
        <f>IF(Catalog!AG295&lt;&gt;"",Catalog!AG295,Catalog!AE295)</f>
        <v>0</v>
      </c>
      <c r="L321" s="10">
        <f>Catalog!AD295</f>
        <v>0</v>
      </c>
      <c r="M321" s="10">
        <f>Catalog!V295</f>
        <v>0</v>
      </c>
      <c r="N321" s="10">
        <f>Catalog!Q295</f>
        <v>0</v>
      </c>
      <c r="O321" s="10">
        <f>Catalog!AF295</f>
        <v>0</v>
      </c>
    </row>
    <row r="322" spans="1:15" x14ac:dyDescent="0.25">
      <c r="A322" s="10">
        <f>Catalog!D296</f>
        <v>0</v>
      </c>
      <c r="B322" s="10">
        <f>Catalog!F296</f>
        <v>0</v>
      </c>
      <c r="C322" s="10" t="str">
        <f>IF(Catalog!I296="","",Catalog!I296)&amp;IF(AND(Catalog!I296&lt;&gt;"",Catalog!J296&lt;&gt;""),"; ","")&amp;IF(Catalog!J296="","",Catalog!J296)</f>
        <v/>
      </c>
      <c r="D322" s="10">
        <f>Catalog!P296</f>
        <v>0</v>
      </c>
      <c r="E322" s="10">
        <f>Catalog!R296</f>
        <v>0</v>
      </c>
      <c r="F322" s="10">
        <f>Catalog!M296</f>
        <v>0</v>
      </c>
      <c r="G322" s="10">
        <f>Catalog!K296</f>
        <v>0</v>
      </c>
      <c r="H322" s="10" t="str">
        <f>IF(Catalog!S296&lt;&gt;"","ISBN:"&amp;Catalog!S296,IF(Catalog!T296&lt;&gt;"","ISSN:"&amp;Catalog!T296,""))</f>
        <v/>
      </c>
      <c r="I322" s="10">
        <f>Catalog!B296</f>
        <v>0</v>
      </c>
      <c r="J322" s="10">
        <f>Catalog!L296</f>
        <v>0</v>
      </c>
      <c r="K322" s="10">
        <f>IF(Catalog!AG296&lt;&gt;"",Catalog!AG296,Catalog!AE296)</f>
        <v>0</v>
      </c>
      <c r="L322" s="10">
        <f>Catalog!AD296</f>
        <v>0</v>
      </c>
      <c r="M322" s="10">
        <f>Catalog!V296</f>
        <v>0</v>
      </c>
      <c r="N322" s="10">
        <f>Catalog!Q296</f>
        <v>0</v>
      </c>
      <c r="O322" s="10">
        <f>Catalog!AF296</f>
        <v>0</v>
      </c>
    </row>
    <row r="323" spans="1:15" x14ac:dyDescent="0.25">
      <c r="A323" s="10">
        <f>Catalog!D297</f>
        <v>0</v>
      </c>
      <c r="B323" s="10">
        <f>Catalog!F297</f>
        <v>0</v>
      </c>
      <c r="C323" s="10" t="str">
        <f>IF(Catalog!I297="","",Catalog!I297)&amp;IF(AND(Catalog!I297&lt;&gt;"",Catalog!J297&lt;&gt;""),"; ","")&amp;IF(Catalog!J297="","",Catalog!J297)</f>
        <v/>
      </c>
      <c r="D323" s="10">
        <f>Catalog!P297</f>
        <v>0</v>
      </c>
      <c r="E323" s="10">
        <f>Catalog!R297</f>
        <v>0</v>
      </c>
      <c r="F323" s="10">
        <f>Catalog!M297</f>
        <v>0</v>
      </c>
      <c r="G323" s="10">
        <f>Catalog!K297</f>
        <v>0</v>
      </c>
      <c r="H323" s="10" t="str">
        <f>IF(Catalog!S297&lt;&gt;"","ISBN:"&amp;Catalog!S297,IF(Catalog!T297&lt;&gt;"","ISSN:"&amp;Catalog!T297,""))</f>
        <v/>
      </c>
      <c r="I323" s="10">
        <f>Catalog!B297</f>
        <v>0</v>
      </c>
      <c r="J323" s="10">
        <f>Catalog!L297</f>
        <v>0</v>
      </c>
      <c r="K323" s="10">
        <f>IF(Catalog!AG297&lt;&gt;"",Catalog!AG297,Catalog!AE297)</f>
        <v>0</v>
      </c>
      <c r="L323" s="10">
        <f>Catalog!AD297</f>
        <v>0</v>
      </c>
      <c r="M323" s="10">
        <f>Catalog!V297</f>
        <v>0</v>
      </c>
      <c r="N323" s="10">
        <f>Catalog!Q297</f>
        <v>0</v>
      </c>
      <c r="O323" s="10">
        <f>Catalog!AF297</f>
        <v>0</v>
      </c>
    </row>
    <row r="324" spans="1:15" x14ac:dyDescent="0.25">
      <c r="A324" s="10">
        <f>Catalog!D298</f>
        <v>0</v>
      </c>
      <c r="B324" s="10">
        <f>Catalog!F298</f>
        <v>0</v>
      </c>
      <c r="C324" s="10" t="str">
        <f>IF(Catalog!I298="","",Catalog!I298)&amp;IF(AND(Catalog!I298&lt;&gt;"",Catalog!J298&lt;&gt;""),"; ","")&amp;IF(Catalog!J298="","",Catalog!J298)</f>
        <v/>
      </c>
      <c r="D324" s="10">
        <f>Catalog!P298</f>
        <v>0</v>
      </c>
      <c r="E324" s="10">
        <f>Catalog!R298</f>
        <v>0</v>
      </c>
      <c r="F324" s="10">
        <f>Catalog!M298</f>
        <v>0</v>
      </c>
      <c r="G324" s="10">
        <f>Catalog!K298</f>
        <v>0</v>
      </c>
      <c r="H324" s="10" t="str">
        <f>IF(Catalog!S298&lt;&gt;"","ISBN:"&amp;Catalog!S298,IF(Catalog!T298&lt;&gt;"","ISSN:"&amp;Catalog!T298,""))</f>
        <v/>
      </c>
      <c r="I324" s="10">
        <f>Catalog!B298</f>
        <v>0</v>
      </c>
      <c r="J324" s="10">
        <f>Catalog!L298</f>
        <v>0</v>
      </c>
      <c r="K324" s="10">
        <f>IF(Catalog!AG298&lt;&gt;"",Catalog!AG298,Catalog!AE298)</f>
        <v>0</v>
      </c>
      <c r="L324" s="10">
        <f>Catalog!AD298</f>
        <v>0</v>
      </c>
      <c r="M324" s="10">
        <f>Catalog!V298</f>
        <v>0</v>
      </c>
      <c r="N324" s="10">
        <f>Catalog!Q298</f>
        <v>0</v>
      </c>
      <c r="O324" s="10">
        <f>Catalog!AF298</f>
        <v>0</v>
      </c>
    </row>
    <row r="325" spans="1:15" x14ac:dyDescent="0.25">
      <c r="A325" s="10">
        <f>Catalog!D299</f>
        <v>0</v>
      </c>
      <c r="B325" s="10">
        <f>Catalog!F299</f>
        <v>0</v>
      </c>
      <c r="C325" s="10" t="str">
        <f>IF(Catalog!I299="","",Catalog!I299)&amp;IF(AND(Catalog!I299&lt;&gt;"",Catalog!J299&lt;&gt;""),"; ","")&amp;IF(Catalog!J299="","",Catalog!J299)</f>
        <v/>
      </c>
      <c r="D325" s="10">
        <f>Catalog!P299</f>
        <v>0</v>
      </c>
      <c r="E325" s="10">
        <f>Catalog!R299</f>
        <v>0</v>
      </c>
      <c r="F325" s="10">
        <f>Catalog!M299</f>
        <v>0</v>
      </c>
      <c r="G325" s="10">
        <f>Catalog!K299</f>
        <v>0</v>
      </c>
      <c r="H325" s="10" t="str">
        <f>IF(Catalog!S299&lt;&gt;"","ISBN:"&amp;Catalog!S299,IF(Catalog!T299&lt;&gt;"","ISSN:"&amp;Catalog!T299,""))</f>
        <v/>
      </c>
      <c r="I325" s="10">
        <f>Catalog!B299</f>
        <v>0</v>
      </c>
      <c r="J325" s="10">
        <f>Catalog!L299</f>
        <v>0</v>
      </c>
      <c r="K325" s="10">
        <f>IF(Catalog!AG299&lt;&gt;"",Catalog!AG299,Catalog!AE299)</f>
        <v>0</v>
      </c>
      <c r="L325" s="10">
        <f>Catalog!AD299</f>
        <v>0</v>
      </c>
      <c r="M325" s="10">
        <f>Catalog!V299</f>
        <v>0</v>
      </c>
      <c r="N325" s="10">
        <f>Catalog!Q299</f>
        <v>0</v>
      </c>
      <c r="O325" s="10">
        <f>Catalog!AF299</f>
        <v>0</v>
      </c>
    </row>
    <row r="326" spans="1:15" x14ac:dyDescent="0.25">
      <c r="A326" s="10">
        <f>Catalog!D300</f>
        <v>0</v>
      </c>
      <c r="B326" s="10">
        <f>Catalog!F300</f>
        <v>0</v>
      </c>
      <c r="C326" s="10" t="str">
        <f>IF(Catalog!I300="","",Catalog!I300)&amp;IF(AND(Catalog!I300&lt;&gt;"",Catalog!J300&lt;&gt;""),"; ","")&amp;IF(Catalog!J300="","",Catalog!J300)</f>
        <v/>
      </c>
      <c r="D326" s="10">
        <f>Catalog!P300</f>
        <v>0</v>
      </c>
      <c r="E326" s="10">
        <f>Catalog!R300</f>
        <v>0</v>
      </c>
      <c r="F326" s="10">
        <f>Catalog!M300</f>
        <v>0</v>
      </c>
      <c r="G326" s="10">
        <f>Catalog!K300</f>
        <v>0</v>
      </c>
      <c r="H326" s="10" t="str">
        <f>IF(Catalog!S300&lt;&gt;"","ISBN:"&amp;Catalog!S300,IF(Catalog!T300&lt;&gt;"","ISSN:"&amp;Catalog!T300,""))</f>
        <v/>
      </c>
      <c r="I326" s="10">
        <f>Catalog!B300</f>
        <v>0</v>
      </c>
      <c r="J326" s="10">
        <f>Catalog!L300</f>
        <v>0</v>
      </c>
      <c r="K326" s="10">
        <f>IF(Catalog!AG300&lt;&gt;"",Catalog!AG300,Catalog!AE300)</f>
        <v>0</v>
      </c>
      <c r="L326" s="10">
        <f>Catalog!AD300</f>
        <v>0</v>
      </c>
      <c r="M326" s="10">
        <f>Catalog!V300</f>
        <v>0</v>
      </c>
      <c r="N326" s="10">
        <f>Catalog!Q300</f>
        <v>0</v>
      </c>
      <c r="O326" s="10">
        <f>Catalog!AF300</f>
        <v>0</v>
      </c>
    </row>
    <row r="327" spans="1:15" x14ac:dyDescent="0.25">
      <c r="A327" s="10">
        <f>Catalog!D301</f>
        <v>0</v>
      </c>
      <c r="B327" s="10">
        <f>Catalog!F301</f>
        <v>0</v>
      </c>
      <c r="C327" s="10" t="str">
        <f>IF(Catalog!I301="","",Catalog!I301)&amp;IF(AND(Catalog!I301&lt;&gt;"",Catalog!J301&lt;&gt;""),"; ","")&amp;IF(Catalog!J301="","",Catalog!J301)</f>
        <v/>
      </c>
      <c r="D327" s="10">
        <f>Catalog!P301</f>
        <v>0</v>
      </c>
      <c r="E327" s="10">
        <f>Catalog!R301</f>
        <v>0</v>
      </c>
      <c r="F327" s="10">
        <f>Catalog!M301</f>
        <v>0</v>
      </c>
      <c r="G327" s="10">
        <f>Catalog!K301</f>
        <v>0</v>
      </c>
      <c r="H327" s="10" t="str">
        <f>IF(Catalog!S301&lt;&gt;"","ISBN:"&amp;Catalog!S301,IF(Catalog!T301&lt;&gt;"","ISSN:"&amp;Catalog!T301,""))</f>
        <v/>
      </c>
      <c r="I327" s="10">
        <f>Catalog!B301</f>
        <v>0</v>
      </c>
      <c r="J327" s="10">
        <f>Catalog!L301</f>
        <v>0</v>
      </c>
      <c r="K327" s="10">
        <f>IF(Catalog!AG301&lt;&gt;"",Catalog!AG301,Catalog!AE301)</f>
        <v>0</v>
      </c>
      <c r="L327" s="10">
        <f>Catalog!AD301</f>
        <v>0</v>
      </c>
      <c r="M327" s="10">
        <f>Catalog!V301</f>
        <v>0</v>
      </c>
      <c r="N327" s="10">
        <f>Catalog!Q301</f>
        <v>0</v>
      </c>
      <c r="O327" s="10">
        <f>Catalog!AF301</f>
        <v>0</v>
      </c>
    </row>
    <row r="328" spans="1:15" x14ac:dyDescent="0.25">
      <c r="A328" s="10">
        <f>Catalog!D302</f>
        <v>0</v>
      </c>
      <c r="B328" s="10">
        <f>Catalog!F302</f>
        <v>0</v>
      </c>
      <c r="C328" s="10" t="str">
        <f>IF(Catalog!I302="","",Catalog!I302)&amp;IF(AND(Catalog!I302&lt;&gt;"",Catalog!J302&lt;&gt;""),"; ","")&amp;IF(Catalog!J302="","",Catalog!J302)</f>
        <v/>
      </c>
      <c r="D328" s="10">
        <f>Catalog!P302</f>
        <v>0</v>
      </c>
      <c r="E328" s="10">
        <f>Catalog!R302</f>
        <v>0</v>
      </c>
      <c r="F328" s="10">
        <f>Catalog!M302</f>
        <v>0</v>
      </c>
      <c r="G328" s="10">
        <f>Catalog!K302</f>
        <v>0</v>
      </c>
      <c r="H328" s="10" t="str">
        <f>IF(Catalog!S302&lt;&gt;"","ISBN:"&amp;Catalog!S302,IF(Catalog!T302&lt;&gt;"","ISSN:"&amp;Catalog!T302,""))</f>
        <v/>
      </c>
      <c r="I328" s="10">
        <f>Catalog!B302</f>
        <v>0</v>
      </c>
      <c r="J328" s="10">
        <f>Catalog!L302</f>
        <v>0</v>
      </c>
      <c r="K328" s="10">
        <f>IF(Catalog!AG302&lt;&gt;"",Catalog!AG302,Catalog!AE302)</f>
        <v>0</v>
      </c>
      <c r="L328" s="10">
        <f>Catalog!AD302</f>
        <v>0</v>
      </c>
      <c r="M328" s="10">
        <f>Catalog!V302</f>
        <v>0</v>
      </c>
      <c r="N328" s="10">
        <f>Catalog!Q302</f>
        <v>0</v>
      </c>
      <c r="O328" s="10">
        <f>Catalog!AF302</f>
        <v>0</v>
      </c>
    </row>
    <row r="329" spans="1:15" x14ac:dyDescent="0.25">
      <c r="A329" s="10">
        <f>Catalog!D303</f>
        <v>0</v>
      </c>
      <c r="B329" s="10">
        <f>Catalog!F303</f>
        <v>0</v>
      </c>
      <c r="C329" s="10" t="str">
        <f>IF(Catalog!I303="","",Catalog!I303)&amp;IF(AND(Catalog!I303&lt;&gt;"",Catalog!J303&lt;&gt;""),"; ","")&amp;IF(Catalog!J303="","",Catalog!J303)</f>
        <v/>
      </c>
      <c r="D329" s="10">
        <f>Catalog!P303</f>
        <v>0</v>
      </c>
      <c r="E329" s="10">
        <f>Catalog!R303</f>
        <v>0</v>
      </c>
      <c r="F329" s="10">
        <f>Catalog!M303</f>
        <v>0</v>
      </c>
      <c r="G329" s="10">
        <f>Catalog!K303</f>
        <v>0</v>
      </c>
      <c r="H329" s="10" t="str">
        <f>IF(Catalog!S303&lt;&gt;"","ISBN:"&amp;Catalog!S303,IF(Catalog!T303&lt;&gt;"","ISSN:"&amp;Catalog!T303,""))</f>
        <v/>
      </c>
      <c r="I329" s="10">
        <f>Catalog!B303</f>
        <v>0</v>
      </c>
      <c r="J329" s="10">
        <f>Catalog!L303</f>
        <v>0</v>
      </c>
      <c r="K329" s="10">
        <f>IF(Catalog!AG303&lt;&gt;"",Catalog!AG303,Catalog!AE303)</f>
        <v>0</v>
      </c>
      <c r="L329" s="10">
        <f>Catalog!AD303</f>
        <v>0</v>
      </c>
      <c r="M329" s="10">
        <f>Catalog!V303</f>
        <v>0</v>
      </c>
      <c r="N329" s="10">
        <f>Catalog!Q303</f>
        <v>0</v>
      </c>
      <c r="O329" s="10">
        <f>Catalog!AF303</f>
        <v>0</v>
      </c>
    </row>
    <row r="330" spans="1:15" x14ac:dyDescent="0.25">
      <c r="A330" s="10">
        <f>Catalog!D304</f>
        <v>0</v>
      </c>
      <c r="B330" s="10">
        <f>Catalog!F304</f>
        <v>0</v>
      </c>
      <c r="C330" s="10" t="str">
        <f>IF(Catalog!I304="","",Catalog!I304)&amp;IF(AND(Catalog!I304&lt;&gt;"",Catalog!J304&lt;&gt;""),"; ","")&amp;IF(Catalog!J304="","",Catalog!J304)</f>
        <v/>
      </c>
      <c r="D330" s="10">
        <f>Catalog!P304</f>
        <v>0</v>
      </c>
      <c r="E330" s="10">
        <f>Catalog!R304</f>
        <v>0</v>
      </c>
      <c r="F330" s="10">
        <f>Catalog!M304</f>
        <v>0</v>
      </c>
      <c r="G330" s="10">
        <f>Catalog!K304</f>
        <v>0</v>
      </c>
      <c r="H330" s="10" t="str">
        <f>IF(Catalog!S304&lt;&gt;"","ISBN:"&amp;Catalog!S304,IF(Catalog!T304&lt;&gt;"","ISSN:"&amp;Catalog!T304,""))</f>
        <v/>
      </c>
      <c r="I330" s="10">
        <f>Catalog!B304</f>
        <v>0</v>
      </c>
      <c r="J330" s="10">
        <f>Catalog!L304</f>
        <v>0</v>
      </c>
      <c r="K330" s="10">
        <f>IF(Catalog!AG304&lt;&gt;"",Catalog!AG304,Catalog!AE304)</f>
        <v>0</v>
      </c>
      <c r="L330" s="10">
        <f>Catalog!AD304</f>
        <v>0</v>
      </c>
      <c r="M330" s="10">
        <f>Catalog!V304</f>
        <v>0</v>
      </c>
      <c r="N330" s="10">
        <f>Catalog!Q304</f>
        <v>0</v>
      </c>
      <c r="O330" s="10">
        <f>Catalog!AF304</f>
        <v>0</v>
      </c>
    </row>
    <row r="331" spans="1:15" x14ac:dyDescent="0.25">
      <c r="A331" s="10">
        <f>Catalog!D305</f>
        <v>0</v>
      </c>
      <c r="B331" s="10">
        <f>Catalog!F305</f>
        <v>0</v>
      </c>
      <c r="C331" s="10" t="str">
        <f>IF(Catalog!I305="","",Catalog!I305)&amp;IF(AND(Catalog!I305&lt;&gt;"",Catalog!J305&lt;&gt;""),"; ","")&amp;IF(Catalog!J305="","",Catalog!J305)</f>
        <v/>
      </c>
      <c r="D331" s="10">
        <f>Catalog!P305</f>
        <v>0</v>
      </c>
      <c r="E331" s="10">
        <f>Catalog!R305</f>
        <v>0</v>
      </c>
      <c r="F331" s="10">
        <f>Catalog!M305</f>
        <v>0</v>
      </c>
      <c r="G331" s="10">
        <f>Catalog!K305</f>
        <v>0</v>
      </c>
      <c r="H331" s="10" t="str">
        <f>IF(Catalog!S305&lt;&gt;"","ISBN:"&amp;Catalog!S305,IF(Catalog!T305&lt;&gt;"","ISSN:"&amp;Catalog!T305,""))</f>
        <v/>
      </c>
      <c r="I331" s="10">
        <f>Catalog!B305</f>
        <v>0</v>
      </c>
      <c r="J331" s="10">
        <f>Catalog!L305</f>
        <v>0</v>
      </c>
      <c r="K331" s="10">
        <f>IF(Catalog!AG305&lt;&gt;"",Catalog!AG305,Catalog!AE305)</f>
        <v>0</v>
      </c>
      <c r="L331" s="10">
        <f>Catalog!AD305</f>
        <v>0</v>
      </c>
      <c r="M331" s="10">
        <f>Catalog!V305</f>
        <v>0</v>
      </c>
      <c r="N331" s="10">
        <f>Catalog!Q305</f>
        <v>0</v>
      </c>
      <c r="O331" s="10">
        <f>Catalog!AF305</f>
        <v>0</v>
      </c>
    </row>
    <row r="332" spans="1:15" x14ac:dyDescent="0.25">
      <c r="A332" s="10">
        <f>Catalog!D306</f>
        <v>0</v>
      </c>
      <c r="B332" s="10">
        <f>Catalog!F306</f>
        <v>0</v>
      </c>
      <c r="C332" s="10" t="str">
        <f>IF(Catalog!I306="","",Catalog!I306)&amp;IF(AND(Catalog!I306&lt;&gt;"",Catalog!J306&lt;&gt;""),"; ","")&amp;IF(Catalog!J306="","",Catalog!J306)</f>
        <v/>
      </c>
      <c r="D332" s="10">
        <f>Catalog!P306</f>
        <v>0</v>
      </c>
      <c r="E332" s="10">
        <f>Catalog!R306</f>
        <v>0</v>
      </c>
      <c r="F332" s="10">
        <f>Catalog!M306</f>
        <v>0</v>
      </c>
      <c r="G332" s="10">
        <f>Catalog!K306</f>
        <v>0</v>
      </c>
      <c r="H332" s="10" t="str">
        <f>IF(Catalog!S306&lt;&gt;"","ISBN:"&amp;Catalog!S306,IF(Catalog!T306&lt;&gt;"","ISSN:"&amp;Catalog!T306,""))</f>
        <v/>
      </c>
      <c r="I332" s="10">
        <f>Catalog!B306</f>
        <v>0</v>
      </c>
      <c r="J332" s="10">
        <f>Catalog!L306</f>
        <v>0</v>
      </c>
      <c r="K332" s="10">
        <f>IF(Catalog!AG306&lt;&gt;"",Catalog!AG306,Catalog!AE306)</f>
        <v>0</v>
      </c>
      <c r="L332" s="10">
        <f>Catalog!AD306</f>
        <v>0</v>
      </c>
      <c r="M332" s="10">
        <f>Catalog!V306</f>
        <v>0</v>
      </c>
      <c r="N332" s="10">
        <f>Catalog!Q306</f>
        <v>0</v>
      </c>
      <c r="O332" s="10">
        <f>Catalog!AF306</f>
        <v>0</v>
      </c>
    </row>
    <row r="333" spans="1:15" x14ac:dyDescent="0.25">
      <c r="A333" s="10">
        <f>Catalog!D307</f>
        <v>0</v>
      </c>
      <c r="B333" s="10">
        <f>Catalog!F307</f>
        <v>0</v>
      </c>
      <c r="C333" s="10" t="str">
        <f>IF(Catalog!I307="","",Catalog!I307)&amp;IF(AND(Catalog!I307&lt;&gt;"",Catalog!J307&lt;&gt;""),"; ","")&amp;IF(Catalog!J307="","",Catalog!J307)</f>
        <v/>
      </c>
      <c r="D333" s="10">
        <f>Catalog!P307</f>
        <v>0</v>
      </c>
      <c r="E333" s="10">
        <f>Catalog!R307</f>
        <v>0</v>
      </c>
      <c r="F333" s="10">
        <f>Catalog!M307</f>
        <v>0</v>
      </c>
      <c r="G333" s="10">
        <f>Catalog!K307</f>
        <v>0</v>
      </c>
      <c r="H333" s="10" t="str">
        <f>IF(Catalog!S307&lt;&gt;"","ISBN:"&amp;Catalog!S307,IF(Catalog!T307&lt;&gt;"","ISSN:"&amp;Catalog!T307,""))</f>
        <v/>
      </c>
      <c r="I333" s="10">
        <f>Catalog!B307</f>
        <v>0</v>
      </c>
      <c r="J333" s="10">
        <f>Catalog!L307</f>
        <v>0</v>
      </c>
      <c r="K333" s="10">
        <f>IF(Catalog!AG307&lt;&gt;"",Catalog!AG307,Catalog!AE307)</f>
        <v>0</v>
      </c>
      <c r="L333" s="10">
        <f>Catalog!AD307</f>
        <v>0</v>
      </c>
      <c r="M333" s="10">
        <f>Catalog!V307</f>
        <v>0</v>
      </c>
      <c r="N333" s="10">
        <f>Catalog!Q307</f>
        <v>0</v>
      </c>
      <c r="O333" s="10">
        <f>Catalog!AF307</f>
        <v>0</v>
      </c>
    </row>
    <row r="334" spans="1:15" x14ac:dyDescent="0.25">
      <c r="A334" s="10">
        <f>Catalog!D308</f>
        <v>0</v>
      </c>
      <c r="B334" s="10">
        <f>Catalog!F308</f>
        <v>0</v>
      </c>
      <c r="C334" s="10" t="str">
        <f>IF(Catalog!I308="","",Catalog!I308)&amp;IF(AND(Catalog!I308&lt;&gt;"",Catalog!J308&lt;&gt;""),"; ","")&amp;IF(Catalog!J308="","",Catalog!J308)</f>
        <v/>
      </c>
      <c r="D334" s="10">
        <f>Catalog!P308</f>
        <v>0</v>
      </c>
      <c r="E334" s="10">
        <f>Catalog!R308</f>
        <v>0</v>
      </c>
      <c r="F334" s="10">
        <f>Catalog!M308</f>
        <v>0</v>
      </c>
      <c r="G334" s="10">
        <f>Catalog!K308</f>
        <v>0</v>
      </c>
      <c r="H334" s="10" t="str">
        <f>IF(Catalog!S308&lt;&gt;"","ISBN:"&amp;Catalog!S308,IF(Catalog!T308&lt;&gt;"","ISSN:"&amp;Catalog!T308,""))</f>
        <v/>
      </c>
      <c r="I334" s="10">
        <f>Catalog!B308</f>
        <v>0</v>
      </c>
      <c r="J334" s="10">
        <f>Catalog!L308</f>
        <v>0</v>
      </c>
      <c r="K334" s="10">
        <f>IF(Catalog!AG308&lt;&gt;"",Catalog!AG308,Catalog!AE308)</f>
        <v>0</v>
      </c>
      <c r="L334" s="10">
        <f>Catalog!AD308</f>
        <v>0</v>
      </c>
      <c r="M334" s="10">
        <f>Catalog!V308</f>
        <v>0</v>
      </c>
      <c r="N334" s="10">
        <f>Catalog!Q308</f>
        <v>0</v>
      </c>
      <c r="O334" s="10">
        <f>Catalog!AF308</f>
        <v>0</v>
      </c>
    </row>
    <row r="335" spans="1:15" x14ac:dyDescent="0.25">
      <c r="A335" s="10">
        <f>Catalog!D309</f>
        <v>0</v>
      </c>
      <c r="B335" s="10">
        <f>Catalog!F309</f>
        <v>0</v>
      </c>
      <c r="C335" s="10" t="str">
        <f>IF(Catalog!I309="","",Catalog!I309)&amp;IF(AND(Catalog!I309&lt;&gt;"",Catalog!J309&lt;&gt;""),"; ","")&amp;IF(Catalog!J309="","",Catalog!J309)</f>
        <v/>
      </c>
      <c r="D335" s="10">
        <f>Catalog!P309</f>
        <v>0</v>
      </c>
      <c r="E335" s="10">
        <f>Catalog!R309</f>
        <v>0</v>
      </c>
      <c r="F335" s="10">
        <f>Catalog!M309</f>
        <v>0</v>
      </c>
      <c r="G335" s="10">
        <f>Catalog!K309</f>
        <v>0</v>
      </c>
      <c r="H335" s="10" t="str">
        <f>IF(Catalog!S309&lt;&gt;"","ISBN:"&amp;Catalog!S309,IF(Catalog!T309&lt;&gt;"","ISSN:"&amp;Catalog!T309,""))</f>
        <v/>
      </c>
      <c r="I335" s="10">
        <f>Catalog!B309</f>
        <v>0</v>
      </c>
      <c r="J335" s="10">
        <f>Catalog!L309</f>
        <v>0</v>
      </c>
      <c r="K335" s="10">
        <f>IF(Catalog!AG309&lt;&gt;"",Catalog!AG309,Catalog!AE309)</f>
        <v>0</v>
      </c>
      <c r="L335" s="10">
        <f>Catalog!AD309</f>
        <v>0</v>
      </c>
      <c r="M335" s="10">
        <f>Catalog!V309</f>
        <v>0</v>
      </c>
      <c r="N335" s="10">
        <f>Catalog!Q309</f>
        <v>0</v>
      </c>
      <c r="O335" s="10">
        <f>Catalog!AF309</f>
        <v>0</v>
      </c>
    </row>
    <row r="336" spans="1:15" x14ac:dyDescent="0.25">
      <c r="A336" s="10">
        <f>Catalog!D310</f>
        <v>0</v>
      </c>
      <c r="B336" s="10">
        <f>Catalog!F310</f>
        <v>0</v>
      </c>
      <c r="C336" s="10" t="str">
        <f>IF(Catalog!I310="","",Catalog!I310)&amp;IF(AND(Catalog!I310&lt;&gt;"",Catalog!J310&lt;&gt;""),"; ","")&amp;IF(Catalog!J310="","",Catalog!J310)</f>
        <v/>
      </c>
      <c r="D336" s="10">
        <f>Catalog!P310</f>
        <v>0</v>
      </c>
      <c r="E336" s="10">
        <f>Catalog!R310</f>
        <v>0</v>
      </c>
      <c r="F336" s="10">
        <f>Catalog!M310</f>
        <v>0</v>
      </c>
      <c r="G336" s="10">
        <f>Catalog!K310</f>
        <v>0</v>
      </c>
      <c r="H336" s="10" t="str">
        <f>IF(Catalog!S310&lt;&gt;"","ISBN:"&amp;Catalog!S310,IF(Catalog!T310&lt;&gt;"","ISSN:"&amp;Catalog!T310,""))</f>
        <v/>
      </c>
      <c r="I336" s="10">
        <f>Catalog!B310</f>
        <v>0</v>
      </c>
      <c r="J336" s="10">
        <f>Catalog!L310</f>
        <v>0</v>
      </c>
      <c r="K336" s="10">
        <f>IF(Catalog!AG310&lt;&gt;"",Catalog!AG310,Catalog!AE310)</f>
        <v>0</v>
      </c>
      <c r="L336" s="10">
        <f>Catalog!AD310</f>
        <v>0</v>
      </c>
      <c r="M336" s="10">
        <f>Catalog!V310</f>
        <v>0</v>
      </c>
      <c r="N336" s="10">
        <f>Catalog!Q310</f>
        <v>0</v>
      </c>
      <c r="O336" s="10">
        <f>Catalog!AF310</f>
        <v>0</v>
      </c>
    </row>
    <row r="337" spans="1:15" x14ac:dyDescent="0.25">
      <c r="A337" s="10">
        <f>Catalog!D311</f>
        <v>0</v>
      </c>
      <c r="B337" s="10">
        <f>Catalog!F311</f>
        <v>0</v>
      </c>
      <c r="C337" s="10" t="str">
        <f>IF(Catalog!I311="","",Catalog!I311)&amp;IF(AND(Catalog!I311&lt;&gt;"",Catalog!J311&lt;&gt;""),"; ","")&amp;IF(Catalog!J311="","",Catalog!J311)</f>
        <v/>
      </c>
      <c r="D337" s="10">
        <f>Catalog!P311</f>
        <v>0</v>
      </c>
      <c r="E337" s="10">
        <f>Catalog!R311</f>
        <v>0</v>
      </c>
      <c r="F337" s="10">
        <f>Catalog!M311</f>
        <v>0</v>
      </c>
      <c r="G337" s="10">
        <f>Catalog!K311</f>
        <v>0</v>
      </c>
      <c r="H337" s="10" t="str">
        <f>IF(Catalog!S311&lt;&gt;"","ISBN:"&amp;Catalog!S311,IF(Catalog!T311&lt;&gt;"","ISSN:"&amp;Catalog!T311,""))</f>
        <v/>
      </c>
      <c r="I337" s="10">
        <f>Catalog!B311</f>
        <v>0</v>
      </c>
      <c r="J337" s="10">
        <f>Catalog!L311</f>
        <v>0</v>
      </c>
      <c r="K337" s="10">
        <f>IF(Catalog!AG311&lt;&gt;"",Catalog!AG311,Catalog!AE311)</f>
        <v>0</v>
      </c>
      <c r="L337" s="10">
        <f>Catalog!AD311</f>
        <v>0</v>
      </c>
      <c r="M337" s="10">
        <f>Catalog!V311</f>
        <v>0</v>
      </c>
      <c r="N337" s="10">
        <f>Catalog!Q311</f>
        <v>0</v>
      </c>
      <c r="O337" s="10">
        <f>Catalog!AF311</f>
        <v>0</v>
      </c>
    </row>
    <row r="338" spans="1:15" x14ac:dyDescent="0.25">
      <c r="A338" s="10">
        <f>Catalog!D312</f>
        <v>0</v>
      </c>
      <c r="B338" s="10">
        <f>Catalog!F312</f>
        <v>0</v>
      </c>
      <c r="C338" s="10" t="str">
        <f>IF(Catalog!I312="","",Catalog!I312)&amp;IF(AND(Catalog!I312&lt;&gt;"",Catalog!J312&lt;&gt;""),"; ","")&amp;IF(Catalog!J312="","",Catalog!J312)</f>
        <v/>
      </c>
      <c r="D338" s="10">
        <f>Catalog!P312</f>
        <v>0</v>
      </c>
      <c r="E338" s="10">
        <f>Catalog!R312</f>
        <v>0</v>
      </c>
      <c r="F338" s="10">
        <f>Catalog!M312</f>
        <v>0</v>
      </c>
      <c r="G338" s="10">
        <f>Catalog!K312</f>
        <v>0</v>
      </c>
      <c r="H338" s="10" t="str">
        <f>IF(Catalog!S312&lt;&gt;"","ISBN:"&amp;Catalog!S312,IF(Catalog!T312&lt;&gt;"","ISSN:"&amp;Catalog!T312,""))</f>
        <v/>
      </c>
      <c r="I338" s="10">
        <f>Catalog!B312</f>
        <v>0</v>
      </c>
      <c r="J338" s="10">
        <f>Catalog!L312</f>
        <v>0</v>
      </c>
      <c r="K338" s="10">
        <f>IF(Catalog!AG312&lt;&gt;"",Catalog!AG312,Catalog!AE312)</f>
        <v>0</v>
      </c>
      <c r="L338" s="10">
        <f>Catalog!AD312</f>
        <v>0</v>
      </c>
      <c r="M338" s="10">
        <f>Catalog!V312</f>
        <v>0</v>
      </c>
      <c r="N338" s="10">
        <f>Catalog!Q312</f>
        <v>0</v>
      </c>
      <c r="O338" s="10">
        <f>Catalog!AF312</f>
        <v>0</v>
      </c>
    </row>
    <row r="339" spans="1:15" x14ac:dyDescent="0.25">
      <c r="A339" s="10">
        <f>Catalog!D313</f>
        <v>0</v>
      </c>
      <c r="B339" s="10">
        <f>Catalog!F313</f>
        <v>0</v>
      </c>
      <c r="C339" s="10" t="str">
        <f>IF(Catalog!I313="","",Catalog!I313)&amp;IF(AND(Catalog!I313&lt;&gt;"",Catalog!J313&lt;&gt;""),"; ","")&amp;IF(Catalog!J313="","",Catalog!J313)</f>
        <v/>
      </c>
      <c r="D339" s="10">
        <f>Catalog!P313</f>
        <v>0</v>
      </c>
      <c r="E339" s="10">
        <f>Catalog!R313</f>
        <v>0</v>
      </c>
      <c r="F339" s="10">
        <f>Catalog!M313</f>
        <v>0</v>
      </c>
      <c r="G339" s="10">
        <f>Catalog!K313</f>
        <v>0</v>
      </c>
      <c r="H339" s="10" t="str">
        <f>IF(Catalog!S313&lt;&gt;"","ISBN:"&amp;Catalog!S313,IF(Catalog!T313&lt;&gt;"","ISSN:"&amp;Catalog!T313,""))</f>
        <v/>
      </c>
      <c r="I339" s="10">
        <f>Catalog!B313</f>
        <v>0</v>
      </c>
      <c r="J339" s="10">
        <f>Catalog!L313</f>
        <v>0</v>
      </c>
      <c r="K339" s="10">
        <f>IF(Catalog!AG313&lt;&gt;"",Catalog!AG313,Catalog!AE313)</f>
        <v>0</v>
      </c>
      <c r="L339" s="10">
        <f>Catalog!AD313</f>
        <v>0</v>
      </c>
      <c r="M339" s="10">
        <f>Catalog!V313</f>
        <v>0</v>
      </c>
      <c r="N339" s="10">
        <f>Catalog!Q313</f>
        <v>0</v>
      </c>
      <c r="O339" s="10">
        <f>Catalog!AF313</f>
        <v>0</v>
      </c>
    </row>
    <row r="340" spans="1:15" x14ac:dyDescent="0.25">
      <c r="A340" s="10">
        <f>Catalog!D314</f>
        <v>0</v>
      </c>
      <c r="B340" s="10">
        <f>Catalog!F314</f>
        <v>0</v>
      </c>
      <c r="C340" s="10" t="str">
        <f>IF(Catalog!I314="","",Catalog!I314)&amp;IF(AND(Catalog!I314&lt;&gt;"",Catalog!J314&lt;&gt;""),"; ","")&amp;IF(Catalog!J314="","",Catalog!J314)</f>
        <v/>
      </c>
      <c r="D340" s="10">
        <f>Catalog!P314</f>
        <v>0</v>
      </c>
      <c r="E340" s="10">
        <f>Catalog!R314</f>
        <v>0</v>
      </c>
      <c r="F340" s="10">
        <f>Catalog!M314</f>
        <v>0</v>
      </c>
      <c r="G340" s="10">
        <f>Catalog!K314</f>
        <v>0</v>
      </c>
      <c r="H340" s="10" t="str">
        <f>IF(Catalog!S314&lt;&gt;"","ISBN:"&amp;Catalog!S314,IF(Catalog!T314&lt;&gt;"","ISSN:"&amp;Catalog!T314,""))</f>
        <v/>
      </c>
      <c r="I340" s="10">
        <f>Catalog!B314</f>
        <v>0</v>
      </c>
      <c r="J340" s="10">
        <f>Catalog!L314</f>
        <v>0</v>
      </c>
      <c r="K340" s="10">
        <f>IF(Catalog!AG314&lt;&gt;"",Catalog!AG314,Catalog!AE314)</f>
        <v>0</v>
      </c>
      <c r="L340" s="10">
        <f>Catalog!AD314</f>
        <v>0</v>
      </c>
      <c r="M340" s="10">
        <f>Catalog!V314</f>
        <v>0</v>
      </c>
      <c r="N340" s="10">
        <f>Catalog!Q314</f>
        <v>0</v>
      </c>
      <c r="O340" s="10">
        <f>Catalog!AF314</f>
        <v>0</v>
      </c>
    </row>
    <row r="341" spans="1:15" x14ac:dyDescent="0.25">
      <c r="A341" s="10">
        <f>Catalog!D315</f>
        <v>0</v>
      </c>
      <c r="B341" s="10">
        <f>Catalog!F315</f>
        <v>0</v>
      </c>
      <c r="C341" s="10" t="str">
        <f>IF(Catalog!I315="","",Catalog!I315)&amp;IF(AND(Catalog!I315&lt;&gt;"",Catalog!J315&lt;&gt;""),"; ","")&amp;IF(Catalog!J315="","",Catalog!J315)</f>
        <v/>
      </c>
      <c r="D341" s="10">
        <f>Catalog!P315</f>
        <v>0</v>
      </c>
      <c r="E341" s="10">
        <f>Catalog!R315</f>
        <v>0</v>
      </c>
      <c r="F341" s="10">
        <f>Catalog!M315</f>
        <v>0</v>
      </c>
      <c r="G341" s="10">
        <f>Catalog!K315</f>
        <v>0</v>
      </c>
      <c r="H341" s="10" t="str">
        <f>IF(Catalog!S315&lt;&gt;"","ISBN:"&amp;Catalog!S315,IF(Catalog!T315&lt;&gt;"","ISSN:"&amp;Catalog!T315,""))</f>
        <v/>
      </c>
      <c r="I341" s="10">
        <f>Catalog!B315</f>
        <v>0</v>
      </c>
      <c r="J341" s="10">
        <f>Catalog!L315</f>
        <v>0</v>
      </c>
      <c r="K341" s="10">
        <f>IF(Catalog!AG315&lt;&gt;"",Catalog!AG315,Catalog!AE315)</f>
        <v>0</v>
      </c>
      <c r="L341" s="10">
        <f>Catalog!AD315</f>
        <v>0</v>
      </c>
      <c r="M341" s="10">
        <f>Catalog!V315</f>
        <v>0</v>
      </c>
      <c r="N341" s="10">
        <f>Catalog!Q315</f>
        <v>0</v>
      </c>
      <c r="O341" s="10">
        <f>Catalog!AF315</f>
        <v>0</v>
      </c>
    </row>
    <row r="342" spans="1:15" x14ac:dyDescent="0.25">
      <c r="A342" s="10">
        <f>Catalog!D316</f>
        <v>0</v>
      </c>
      <c r="B342" s="10">
        <f>Catalog!F316</f>
        <v>0</v>
      </c>
      <c r="C342" s="10" t="str">
        <f>IF(Catalog!I316="","",Catalog!I316)&amp;IF(AND(Catalog!I316&lt;&gt;"",Catalog!J316&lt;&gt;""),"; ","")&amp;IF(Catalog!J316="","",Catalog!J316)</f>
        <v/>
      </c>
      <c r="D342" s="10">
        <f>Catalog!P316</f>
        <v>0</v>
      </c>
      <c r="E342" s="10">
        <f>Catalog!R316</f>
        <v>0</v>
      </c>
      <c r="F342" s="10">
        <f>Catalog!M316</f>
        <v>0</v>
      </c>
      <c r="G342" s="10">
        <f>Catalog!K316</f>
        <v>0</v>
      </c>
      <c r="H342" s="10" t="str">
        <f>IF(Catalog!S316&lt;&gt;"","ISBN:"&amp;Catalog!S316,IF(Catalog!T316&lt;&gt;"","ISSN:"&amp;Catalog!T316,""))</f>
        <v/>
      </c>
      <c r="I342" s="10">
        <f>Catalog!B316</f>
        <v>0</v>
      </c>
      <c r="J342" s="10">
        <f>Catalog!L316</f>
        <v>0</v>
      </c>
      <c r="K342" s="10">
        <f>IF(Catalog!AG316&lt;&gt;"",Catalog!AG316,Catalog!AE316)</f>
        <v>0</v>
      </c>
      <c r="L342" s="10">
        <f>Catalog!AD316</f>
        <v>0</v>
      </c>
      <c r="M342" s="10">
        <f>Catalog!V316</f>
        <v>0</v>
      </c>
      <c r="N342" s="10">
        <f>Catalog!Q316</f>
        <v>0</v>
      </c>
      <c r="O342" s="10">
        <f>Catalog!AF316</f>
        <v>0</v>
      </c>
    </row>
    <row r="343" spans="1:15" x14ac:dyDescent="0.25">
      <c r="A343" s="10">
        <f>Catalog!D317</f>
        <v>0</v>
      </c>
      <c r="B343" s="10">
        <f>Catalog!F317</f>
        <v>0</v>
      </c>
      <c r="C343" s="10" t="str">
        <f>IF(Catalog!I317="","",Catalog!I317)&amp;IF(AND(Catalog!I317&lt;&gt;"",Catalog!J317&lt;&gt;""),"; ","")&amp;IF(Catalog!J317="","",Catalog!J317)</f>
        <v/>
      </c>
      <c r="D343" s="10">
        <f>Catalog!P317</f>
        <v>0</v>
      </c>
      <c r="E343" s="10">
        <f>Catalog!R317</f>
        <v>0</v>
      </c>
      <c r="F343" s="10">
        <f>Catalog!M317</f>
        <v>0</v>
      </c>
      <c r="G343" s="10">
        <f>Catalog!K317</f>
        <v>0</v>
      </c>
      <c r="H343" s="10" t="str">
        <f>IF(Catalog!S317&lt;&gt;"","ISBN:"&amp;Catalog!S317,IF(Catalog!T317&lt;&gt;"","ISSN:"&amp;Catalog!T317,""))</f>
        <v/>
      </c>
      <c r="I343" s="10">
        <f>Catalog!B317</f>
        <v>0</v>
      </c>
      <c r="J343" s="10">
        <f>Catalog!L317</f>
        <v>0</v>
      </c>
      <c r="K343" s="10">
        <f>IF(Catalog!AG317&lt;&gt;"",Catalog!AG317,Catalog!AE317)</f>
        <v>0</v>
      </c>
      <c r="L343" s="10">
        <f>Catalog!AD317</f>
        <v>0</v>
      </c>
      <c r="M343" s="10">
        <f>Catalog!V317</f>
        <v>0</v>
      </c>
      <c r="N343" s="10">
        <f>Catalog!Q317</f>
        <v>0</v>
      </c>
      <c r="O343" s="10">
        <f>Catalog!AF317</f>
        <v>0</v>
      </c>
    </row>
    <row r="344" spans="1:15" x14ac:dyDescent="0.25">
      <c r="A344" s="10">
        <f>Catalog!D318</f>
        <v>0</v>
      </c>
      <c r="B344" s="10">
        <f>Catalog!F318</f>
        <v>0</v>
      </c>
      <c r="C344" s="10" t="str">
        <f>IF(Catalog!I318="","",Catalog!I318)&amp;IF(AND(Catalog!I318&lt;&gt;"",Catalog!J318&lt;&gt;""),"; ","")&amp;IF(Catalog!J318="","",Catalog!J318)</f>
        <v/>
      </c>
      <c r="D344" s="10">
        <f>Catalog!P318</f>
        <v>0</v>
      </c>
      <c r="E344" s="10">
        <f>Catalog!R318</f>
        <v>0</v>
      </c>
      <c r="F344" s="10">
        <f>Catalog!M318</f>
        <v>0</v>
      </c>
      <c r="G344" s="10">
        <f>Catalog!K318</f>
        <v>0</v>
      </c>
      <c r="H344" s="10" t="str">
        <f>IF(Catalog!S318&lt;&gt;"","ISBN:"&amp;Catalog!S318,IF(Catalog!T318&lt;&gt;"","ISSN:"&amp;Catalog!T318,""))</f>
        <v/>
      </c>
      <c r="I344" s="10">
        <f>Catalog!B318</f>
        <v>0</v>
      </c>
      <c r="J344" s="10">
        <f>Catalog!L318</f>
        <v>0</v>
      </c>
      <c r="K344" s="10">
        <f>IF(Catalog!AG318&lt;&gt;"",Catalog!AG318,Catalog!AE318)</f>
        <v>0</v>
      </c>
      <c r="L344" s="10">
        <f>Catalog!AD318</f>
        <v>0</v>
      </c>
      <c r="M344" s="10">
        <f>Catalog!V318</f>
        <v>0</v>
      </c>
      <c r="N344" s="10">
        <f>Catalog!Q318</f>
        <v>0</v>
      </c>
      <c r="O344" s="10">
        <f>Catalog!AF318</f>
        <v>0</v>
      </c>
    </row>
    <row r="345" spans="1:15" x14ac:dyDescent="0.25">
      <c r="A345" s="10">
        <f>Catalog!D319</f>
        <v>0</v>
      </c>
      <c r="B345" s="10">
        <f>Catalog!F319</f>
        <v>0</v>
      </c>
      <c r="C345" s="10" t="str">
        <f>IF(Catalog!I319="","",Catalog!I319)&amp;IF(AND(Catalog!I319&lt;&gt;"",Catalog!J319&lt;&gt;""),"; ","")&amp;IF(Catalog!J319="","",Catalog!J319)</f>
        <v/>
      </c>
      <c r="D345" s="10">
        <f>Catalog!P319</f>
        <v>0</v>
      </c>
      <c r="E345" s="10">
        <f>Catalog!R319</f>
        <v>0</v>
      </c>
      <c r="F345" s="10">
        <f>Catalog!M319</f>
        <v>0</v>
      </c>
      <c r="G345" s="10">
        <f>Catalog!K319</f>
        <v>0</v>
      </c>
      <c r="H345" s="10" t="str">
        <f>IF(Catalog!S319&lt;&gt;"","ISBN:"&amp;Catalog!S319,IF(Catalog!T319&lt;&gt;"","ISSN:"&amp;Catalog!T319,""))</f>
        <v/>
      </c>
      <c r="I345" s="10">
        <f>Catalog!B319</f>
        <v>0</v>
      </c>
      <c r="J345" s="10">
        <f>Catalog!L319</f>
        <v>0</v>
      </c>
      <c r="K345" s="10">
        <f>IF(Catalog!AG319&lt;&gt;"",Catalog!AG319,Catalog!AE319)</f>
        <v>0</v>
      </c>
      <c r="L345" s="10">
        <f>Catalog!AD319</f>
        <v>0</v>
      </c>
      <c r="M345" s="10">
        <f>Catalog!V319</f>
        <v>0</v>
      </c>
      <c r="N345" s="10">
        <f>Catalog!Q319</f>
        <v>0</v>
      </c>
      <c r="O345" s="10">
        <f>Catalog!AF319</f>
        <v>0</v>
      </c>
    </row>
    <row r="346" spans="1:15" x14ac:dyDescent="0.25">
      <c r="A346" s="10">
        <f>Catalog!D320</f>
        <v>0</v>
      </c>
      <c r="B346" s="10">
        <f>Catalog!F320</f>
        <v>0</v>
      </c>
      <c r="C346" s="10" t="str">
        <f>IF(Catalog!I320="","",Catalog!I320)&amp;IF(AND(Catalog!I320&lt;&gt;"",Catalog!J320&lt;&gt;""),"; ","")&amp;IF(Catalog!J320="","",Catalog!J320)</f>
        <v/>
      </c>
      <c r="D346" s="10">
        <f>Catalog!P320</f>
        <v>0</v>
      </c>
      <c r="E346" s="10">
        <f>Catalog!R320</f>
        <v>0</v>
      </c>
      <c r="F346" s="10">
        <f>Catalog!M320</f>
        <v>0</v>
      </c>
      <c r="G346" s="10">
        <f>Catalog!K320</f>
        <v>0</v>
      </c>
      <c r="H346" s="10" t="str">
        <f>IF(Catalog!S320&lt;&gt;"","ISBN:"&amp;Catalog!S320,IF(Catalog!T320&lt;&gt;"","ISSN:"&amp;Catalog!T320,""))</f>
        <v/>
      </c>
      <c r="I346" s="10">
        <f>Catalog!B320</f>
        <v>0</v>
      </c>
      <c r="J346" s="10">
        <f>Catalog!L320</f>
        <v>0</v>
      </c>
      <c r="K346" s="10">
        <f>IF(Catalog!AG320&lt;&gt;"",Catalog!AG320,Catalog!AE320)</f>
        <v>0</v>
      </c>
      <c r="L346" s="10">
        <f>Catalog!AD320</f>
        <v>0</v>
      </c>
      <c r="M346" s="10">
        <f>Catalog!V320</f>
        <v>0</v>
      </c>
      <c r="N346" s="10">
        <f>Catalog!Q320</f>
        <v>0</v>
      </c>
      <c r="O346" s="10">
        <f>Catalog!AF320</f>
        <v>0</v>
      </c>
    </row>
    <row r="347" spans="1:15" x14ac:dyDescent="0.25">
      <c r="A347" s="10">
        <f>Catalog!D321</f>
        <v>0</v>
      </c>
      <c r="B347" s="10">
        <f>Catalog!F321</f>
        <v>0</v>
      </c>
      <c r="C347" s="10" t="str">
        <f>IF(Catalog!I321="","",Catalog!I321)&amp;IF(AND(Catalog!I321&lt;&gt;"",Catalog!J321&lt;&gt;""),"; ","")&amp;IF(Catalog!J321="","",Catalog!J321)</f>
        <v/>
      </c>
      <c r="D347" s="10">
        <f>Catalog!P321</f>
        <v>0</v>
      </c>
      <c r="E347" s="10">
        <f>Catalog!R321</f>
        <v>0</v>
      </c>
      <c r="F347" s="10">
        <f>Catalog!M321</f>
        <v>0</v>
      </c>
      <c r="G347" s="10">
        <f>Catalog!K321</f>
        <v>0</v>
      </c>
      <c r="H347" s="10" t="str">
        <f>IF(Catalog!S321&lt;&gt;"","ISBN:"&amp;Catalog!S321,IF(Catalog!T321&lt;&gt;"","ISSN:"&amp;Catalog!T321,""))</f>
        <v/>
      </c>
      <c r="I347" s="10">
        <f>Catalog!B321</f>
        <v>0</v>
      </c>
      <c r="J347" s="10">
        <f>Catalog!L321</f>
        <v>0</v>
      </c>
      <c r="K347" s="10">
        <f>IF(Catalog!AG321&lt;&gt;"",Catalog!AG321,Catalog!AE321)</f>
        <v>0</v>
      </c>
      <c r="L347" s="10">
        <f>Catalog!AD321</f>
        <v>0</v>
      </c>
      <c r="M347" s="10">
        <f>Catalog!V321</f>
        <v>0</v>
      </c>
      <c r="N347" s="10">
        <f>Catalog!Q321</f>
        <v>0</v>
      </c>
      <c r="O347" s="10">
        <f>Catalog!AF321</f>
        <v>0</v>
      </c>
    </row>
    <row r="348" spans="1:15" x14ac:dyDescent="0.25">
      <c r="A348" s="10">
        <f>Catalog!D322</f>
        <v>0</v>
      </c>
      <c r="B348" s="10">
        <f>Catalog!F322</f>
        <v>0</v>
      </c>
      <c r="C348" s="10" t="str">
        <f>IF(Catalog!I322="","",Catalog!I322)&amp;IF(AND(Catalog!I322&lt;&gt;"",Catalog!J322&lt;&gt;""),"; ","")&amp;IF(Catalog!J322="","",Catalog!J322)</f>
        <v/>
      </c>
      <c r="D348" s="10">
        <f>Catalog!P322</f>
        <v>0</v>
      </c>
      <c r="E348" s="10">
        <f>Catalog!R322</f>
        <v>0</v>
      </c>
      <c r="F348" s="10">
        <f>Catalog!M322</f>
        <v>0</v>
      </c>
      <c r="G348" s="10">
        <f>Catalog!K322</f>
        <v>0</v>
      </c>
      <c r="H348" s="10" t="str">
        <f>IF(Catalog!S322&lt;&gt;"","ISBN:"&amp;Catalog!S322,IF(Catalog!T322&lt;&gt;"","ISSN:"&amp;Catalog!T322,""))</f>
        <v/>
      </c>
      <c r="I348" s="10">
        <f>Catalog!B322</f>
        <v>0</v>
      </c>
      <c r="J348" s="10">
        <f>Catalog!L322</f>
        <v>0</v>
      </c>
      <c r="K348" s="10">
        <f>IF(Catalog!AG322&lt;&gt;"",Catalog!AG322,Catalog!AE322)</f>
        <v>0</v>
      </c>
      <c r="L348" s="10">
        <f>Catalog!AD322</f>
        <v>0</v>
      </c>
      <c r="M348" s="10">
        <f>Catalog!V322</f>
        <v>0</v>
      </c>
      <c r="N348" s="10">
        <f>Catalog!Q322</f>
        <v>0</v>
      </c>
      <c r="O348" s="10">
        <f>Catalog!AF322</f>
        <v>0</v>
      </c>
    </row>
    <row r="349" spans="1:15" x14ac:dyDescent="0.25">
      <c r="A349" s="10">
        <f>Catalog!D323</f>
        <v>0</v>
      </c>
      <c r="B349" s="10">
        <f>Catalog!F323</f>
        <v>0</v>
      </c>
      <c r="C349" s="10" t="str">
        <f>IF(Catalog!I323="","",Catalog!I323)&amp;IF(AND(Catalog!I323&lt;&gt;"",Catalog!J323&lt;&gt;""),"; ","")&amp;IF(Catalog!J323="","",Catalog!J323)</f>
        <v/>
      </c>
      <c r="D349" s="10">
        <f>Catalog!P323</f>
        <v>0</v>
      </c>
      <c r="E349" s="10">
        <f>Catalog!R323</f>
        <v>0</v>
      </c>
      <c r="F349" s="10">
        <f>Catalog!M323</f>
        <v>0</v>
      </c>
      <c r="G349" s="10">
        <f>Catalog!K323</f>
        <v>0</v>
      </c>
      <c r="H349" s="10" t="str">
        <f>IF(Catalog!S323&lt;&gt;"","ISBN:"&amp;Catalog!S323,IF(Catalog!T323&lt;&gt;"","ISSN:"&amp;Catalog!T323,""))</f>
        <v/>
      </c>
      <c r="I349" s="10">
        <f>Catalog!B323</f>
        <v>0</v>
      </c>
      <c r="J349" s="10">
        <f>Catalog!L323</f>
        <v>0</v>
      </c>
      <c r="K349" s="10">
        <f>IF(Catalog!AG323&lt;&gt;"",Catalog!AG323,Catalog!AE323)</f>
        <v>0</v>
      </c>
      <c r="L349" s="10">
        <f>Catalog!AD323</f>
        <v>0</v>
      </c>
      <c r="M349" s="10">
        <f>Catalog!V323</f>
        <v>0</v>
      </c>
      <c r="N349" s="10">
        <f>Catalog!Q323</f>
        <v>0</v>
      </c>
      <c r="O349" s="10">
        <f>Catalog!AF323</f>
        <v>0</v>
      </c>
    </row>
    <row r="350" spans="1:15" x14ac:dyDescent="0.25">
      <c r="A350" s="10">
        <f>Catalog!D324</f>
        <v>0</v>
      </c>
      <c r="B350" s="10">
        <f>Catalog!F324</f>
        <v>0</v>
      </c>
      <c r="C350" s="10" t="str">
        <f>IF(Catalog!I324="","",Catalog!I324)&amp;IF(AND(Catalog!I324&lt;&gt;"",Catalog!J324&lt;&gt;""),"; ","")&amp;IF(Catalog!J324="","",Catalog!J324)</f>
        <v/>
      </c>
      <c r="D350" s="10">
        <f>Catalog!P324</f>
        <v>0</v>
      </c>
      <c r="E350" s="10">
        <f>Catalog!R324</f>
        <v>0</v>
      </c>
      <c r="F350" s="10">
        <f>Catalog!M324</f>
        <v>0</v>
      </c>
      <c r="G350" s="10">
        <f>Catalog!K324</f>
        <v>0</v>
      </c>
      <c r="H350" s="10" t="str">
        <f>IF(Catalog!S324&lt;&gt;"","ISBN:"&amp;Catalog!S324,IF(Catalog!T324&lt;&gt;"","ISSN:"&amp;Catalog!T324,""))</f>
        <v/>
      </c>
      <c r="I350" s="10">
        <f>Catalog!B324</f>
        <v>0</v>
      </c>
      <c r="J350" s="10">
        <f>Catalog!L324</f>
        <v>0</v>
      </c>
      <c r="K350" s="10">
        <f>IF(Catalog!AG324&lt;&gt;"",Catalog!AG324,Catalog!AE324)</f>
        <v>0</v>
      </c>
      <c r="L350" s="10">
        <f>Catalog!AD324</f>
        <v>0</v>
      </c>
      <c r="M350" s="10">
        <f>Catalog!V324</f>
        <v>0</v>
      </c>
      <c r="N350" s="10">
        <f>Catalog!Q324</f>
        <v>0</v>
      </c>
      <c r="O350" s="10">
        <f>Catalog!AF324</f>
        <v>0</v>
      </c>
    </row>
    <row r="351" spans="1:15" x14ac:dyDescent="0.25">
      <c r="A351" s="10">
        <f>Catalog!D325</f>
        <v>0</v>
      </c>
      <c r="B351" s="10">
        <f>Catalog!F325</f>
        <v>0</v>
      </c>
      <c r="C351" s="10" t="str">
        <f>IF(Catalog!I325="","",Catalog!I325)&amp;IF(AND(Catalog!I325&lt;&gt;"",Catalog!J325&lt;&gt;""),"; ","")&amp;IF(Catalog!J325="","",Catalog!J325)</f>
        <v/>
      </c>
      <c r="D351" s="10">
        <f>Catalog!P325</f>
        <v>0</v>
      </c>
      <c r="E351" s="10">
        <f>Catalog!R325</f>
        <v>0</v>
      </c>
      <c r="F351" s="10">
        <f>Catalog!M325</f>
        <v>0</v>
      </c>
      <c r="G351" s="10">
        <f>Catalog!K325</f>
        <v>0</v>
      </c>
      <c r="H351" s="10" t="str">
        <f>IF(Catalog!S325&lt;&gt;"","ISBN:"&amp;Catalog!S325,IF(Catalog!T325&lt;&gt;"","ISSN:"&amp;Catalog!T325,""))</f>
        <v/>
      </c>
      <c r="I351" s="10">
        <f>Catalog!B325</f>
        <v>0</v>
      </c>
      <c r="J351" s="10">
        <f>Catalog!L325</f>
        <v>0</v>
      </c>
      <c r="K351" s="10">
        <f>IF(Catalog!AG325&lt;&gt;"",Catalog!AG325,Catalog!AE325)</f>
        <v>0</v>
      </c>
      <c r="L351" s="10">
        <f>Catalog!AD325</f>
        <v>0</v>
      </c>
      <c r="M351" s="10">
        <f>Catalog!V325</f>
        <v>0</v>
      </c>
      <c r="N351" s="10">
        <f>Catalog!Q325</f>
        <v>0</v>
      </c>
      <c r="O351" s="10">
        <f>Catalog!AF325</f>
        <v>0</v>
      </c>
    </row>
    <row r="352" spans="1:15" x14ac:dyDescent="0.25">
      <c r="A352" s="10">
        <f>Catalog!D326</f>
        <v>0</v>
      </c>
      <c r="B352" s="10">
        <f>Catalog!F326</f>
        <v>0</v>
      </c>
      <c r="C352" s="10" t="str">
        <f>IF(Catalog!I326="","",Catalog!I326)&amp;IF(AND(Catalog!I326&lt;&gt;"",Catalog!J326&lt;&gt;""),"; ","")&amp;IF(Catalog!J326="","",Catalog!J326)</f>
        <v/>
      </c>
      <c r="D352" s="10">
        <f>Catalog!P326</f>
        <v>0</v>
      </c>
      <c r="E352" s="10">
        <f>Catalog!R326</f>
        <v>0</v>
      </c>
      <c r="F352" s="10">
        <f>Catalog!M326</f>
        <v>0</v>
      </c>
      <c r="G352" s="10">
        <f>Catalog!K326</f>
        <v>0</v>
      </c>
      <c r="H352" s="10" t="str">
        <f>IF(Catalog!S326&lt;&gt;"","ISBN:"&amp;Catalog!S326,IF(Catalog!T326&lt;&gt;"","ISSN:"&amp;Catalog!T326,""))</f>
        <v/>
      </c>
      <c r="I352" s="10">
        <f>Catalog!B326</f>
        <v>0</v>
      </c>
      <c r="J352" s="10">
        <f>Catalog!L326</f>
        <v>0</v>
      </c>
      <c r="K352" s="10">
        <f>IF(Catalog!AG326&lt;&gt;"",Catalog!AG326,Catalog!AE326)</f>
        <v>0</v>
      </c>
      <c r="L352" s="10">
        <f>Catalog!AD326</f>
        <v>0</v>
      </c>
      <c r="M352" s="10">
        <f>Catalog!V326</f>
        <v>0</v>
      </c>
      <c r="N352" s="10">
        <f>Catalog!Q326</f>
        <v>0</v>
      </c>
      <c r="O352" s="10">
        <f>Catalog!AF326</f>
        <v>0</v>
      </c>
    </row>
    <row r="353" spans="1:15" x14ac:dyDescent="0.25">
      <c r="A353" s="10">
        <f>Catalog!D327</f>
        <v>0</v>
      </c>
      <c r="B353" s="10">
        <f>Catalog!F327</f>
        <v>0</v>
      </c>
      <c r="C353" s="10" t="str">
        <f>IF(Catalog!I327="","",Catalog!I327)&amp;IF(AND(Catalog!I327&lt;&gt;"",Catalog!J327&lt;&gt;""),"; ","")&amp;IF(Catalog!J327="","",Catalog!J327)</f>
        <v/>
      </c>
      <c r="D353" s="10">
        <f>Catalog!P327</f>
        <v>0</v>
      </c>
      <c r="E353" s="10">
        <f>Catalog!R327</f>
        <v>0</v>
      </c>
      <c r="F353" s="10">
        <f>Catalog!M327</f>
        <v>0</v>
      </c>
      <c r="G353" s="10">
        <f>Catalog!K327</f>
        <v>0</v>
      </c>
      <c r="H353" s="10" t="str">
        <f>IF(Catalog!S327&lt;&gt;"","ISBN:"&amp;Catalog!S327,IF(Catalog!T327&lt;&gt;"","ISSN:"&amp;Catalog!T327,""))</f>
        <v/>
      </c>
      <c r="I353" s="10">
        <f>Catalog!B327</f>
        <v>0</v>
      </c>
      <c r="J353" s="10">
        <f>Catalog!L327</f>
        <v>0</v>
      </c>
      <c r="K353" s="10">
        <f>IF(Catalog!AG327&lt;&gt;"",Catalog!AG327,Catalog!AE327)</f>
        <v>0</v>
      </c>
      <c r="L353" s="10">
        <f>Catalog!AD327</f>
        <v>0</v>
      </c>
      <c r="M353" s="10">
        <f>Catalog!V327</f>
        <v>0</v>
      </c>
      <c r="N353" s="10">
        <f>Catalog!Q327</f>
        <v>0</v>
      </c>
      <c r="O353" s="10">
        <f>Catalog!AF327</f>
        <v>0</v>
      </c>
    </row>
    <row r="354" spans="1:15" x14ac:dyDescent="0.25">
      <c r="A354" s="10">
        <f>Catalog!D328</f>
        <v>0</v>
      </c>
      <c r="B354" s="10">
        <f>Catalog!F328</f>
        <v>0</v>
      </c>
      <c r="C354" s="10" t="str">
        <f>IF(Catalog!I328="","",Catalog!I328)&amp;IF(AND(Catalog!I328&lt;&gt;"",Catalog!J328&lt;&gt;""),"; ","")&amp;IF(Catalog!J328="","",Catalog!J328)</f>
        <v/>
      </c>
      <c r="D354" s="10">
        <f>Catalog!P328</f>
        <v>0</v>
      </c>
      <c r="E354" s="10">
        <f>Catalog!R328</f>
        <v>0</v>
      </c>
      <c r="F354" s="10">
        <f>Catalog!M328</f>
        <v>0</v>
      </c>
      <c r="G354" s="10">
        <f>Catalog!K328</f>
        <v>0</v>
      </c>
      <c r="H354" s="10" t="str">
        <f>IF(Catalog!S328&lt;&gt;"","ISBN:"&amp;Catalog!S328,IF(Catalog!T328&lt;&gt;"","ISSN:"&amp;Catalog!T328,""))</f>
        <v/>
      </c>
      <c r="I354" s="10">
        <f>Catalog!B328</f>
        <v>0</v>
      </c>
      <c r="J354" s="10">
        <f>Catalog!L328</f>
        <v>0</v>
      </c>
      <c r="K354" s="10">
        <f>IF(Catalog!AG328&lt;&gt;"",Catalog!AG328,Catalog!AE328)</f>
        <v>0</v>
      </c>
      <c r="L354" s="10">
        <f>Catalog!AD328</f>
        <v>0</v>
      </c>
      <c r="M354" s="10">
        <f>Catalog!V328</f>
        <v>0</v>
      </c>
      <c r="N354" s="10">
        <f>Catalog!Q328</f>
        <v>0</v>
      </c>
      <c r="O354" s="10">
        <f>Catalog!AF328</f>
        <v>0</v>
      </c>
    </row>
    <row r="355" spans="1:15" x14ac:dyDescent="0.25">
      <c r="A355" s="10">
        <f>Catalog!D329</f>
        <v>0</v>
      </c>
      <c r="B355" s="10">
        <f>Catalog!F329</f>
        <v>0</v>
      </c>
      <c r="C355" s="10" t="str">
        <f>IF(Catalog!I329="","",Catalog!I329)&amp;IF(AND(Catalog!I329&lt;&gt;"",Catalog!J329&lt;&gt;""),"; ","")&amp;IF(Catalog!J329="","",Catalog!J329)</f>
        <v/>
      </c>
      <c r="D355" s="10">
        <f>Catalog!P329</f>
        <v>0</v>
      </c>
      <c r="E355" s="10">
        <f>Catalog!R329</f>
        <v>0</v>
      </c>
      <c r="F355" s="10">
        <f>Catalog!M329</f>
        <v>0</v>
      </c>
      <c r="G355" s="10">
        <f>Catalog!K329</f>
        <v>0</v>
      </c>
      <c r="H355" s="10" t="str">
        <f>IF(Catalog!S329&lt;&gt;"","ISBN:"&amp;Catalog!S329,IF(Catalog!T329&lt;&gt;"","ISSN:"&amp;Catalog!T329,""))</f>
        <v/>
      </c>
      <c r="I355" s="10">
        <f>Catalog!B329</f>
        <v>0</v>
      </c>
      <c r="J355" s="10">
        <f>Catalog!L329</f>
        <v>0</v>
      </c>
      <c r="K355" s="10">
        <f>IF(Catalog!AG329&lt;&gt;"",Catalog!AG329,Catalog!AE329)</f>
        <v>0</v>
      </c>
      <c r="L355" s="10">
        <f>Catalog!AD329</f>
        <v>0</v>
      </c>
      <c r="M355" s="10">
        <f>Catalog!V329</f>
        <v>0</v>
      </c>
      <c r="N355" s="10">
        <f>Catalog!Q329</f>
        <v>0</v>
      </c>
      <c r="O355" s="10">
        <f>Catalog!AF329</f>
        <v>0</v>
      </c>
    </row>
    <row r="356" spans="1:15" x14ac:dyDescent="0.25">
      <c r="A356" s="10">
        <f>Catalog!D330</f>
        <v>0</v>
      </c>
      <c r="B356" s="10">
        <f>Catalog!F330</f>
        <v>0</v>
      </c>
      <c r="C356" s="10" t="str">
        <f>IF(Catalog!I330="","",Catalog!I330)&amp;IF(AND(Catalog!I330&lt;&gt;"",Catalog!J330&lt;&gt;""),"; ","")&amp;IF(Catalog!J330="","",Catalog!J330)</f>
        <v/>
      </c>
      <c r="D356" s="10">
        <f>Catalog!P330</f>
        <v>0</v>
      </c>
      <c r="E356" s="10">
        <f>Catalog!R330</f>
        <v>0</v>
      </c>
      <c r="F356" s="10">
        <f>Catalog!M330</f>
        <v>0</v>
      </c>
      <c r="G356" s="10">
        <f>Catalog!K330</f>
        <v>0</v>
      </c>
      <c r="H356" s="10" t="str">
        <f>IF(Catalog!S330&lt;&gt;"","ISBN:"&amp;Catalog!S330,IF(Catalog!T330&lt;&gt;"","ISSN:"&amp;Catalog!T330,""))</f>
        <v/>
      </c>
      <c r="I356" s="10">
        <f>Catalog!B330</f>
        <v>0</v>
      </c>
      <c r="J356" s="10">
        <f>Catalog!L330</f>
        <v>0</v>
      </c>
      <c r="K356" s="10">
        <f>IF(Catalog!AG330&lt;&gt;"",Catalog!AG330,Catalog!AE330)</f>
        <v>0</v>
      </c>
      <c r="L356" s="10">
        <f>Catalog!AD330</f>
        <v>0</v>
      </c>
      <c r="M356" s="10">
        <f>Catalog!V330</f>
        <v>0</v>
      </c>
      <c r="N356" s="10">
        <f>Catalog!Q330</f>
        <v>0</v>
      </c>
      <c r="O356" s="10">
        <f>Catalog!AF330</f>
        <v>0</v>
      </c>
    </row>
    <row r="357" spans="1:15" x14ac:dyDescent="0.25">
      <c r="A357" s="10">
        <f>Catalog!D331</f>
        <v>0</v>
      </c>
      <c r="B357" s="10">
        <f>Catalog!F331</f>
        <v>0</v>
      </c>
      <c r="C357" s="10" t="str">
        <f>IF(Catalog!I331="","",Catalog!I331)&amp;IF(AND(Catalog!I331&lt;&gt;"",Catalog!J331&lt;&gt;""),"; ","")&amp;IF(Catalog!J331="","",Catalog!J331)</f>
        <v/>
      </c>
      <c r="D357" s="10">
        <f>Catalog!P331</f>
        <v>0</v>
      </c>
      <c r="E357" s="10">
        <f>Catalog!R331</f>
        <v>0</v>
      </c>
      <c r="F357" s="10">
        <f>Catalog!M331</f>
        <v>0</v>
      </c>
      <c r="G357" s="10">
        <f>Catalog!K331</f>
        <v>0</v>
      </c>
      <c r="H357" s="10" t="str">
        <f>IF(Catalog!S331&lt;&gt;"","ISBN:"&amp;Catalog!S331,IF(Catalog!T331&lt;&gt;"","ISSN:"&amp;Catalog!T331,""))</f>
        <v/>
      </c>
      <c r="I357" s="10">
        <f>Catalog!B331</f>
        <v>0</v>
      </c>
      <c r="J357" s="10">
        <f>Catalog!L331</f>
        <v>0</v>
      </c>
      <c r="K357" s="10">
        <f>IF(Catalog!AG331&lt;&gt;"",Catalog!AG331,Catalog!AE331)</f>
        <v>0</v>
      </c>
      <c r="L357" s="10">
        <f>Catalog!AD331</f>
        <v>0</v>
      </c>
      <c r="M357" s="10">
        <f>Catalog!V331</f>
        <v>0</v>
      </c>
      <c r="N357" s="10">
        <f>Catalog!Q331</f>
        <v>0</v>
      </c>
      <c r="O357" s="10">
        <f>Catalog!AF331</f>
        <v>0</v>
      </c>
    </row>
    <row r="358" spans="1:15" x14ac:dyDescent="0.25">
      <c r="A358" s="10">
        <f>Catalog!D332</f>
        <v>0</v>
      </c>
      <c r="B358" s="10">
        <f>Catalog!F332</f>
        <v>0</v>
      </c>
      <c r="C358" s="10" t="str">
        <f>IF(Catalog!I332="","",Catalog!I332)&amp;IF(AND(Catalog!I332&lt;&gt;"",Catalog!J332&lt;&gt;""),"; ","")&amp;IF(Catalog!J332="","",Catalog!J332)</f>
        <v/>
      </c>
      <c r="D358" s="10">
        <f>Catalog!P332</f>
        <v>0</v>
      </c>
      <c r="E358" s="10">
        <f>Catalog!R332</f>
        <v>0</v>
      </c>
      <c r="F358" s="10">
        <f>Catalog!M332</f>
        <v>0</v>
      </c>
      <c r="G358" s="10">
        <f>Catalog!K332</f>
        <v>0</v>
      </c>
      <c r="H358" s="10" t="str">
        <f>IF(Catalog!S332&lt;&gt;"","ISBN:"&amp;Catalog!S332,IF(Catalog!T332&lt;&gt;"","ISSN:"&amp;Catalog!T332,""))</f>
        <v/>
      </c>
      <c r="I358" s="10">
        <f>Catalog!B332</f>
        <v>0</v>
      </c>
      <c r="J358" s="10">
        <f>Catalog!L332</f>
        <v>0</v>
      </c>
      <c r="K358" s="10">
        <f>IF(Catalog!AG332&lt;&gt;"",Catalog!AG332,Catalog!AE332)</f>
        <v>0</v>
      </c>
      <c r="L358" s="10">
        <f>Catalog!AD332</f>
        <v>0</v>
      </c>
      <c r="M358" s="10">
        <f>Catalog!V332</f>
        <v>0</v>
      </c>
      <c r="N358" s="10">
        <f>Catalog!Q332</f>
        <v>0</v>
      </c>
      <c r="O358" s="10">
        <f>Catalog!AF332</f>
        <v>0</v>
      </c>
    </row>
    <row r="359" spans="1:15" x14ac:dyDescent="0.25">
      <c r="A359" s="10">
        <f>Catalog!D333</f>
        <v>0</v>
      </c>
      <c r="B359" s="10">
        <f>Catalog!F333</f>
        <v>0</v>
      </c>
      <c r="C359" s="10" t="str">
        <f>IF(Catalog!I333="","",Catalog!I333)&amp;IF(AND(Catalog!I333&lt;&gt;"",Catalog!J333&lt;&gt;""),"; ","")&amp;IF(Catalog!J333="","",Catalog!J333)</f>
        <v/>
      </c>
      <c r="D359" s="10">
        <f>Catalog!P333</f>
        <v>0</v>
      </c>
      <c r="E359" s="10">
        <f>Catalog!R333</f>
        <v>0</v>
      </c>
      <c r="F359" s="10">
        <f>Catalog!M333</f>
        <v>0</v>
      </c>
      <c r="G359" s="10">
        <f>Catalog!K333</f>
        <v>0</v>
      </c>
      <c r="H359" s="10" t="str">
        <f>IF(Catalog!S333&lt;&gt;"","ISBN:"&amp;Catalog!S333,IF(Catalog!T333&lt;&gt;"","ISSN:"&amp;Catalog!T333,""))</f>
        <v/>
      </c>
      <c r="I359" s="10">
        <f>Catalog!B333</f>
        <v>0</v>
      </c>
      <c r="J359" s="10">
        <f>Catalog!L333</f>
        <v>0</v>
      </c>
      <c r="K359" s="10">
        <f>IF(Catalog!AG333&lt;&gt;"",Catalog!AG333,Catalog!AE333)</f>
        <v>0</v>
      </c>
      <c r="L359" s="10">
        <f>Catalog!AD333</f>
        <v>0</v>
      </c>
      <c r="M359" s="10">
        <f>Catalog!V333</f>
        <v>0</v>
      </c>
      <c r="N359" s="10">
        <f>Catalog!Q333</f>
        <v>0</v>
      </c>
      <c r="O359" s="10">
        <f>Catalog!AF333</f>
        <v>0</v>
      </c>
    </row>
    <row r="360" spans="1:15" x14ac:dyDescent="0.25">
      <c r="A360" s="10">
        <f>Catalog!D334</f>
        <v>0</v>
      </c>
      <c r="B360" s="10">
        <f>Catalog!F334</f>
        <v>0</v>
      </c>
      <c r="C360" s="10" t="str">
        <f>IF(Catalog!I334="","",Catalog!I334)&amp;IF(AND(Catalog!I334&lt;&gt;"",Catalog!J334&lt;&gt;""),"; ","")&amp;IF(Catalog!J334="","",Catalog!J334)</f>
        <v/>
      </c>
      <c r="D360" s="10">
        <f>Catalog!P334</f>
        <v>0</v>
      </c>
      <c r="E360" s="10">
        <f>Catalog!R334</f>
        <v>0</v>
      </c>
      <c r="F360" s="10">
        <f>Catalog!M334</f>
        <v>0</v>
      </c>
      <c r="G360" s="10">
        <f>Catalog!K334</f>
        <v>0</v>
      </c>
      <c r="H360" s="10" t="str">
        <f>IF(Catalog!S334&lt;&gt;"","ISBN:"&amp;Catalog!S334,IF(Catalog!T334&lt;&gt;"","ISSN:"&amp;Catalog!T334,""))</f>
        <v/>
      </c>
      <c r="I360" s="10">
        <f>Catalog!B334</f>
        <v>0</v>
      </c>
      <c r="J360" s="10">
        <f>Catalog!L334</f>
        <v>0</v>
      </c>
      <c r="K360" s="10">
        <f>IF(Catalog!AG334&lt;&gt;"",Catalog!AG334,Catalog!AE334)</f>
        <v>0</v>
      </c>
      <c r="L360" s="10">
        <f>Catalog!AD334</f>
        <v>0</v>
      </c>
      <c r="M360" s="10">
        <f>Catalog!V334</f>
        <v>0</v>
      </c>
      <c r="N360" s="10">
        <f>Catalog!Q334</f>
        <v>0</v>
      </c>
      <c r="O360" s="10">
        <f>Catalog!AF334</f>
        <v>0</v>
      </c>
    </row>
    <row r="361" spans="1:15" x14ac:dyDescent="0.25">
      <c r="A361" s="10">
        <f>Catalog!D335</f>
        <v>0</v>
      </c>
      <c r="B361" s="10">
        <f>Catalog!F335</f>
        <v>0</v>
      </c>
      <c r="C361" s="10" t="str">
        <f>IF(Catalog!I335="","",Catalog!I335)&amp;IF(AND(Catalog!I335&lt;&gt;"",Catalog!J335&lt;&gt;""),"; ","")&amp;IF(Catalog!J335="","",Catalog!J335)</f>
        <v/>
      </c>
      <c r="D361" s="10">
        <f>Catalog!P335</f>
        <v>0</v>
      </c>
      <c r="E361" s="10">
        <f>Catalog!R335</f>
        <v>0</v>
      </c>
      <c r="F361" s="10">
        <f>Catalog!M335</f>
        <v>0</v>
      </c>
      <c r="G361" s="10">
        <f>Catalog!K335</f>
        <v>0</v>
      </c>
      <c r="H361" s="10" t="str">
        <f>IF(Catalog!S335&lt;&gt;"","ISBN:"&amp;Catalog!S335,IF(Catalog!T335&lt;&gt;"","ISSN:"&amp;Catalog!T335,""))</f>
        <v/>
      </c>
      <c r="I361" s="10">
        <f>Catalog!B335</f>
        <v>0</v>
      </c>
      <c r="J361" s="10">
        <f>Catalog!L335</f>
        <v>0</v>
      </c>
      <c r="K361" s="10">
        <f>IF(Catalog!AG335&lt;&gt;"",Catalog!AG335,Catalog!AE335)</f>
        <v>0</v>
      </c>
      <c r="L361" s="10">
        <f>Catalog!AD335</f>
        <v>0</v>
      </c>
      <c r="M361" s="10">
        <f>Catalog!V335</f>
        <v>0</v>
      </c>
      <c r="N361" s="10">
        <f>Catalog!Q335</f>
        <v>0</v>
      </c>
      <c r="O361" s="10">
        <f>Catalog!AF335</f>
        <v>0</v>
      </c>
    </row>
    <row r="362" spans="1:15" x14ac:dyDescent="0.25">
      <c r="A362" s="10">
        <f>Catalog!D336</f>
        <v>0</v>
      </c>
      <c r="B362" s="10">
        <f>Catalog!F336</f>
        <v>0</v>
      </c>
      <c r="C362" s="10" t="str">
        <f>IF(Catalog!I336="","",Catalog!I336)&amp;IF(AND(Catalog!I336&lt;&gt;"",Catalog!J336&lt;&gt;""),"; ","")&amp;IF(Catalog!J336="","",Catalog!J336)</f>
        <v/>
      </c>
      <c r="D362" s="10">
        <f>Catalog!P336</f>
        <v>0</v>
      </c>
      <c r="E362" s="10">
        <f>Catalog!R336</f>
        <v>0</v>
      </c>
      <c r="F362" s="10">
        <f>Catalog!M336</f>
        <v>0</v>
      </c>
      <c r="G362" s="10">
        <f>Catalog!K336</f>
        <v>0</v>
      </c>
      <c r="H362" s="10" t="str">
        <f>IF(Catalog!S336&lt;&gt;"","ISBN:"&amp;Catalog!S336,IF(Catalog!T336&lt;&gt;"","ISSN:"&amp;Catalog!T336,""))</f>
        <v/>
      </c>
      <c r="I362" s="10">
        <f>Catalog!B336</f>
        <v>0</v>
      </c>
      <c r="J362" s="10">
        <f>Catalog!L336</f>
        <v>0</v>
      </c>
      <c r="K362" s="10">
        <f>IF(Catalog!AG336&lt;&gt;"",Catalog!AG336,Catalog!AE336)</f>
        <v>0</v>
      </c>
      <c r="L362" s="10">
        <f>Catalog!AD336</f>
        <v>0</v>
      </c>
      <c r="M362" s="10">
        <f>Catalog!V336</f>
        <v>0</v>
      </c>
      <c r="N362" s="10">
        <f>Catalog!Q336</f>
        <v>0</v>
      </c>
      <c r="O362" s="10">
        <f>Catalog!AF336</f>
        <v>0</v>
      </c>
    </row>
    <row r="363" spans="1:15" x14ac:dyDescent="0.25">
      <c r="A363" s="10">
        <f>Catalog!D337</f>
        <v>0</v>
      </c>
      <c r="B363" s="10">
        <f>Catalog!F337</f>
        <v>0</v>
      </c>
      <c r="C363" s="10" t="str">
        <f>IF(Catalog!I337="","",Catalog!I337)&amp;IF(AND(Catalog!I337&lt;&gt;"",Catalog!J337&lt;&gt;""),"; ","")&amp;IF(Catalog!J337="","",Catalog!J337)</f>
        <v/>
      </c>
      <c r="D363" s="10">
        <f>Catalog!P337</f>
        <v>0</v>
      </c>
      <c r="E363" s="10">
        <f>Catalog!R337</f>
        <v>0</v>
      </c>
      <c r="F363" s="10">
        <f>Catalog!M337</f>
        <v>0</v>
      </c>
      <c r="G363" s="10">
        <f>Catalog!K337</f>
        <v>0</v>
      </c>
      <c r="H363" s="10" t="str">
        <f>IF(Catalog!S337&lt;&gt;"","ISBN:"&amp;Catalog!S337,IF(Catalog!T337&lt;&gt;"","ISSN:"&amp;Catalog!T337,""))</f>
        <v/>
      </c>
      <c r="I363" s="10">
        <f>Catalog!B337</f>
        <v>0</v>
      </c>
      <c r="J363" s="10">
        <f>Catalog!L337</f>
        <v>0</v>
      </c>
      <c r="K363" s="10">
        <f>IF(Catalog!AG337&lt;&gt;"",Catalog!AG337,Catalog!AE337)</f>
        <v>0</v>
      </c>
      <c r="L363" s="10">
        <f>Catalog!AD337</f>
        <v>0</v>
      </c>
      <c r="M363" s="10">
        <f>Catalog!V337</f>
        <v>0</v>
      </c>
      <c r="N363" s="10">
        <f>Catalog!Q337</f>
        <v>0</v>
      </c>
      <c r="O363" s="10">
        <f>Catalog!AF337</f>
        <v>0</v>
      </c>
    </row>
    <row r="364" spans="1:15" x14ac:dyDescent="0.25">
      <c r="A364" s="10">
        <f>Catalog!D338</f>
        <v>0</v>
      </c>
      <c r="B364" s="10">
        <f>Catalog!F338</f>
        <v>0</v>
      </c>
      <c r="C364" s="10" t="str">
        <f>IF(Catalog!I338="","",Catalog!I338)&amp;IF(AND(Catalog!I338&lt;&gt;"",Catalog!J338&lt;&gt;""),"; ","")&amp;IF(Catalog!J338="","",Catalog!J338)</f>
        <v/>
      </c>
      <c r="D364" s="10">
        <f>Catalog!P338</f>
        <v>0</v>
      </c>
      <c r="E364" s="10">
        <f>Catalog!R338</f>
        <v>0</v>
      </c>
      <c r="F364" s="10">
        <f>Catalog!M338</f>
        <v>0</v>
      </c>
      <c r="G364" s="10">
        <f>Catalog!K338</f>
        <v>0</v>
      </c>
      <c r="H364" s="10" t="str">
        <f>IF(Catalog!S338&lt;&gt;"","ISBN:"&amp;Catalog!S338,IF(Catalog!T338&lt;&gt;"","ISSN:"&amp;Catalog!T338,""))</f>
        <v/>
      </c>
      <c r="I364" s="10">
        <f>Catalog!B338</f>
        <v>0</v>
      </c>
      <c r="J364" s="10">
        <f>Catalog!L338</f>
        <v>0</v>
      </c>
      <c r="K364" s="10">
        <f>IF(Catalog!AG338&lt;&gt;"",Catalog!AG338,Catalog!AE338)</f>
        <v>0</v>
      </c>
      <c r="L364" s="10">
        <f>Catalog!AD338</f>
        <v>0</v>
      </c>
      <c r="M364" s="10">
        <f>Catalog!V338</f>
        <v>0</v>
      </c>
      <c r="N364" s="10">
        <f>Catalog!Q338</f>
        <v>0</v>
      </c>
      <c r="O364" s="10">
        <f>Catalog!AF338</f>
        <v>0</v>
      </c>
    </row>
    <row r="365" spans="1:15" x14ac:dyDescent="0.25">
      <c r="A365" s="10">
        <f>Catalog!D339</f>
        <v>0</v>
      </c>
      <c r="B365" s="10">
        <f>Catalog!F339</f>
        <v>0</v>
      </c>
      <c r="C365" s="10" t="str">
        <f>IF(Catalog!I339="","",Catalog!I339)&amp;IF(AND(Catalog!I339&lt;&gt;"",Catalog!J339&lt;&gt;""),"; ","")&amp;IF(Catalog!J339="","",Catalog!J339)</f>
        <v/>
      </c>
      <c r="D365" s="10">
        <f>Catalog!P339</f>
        <v>0</v>
      </c>
      <c r="E365" s="10">
        <f>Catalog!R339</f>
        <v>0</v>
      </c>
      <c r="F365" s="10">
        <f>Catalog!M339</f>
        <v>0</v>
      </c>
      <c r="G365" s="10">
        <f>Catalog!K339</f>
        <v>0</v>
      </c>
      <c r="H365" s="10" t="str">
        <f>IF(Catalog!S339&lt;&gt;"","ISBN:"&amp;Catalog!S339,IF(Catalog!T339&lt;&gt;"","ISSN:"&amp;Catalog!T339,""))</f>
        <v/>
      </c>
      <c r="I365" s="10">
        <f>Catalog!B339</f>
        <v>0</v>
      </c>
      <c r="J365" s="10">
        <f>Catalog!L339</f>
        <v>0</v>
      </c>
      <c r="K365" s="10">
        <f>IF(Catalog!AG339&lt;&gt;"",Catalog!AG339,Catalog!AE339)</f>
        <v>0</v>
      </c>
      <c r="L365" s="10">
        <f>Catalog!AD339</f>
        <v>0</v>
      </c>
      <c r="M365" s="10">
        <f>Catalog!V339</f>
        <v>0</v>
      </c>
      <c r="N365" s="10">
        <f>Catalog!Q339</f>
        <v>0</v>
      </c>
      <c r="O365" s="10">
        <f>Catalog!AF339</f>
        <v>0</v>
      </c>
    </row>
    <row r="366" spans="1:15" x14ac:dyDescent="0.25">
      <c r="A366" s="10">
        <f>Catalog!D340</f>
        <v>0</v>
      </c>
      <c r="B366" s="10">
        <f>Catalog!F340</f>
        <v>0</v>
      </c>
      <c r="C366" s="10" t="str">
        <f>IF(Catalog!I340="","",Catalog!I340)&amp;IF(AND(Catalog!I340&lt;&gt;"",Catalog!J340&lt;&gt;""),"; ","")&amp;IF(Catalog!J340="","",Catalog!J340)</f>
        <v/>
      </c>
      <c r="D366" s="10">
        <f>Catalog!P340</f>
        <v>0</v>
      </c>
      <c r="E366" s="10">
        <f>Catalog!R340</f>
        <v>0</v>
      </c>
      <c r="F366" s="10">
        <f>Catalog!M340</f>
        <v>0</v>
      </c>
      <c r="G366" s="10">
        <f>Catalog!K340</f>
        <v>0</v>
      </c>
      <c r="H366" s="10" t="str">
        <f>IF(Catalog!S340&lt;&gt;"","ISBN:"&amp;Catalog!S340,IF(Catalog!T340&lt;&gt;"","ISSN:"&amp;Catalog!T340,""))</f>
        <v/>
      </c>
      <c r="I366" s="10">
        <f>Catalog!B340</f>
        <v>0</v>
      </c>
      <c r="J366" s="10">
        <f>Catalog!L340</f>
        <v>0</v>
      </c>
      <c r="K366" s="10">
        <f>IF(Catalog!AG340&lt;&gt;"",Catalog!AG340,Catalog!AE340)</f>
        <v>0</v>
      </c>
      <c r="L366" s="10">
        <f>Catalog!AD340</f>
        <v>0</v>
      </c>
      <c r="M366" s="10">
        <f>Catalog!V340</f>
        <v>0</v>
      </c>
      <c r="N366" s="10">
        <f>Catalog!Q340</f>
        <v>0</v>
      </c>
      <c r="O366" s="10">
        <f>Catalog!AF340</f>
        <v>0</v>
      </c>
    </row>
    <row r="367" spans="1:15" x14ac:dyDescent="0.25">
      <c r="A367" s="10">
        <f>Catalog!D341</f>
        <v>0</v>
      </c>
      <c r="B367" s="10">
        <f>Catalog!F341</f>
        <v>0</v>
      </c>
      <c r="C367" s="10" t="str">
        <f>IF(Catalog!I341="","",Catalog!I341)&amp;IF(AND(Catalog!I341&lt;&gt;"",Catalog!J341&lt;&gt;""),"; ","")&amp;IF(Catalog!J341="","",Catalog!J341)</f>
        <v/>
      </c>
      <c r="D367" s="10">
        <f>Catalog!P341</f>
        <v>0</v>
      </c>
      <c r="E367" s="10">
        <f>Catalog!R341</f>
        <v>0</v>
      </c>
      <c r="F367" s="10">
        <f>Catalog!M341</f>
        <v>0</v>
      </c>
      <c r="G367" s="10">
        <f>Catalog!K341</f>
        <v>0</v>
      </c>
      <c r="H367" s="10" t="str">
        <f>IF(Catalog!S341&lt;&gt;"","ISBN:"&amp;Catalog!S341,IF(Catalog!T341&lt;&gt;"","ISSN:"&amp;Catalog!T341,""))</f>
        <v/>
      </c>
      <c r="I367" s="10">
        <f>Catalog!B341</f>
        <v>0</v>
      </c>
      <c r="J367" s="10">
        <f>Catalog!L341</f>
        <v>0</v>
      </c>
      <c r="K367" s="10">
        <f>IF(Catalog!AG341&lt;&gt;"",Catalog!AG341,Catalog!AE341)</f>
        <v>0</v>
      </c>
      <c r="L367" s="10">
        <f>Catalog!AD341</f>
        <v>0</v>
      </c>
      <c r="M367" s="10">
        <f>Catalog!V341</f>
        <v>0</v>
      </c>
      <c r="N367" s="10">
        <f>Catalog!Q341</f>
        <v>0</v>
      </c>
      <c r="O367" s="10">
        <f>Catalog!AF341</f>
        <v>0</v>
      </c>
    </row>
    <row r="368" spans="1:15" x14ac:dyDescent="0.25">
      <c r="A368" s="10">
        <f>Catalog!D342</f>
        <v>0</v>
      </c>
      <c r="B368" s="10">
        <f>Catalog!F342</f>
        <v>0</v>
      </c>
      <c r="C368" s="10" t="str">
        <f>IF(Catalog!I342="","",Catalog!I342)&amp;IF(AND(Catalog!I342&lt;&gt;"",Catalog!J342&lt;&gt;""),"; ","")&amp;IF(Catalog!J342="","",Catalog!J342)</f>
        <v/>
      </c>
      <c r="D368" s="10">
        <f>Catalog!P342</f>
        <v>0</v>
      </c>
      <c r="E368" s="10">
        <f>Catalog!R342</f>
        <v>0</v>
      </c>
      <c r="F368" s="10">
        <f>Catalog!M342</f>
        <v>0</v>
      </c>
      <c r="G368" s="10">
        <f>Catalog!K342</f>
        <v>0</v>
      </c>
      <c r="H368" s="10" t="str">
        <f>IF(Catalog!S342&lt;&gt;"","ISBN:"&amp;Catalog!S342,IF(Catalog!T342&lt;&gt;"","ISSN:"&amp;Catalog!T342,""))</f>
        <v/>
      </c>
      <c r="I368" s="10">
        <f>Catalog!B342</f>
        <v>0</v>
      </c>
      <c r="J368" s="10">
        <f>Catalog!L342</f>
        <v>0</v>
      </c>
      <c r="K368" s="10">
        <f>IF(Catalog!AG342&lt;&gt;"",Catalog!AG342,Catalog!AE342)</f>
        <v>0</v>
      </c>
      <c r="L368" s="10">
        <f>Catalog!AD342</f>
        <v>0</v>
      </c>
      <c r="M368" s="10">
        <f>Catalog!V342</f>
        <v>0</v>
      </c>
      <c r="N368" s="10">
        <f>Catalog!Q342</f>
        <v>0</v>
      </c>
      <c r="O368" s="10">
        <f>Catalog!AF342</f>
        <v>0</v>
      </c>
    </row>
    <row r="369" spans="1:15" x14ac:dyDescent="0.25">
      <c r="A369" s="10">
        <f>Catalog!D343</f>
        <v>0</v>
      </c>
      <c r="B369" s="10">
        <f>Catalog!F343</f>
        <v>0</v>
      </c>
      <c r="C369" s="10" t="str">
        <f>IF(Catalog!I343="","",Catalog!I343)&amp;IF(AND(Catalog!I343&lt;&gt;"",Catalog!J343&lt;&gt;""),"; ","")&amp;IF(Catalog!J343="","",Catalog!J343)</f>
        <v/>
      </c>
      <c r="D369" s="10">
        <f>Catalog!P343</f>
        <v>0</v>
      </c>
      <c r="E369" s="10">
        <f>Catalog!R343</f>
        <v>0</v>
      </c>
      <c r="F369" s="10">
        <f>Catalog!M343</f>
        <v>0</v>
      </c>
      <c r="G369" s="10">
        <f>Catalog!K343</f>
        <v>0</v>
      </c>
      <c r="H369" s="10" t="str">
        <f>IF(Catalog!S343&lt;&gt;"","ISBN:"&amp;Catalog!S343,IF(Catalog!T343&lt;&gt;"","ISSN:"&amp;Catalog!T343,""))</f>
        <v/>
      </c>
      <c r="I369" s="10">
        <f>Catalog!B343</f>
        <v>0</v>
      </c>
      <c r="J369" s="10">
        <f>Catalog!L343</f>
        <v>0</v>
      </c>
      <c r="K369" s="10">
        <f>IF(Catalog!AG343&lt;&gt;"",Catalog!AG343,Catalog!AE343)</f>
        <v>0</v>
      </c>
      <c r="L369" s="10">
        <f>Catalog!AD343</f>
        <v>0</v>
      </c>
      <c r="M369" s="10">
        <f>Catalog!V343</f>
        <v>0</v>
      </c>
      <c r="N369" s="10">
        <f>Catalog!Q343</f>
        <v>0</v>
      </c>
      <c r="O369" s="10">
        <f>Catalog!AF343</f>
        <v>0</v>
      </c>
    </row>
    <row r="370" spans="1:15" x14ac:dyDescent="0.25">
      <c r="A370" s="10">
        <f>Catalog!D344</f>
        <v>0</v>
      </c>
      <c r="B370" s="10">
        <f>Catalog!F344</f>
        <v>0</v>
      </c>
      <c r="C370" s="10" t="str">
        <f>IF(Catalog!I344="","",Catalog!I344)&amp;IF(AND(Catalog!I344&lt;&gt;"",Catalog!J344&lt;&gt;""),"; ","")&amp;IF(Catalog!J344="","",Catalog!J344)</f>
        <v/>
      </c>
      <c r="D370" s="10">
        <f>Catalog!P344</f>
        <v>0</v>
      </c>
      <c r="E370" s="10">
        <f>Catalog!R344</f>
        <v>0</v>
      </c>
      <c r="F370" s="10">
        <f>Catalog!M344</f>
        <v>0</v>
      </c>
      <c r="G370" s="10">
        <f>Catalog!K344</f>
        <v>0</v>
      </c>
      <c r="H370" s="10" t="str">
        <f>IF(Catalog!S344&lt;&gt;"","ISBN:"&amp;Catalog!S344,IF(Catalog!T344&lt;&gt;"","ISSN:"&amp;Catalog!T344,""))</f>
        <v/>
      </c>
      <c r="I370" s="10">
        <f>Catalog!B344</f>
        <v>0</v>
      </c>
      <c r="J370" s="10">
        <f>Catalog!L344</f>
        <v>0</v>
      </c>
      <c r="K370" s="10">
        <f>IF(Catalog!AG344&lt;&gt;"",Catalog!AG344,Catalog!AE344)</f>
        <v>0</v>
      </c>
      <c r="L370" s="10">
        <f>Catalog!AD344</f>
        <v>0</v>
      </c>
      <c r="M370" s="10">
        <f>Catalog!V344</f>
        <v>0</v>
      </c>
      <c r="N370" s="10">
        <f>Catalog!Q344</f>
        <v>0</v>
      </c>
      <c r="O370" s="10">
        <f>Catalog!AF344</f>
        <v>0</v>
      </c>
    </row>
    <row r="371" spans="1:15" x14ac:dyDescent="0.25">
      <c r="A371" s="10">
        <f>Catalog!D345</f>
        <v>0</v>
      </c>
      <c r="B371" s="10">
        <f>Catalog!F345</f>
        <v>0</v>
      </c>
      <c r="C371" s="10" t="str">
        <f>IF(Catalog!I345="","",Catalog!I345)&amp;IF(AND(Catalog!I345&lt;&gt;"",Catalog!J345&lt;&gt;""),"; ","")&amp;IF(Catalog!J345="","",Catalog!J345)</f>
        <v/>
      </c>
      <c r="D371" s="10">
        <f>Catalog!P345</f>
        <v>0</v>
      </c>
      <c r="E371" s="10">
        <f>Catalog!R345</f>
        <v>0</v>
      </c>
      <c r="F371" s="10">
        <f>Catalog!M345</f>
        <v>0</v>
      </c>
      <c r="G371" s="10">
        <f>Catalog!K345</f>
        <v>0</v>
      </c>
      <c r="H371" s="10" t="str">
        <f>IF(Catalog!S345&lt;&gt;"","ISBN:"&amp;Catalog!S345,IF(Catalog!T345&lt;&gt;"","ISSN:"&amp;Catalog!T345,""))</f>
        <v/>
      </c>
      <c r="I371" s="10">
        <f>Catalog!B345</f>
        <v>0</v>
      </c>
      <c r="J371" s="10">
        <f>Catalog!L345</f>
        <v>0</v>
      </c>
      <c r="K371" s="10">
        <f>IF(Catalog!AG345&lt;&gt;"",Catalog!AG345,Catalog!AE345)</f>
        <v>0</v>
      </c>
      <c r="L371" s="10">
        <f>Catalog!AD345</f>
        <v>0</v>
      </c>
      <c r="M371" s="10">
        <f>Catalog!V345</f>
        <v>0</v>
      </c>
      <c r="N371" s="10">
        <f>Catalog!Q345</f>
        <v>0</v>
      </c>
      <c r="O371" s="10">
        <f>Catalog!AF345</f>
        <v>0</v>
      </c>
    </row>
    <row r="372" spans="1:15" x14ac:dyDescent="0.25">
      <c r="A372" s="10">
        <f>Catalog!D346</f>
        <v>0</v>
      </c>
      <c r="B372" s="10">
        <f>Catalog!F346</f>
        <v>0</v>
      </c>
      <c r="C372" s="10" t="str">
        <f>IF(Catalog!I346="","",Catalog!I346)&amp;IF(AND(Catalog!I346&lt;&gt;"",Catalog!J346&lt;&gt;""),"; ","")&amp;IF(Catalog!J346="","",Catalog!J346)</f>
        <v/>
      </c>
      <c r="D372" s="10">
        <f>Catalog!P346</f>
        <v>0</v>
      </c>
      <c r="E372" s="10">
        <f>Catalog!R346</f>
        <v>0</v>
      </c>
      <c r="F372" s="10">
        <f>Catalog!M346</f>
        <v>0</v>
      </c>
      <c r="G372" s="10">
        <f>Catalog!K346</f>
        <v>0</v>
      </c>
      <c r="H372" s="10" t="str">
        <f>IF(Catalog!S346&lt;&gt;"","ISBN:"&amp;Catalog!S346,IF(Catalog!T346&lt;&gt;"","ISSN:"&amp;Catalog!T346,""))</f>
        <v/>
      </c>
      <c r="I372" s="10">
        <f>Catalog!B346</f>
        <v>0</v>
      </c>
      <c r="J372" s="10">
        <f>Catalog!L346</f>
        <v>0</v>
      </c>
      <c r="K372" s="10">
        <f>IF(Catalog!AG346&lt;&gt;"",Catalog!AG346,Catalog!AE346)</f>
        <v>0</v>
      </c>
      <c r="L372" s="10">
        <f>Catalog!AD346</f>
        <v>0</v>
      </c>
      <c r="M372" s="10">
        <f>Catalog!V346</f>
        <v>0</v>
      </c>
      <c r="N372" s="10">
        <f>Catalog!Q346</f>
        <v>0</v>
      </c>
      <c r="O372" s="10">
        <f>Catalog!AF346</f>
        <v>0</v>
      </c>
    </row>
    <row r="373" spans="1:15" x14ac:dyDescent="0.25">
      <c r="A373" s="10">
        <f>Catalog!D347</f>
        <v>0</v>
      </c>
      <c r="B373" s="10">
        <f>Catalog!F347</f>
        <v>0</v>
      </c>
      <c r="C373" s="10" t="str">
        <f>IF(Catalog!I347="","",Catalog!I347)&amp;IF(AND(Catalog!I347&lt;&gt;"",Catalog!J347&lt;&gt;""),"; ","")&amp;IF(Catalog!J347="","",Catalog!J347)</f>
        <v/>
      </c>
      <c r="D373" s="10">
        <f>Catalog!P347</f>
        <v>0</v>
      </c>
      <c r="E373" s="10">
        <f>Catalog!R347</f>
        <v>0</v>
      </c>
      <c r="F373" s="10">
        <f>Catalog!M347</f>
        <v>0</v>
      </c>
      <c r="G373" s="10">
        <f>Catalog!K347</f>
        <v>0</v>
      </c>
      <c r="H373" s="10" t="str">
        <f>IF(Catalog!S347&lt;&gt;"","ISBN:"&amp;Catalog!S347,IF(Catalog!T347&lt;&gt;"","ISSN:"&amp;Catalog!T347,""))</f>
        <v/>
      </c>
      <c r="I373" s="10">
        <f>Catalog!B347</f>
        <v>0</v>
      </c>
      <c r="J373" s="10">
        <f>Catalog!L347</f>
        <v>0</v>
      </c>
      <c r="K373" s="10">
        <f>IF(Catalog!AG347&lt;&gt;"",Catalog!AG347,Catalog!AE347)</f>
        <v>0</v>
      </c>
      <c r="L373" s="10">
        <f>Catalog!AD347</f>
        <v>0</v>
      </c>
      <c r="M373" s="10">
        <f>Catalog!V347</f>
        <v>0</v>
      </c>
      <c r="N373" s="10">
        <f>Catalog!Q347</f>
        <v>0</v>
      </c>
      <c r="O373" s="10">
        <f>Catalog!AF347</f>
        <v>0</v>
      </c>
    </row>
    <row r="374" spans="1:15" x14ac:dyDescent="0.25">
      <c r="A374" s="10">
        <f>Catalog!D348</f>
        <v>0</v>
      </c>
      <c r="B374" s="10">
        <f>Catalog!F348</f>
        <v>0</v>
      </c>
      <c r="C374" s="10" t="str">
        <f>IF(Catalog!I348="","",Catalog!I348)&amp;IF(AND(Catalog!I348&lt;&gt;"",Catalog!J348&lt;&gt;""),"; ","")&amp;IF(Catalog!J348="","",Catalog!J348)</f>
        <v/>
      </c>
      <c r="D374" s="10">
        <f>Catalog!P348</f>
        <v>0</v>
      </c>
      <c r="E374" s="10">
        <f>Catalog!R348</f>
        <v>0</v>
      </c>
      <c r="F374" s="10">
        <f>Catalog!M348</f>
        <v>0</v>
      </c>
      <c r="G374" s="10">
        <f>Catalog!K348</f>
        <v>0</v>
      </c>
      <c r="H374" s="10" t="str">
        <f>IF(Catalog!S348&lt;&gt;"","ISBN:"&amp;Catalog!S348,IF(Catalog!T348&lt;&gt;"","ISSN:"&amp;Catalog!T348,""))</f>
        <v/>
      </c>
      <c r="I374" s="10">
        <f>Catalog!B348</f>
        <v>0</v>
      </c>
      <c r="J374" s="10">
        <f>Catalog!L348</f>
        <v>0</v>
      </c>
      <c r="K374" s="10">
        <f>IF(Catalog!AG348&lt;&gt;"",Catalog!AG348,Catalog!AE348)</f>
        <v>0</v>
      </c>
      <c r="L374" s="10">
        <f>Catalog!AD348</f>
        <v>0</v>
      </c>
      <c r="M374" s="10">
        <f>Catalog!V348</f>
        <v>0</v>
      </c>
      <c r="N374" s="10">
        <f>Catalog!Q348</f>
        <v>0</v>
      </c>
      <c r="O374" s="10">
        <f>Catalog!AF348</f>
        <v>0</v>
      </c>
    </row>
    <row r="375" spans="1:15" x14ac:dyDescent="0.25">
      <c r="A375" s="10">
        <f>Catalog!D349</f>
        <v>0</v>
      </c>
      <c r="B375" s="10">
        <f>Catalog!F349</f>
        <v>0</v>
      </c>
      <c r="C375" s="10" t="str">
        <f>IF(Catalog!I349="","",Catalog!I349)&amp;IF(AND(Catalog!I349&lt;&gt;"",Catalog!J349&lt;&gt;""),"; ","")&amp;IF(Catalog!J349="","",Catalog!J349)</f>
        <v/>
      </c>
      <c r="D375" s="10">
        <f>Catalog!P349</f>
        <v>0</v>
      </c>
      <c r="E375" s="10">
        <f>Catalog!R349</f>
        <v>0</v>
      </c>
      <c r="F375" s="10">
        <f>Catalog!M349</f>
        <v>0</v>
      </c>
      <c r="G375" s="10">
        <f>Catalog!K349</f>
        <v>0</v>
      </c>
      <c r="H375" s="10" t="str">
        <f>IF(Catalog!S349&lt;&gt;"","ISBN:"&amp;Catalog!S349,IF(Catalog!T349&lt;&gt;"","ISSN:"&amp;Catalog!T349,""))</f>
        <v/>
      </c>
      <c r="I375" s="10">
        <f>Catalog!B349</f>
        <v>0</v>
      </c>
      <c r="J375" s="10">
        <f>Catalog!L349</f>
        <v>0</v>
      </c>
      <c r="K375" s="10">
        <f>IF(Catalog!AG349&lt;&gt;"",Catalog!AG349,Catalog!AE349)</f>
        <v>0</v>
      </c>
      <c r="L375" s="10">
        <f>Catalog!AD349</f>
        <v>0</v>
      </c>
      <c r="M375" s="10">
        <f>Catalog!V349</f>
        <v>0</v>
      </c>
      <c r="N375" s="10">
        <f>Catalog!Q349</f>
        <v>0</v>
      </c>
      <c r="O375" s="10">
        <f>Catalog!AF349</f>
        <v>0</v>
      </c>
    </row>
    <row r="376" spans="1:15" x14ac:dyDescent="0.25">
      <c r="A376" s="10">
        <f>Catalog!D350</f>
        <v>0</v>
      </c>
      <c r="B376" s="10">
        <f>Catalog!F350</f>
        <v>0</v>
      </c>
      <c r="C376" s="10" t="str">
        <f>IF(Catalog!I350="","",Catalog!I350)&amp;IF(AND(Catalog!I350&lt;&gt;"",Catalog!J350&lt;&gt;""),"; ","")&amp;IF(Catalog!J350="","",Catalog!J350)</f>
        <v/>
      </c>
      <c r="D376" s="10">
        <f>Catalog!P350</f>
        <v>0</v>
      </c>
      <c r="E376" s="10">
        <f>Catalog!R350</f>
        <v>0</v>
      </c>
      <c r="F376" s="10">
        <f>Catalog!M350</f>
        <v>0</v>
      </c>
      <c r="G376" s="10">
        <f>Catalog!K350</f>
        <v>0</v>
      </c>
      <c r="H376" s="10" t="str">
        <f>IF(Catalog!S350&lt;&gt;"","ISBN:"&amp;Catalog!S350,IF(Catalog!T350&lt;&gt;"","ISSN:"&amp;Catalog!T350,""))</f>
        <v/>
      </c>
      <c r="I376" s="10">
        <f>Catalog!B350</f>
        <v>0</v>
      </c>
      <c r="J376" s="10">
        <f>Catalog!L350</f>
        <v>0</v>
      </c>
      <c r="K376" s="10">
        <f>IF(Catalog!AG350&lt;&gt;"",Catalog!AG350,Catalog!AE350)</f>
        <v>0</v>
      </c>
      <c r="L376" s="10">
        <f>Catalog!AD350</f>
        <v>0</v>
      </c>
      <c r="M376" s="10">
        <f>Catalog!V350</f>
        <v>0</v>
      </c>
      <c r="N376" s="10">
        <f>Catalog!Q350</f>
        <v>0</v>
      </c>
      <c r="O376" s="10">
        <f>Catalog!AF350</f>
        <v>0</v>
      </c>
    </row>
    <row r="377" spans="1:15" x14ac:dyDescent="0.25">
      <c r="A377" s="10">
        <f>Catalog!D351</f>
        <v>0</v>
      </c>
      <c r="B377" s="10">
        <f>Catalog!F351</f>
        <v>0</v>
      </c>
      <c r="C377" s="10" t="str">
        <f>IF(Catalog!I351="","",Catalog!I351)&amp;IF(AND(Catalog!I351&lt;&gt;"",Catalog!J351&lt;&gt;""),"; ","")&amp;IF(Catalog!J351="","",Catalog!J351)</f>
        <v/>
      </c>
      <c r="D377" s="10">
        <f>Catalog!P351</f>
        <v>0</v>
      </c>
      <c r="E377" s="10">
        <f>Catalog!R351</f>
        <v>0</v>
      </c>
      <c r="F377" s="10">
        <f>Catalog!M351</f>
        <v>0</v>
      </c>
      <c r="G377" s="10">
        <f>Catalog!K351</f>
        <v>0</v>
      </c>
      <c r="H377" s="10" t="str">
        <f>IF(Catalog!S351&lt;&gt;"","ISBN:"&amp;Catalog!S351,IF(Catalog!T351&lt;&gt;"","ISSN:"&amp;Catalog!T351,""))</f>
        <v/>
      </c>
      <c r="I377" s="10">
        <f>Catalog!B351</f>
        <v>0</v>
      </c>
      <c r="J377" s="10">
        <f>Catalog!L351</f>
        <v>0</v>
      </c>
      <c r="K377" s="10">
        <f>IF(Catalog!AG351&lt;&gt;"",Catalog!AG351,Catalog!AE351)</f>
        <v>0</v>
      </c>
      <c r="L377" s="10">
        <f>Catalog!AD351</f>
        <v>0</v>
      </c>
      <c r="M377" s="10">
        <f>Catalog!V351</f>
        <v>0</v>
      </c>
      <c r="N377" s="10">
        <f>Catalog!Q351</f>
        <v>0</v>
      </c>
      <c r="O377" s="10">
        <f>Catalog!AF351</f>
        <v>0</v>
      </c>
    </row>
    <row r="378" spans="1:15" x14ac:dyDescent="0.25">
      <c r="A378" s="10">
        <f>Catalog!D352</f>
        <v>0</v>
      </c>
      <c r="B378" s="10">
        <f>Catalog!F352</f>
        <v>0</v>
      </c>
      <c r="C378" s="10" t="str">
        <f>IF(Catalog!I352="","",Catalog!I352)&amp;IF(AND(Catalog!I352&lt;&gt;"",Catalog!J352&lt;&gt;""),"; ","")&amp;IF(Catalog!J352="","",Catalog!J352)</f>
        <v/>
      </c>
      <c r="D378" s="10">
        <f>Catalog!P352</f>
        <v>0</v>
      </c>
      <c r="E378" s="10">
        <f>Catalog!R352</f>
        <v>0</v>
      </c>
      <c r="F378" s="10">
        <f>Catalog!M352</f>
        <v>0</v>
      </c>
      <c r="G378" s="10">
        <f>Catalog!K352</f>
        <v>0</v>
      </c>
      <c r="H378" s="10" t="str">
        <f>IF(Catalog!S352&lt;&gt;"","ISBN:"&amp;Catalog!S352,IF(Catalog!T352&lt;&gt;"","ISSN:"&amp;Catalog!T352,""))</f>
        <v/>
      </c>
      <c r="I378" s="10">
        <f>Catalog!B352</f>
        <v>0</v>
      </c>
      <c r="J378" s="10">
        <f>Catalog!L352</f>
        <v>0</v>
      </c>
      <c r="K378" s="10">
        <f>IF(Catalog!AG352&lt;&gt;"",Catalog!AG352,Catalog!AE352)</f>
        <v>0</v>
      </c>
      <c r="L378" s="10">
        <f>Catalog!AD352</f>
        <v>0</v>
      </c>
      <c r="M378" s="10">
        <f>Catalog!V352</f>
        <v>0</v>
      </c>
      <c r="N378" s="10">
        <f>Catalog!Q352</f>
        <v>0</v>
      </c>
      <c r="O378" s="10">
        <f>Catalog!AF352</f>
        <v>0</v>
      </c>
    </row>
    <row r="379" spans="1:15" x14ac:dyDescent="0.25">
      <c r="A379" s="10">
        <f>Catalog!D353</f>
        <v>0</v>
      </c>
      <c r="B379" s="10">
        <f>Catalog!F353</f>
        <v>0</v>
      </c>
      <c r="C379" s="10" t="str">
        <f>IF(Catalog!I353="","",Catalog!I353)&amp;IF(AND(Catalog!I353&lt;&gt;"",Catalog!J353&lt;&gt;""),"; ","")&amp;IF(Catalog!J353="","",Catalog!J353)</f>
        <v/>
      </c>
      <c r="D379" s="10">
        <f>Catalog!P353</f>
        <v>0</v>
      </c>
      <c r="E379" s="10">
        <f>Catalog!R353</f>
        <v>0</v>
      </c>
      <c r="F379" s="10">
        <f>Catalog!M353</f>
        <v>0</v>
      </c>
      <c r="G379" s="10">
        <f>Catalog!K353</f>
        <v>0</v>
      </c>
      <c r="H379" s="10" t="str">
        <f>IF(Catalog!S353&lt;&gt;"","ISBN:"&amp;Catalog!S353,IF(Catalog!T353&lt;&gt;"","ISSN:"&amp;Catalog!T353,""))</f>
        <v/>
      </c>
      <c r="I379" s="10">
        <f>Catalog!B353</f>
        <v>0</v>
      </c>
      <c r="J379" s="10">
        <f>Catalog!L353</f>
        <v>0</v>
      </c>
      <c r="K379" s="10">
        <f>IF(Catalog!AG353&lt;&gt;"",Catalog!AG353,Catalog!AE353)</f>
        <v>0</v>
      </c>
      <c r="L379" s="10">
        <f>Catalog!AD353</f>
        <v>0</v>
      </c>
      <c r="M379" s="10">
        <f>Catalog!V353</f>
        <v>0</v>
      </c>
      <c r="N379" s="10">
        <f>Catalog!Q353</f>
        <v>0</v>
      </c>
      <c r="O379" s="10">
        <f>Catalog!AF353</f>
        <v>0</v>
      </c>
    </row>
    <row r="380" spans="1:15" x14ac:dyDescent="0.25">
      <c r="A380" s="10">
        <f>Catalog!D354</f>
        <v>0</v>
      </c>
      <c r="B380" s="10">
        <f>Catalog!F354</f>
        <v>0</v>
      </c>
      <c r="C380" s="10" t="str">
        <f>IF(Catalog!I354="","",Catalog!I354)&amp;IF(AND(Catalog!I354&lt;&gt;"",Catalog!J354&lt;&gt;""),"; ","")&amp;IF(Catalog!J354="","",Catalog!J354)</f>
        <v/>
      </c>
      <c r="D380" s="10">
        <f>Catalog!P354</f>
        <v>0</v>
      </c>
      <c r="E380" s="10">
        <f>Catalog!R354</f>
        <v>0</v>
      </c>
      <c r="F380" s="10">
        <f>Catalog!M354</f>
        <v>0</v>
      </c>
      <c r="G380" s="10">
        <f>Catalog!K354</f>
        <v>0</v>
      </c>
      <c r="H380" s="10" t="str">
        <f>IF(Catalog!S354&lt;&gt;"","ISBN:"&amp;Catalog!S354,IF(Catalog!T354&lt;&gt;"","ISSN:"&amp;Catalog!T354,""))</f>
        <v/>
      </c>
      <c r="I380" s="10">
        <f>Catalog!B354</f>
        <v>0</v>
      </c>
      <c r="J380" s="10">
        <f>Catalog!L354</f>
        <v>0</v>
      </c>
      <c r="K380" s="10">
        <f>IF(Catalog!AG354&lt;&gt;"",Catalog!AG354,Catalog!AE354)</f>
        <v>0</v>
      </c>
      <c r="L380" s="10">
        <f>Catalog!AD354</f>
        <v>0</v>
      </c>
      <c r="M380" s="10">
        <f>Catalog!V354</f>
        <v>0</v>
      </c>
      <c r="N380" s="10">
        <f>Catalog!Q354</f>
        <v>0</v>
      </c>
      <c r="O380" s="10">
        <f>Catalog!AF354</f>
        <v>0</v>
      </c>
    </row>
    <row r="381" spans="1:15" x14ac:dyDescent="0.25">
      <c r="A381" s="10">
        <f>Catalog!D355</f>
        <v>0</v>
      </c>
      <c r="B381" s="10">
        <f>Catalog!F355</f>
        <v>0</v>
      </c>
      <c r="C381" s="10" t="str">
        <f>IF(Catalog!I355="","",Catalog!I355)&amp;IF(AND(Catalog!I355&lt;&gt;"",Catalog!J355&lt;&gt;""),"; ","")&amp;IF(Catalog!J355="","",Catalog!J355)</f>
        <v/>
      </c>
      <c r="D381" s="10">
        <f>Catalog!P355</f>
        <v>0</v>
      </c>
      <c r="E381" s="10">
        <f>Catalog!R355</f>
        <v>0</v>
      </c>
      <c r="F381" s="10">
        <f>Catalog!M355</f>
        <v>0</v>
      </c>
      <c r="G381" s="10">
        <f>Catalog!K355</f>
        <v>0</v>
      </c>
      <c r="H381" s="10" t="str">
        <f>IF(Catalog!S355&lt;&gt;"","ISBN:"&amp;Catalog!S355,IF(Catalog!T355&lt;&gt;"","ISSN:"&amp;Catalog!T355,""))</f>
        <v/>
      </c>
      <c r="I381" s="10">
        <f>Catalog!B355</f>
        <v>0</v>
      </c>
      <c r="J381" s="10">
        <f>Catalog!L355</f>
        <v>0</v>
      </c>
      <c r="K381" s="10">
        <f>IF(Catalog!AG355&lt;&gt;"",Catalog!AG355,Catalog!AE355)</f>
        <v>0</v>
      </c>
      <c r="L381" s="10">
        <f>Catalog!AD355</f>
        <v>0</v>
      </c>
      <c r="M381" s="10">
        <f>Catalog!V355</f>
        <v>0</v>
      </c>
      <c r="N381" s="10">
        <f>Catalog!Q355</f>
        <v>0</v>
      </c>
      <c r="O381" s="10">
        <f>Catalog!AF355</f>
        <v>0</v>
      </c>
    </row>
    <row r="382" spans="1:15" x14ac:dyDescent="0.25">
      <c r="A382" s="10">
        <f>Catalog!D356</f>
        <v>0</v>
      </c>
      <c r="B382" s="10">
        <f>Catalog!F356</f>
        <v>0</v>
      </c>
      <c r="C382" s="10" t="str">
        <f>IF(Catalog!I356="","",Catalog!I356)&amp;IF(AND(Catalog!I356&lt;&gt;"",Catalog!J356&lt;&gt;""),"; ","")&amp;IF(Catalog!J356="","",Catalog!J356)</f>
        <v/>
      </c>
      <c r="D382" s="10">
        <f>Catalog!P356</f>
        <v>0</v>
      </c>
      <c r="E382" s="10">
        <f>Catalog!R356</f>
        <v>0</v>
      </c>
      <c r="F382" s="10">
        <f>Catalog!M356</f>
        <v>0</v>
      </c>
      <c r="G382" s="10">
        <f>Catalog!K356</f>
        <v>0</v>
      </c>
      <c r="H382" s="10" t="str">
        <f>IF(Catalog!S356&lt;&gt;"","ISBN:"&amp;Catalog!S356,IF(Catalog!T356&lt;&gt;"","ISSN:"&amp;Catalog!T356,""))</f>
        <v/>
      </c>
      <c r="I382" s="10">
        <f>Catalog!B356</f>
        <v>0</v>
      </c>
      <c r="J382" s="10">
        <f>Catalog!L356</f>
        <v>0</v>
      </c>
      <c r="K382" s="10">
        <f>IF(Catalog!AG356&lt;&gt;"",Catalog!AG356,Catalog!AE356)</f>
        <v>0</v>
      </c>
      <c r="L382" s="10">
        <f>Catalog!AD356</f>
        <v>0</v>
      </c>
      <c r="M382" s="10">
        <f>Catalog!V356</f>
        <v>0</v>
      </c>
      <c r="N382" s="10">
        <f>Catalog!Q356</f>
        <v>0</v>
      </c>
      <c r="O382" s="10">
        <f>Catalog!AF356</f>
        <v>0</v>
      </c>
    </row>
    <row r="383" spans="1:15" x14ac:dyDescent="0.25">
      <c r="A383" s="10">
        <f>Catalog!D357</f>
        <v>0</v>
      </c>
      <c r="B383" s="10">
        <f>Catalog!F357</f>
        <v>0</v>
      </c>
      <c r="C383" s="10" t="str">
        <f>IF(Catalog!I357="","",Catalog!I357)&amp;IF(AND(Catalog!I357&lt;&gt;"",Catalog!J357&lt;&gt;""),"; ","")&amp;IF(Catalog!J357="","",Catalog!J357)</f>
        <v/>
      </c>
      <c r="D383" s="10">
        <f>Catalog!P357</f>
        <v>0</v>
      </c>
      <c r="E383" s="10">
        <f>Catalog!R357</f>
        <v>0</v>
      </c>
      <c r="F383" s="10">
        <f>Catalog!M357</f>
        <v>0</v>
      </c>
      <c r="G383" s="10">
        <f>Catalog!K357</f>
        <v>0</v>
      </c>
      <c r="H383" s="10" t="str">
        <f>IF(Catalog!S357&lt;&gt;"","ISBN:"&amp;Catalog!S357,IF(Catalog!T357&lt;&gt;"","ISSN:"&amp;Catalog!T357,""))</f>
        <v/>
      </c>
      <c r="I383" s="10">
        <f>Catalog!B357</f>
        <v>0</v>
      </c>
      <c r="J383" s="10">
        <f>Catalog!L357</f>
        <v>0</v>
      </c>
      <c r="K383" s="10">
        <f>IF(Catalog!AG357&lt;&gt;"",Catalog!AG357,Catalog!AE357)</f>
        <v>0</v>
      </c>
      <c r="L383" s="10">
        <f>Catalog!AD357</f>
        <v>0</v>
      </c>
      <c r="M383" s="10">
        <f>Catalog!V357</f>
        <v>0</v>
      </c>
      <c r="N383" s="10">
        <f>Catalog!Q357</f>
        <v>0</v>
      </c>
      <c r="O383" s="10">
        <f>Catalog!AF357</f>
        <v>0</v>
      </c>
    </row>
    <row r="384" spans="1:15" x14ac:dyDescent="0.25">
      <c r="A384" s="10">
        <f>Catalog!D358</f>
        <v>0</v>
      </c>
      <c r="B384" s="10">
        <f>Catalog!F358</f>
        <v>0</v>
      </c>
      <c r="C384" s="10" t="str">
        <f>IF(Catalog!I358="","",Catalog!I358)&amp;IF(AND(Catalog!I358&lt;&gt;"",Catalog!J358&lt;&gt;""),"; ","")&amp;IF(Catalog!J358="","",Catalog!J358)</f>
        <v/>
      </c>
      <c r="D384" s="10">
        <f>Catalog!P358</f>
        <v>0</v>
      </c>
      <c r="E384" s="10">
        <f>Catalog!R358</f>
        <v>0</v>
      </c>
      <c r="F384" s="10">
        <f>Catalog!M358</f>
        <v>0</v>
      </c>
      <c r="G384" s="10">
        <f>Catalog!K358</f>
        <v>0</v>
      </c>
      <c r="H384" s="10" t="str">
        <f>IF(Catalog!S358&lt;&gt;"","ISBN:"&amp;Catalog!S358,IF(Catalog!T358&lt;&gt;"","ISSN:"&amp;Catalog!T358,""))</f>
        <v/>
      </c>
      <c r="I384" s="10">
        <f>Catalog!B358</f>
        <v>0</v>
      </c>
      <c r="J384" s="10">
        <f>Catalog!L358</f>
        <v>0</v>
      </c>
      <c r="K384" s="10">
        <f>IF(Catalog!AG358&lt;&gt;"",Catalog!AG358,Catalog!AE358)</f>
        <v>0</v>
      </c>
      <c r="L384" s="10">
        <f>Catalog!AD358</f>
        <v>0</v>
      </c>
      <c r="M384" s="10">
        <f>Catalog!V358</f>
        <v>0</v>
      </c>
      <c r="N384" s="10">
        <f>Catalog!Q358</f>
        <v>0</v>
      </c>
      <c r="O384" s="10">
        <f>Catalog!AF358</f>
        <v>0</v>
      </c>
    </row>
    <row r="385" spans="1:15" x14ac:dyDescent="0.25">
      <c r="A385" s="10">
        <f>Catalog!D359</f>
        <v>0</v>
      </c>
      <c r="B385" s="10">
        <f>Catalog!F359</f>
        <v>0</v>
      </c>
      <c r="C385" s="10" t="str">
        <f>IF(Catalog!I359="","",Catalog!I359)&amp;IF(AND(Catalog!I359&lt;&gt;"",Catalog!J359&lt;&gt;""),"; ","")&amp;IF(Catalog!J359="","",Catalog!J359)</f>
        <v/>
      </c>
      <c r="D385" s="10">
        <f>Catalog!P359</f>
        <v>0</v>
      </c>
      <c r="E385" s="10">
        <f>Catalog!R359</f>
        <v>0</v>
      </c>
      <c r="F385" s="10">
        <f>Catalog!M359</f>
        <v>0</v>
      </c>
      <c r="G385" s="10">
        <f>Catalog!K359</f>
        <v>0</v>
      </c>
      <c r="H385" s="10" t="str">
        <f>IF(Catalog!S359&lt;&gt;"","ISBN:"&amp;Catalog!S359,IF(Catalog!T359&lt;&gt;"","ISSN:"&amp;Catalog!T359,""))</f>
        <v/>
      </c>
      <c r="I385" s="10">
        <f>Catalog!B359</f>
        <v>0</v>
      </c>
      <c r="J385" s="10">
        <f>Catalog!L359</f>
        <v>0</v>
      </c>
      <c r="K385" s="10">
        <f>IF(Catalog!AG359&lt;&gt;"",Catalog!AG359,Catalog!AE359)</f>
        <v>0</v>
      </c>
      <c r="L385" s="10">
        <f>Catalog!AD359</f>
        <v>0</v>
      </c>
      <c r="M385" s="10">
        <f>Catalog!V359</f>
        <v>0</v>
      </c>
      <c r="N385" s="10">
        <f>Catalog!Q359</f>
        <v>0</v>
      </c>
      <c r="O385" s="10">
        <f>Catalog!AF359</f>
        <v>0</v>
      </c>
    </row>
    <row r="386" spans="1:15" x14ac:dyDescent="0.25">
      <c r="A386" s="10">
        <f>Catalog!D360</f>
        <v>0</v>
      </c>
      <c r="B386" s="10">
        <f>Catalog!F360</f>
        <v>0</v>
      </c>
      <c r="C386" s="10" t="str">
        <f>IF(Catalog!I360="","",Catalog!I360)&amp;IF(AND(Catalog!I360&lt;&gt;"",Catalog!J360&lt;&gt;""),"; ","")&amp;IF(Catalog!J360="","",Catalog!J360)</f>
        <v/>
      </c>
      <c r="D386" s="10">
        <f>Catalog!P360</f>
        <v>0</v>
      </c>
      <c r="E386" s="10">
        <f>Catalog!R360</f>
        <v>0</v>
      </c>
      <c r="F386" s="10">
        <f>Catalog!M360</f>
        <v>0</v>
      </c>
      <c r="G386" s="10">
        <f>Catalog!K360</f>
        <v>0</v>
      </c>
      <c r="H386" s="10" t="str">
        <f>IF(Catalog!S360&lt;&gt;"","ISBN:"&amp;Catalog!S360,IF(Catalog!T360&lt;&gt;"","ISSN:"&amp;Catalog!T360,""))</f>
        <v/>
      </c>
      <c r="I386" s="10">
        <f>Catalog!B360</f>
        <v>0</v>
      </c>
      <c r="J386" s="10">
        <f>Catalog!L360</f>
        <v>0</v>
      </c>
      <c r="K386" s="10">
        <f>IF(Catalog!AG360&lt;&gt;"",Catalog!AG360,Catalog!AE360)</f>
        <v>0</v>
      </c>
      <c r="L386" s="10">
        <f>Catalog!AD360</f>
        <v>0</v>
      </c>
      <c r="M386" s="10">
        <f>Catalog!V360</f>
        <v>0</v>
      </c>
      <c r="N386" s="10">
        <f>Catalog!Q360</f>
        <v>0</v>
      </c>
      <c r="O386" s="10">
        <f>Catalog!AF360</f>
        <v>0</v>
      </c>
    </row>
    <row r="387" spans="1:15" x14ac:dyDescent="0.25">
      <c r="A387" s="10">
        <f>Catalog!D361</f>
        <v>0</v>
      </c>
      <c r="B387" s="10">
        <f>Catalog!F361</f>
        <v>0</v>
      </c>
      <c r="C387" s="10" t="str">
        <f>IF(Catalog!I361="","",Catalog!I361)&amp;IF(AND(Catalog!I361&lt;&gt;"",Catalog!J361&lt;&gt;""),"; ","")&amp;IF(Catalog!J361="","",Catalog!J361)</f>
        <v/>
      </c>
      <c r="D387" s="10">
        <f>Catalog!P361</f>
        <v>0</v>
      </c>
      <c r="E387" s="10">
        <f>Catalog!R361</f>
        <v>0</v>
      </c>
      <c r="F387" s="10">
        <f>Catalog!M361</f>
        <v>0</v>
      </c>
      <c r="G387" s="10">
        <f>Catalog!K361</f>
        <v>0</v>
      </c>
      <c r="H387" s="10" t="str">
        <f>IF(Catalog!S361&lt;&gt;"","ISBN:"&amp;Catalog!S361,IF(Catalog!T361&lt;&gt;"","ISSN:"&amp;Catalog!T361,""))</f>
        <v/>
      </c>
      <c r="I387" s="10">
        <f>Catalog!B361</f>
        <v>0</v>
      </c>
      <c r="J387" s="10">
        <f>Catalog!L361</f>
        <v>0</v>
      </c>
      <c r="K387" s="10">
        <f>IF(Catalog!AG361&lt;&gt;"",Catalog!AG361,Catalog!AE361)</f>
        <v>0</v>
      </c>
      <c r="L387" s="10">
        <f>Catalog!AD361</f>
        <v>0</v>
      </c>
      <c r="M387" s="10">
        <f>Catalog!V361</f>
        <v>0</v>
      </c>
      <c r="N387" s="10">
        <f>Catalog!Q361</f>
        <v>0</v>
      </c>
      <c r="O387" s="10">
        <f>Catalog!AF361</f>
        <v>0</v>
      </c>
    </row>
    <row r="388" spans="1:15" x14ac:dyDescent="0.25">
      <c r="A388" s="10">
        <f>Catalog!D362</f>
        <v>0</v>
      </c>
      <c r="B388" s="10">
        <f>Catalog!F362</f>
        <v>0</v>
      </c>
      <c r="C388" s="10" t="str">
        <f>IF(Catalog!I362="","",Catalog!I362)&amp;IF(AND(Catalog!I362&lt;&gt;"",Catalog!J362&lt;&gt;""),"; ","")&amp;IF(Catalog!J362="","",Catalog!J362)</f>
        <v/>
      </c>
      <c r="D388" s="10">
        <f>Catalog!P362</f>
        <v>0</v>
      </c>
      <c r="E388" s="10">
        <f>Catalog!R362</f>
        <v>0</v>
      </c>
      <c r="F388" s="10">
        <f>Catalog!M362</f>
        <v>0</v>
      </c>
      <c r="G388" s="10">
        <f>Catalog!K362</f>
        <v>0</v>
      </c>
      <c r="H388" s="10" t="str">
        <f>IF(Catalog!S362&lt;&gt;"","ISBN:"&amp;Catalog!S362,IF(Catalog!T362&lt;&gt;"","ISSN:"&amp;Catalog!T362,""))</f>
        <v/>
      </c>
      <c r="I388" s="10">
        <f>Catalog!B362</f>
        <v>0</v>
      </c>
      <c r="J388" s="10">
        <f>Catalog!L362</f>
        <v>0</v>
      </c>
      <c r="K388" s="10">
        <f>IF(Catalog!AG362&lt;&gt;"",Catalog!AG362,Catalog!AE362)</f>
        <v>0</v>
      </c>
      <c r="L388" s="10">
        <f>Catalog!AD362</f>
        <v>0</v>
      </c>
      <c r="M388" s="10">
        <f>Catalog!V362</f>
        <v>0</v>
      </c>
      <c r="N388" s="10">
        <f>Catalog!Q362</f>
        <v>0</v>
      </c>
      <c r="O388" s="10">
        <f>Catalog!AF362</f>
        <v>0</v>
      </c>
    </row>
    <row r="389" spans="1:15" x14ac:dyDescent="0.25">
      <c r="A389" s="10">
        <f>Catalog!D363</f>
        <v>0</v>
      </c>
      <c r="B389" s="10">
        <f>Catalog!F363</f>
        <v>0</v>
      </c>
      <c r="C389" s="10" t="str">
        <f>IF(Catalog!I363="","",Catalog!I363)&amp;IF(AND(Catalog!I363&lt;&gt;"",Catalog!J363&lt;&gt;""),"; ","")&amp;IF(Catalog!J363="","",Catalog!J363)</f>
        <v/>
      </c>
      <c r="D389" s="10">
        <f>Catalog!P363</f>
        <v>0</v>
      </c>
      <c r="E389" s="10">
        <f>Catalog!R363</f>
        <v>0</v>
      </c>
      <c r="F389" s="10">
        <f>Catalog!M363</f>
        <v>0</v>
      </c>
      <c r="G389" s="10">
        <f>Catalog!K363</f>
        <v>0</v>
      </c>
      <c r="H389" s="10" t="str">
        <f>IF(Catalog!S363&lt;&gt;"","ISBN:"&amp;Catalog!S363,IF(Catalog!T363&lt;&gt;"","ISSN:"&amp;Catalog!T363,""))</f>
        <v/>
      </c>
      <c r="I389" s="10">
        <f>Catalog!B363</f>
        <v>0</v>
      </c>
      <c r="J389" s="10">
        <f>Catalog!L363</f>
        <v>0</v>
      </c>
      <c r="K389" s="10">
        <f>IF(Catalog!AG363&lt;&gt;"",Catalog!AG363,Catalog!AE363)</f>
        <v>0</v>
      </c>
      <c r="L389" s="10">
        <f>Catalog!AD363</f>
        <v>0</v>
      </c>
      <c r="M389" s="10">
        <f>Catalog!V363</f>
        <v>0</v>
      </c>
      <c r="N389" s="10">
        <f>Catalog!Q363</f>
        <v>0</v>
      </c>
      <c r="O389" s="10">
        <f>Catalog!AF363</f>
        <v>0</v>
      </c>
    </row>
    <row r="390" spans="1:15" x14ac:dyDescent="0.25">
      <c r="A390" s="10">
        <f>Catalog!D364</f>
        <v>0</v>
      </c>
      <c r="B390" s="10">
        <f>Catalog!F364</f>
        <v>0</v>
      </c>
      <c r="C390" s="10" t="str">
        <f>IF(Catalog!I364="","",Catalog!I364)&amp;IF(AND(Catalog!I364&lt;&gt;"",Catalog!J364&lt;&gt;""),"; ","")&amp;IF(Catalog!J364="","",Catalog!J364)</f>
        <v/>
      </c>
      <c r="D390" s="10">
        <f>Catalog!P364</f>
        <v>0</v>
      </c>
      <c r="E390" s="10">
        <f>Catalog!R364</f>
        <v>0</v>
      </c>
      <c r="F390" s="10">
        <f>Catalog!M364</f>
        <v>0</v>
      </c>
      <c r="G390" s="10">
        <f>Catalog!K364</f>
        <v>0</v>
      </c>
      <c r="H390" s="10" t="str">
        <f>IF(Catalog!S364&lt;&gt;"","ISBN:"&amp;Catalog!S364,IF(Catalog!T364&lt;&gt;"","ISSN:"&amp;Catalog!T364,""))</f>
        <v/>
      </c>
      <c r="I390" s="10">
        <f>Catalog!B364</f>
        <v>0</v>
      </c>
      <c r="J390" s="10">
        <f>Catalog!L364</f>
        <v>0</v>
      </c>
      <c r="K390" s="10">
        <f>IF(Catalog!AG364&lt;&gt;"",Catalog!AG364,Catalog!AE364)</f>
        <v>0</v>
      </c>
      <c r="L390" s="10">
        <f>Catalog!AD364</f>
        <v>0</v>
      </c>
      <c r="M390" s="10">
        <f>Catalog!V364</f>
        <v>0</v>
      </c>
      <c r="N390" s="10">
        <f>Catalog!Q364</f>
        <v>0</v>
      </c>
      <c r="O390" s="10">
        <f>Catalog!AF364</f>
        <v>0</v>
      </c>
    </row>
    <row r="391" spans="1:15" x14ac:dyDescent="0.25">
      <c r="A391" s="10">
        <f>Catalog!D365</f>
        <v>0</v>
      </c>
      <c r="B391" s="10">
        <f>Catalog!F365</f>
        <v>0</v>
      </c>
      <c r="C391" s="10" t="str">
        <f>IF(Catalog!I365="","",Catalog!I365)&amp;IF(AND(Catalog!I365&lt;&gt;"",Catalog!J365&lt;&gt;""),"; ","")&amp;IF(Catalog!J365="","",Catalog!J365)</f>
        <v/>
      </c>
      <c r="D391" s="10">
        <f>Catalog!P365</f>
        <v>0</v>
      </c>
      <c r="E391" s="10">
        <f>Catalog!R365</f>
        <v>0</v>
      </c>
      <c r="F391" s="10">
        <f>Catalog!M365</f>
        <v>0</v>
      </c>
      <c r="G391" s="10">
        <f>Catalog!K365</f>
        <v>0</v>
      </c>
      <c r="H391" s="10" t="str">
        <f>IF(Catalog!S365&lt;&gt;"","ISBN:"&amp;Catalog!S365,IF(Catalog!T365&lt;&gt;"","ISSN:"&amp;Catalog!T365,""))</f>
        <v/>
      </c>
      <c r="I391" s="10">
        <f>Catalog!B365</f>
        <v>0</v>
      </c>
      <c r="J391" s="10">
        <f>Catalog!L365</f>
        <v>0</v>
      </c>
      <c r="K391" s="10">
        <f>IF(Catalog!AG365&lt;&gt;"",Catalog!AG365,Catalog!AE365)</f>
        <v>0</v>
      </c>
      <c r="L391" s="10">
        <f>Catalog!AD365</f>
        <v>0</v>
      </c>
      <c r="M391" s="10">
        <f>Catalog!V365</f>
        <v>0</v>
      </c>
      <c r="N391" s="10">
        <f>Catalog!Q365</f>
        <v>0</v>
      </c>
      <c r="O391" s="10">
        <f>Catalog!AF365</f>
        <v>0</v>
      </c>
    </row>
    <row r="392" spans="1:15" x14ac:dyDescent="0.25">
      <c r="A392" s="10">
        <f>Catalog!D366</f>
        <v>0</v>
      </c>
      <c r="B392" s="10">
        <f>Catalog!F366</f>
        <v>0</v>
      </c>
      <c r="C392" s="10" t="str">
        <f>IF(Catalog!I366="","",Catalog!I366)&amp;IF(AND(Catalog!I366&lt;&gt;"",Catalog!J366&lt;&gt;""),"; ","")&amp;IF(Catalog!J366="","",Catalog!J366)</f>
        <v/>
      </c>
      <c r="D392" s="10">
        <f>Catalog!P366</f>
        <v>0</v>
      </c>
      <c r="E392" s="10">
        <f>Catalog!R366</f>
        <v>0</v>
      </c>
      <c r="F392" s="10">
        <f>Catalog!M366</f>
        <v>0</v>
      </c>
      <c r="G392" s="10">
        <f>Catalog!K366</f>
        <v>0</v>
      </c>
      <c r="H392" s="10" t="str">
        <f>IF(Catalog!S366&lt;&gt;"","ISBN:"&amp;Catalog!S366,IF(Catalog!T366&lt;&gt;"","ISSN:"&amp;Catalog!T366,""))</f>
        <v/>
      </c>
      <c r="I392" s="10">
        <f>Catalog!B366</f>
        <v>0</v>
      </c>
      <c r="J392" s="10">
        <f>Catalog!L366</f>
        <v>0</v>
      </c>
      <c r="K392" s="10">
        <f>IF(Catalog!AG366&lt;&gt;"",Catalog!AG366,Catalog!AE366)</f>
        <v>0</v>
      </c>
      <c r="L392" s="10">
        <f>Catalog!AD366</f>
        <v>0</v>
      </c>
      <c r="M392" s="10">
        <f>Catalog!V366</f>
        <v>0</v>
      </c>
      <c r="N392" s="10">
        <f>Catalog!Q366</f>
        <v>0</v>
      </c>
      <c r="O392" s="10">
        <f>Catalog!AF366</f>
        <v>0</v>
      </c>
    </row>
    <row r="393" spans="1:15" x14ac:dyDescent="0.25">
      <c r="A393" s="10">
        <f>Catalog!D367</f>
        <v>0</v>
      </c>
      <c r="B393" s="10">
        <f>Catalog!F367</f>
        <v>0</v>
      </c>
      <c r="C393" s="10" t="str">
        <f>IF(Catalog!I367="","",Catalog!I367)&amp;IF(AND(Catalog!I367&lt;&gt;"",Catalog!J367&lt;&gt;""),"; ","")&amp;IF(Catalog!J367="","",Catalog!J367)</f>
        <v/>
      </c>
      <c r="D393" s="10">
        <f>Catalog!P367</f>
        <v>0</v>
      </c>
      <c r="E393" s="10">
        <f>Catalog!R367</f>
        <v>0</v>
      </c>
      <c r="F393" s="10">
        <f>Catalog!M367</f>
        <v>0</v>
      </c>
      <c r="G393" s="10">
        <f>Catalog!K367</f>
        <v>0</v>
      </c>
      <c r="H393" s="10" t="str">
        <f>IF(Catalog!S367&lt;&gt;"","ISBN:"&amp;Catalog!S367,IF(Catalog!T367&lt;&gt;"","ISSN:"&amp;Catalog!T367,""))</f>
        <v/>
      </c>
      <c r="I393" s="10">
        <f>Catalog!B367</f>
        <v>0</v>
      </c>
      <c r="J393" s="10">
        <f>Catalog!L367</f>
        <v>0</v>
      </c>
      <c r="K393" s="10">
        <f>IF(Catalog!AG367&lt;&gt;"",Catalog!AG367,Catalog!AE367)</f>
        <v>0</v>
      </c>
      <c r="L393" s="10">
        <f>Catalog!AD367</f>
        <v>0</v>
      </c>
      <c r="M393" s="10">
        <f>Catalog!V367</f>
        <v>0</v>
      </c>
      <c r="N393" s="10">
        <f>Catalog!Q367</f>
        <v>0</v>
      </c>
      <c r="O393" s="10">
        <f>Catalog!AF367</f>
        <v>0</v>
      </c>
    </row>
    <row r="394" spans="1:15" x14ac:dyDescent="0.25">
      <c r="A394" s="10">
        <f>Catalog!D368</f>
        <v>0</v>
      </c>
      <c r="B394" s="10">
        <f>Catalog!F368</f>
        <v>0</v>
      </c>
      <c r="C394" s="10" t="str">
        <f>IF(Catalog!I368="","",Catalog!I368)&amp;IF(AND(Catalog!I368&lt;&gt;"",Catalog!J368&lt;&gt;""),"; ","")&amp;IF(Catalog!J368="","",Catalog!J368)</f>
        <v/>
      </c>
      <c r="D394" s="10">
        <f>Catalog!P368</f>
        <v>0</v>
      </c>
      <c r="E394" s="10">
        <f>Catalog!R368</f>
        <v>0</v>
      </c>
      <c r="F394" s="10">
        <f>Catalog!M368</f>
        <v>0</v>
      </c>
      <c r="G394" s="10">
        <f>Catalog!K368</f>
        <v>0</v>
      </c>
      <c r="H394" s="10" t="str">
        <f>IF(Catalog!S368&lt;&gt;"","ISBN:"&amp;Catalog!S368,IF(Catalog!T368&lt;&gt;"","ISSN:"&amp;Catalog!T368,""))</f>
        <v/>
      </c>
      <c r="I394" s="10">
        <f>Catalog!B368</f>
        <v>0</v>
      </c>
      <c r="J394" s="10">
        <f>Catalog!L368</f>
        <v>0</v>
      </c>
      <c r="K394" s="10">
        <f>IF(Catalog!AG368&lt;&gt;"",Catalog!AG368,Catalog!AE368)</f>
        <v>0</v>
      </c>
      <c r="L394" s="10">
        <f>Catalog!AD368</f>
        <v>0</v>
      </c>
      <c r="M394" s="10">
        <f>Catalog!V368</f>
        <v>0</v>
      </c>
      <c r="N394" s="10">
        <f>Catalog!Q368</f>
        <v>0</v>
      </c>
      <c r="O394" s="10">
        <f>Catalog!AF368</f>
        <v>0</v>
      </c>
    </row>
    <row r="395" spans="1:15" x14ac:dyDescent="0.25">
      <c r="A395" s="10">
        <f>Catalog!D369</f>
        <v>0</v>
      </c>
      <c r="B395" s="10">
        <f>Catalog!F369</f>
        <v>0</v>
      </c>
      <c r="C395" s="10" t="str">
        <f>IF(Catalog!I369="","",Catalog!I369)&amp;IF(AND(Catalog!I369&lt;&gt;"",Catalog!J369&lt;&gt;""),"; ","")&amp;IF(Catalog!J369="","",Catalog!J369)</f>
        <v/>
      </c>
      <c r="D395" s="10">
        <f>Catalog!P369</f>
        <v>0</v>
      </c>
      <c r="E395" s="10">
        <f>Catalog!R369</f>
        <v>0</v>
      </c>
      <c r="F395" s="10">
        <f>Catalog!M369</f>
        <v>0</v>
      </c>
      <c r="G395" s="10">
        <f>Catalog!K369</f>
        <v>0</v>
      </c>
      <c r="H395" s="10" t="str">
        <f>IF(Catalog!S369&lt;&gt;"","ISBN:"&amp;Catalog!S369,IF(Catalog!T369&lt;&gt;"","ISSN:"&amp;Catalog!T369,""))</f>
        <v/>
      </c>
      <c r="I395" s="10">
        <f>Catalog!B369</f>
        <v>0</v>
      </c>
      <c r="J395" s="10">
        <f>Catalog!L369</f>
        <v>0</v>
      </c>
      <c r="K395" s="10">
        <f>IF(Catalog!AG369&lt;&gt;"",Catalog!AG369,Catalog!AE369)</f>
        <v>0</v>
      </c>
      <c r="L395" s="10">
        <f>Catalog!AD369</f>
        <v>0</v>
      </c>
      <c r="M395" s="10">
        <f>Catalog!V369</f>
        <v>0</v>
      </c>
      <c r="N395" s="10">
        <f>Catalog!Q369</f>
        <v>0</v>
      </c>
      <c r="O395" s="10">
        <f>Catalog!AF369</f>
        <v>0</v>
      </c>
    </row>
    <row r="396" spans="1:15" x14ac:dyDescent="0.25">
      <c r="A396" s="10">
        <f>Catalog!D370</f>
        <v>0</v>
      </c>
      <c r="B396" s="10">
        <f>Catalog!F370</f>
        <v>0</v>
      </c>
      <c r="C396" s="10" t="str">
        <f>IF(Catalog!I370="","",Catalog!I370)&amp;IF(AND(Catalog!I370&lt;&gt;"",Catalog!J370&lt;&gt;""),"; ","")&amp;IF(Catalog!J370="","",Catalog!J370)</f>
        <v/>
      </c>
      <c r="D396" s="10">
        <f>Catalog!P370</f>
        <v>0</v>
      </c>
      <c r="E396" s="10">
        <f>Catalog!R370</f>
        <v>0</v>
      </c>
      <c r="F396" s="10">
        <f>Catalog!M370</f>
        <v>0</v>
      </c>
      <c r="G396" s="10">
        <f>Catalog!K370</f>
        <v>0</v>
      </c>
      <c r="H396" s="10" t="str">
        <f>IF(Catalog!S370&lt;&gt;"","ISBN:"&amp;Catalog!S370,IF(Catalog!T370&lt;&gt;"","ISSN:"&amp;Catalog!T370,""))</f>
        <v/>
      </c>
      <c r="I396" s="10">
        <f>Catalog!B370</f>
        <v>0</v>
      </c>
      <c r="J396" s="10">
        <f>Catalog!L370</f>
        <v>0</v>
      </c>
      <c r="K396" s="10">
        <f>IF(Catalog!AG370&lt;&gt;"",Catalog!AG370,Catalog!AE370)</f>
        <v>0</v>
      </c>
      <c r="L396" s="10">
        <f>Catalog!AD370</f>
        <v>0</v>
      </c>
      <c r="M396" s="10">
        <f>Catalog!V370</f>
        <v>0</v>
      </c>
      <c r="N396" s="10">
        <f>Catalog!Q370</f>
        <v>0</v>
      </c>
      <c r="O396" s="10">
        <f>Catalog!AF370</f>
        <v>0</v>
      </c>
    </row>
    <row r="397" spans="1:15" x14ac:dyDescent="0.25">
      <c r="A397" s="10">
        <f>Catalog!D371</f>
        <v>0</v>
      </c>
      <c r="B397" s="10">
        <f>Catalog!F371</f>
        <v>0</v>
      </c>
      <c r="C397" s="10" t="str">
        <f>IF(Catalog!I371="","",Catalog!I371)&amp;IF(AND(Catalog!I371&lt;&gt;"",Catalog!J371&lt;&gt;""),"; ","")&amp;IF(Catalog!J371="","",Catalog!J371)</f>
        <v/>
      </c>
      <c r="D397" s="10">
        <f>Catalog!P371</f>
        <v>0</v>
      </c>
      <c r="E397" s="10">
        <f>Catalog!R371</f>
        <v>0</v>
      </c>
      <c r="F397" s="10">
        <f>Catalog!M371</f>
        <v>0</v>
      </c>
      <c r="G397" s="10">
        <f>Catalog!K371</f>
        <v>0</v>
      </c>
      <c r="H397" s="10" t="str">
        <f>IF(Catalog!S371&lt;&gt;"","ISBN:"&amp;Catalog!S371,IF(Catalog!T371&lt;&gt;"","ISSN:"&amp;Catalog!T371,""))</f>
        <v/>
      </c>
      <c r="I397" s="10">
        <f>Catalog!B371</f>
        <v>0</v>
      </c>
      <c r="J397" s="10">
        <f>Catalog!L371</f>
        <v>0</v>
      </c>
      <c r="K397" s="10">
        <f>IF(Catalog!AG371&lt;&gt;"",Catalog!AG371,Catalog!AE371)</f>
        <v>0</v>
      </c>
      <c r="L397" s="10">
        <f>Catalog!AD371</f>
        <v>0</v>
      </c>
      <c r="M397" s="10">
        <f>Catalog!V371</f>
        <v>0</v>
      </c>
      <c r="N397" s="10">
        <f>Catalog!Q371</f>
        <v>0</v>
      </c>
      <c r="O397" s="10">
        <f>Catalog!AF371</f>
        <v>0</v>
      </c>
    </row>
    <row r="398" spans="1:15" x14ac:dyDescent="0.25">
      <c r="A398" s="10">
        <f>Catalog!D372</f>
        <v>0</v>
      </c>
      <c r="B398" s="10">
        <f>Catalog!F372</f>
        <v>0</v>
      </c>
      <c r="C398" s="10" t="str">
        <f>IF(Catalog!I372="","",Catalog!I372)&amp;IF(AND(Catalog!I372&lt;&gt;"",Catalog!J372&lt;&gt;""),"; ","")&amp;IF(Catalog!J372="","",Catalog!J372)</f>
        <v/>
      </c>
      <c r="D398" s="10">
        <f>Catalog!P372</f>
        <v>0</v>
      </c>
      <c r="E398" s="10">
        <f>Catalog!R372</f>
        <v>0</v>
      </c>
      <c r="F398" s="10">
        <f>Catalog!M372</f>
        <v>0</v>
      </c>
      <c r="G398" s="10">
        <f>Catalog!K372</f>
        <v>0</v>
      </c>
      <c r="H398" s="10" t="str">
        <f>IF(Catalog!S372&lt;&gt;"","ISBN:"&amp;Catalog!S372,IF(Catalog!T372&lt;&gt;"","ISSN:"&amp;Catalog!T372,""))</f>
        <v/>
      </c>
      <c r="I398" s="10">
        <f>Catalog!B372</f>
        <v>0</v>
      </c>
      <c r="J398" s="10">
        <f>Catalog!L372</f>
        <v>0</v>
      </c>
      <c r="K398" s="10">
        <f>IF(Catalog!AG372&lt;&gt;"",Catalog!AG372,Catalog!AE372)</f>
        <v>0</v>
      </c>
      <c r="L398" s="10">
        <f>Catalog!AD372</f>
        <v>0</v>
      </c>
      <c r="M398" s="10">
        <f>Catalog!V372</f>
        <v>0</v>
      </c>
      <c r="N398" s="10">
        <f>Catalog!Q372</f>
        <v>0</v>
      </c>
      <c r="O398" s="10">
        <f>Catalog!AF372</f>
        <v>0</v>
      </c>
    </row>
    <row r="399" spans="1:15" x14ac:dyDescent="0.25">
      <c r="A399" s="10">
        <f>Catalog!D373</f>
        <v>0</v>
      </c>
      <c r="B399" s="10">
        <f>Catalog!F373</f>
        <v>0</v>
      </c>
      <c r="C399" s="10" t="str">
        <f>IF(Catalog!I373="","",Catalog!I373)&amp;IF(AND(Catalog!I373&lt;&gt;"",Catalog!J373&lt;&gt;""),"; ","")&amp;IF(Catalog!J373="","",Catalog!J373)</f>
        <v/>
      </c>
      <c r="D399" s="10">
        <f>Catalog!P373</f>
        <v>0</v>
      </c>
      <c r="E399" s="10">
        <f>Catalog!R373</f>
        <v>0</v>
      </c>
      <c r="F399" s="10">
        <f>Catalog!M373</f>
        <v>0</v>
      </c>
      <c r="G399" s="10">
        <f>Catalog!K373</f>
        <v>0</v>
      </c>
      <c r="H399" s="10" t="str">
        <f>IF(Catalog!S373&lt;&gt;"","ISBN:"&amp;Catalog!S373,IF(Catalog!T373&lt;&gt;"","ISSN:"&amp;Catalog!T373,""))</f>
        <v/>
      </c>
      <c r="I399" s="10">
        <f>Catalog!B373</f>
        <v>0</v>
      </c>
      <c r="J399" s="10">
        <f>Catalog!L373</f>
        <v>0</v>
      </c>
      <c r="K399" s="10">
        <f>IF(Catalog!AG373&lt;&gt;"",Catalog!AG373,Catalog!AE373)</f>
        <v>0</v>
      </c>
      <c r="L399" s="10">
        <f>Catalog!AD373</f>
        <v>0</v>
      </c>
      <c r="M399" s="10">
        <f>Catalog!V373</f>
        <v>0</v>
      </c>
      <c r="N399" s="10">
        <f>Catalog!Q373</f>
        <v>0</v>
      </c>
      <c r="O399" s="10">
        <f>Catalog!AF373</f>
        <v>0</v>
      </c>
    </row>
    <row r="400" spans="1:15" x14ac:dyDescent="0.25">
      <c r="A400" s="10">
        <f>Catalog!D374</f>
        <v>0</v>
      </c>
      <c r="B400" s="10">
        <f>Catalog!F374</f>
        <v>0</v>
      </c>
      <c r="C400" s="10" t="str">
        <f>IF(Catalog!I374="","",Catalog!I374)&amp;IF(AND(Catalog!I374&lt;&gt;"",Catalog!J374&lt;&gt;""),"; ","")&amp;IF(Catalog!J374="","",Catalog!J374)</f>
        <v/>
      </c>
      <c r="D400" s="10">
        <f>Catalog!P374</f>
        <v>0</v>
      </c>
      <c r="E400" s="10">
        <f>Catalog!R374</f>
        <v>0</v>
      </c>
      <c r="F400" s="10">
        <f>Catalog!M374</f>
        <v>0</v>
      </c>
      <c r="G400" s="10">
        <f>Catalog!K374</f>
        <v>0</v>
      </c>
      <c r="H400" s="10" t="str">
        <f>IF(Catalog!S374&lt;&gt;"","ISBN:"&amp;Catalog!S374,IF(Catalog!T374&lt;&gt;"","ISSN:"&amp;Catalog!T374,""))</f>
        <v/>
      </c>
      <c r="I400" s="10">
        <f>Catalog!B374</f>
        <v>0</v>
      </c>
      <c r="J400" s="10">
        <f>Catalog!L374</f>
        <v>0</v>
      </c>
      <c r="K400" s="10">
        <f>IF(Catalog!AG374&lt;&gt;"",Catalog!AG374,Catalog!AE374)</f>
        <v>0</v>
      </c>
      <c r="L400" s="10">
        <f>Catalog!AD374</f>
        <v>0</v>
      </c>
      <c r="M400" s="10">
        <f>Catalog!V374</f>
        <v>0</v>
      </c>
      <c r="N400" s="10">
        <f>Catalog!Q374</f>
        <v>0</v>
      </c>
      <c r="O400" s="10">
        <f>Catalog!AF374</f>
        <v>0</v>
      </c>
    </row>
    <row r="401" spans="1:15" x14ac:dyDescent="0.25">
      <c r="A401" s="10">
        <f>Catalog!D375</f>
        <v>0</v>
      </c>
      <c r="B401" s="10">
        <f>Catalog!F375</f>
        <v>0</v>
      </c>
      <c r="C401" s="10" t="str">
        <f>IF(Catalog!I375="","",Catalog!I375)&amp;IF(AND(Catalog!I375&lt;&gt;"",Catalog!J375&lt;&gt;""),"; ","")&amp;IF(Catalog!J375="","",Catalog!J375)</f>
        <v/>
      </c>
      <c r="D401" s="10">
        <f>Catalog!P375</f>
        <v>0</v>
      </c>
      <c r="E401" s="10">
        <f>Catalog!R375</f>
        <v>0</v>
      </c>
      <c r="F401" s="10">
        <f>Catalog!M375</f>
        <v>0</v>
      </c>
      <c r="G401" s="10">
        <f>Catalog!K375</f>
        <v>0</v>
      </c>
      <c r="H401" s="10" t="str">
        <f>IF(Catalog!S375&lt;&gt;"","ISBN:"&amp;Catalog!S375,IF(Catalog!T375&lt;&gt;"","ISSN:"&amp;Catalog!T375,""))</f>
        <v/>
      </c>
      <c r="I401" s="10">
        <f>Catalog!B375</f>
        <v>0</v>
      </c>
      <c r="J401" s="10">
        <f>Catalog!L375</f>
        <v>0</v>
      </c>
      <c r="K401" s="10">
        <f>IF(Catalog!AG375&lt;&gt;"",Catalog!AG375,Catalog!AE375)</f>
        <v>0</v>
      </c>
      <c r="L401" s="10">
        <f>Catalog!AD375</f>
        <v>0</v>
      </c>
      <c r="M401" s="10">
        <f>Catalog!V375</f>
        <v>0</v>
      </c>
      <c r="N401" s="10">
        <f>Catalog!Q375</f>
        <v>0</v>
      </c>
      <c r="O401" s="10">
        <f>Catalog!AF375</f>
        <v>0</v>
      </c>
    </row>
    <row r="402" spans="1:15" x14ac:dyDescent="0.25">
      <c r="A402" s="10">
        <f>Catalog!D376</f>
        <v>0</v>
      </c>
      <c r="B402" s="10">
        <f>Catalog!F376</f>
        <v>0</v>
      </c>
      <c r="C402" s="10" t="str">
        <f>IF(Catalog!I376="","",Catalog!I376)&amp;IF(AND(Catalog!I376&lt;&gt;"",Catalog!J376&lt;&gt;""),"; ","")&amp;IF(Catalog!J376="","",Catalog!J376)</f>
        <v/>
      </c>
      <c r="D402" s="10">
        <f>Catalog!P376</f>
        <v>0</v>
      </c>
      <c r="E402" s="10">
        <f>Catalog!R376</f>
        <v>0</v>
      </c>
      <c r="F402" s="10">
        <f>Catalog!M376</f>
        <v>0</v>
      </c>
      <c r="G402" s="10">
        <f>Catalog!K376</f>
        <v>0</v>
      </c>
      <c r="H402" s="10" t="str">
        <f>IF(Catalog!S376&lt;&gt;"","ISBN:"&amp;Catalog!S376,IF(Catalog!T376&lt;&gt;"","ISSN:"&amp;Catalog!T376,""))</f>
        <v/>
      </c>
      <c r="I402" s="10">
        <f>Catalog!B376</f>
        <v>0</v>
      </c>
      <c r="J402" s="10">
        <f>Catalog!L376</f>
        <v>0</v>
      </c>
      <c r="K402" s="10">
        <f>IF(Catalog!AG376&lt;&gt;"",Catalog!AG376,Catalog!AE376)</f>
        <v>0</v>
      </c>
      <c r="L402" s="10">
        <f>Catalog!AD376</f>
        <v>0</v>
      </c>
      <c r="M402" s="10">
        <f>Catalog!V376</f>
        <v>0</v>
      </c>
      <c r="N402" s="10">
        <f>Catalog!Q376</f>
        <v>0</v>
      </c>
      <c r="O402" s="10">
        <f>Catalog!AF376</f>
        <v>0</v>
      </c>
    </row>
    <row r="403" spans="1:15" x14ac:dyDescent="0.25">
      <c r="A403" s="10">
        <f>Catalog!D377</f>
        <v>0</v>
      </c>
      <c r="B403" s="10">
        <f>Catalog!F377</f>
        <v>0</v>
      </c>
      <c r="C403" s="10" t="str">
        <f>IF(Catalog!I377="","",Catalog!I377)&amp;IF(AND(Catalog!I377&lt;&gt;"",Catalog!J377&lt;&gt;""),"; ","")&amp;IF(Catalog!J377="","",Catalog!J377)</f>
        <v/>
      </c>
      <c r="D403" s="10">
        <f>Catalog!P377</f>
        <v>0</v>
      </c>
      <c r="E403" s="10">
        <f>Catalog!R377</f>
        <v>0</v>
      </c>
      <c r="F403" s="10">
        <f>Catalog!M377</f>
        <v>0</v>
      </c>
      <c r="G403" s="10">
        <f>Catalog!K377</f>
        <v>0</v>
      </c>
      <c r="H403" s="10" t="str">
        <f>IF(Catalog!S377&lt;&gt;"","ISBN:"&amp;Catalog!S377,IF(Catalog!T377&lt;&gt;"","ISSN:"&amp;Catalog!T377,""))</f>
        <v/>
      </c>
      <c r="I403" s="10">
        <f>Catalog!B377</f>
        <v>0</v>
      </c>
      <c r="J403" s="10">
        <f>Catalog!L377</f>
        <v>0</v>
      </c>
      <c r="K403" s="10">
        <f>IF(Catalog!AG377&lt;&gt;"",Catalog!AG377,Catalog!AE377)</f>
        <v>0</v>
      </c>
      <c r="L403" s="10">
        <f>Catalog!AD377</f>
        <v>0</v>
      </c>
      <c r="M403" s="10">
        <f>Catalog!V377</f>
        <v>0</v>
      </c>
      <c r="N403" s="10">
        <f>Catalog!Q377</f>
        <v>0</v>
      </c>
      <c r="O403" s="10">
        <f>Catalog!AF377</f>
        <v>0</v>
      </c>
    </row>
    <row r="404" spans="1:15" x14ac:dyDescent="0.25">
      <c r="A404" s="10">
        <f>Catalog!D378</f>
        <v>0</v>
      </c>
      <c r="B404" s="10">
        <f>Catalog!F378</f>
        <v>0</v>
      </c>
      <c r="C404" s="10" t="str">
        <f>IF(Catalog!I378="","",Catalog!I378)&amp;IF(AND(Catalog!I378&lt;&gt;"",Catalog!J378&lt;&gt;""),"; ","")&amp;IF(Catalog!J378="","",Catalog!J378)</f>
        <v/>
      </c>
      <c r="D404" s="10">
        <f>Catalog!P378</f>
        <v>0</v>
      </c>
      <c r="E404" s="10">
        <f>Catalog!R378</f>
        <v>0</v>
      </c>
      <c r="F404" s="10">
        <f>Catalog!M378</f>
        <v>0</v>
      </c>
      <c r="G404" s="10">
        <f>Catalog!K378</f>
        <v>0</v>
      </c>
      <c r="H404" s="10" t="str">
        <f>IF(Catalog!S378&lt;&gt;"","ISBN:"&amp;Catalog!S378,IF(Catalog!T378&lt;&gt;"","ISSN:"&amp;Catalog!T378,""))</f>
        <v/>
      </c>
      <c r="I404" s="10">
        <f>Catalog!B378</f>
        <v>0</v>
      </c>
      <c r="J404" s="10">
        <f>Catalog!L378</f>
        <v>0</v>
      </c>
      <c r="K404" s="10">
        <f>IF(Catalog!AG378&lt;&gt;"",Catalog!AG378,Catalog!AE378)</f>
        <v>0</v>
      </c>
      <c r="L404" s="10">
        <f>Catalog!AD378</f>
        <v>0</v>
      </c>
      <c r="M404" s="10">
        <f>Catalog!V378</f>
        <v>0</v>
      </c>
      <c r="N404" s="10">
        <f>Catalog!Q378</f>
        <v>0</v>
      </c>
      <c r="O404" s="10">
        <f>Catalog!AF378</f>
        <v>0</v>
      </c>
    </row>
    <row r="405" spans="1:15" x14ac:dyDescent="0.25">
      <c r="A405" s="10">
        <f>Catalog!D379</f>
        <v>0</v>
      </c>
      <c r="B405" s="10">
        <f>Catalog!F379</f>
        <v>0</v>
      </c>
      <c r="C405" s="10" t="str">
        <f>IF(Catalog!I379="","",Catalog!I379)&amp;IF(AND(Catalog!I379&lt;&gt;"",Catalog!J379&lt;&gt;""),"; ","")&amp;IF(Catalog!J379="","",Catalog!J379)</f>
        <v/>
      </c>
      <c r="D405" s="10">
        <f>Catalog!P379</f>
        <v>0</v>
      </c>
      <c r="E405" s="10">
        <f>Catalog!R379</f>
        <v>0</v>
      </c>
      <c r="F405" s="10">
        <f>Catalog!M379</f>
        <v>0</v>
      </c>
      <c r="G405" s="10">
        <f>Catalog!K379</f>
        <v>0</v>
      </c>
      <c r="H405" s="10" t="str">
        <f>IF(Catalog!S379&lt;&gt;"","ISBN:"&amp;Catalog!S379,IF(Catalog!T379&lt;&gt;"","ISSN:"&amp;Catalog!T379,""))</f>
        <v/>
      </c>
      <c r="I405" s="10">
        <f>Catalog!B379</f>
        <v>0</v>
      </c>
      <c r="J405" s="10">
        <f>Catalog!L379</f>
        <v>0</v>
      </c>
      <c r="K405" s="10">
        <f>IF(Catalog!AG379&lt;&gt;"",Catalog!AG379,Catalog!AE379)</f>
        <v>0</v>
      </c>
      <c r="L405" s="10">
        <f>Catalog!AD379</f>
        <v>0</v>
      </c>
      <c r="M405" s="10">
        <f>Catalog!V379</f>
        <v>0</v>
      </c>
      <c r="N405" s="10">
        <f>Catalog!Q379</f>
        <v>0</v>
      </c>
      <c r="O405" s="10">
        <f>Catalog!AF379</f>
        <v>0</v>
      </c>
    </row>
    <row r="406" spans="1:15" x14ac:dyDescent="0.25">
      <c r="A406" s="10">
        <f>Catalog!D380</f>
        <v>0</v>
      </c>
      <c r="B406" s="10">
        <f>Catalog!F380</f>
        <v>0</v>
      </c>
      <c r="C406" s="10" t="str">
        <f>IF(Catalog!I380="","",Catalog!I380)&amp;IF(AND(Catalog!I380&lt;&gt;"",Catalog!J380&lt;&gt;""),"; ","")&amp;IF(Catalog!J380="","",Catalog!J380)</f>
        <v/>
      </c>
      <c r="D406" s="10">
        <f>Catalog!P380</f>
        <v>0</v>
      </c>
      <c r="E406" s="10">
        <f>Catalog!R380</f>
        <v>0</v>
      </c>
      <c r="F406" s="10">
        <f>Catalog!M380</f>
        <v>0</v>
      </c>
      <c r="G406" s="10">
        <f>Catalog!K380</f>
        <v>0</v>
      </c>
      <c r="H406" s="10" t="str">
        <f>IF(Catalog!S380&lt;&gt;"","ISBN:"&amp;Catalog!S380,IF(Catalog!T380&lt;&gt;"","ISSN:"&amp;Catalog!T380,""))</f>
        <v/>
      </c>
      <c r="I406" s="10">
        <f>Catalog!B380</f>
        <v>0</v>
      </c>
      <c r="J406" s="10">
        <f>Catalog!L380</f>
        <v>0</v>
      </c>
      <c r="K406" s="10">
        <f>IF(Catalog!AG380&lt;&gt;"",Catalog!AG380,Catalog!AE380)</f>
        <v>0</v>
      </c>
      <c r="L406" s="10">
        <f>Catalog!AD380</f>
        <v>0</v>
      </c>
      <c r="M406" s="10">
        <f>Catalog!V380</f>
        <v>0</v>
      </c>
      <c r="N406" s="10">
        <f>Catalog!Q380</f>
        <v>0</v>
      </c>
      <c r="O406" s="10">
        <f>Catalog!AF380</f>
        <v>0</v>
      </c>
    </row>
    <row r="407" spans="1:15" x14ac:dyDescent="0.25">
      <c r="A407" s="10">
        <f>Catalog!D381</f>
        <v>0</v>
      </c>
      <c r="B407" s="10">
        <f>Catalog!F381</f>
        <v>0</v>
      </c>
      <c r="C407" s="10" t="str">
        <f>IF(Catalog!I381="","",Catalog!I381)&amp;IF(AND(Catalog!I381&lt;&gt;"",Catalog!J381&lt;&gt;""),"; ","")&amp;IF(Catalog!J381="","",Catalog!J381)</f>
        <v/>
      </c>
      <c r="D407" s="10">
        <f>Catalog!P381</f>
        <v>0</v>
      </c>
      <c r="E407" s="10">
        <f>Catalog!R381</f>
        <v>0</v>
      </c>
      <c r="F407" s="10">
        <f>Catalog!M381</f>
        <v>0</v>
      </c>
      <c r="G407" s="10">
        <f>Catalog!K381</f>
        <v>0</v>
      </c>
      <c r="H407" s="10" t="str">
        <f>IF(Catalog!S381&lt;&gt;"","ISBN:"&amp;Catalog!S381,IF(Catalog!T381&lt;&gt;"","ISSN:"&amp;Catalog!T381,""))</f>
        <v/>
      </c>
      <c r="I407" s="10">
        <f>Catalog!B381</f>
        <v>0</v>
      </c>
      <c r="J407" s="10">
        <f>Catalog!L381</f>
        <v>0</v>
      </c>
      <c r="K407" s="10">
        <f>IF(Catalog!AG381&lt;&gt;"",Catalog!AG381,Catalog!AE381)</f>
        <v>0</v>
      </c>
      <c r="L407" s="10">
        <f>Catalog!AD381</f>
        <v>0</v>
      </c>
      <c r="M407" s="10">
        <f>Catalog!V381</f>
        <v>0</v>
      </c>
      <c r="N407" s="10">
        <f>Catalog!Q381</f>
        <v>0</v>
      </c>
      <c r="O407" s="10">
        <f>Catalog!AF381</f>
        <v>0</v>
      </c>
    </row>
    <row r="408" spans="1:15" x14ac:dyDescent="0.25">
      <c r="A408" s="10">
        <f>Catalog!D382</f>
        <v>0</v>
      </c>
      <c r="B408" s="10">
        <f>Catalog!F382</f>
        <v>0</v>
      </c>
      <c r="C408" s="10" t="str">
        <f>IF(Catalog!I382="","",Catalog!I382)&amp;IF(AND(Catalog!I382&lt;&gt;"",Catalog!J382&lt;&gt;""),"; ","")&amp;IF(Catalog!J382="","",Catalog!J382)</f>
        <v/>
      </c>
      <c r="D408" s="10">
        <f>Catalog!P382</f>
        <v>0</v>
      </c>
      <c r="E408" s="10">
        <f>Catalog!R382</f>
        <v>0</v>
      </c>
      <c r="F408" s="10">
        <f>Catalog!M382</f>
        <v>0</v>
      </c>
      <c r="G408" s="10">
        <f>Catalog!K382</f>
        <v>0</v>
      </c>
      <c r="H408" s="10" t="str">
        <f>IF(Catalog!S382&lt;&gt;"","ISBN:"&amp;Catalog!S382,IF(Catalog!T382&lt;&gt;"","ISSN:"&amp;Catalog!T382,""))</f>
        <v/>
      </c>
      <c r="I408" s="10">
        <f>Catalog!B382</f>
        <v>0</v>
      </c>
      <c r="J408" s="10">
        <f>Catalog!L382</f>
        <v>0</v>
      </c>
      <c r="K408" s="10">
        <f>IF(Catalog!AG382&lt;&gt;"",Catalog!AG382,Catalog!AE382)</f>
        <v>0</v>
      </c>
      <c r="L408" s="10">
        <f>Catalog!AD382</f>
        <v>0</v>
      </c>
      <c r="M408" s="10">
        <f>Catalog!V382</f>
        <v>0</v>
      </c>
      <c r="N408" s="10">
        <f>Catalog!Q382</f>
        <v>0</v>
      </c>
      <c r="O408" s="10">
        <f>Catalog!AF382</f>
        <v>0</v>
      </c>
    </row>
    <row r="409" spans="1:15" x14ac:dyDescent="0.25">
      <c r="A409" s="10">
        <f>Catalog!D383</f>
        <v>0</v>
      </c>
      <c r="B409" s="10">
        <f>Catalog!F383</f>
        <v>0</v>
      </c>
      <c r="C409" s="10" t="str">
        <f>IF(Catalog!I383="","",Catalog!I383)&amp;IF(AND(Catalog!I383&lt;&gt;"",Catalog!J383&lt;&gt;""),"; ","")&amp;IF(Catalog!J383="","",Catalog!J383)</f>
        <v/>
      </c>
      <c r="D409" s="10">
        <f>Catalog!P383</f>
        <v>0</v>
      </c>
      <c r="E409" s="10">
        <f>Catalog!R383</f>
        <v>0</v>
      </c>
      <c r="F409" s="10">
        <f>Catalog!M383</f>
        <v>0</v>
      </c>
      <c r="G409" s="10">
        <f>Catalog!K383</f>
        <v>0</v>
      </c>
      <c r="H409" s="10" t="str">
        <f>IF(Catalog!S383&lt;&gt;"","ISBN:"&amp;Catalog!S383,IF(Catalog!T383&lt;&gt;"","ISSN:"&amp;Catalog!T383,""))</f>
        <v/>
      </c>
      <c r="I409" s="10">
        <f>Catalog!B383</f>
        <v>0</v>
      </c>
      <c r="J409" s="10">
        <f>Catalog!L383</f>
        <v>0</v>
      </c>
      <c r="K409" s="10">
        <f>IF(Catalog!AG383&lt;&gt;"",Catalog!AG383,Catalog!AE383)</f>
        <v>0</v>
      </c>
      <c r="L409" s="10">
        <f>Catalog!AD383</f>
        <v>0</v>
      </c>
      <c r="M409" s="10">
        <f>Catalog!V383</f>
        <v>0</v>
      </c>
      <c r="N409" s="10">
        <f>Catalog!Q383</f>
        <v>0</v>
      </c>
      <c r="O409" s="10">
        <f>Catalog!AF383</f>
        <v>0</v>
      </c>
    </row>
    <row r="410" spans="1:15" x14ac:dyDescent="0.25">
      <c r="A410" s="10">
        <f>Catalog!D384</f>
        <v>0</v>
      </c>
      <c r="B410" s="10">
        <f>Catalog!F384</f>
        <v>0</v>
      </c>
      <c r="C410" s="10" t="str">
        <f>IF(Catalog!I384="","",Catalog!I384)&amp;IF(AND(Catalog!I384&lt;&gt;"",Catalog!J384&lt;&gt;""),"; ","")&amp;IF(Catalog!J384="","",Catalog!J384)</f>
        <v/>
      </c>
      <c r="D410" s="10">
        <f>Catalog!P384</f>
        <v>0</v>
      </c>
      <c r="E410" s="10">
        <f>Catalog!R384</f>
        <v>0</v>
      </c>
      <c r="F410" s="10">
        <f>Catalog!M384</f>
        <v>0</v>
      </c>
      <c r="G410" s="10">
        <f>Catalog!K384</f>
        <v>0</v>
      </c>
      <c r="H410" s="10" t="str">
        <f>IF(Catalog!S384&lt;&gt;"","ISBN:"&amp;Catalog!S384,IF(Catalog!T384&lt;&gt;"","ISSN:"&amp;Catalog!T384,""))</f>
        <v/>
      </c>
      <c r="I410" s="10">
        <f>Catalog!B384</f>
        <v>0</v>
      </c>
      <c r="J410" s="10">
        <f>Catalog!L384</f>
        <v>0</v>
      </c>
      <c r="K410" s="10">
        <f>IF(Catalog!AG384&lt;&gt;"",Catalog!AG384,Catalog!AE384)</f>
        <v>0</v>
      </c>
      <c r="L410" s="10">
        <f>Catalog!AD384</f>
        <v>0</v>
      </c>
      <c r="M410" s="10">
        <f>Catalog!V384</f>
        <v>0</v>
      </c>
      <c r="N410" s="10">
        <f>Catalog!Q384</f>
        <v>0</v>
      </c>
      <c r="O410" s="10">
        <f>Catalog!AF384</f>
        <v>0</v>
      </c>
    </row>
    <row r="411" spans="1:15" x14ac:dyDescent="0.25">
      <c r="A411" s="10">
        <f>Catalog!D385</f>
        <v>0</v>
      </c>
      <c r="B411" s="10">
        <f>Catalog!F385</f>
        <v>0</v>
      </c>
      <c r="C411" s="10" t="str">
        <f>IF(Catalog!I385="","",Catalog!I385)&amp;IF(AND(Catalog!I385&lt;&gt;"",Catalog!J385&lt;&gt;""),"; ","")&amp;IF(Catalog!J385="","",Catalog!J385)</f>
        <v/>
      </c>
      <c r="D411" s="10">
        <f>Catalog!P385</f>
        <v>0</v>
      </c>
      <c r="E411" s="10">
        <f>Catalog!R385</f>
        <v>0</v>
      </c>
      <c r="F411" s="10">
        <f>Catalog!M385</f>
        <v>0</v>
      </c>
      <c r="G411" s="10">
        <f>Catalog!K385</f>
        <v>0</v>
      </c>
      <c r="H411" s="10" t="str">
        <f>IF(Catalog!S385&lt;&gt;"","ISBN:"&amp;Catalog!S385,IF(Catalog!T385&lt;&gt;"","ISSN:"&amp;Catalog!T385,""))</f>
        <v/>
      </c>
      <c r="I411" s="10">
        <f>Catalog!B385</f>
        <v>0</v>
      </c>
      <c r="J411" s="10">
        <f>Catalog!L385</f>
        <v>0</v>
      </c>
      <c r="K411" s="10">
        <f>IF(Catalog!AG385&lt;&gt;"",Catalog!AG385,Catalog!AE385)</f>
        <v>0</v>
      </c>
      <c r="L411" s="10">
        <f>Catalog!AD385</f>
        <v>0</v>
      </c>
      <c r="M411" s="10">
        <f>Catalog!V385</f>
        <v>0</v>
      </c>
      <c r="N411" s="10">
        <f>Catalog!Q385</f>
        <v>0</v>
      </c>
      <c r="O411" s="10">
        <f>Catalog!AF385</f>
        <v>0</v>
      </c>
    </row>
    <row r="412" spans="1:15" x14ac:dyDescent="0.25">
      <c r="A412" s="10">
        <f>Catalog!D386</f>
        <v>0</v>
      </c>
      <c r="B412" s="10">
        <f>Catalog!F386</f>
        <v>0</v>
      </c>
      <c r="C412" s="10" t="str">
        <f>IF(Catalog!I386="","",Catalog!I386)&amp;IF(AND(Catalog!I386&lt;&gt;"",Catalog!J386&lt;&gt;""),"; ","")&amp;IF(Catalog!J386="","",Catalog!J386)</f>
        <v/>
      </c>
      <c r="D412" s="10">
        <f>Catalog!P386</f>
        <v>0</v>
      </c>
      <c r="E412" s="10">
        <f>Catalog!R386</f>
        <v>0</v>
      </c>
      <c r="F412" s="10">
        <f>Catalog!M386</f>
        <v>0</v>
      </c>
      <c r="G412" s="10">
        <f>Catalog!K386</f>
        <v>0</v>
      </c>
      <c r="H412" s="10" t="str">
        <f>IF(Catalog!S386&lt;&gt;"","ISBN:"&amp;Catalog!S386,IF(Catalog!T386&lt;&gt;"","ISSN:"&amp;Catalog!T386,""))</f>
        <v/>
      </c>
      <c r="I412" s="10">
        <f>Catalog!B386</f>
        <v>0</v>
      </c>
      <c r="J412" s="10">
        <f>Catalog!L386</f>
        <v>0</v>
      </c>
      <c r="K412" s="10">
        <f>IF(Catalog!AG386&lt;&gt;"",Catalog!AG386,Catalog!AE386)</f>
        <v>0</v>
      </c>
      <c r="L412" s="10">
        <f>Catalog!AD386</f>
        <v>0</v>
      </c>
      <c r="M412" s="10">
        <f>Catalog!V386</f>
        <v>0</v>
      </c>
      <c r="N412" s="10">
        <f>Catalog!Q386</f>
        <v>0</v>
      </c>
      <c r="O412" s="10">
        <f>Catalog!AF386</f>
        <v>0</v>
      </c>
    </row>
    <row r="413" spans="1:15" x14ac:dyDescent="0.25">
      <c r="A413" s="10">
        <f>Catalog!D387</f>
        <v>0</v>
      </c>
      <c r="B413" s="10">
        <f>Catalog!F387</f>
        <v>0</v>
      </c>
      <c r="C413" s="10" t="str">
        <f>IF(Catalog!I387="","",Catalog!I387)&amp;IF(AND(Catalog!I387&lt;&gt;"",Catalog!J387&lt;&gt;""),"; ","")&amp;IF(Catalog!J387="","",Catalog!J387)</f>
        <v/>
      </c>
      <c r="D413" s="10">
        <f>Catalog!P387</f>
        <v>0</v>
      </c>
      <c r="E413" s="10">
        <f>Catalog!R387</f>
        <v>0</v>
      </c>
      <c r="F413" s="10">
        <f>Catalog!M387</f>
        <v>0</v>
      </c>
      <c r="G413" s="10">
        <f>Catalog!K387</f>
        <v>0</v>
      </c>
      <c r="H413" s="10" t="str">
        <f>IF(Catalog!S387&lt;&gt;"","ISBN:"&amp;Catalog!S387,IF(Catalog!T387&lt;&gt;"","ISSN:"&amp;Catalog!T387,""))</f>
        <v/>
      </c>
      <c r="I413" s="10">
        <f>Catalog!B387</f>
        <v>0</v>
      </c>
      <c r="J413" s="10">
        <f>Catalog!L387</f>
        <v>0</v>
      </c>
      <c r="K413" s="10">
        <f>IF(Catalog!AG387&lt;&gt;"",Catalog!AG387,Catalog!AE387)</f>
        <v>0</v>
      </c>
      <c r="L413" s="10">
        <f>Catalog!AD387</f>
        <v>0</v>
      </c>
      <c r="M413" s="10">
        <f>Catalog!V387</f>
        <v>0</v>
      </c>
      <c r="N413" s="10">
        <f>Catalog!Q387</f>
        <v>0</v>
      </c>
      <c r="O413" s="10">
        <f>Catalog!AF387</f>
        <v>0</v>
      </c>
    </row>
    <row r="414" spans="1:15" x14ac:dyDescent="0.25">
      <c r="A414" s="10">
        <f>Catalog!D388</f>
        <v>0</v>
      </c>
      <c r="B414" s="10">
        <f>Catalog!F388</f>
        <v>0</v>
      </c>
      <c r="C414" s="10" t="str">
        <f>IF(Catalog!I388="","",Catalog!I388)&amp;IF(AND(Catalog!I388&lt;&gt;"",Catalog!J388&lt;&gt;""),"; ","")&amp;IF(Catalog!J388="","",Catalog!J388)</f>
        <v/>
      </c>
      <c r="D414" s="10">
        <f>Catalog!P388</f>
        <v>0</v>
      </c>
      <c r="E414" s="10">
        <f>Catalog!R388</f>
        <v>0</v>
      </c>
      <c r="F414" s="10">
        <f>Catalog!M388</f>
        <v>0</v>
      </c>
      <c r="G414" s="10">
        <f>Catalog!K388</f>
        <v>0</v>
      </c>
      <c r="H414" s="10" t="str">
        <f>IF(Catalog!S388&lt;&gt;"","ISBN:"&amp;Catalog!S388,IF(Catalog!T388&lt;&gt;"","ISSN:"&amp;Catalog!T388,""))</f>
        <v/>
      </c>
      <c r="I414" s="10">
        <f>Catalog!B388</f>
        <v>0</v>
      </c>
      <c r="J414" s="10">
        <f>Catalog!L388</f>
        <v>0</v>
      </c>
      <c r="K414" s="10">
        <f>IF(Catalog!AG388&lt;&gt;"",Catalog!AG388,Catalog!AE388)</f>
        <v>0</v>
      </c>
      <c r="L414" s="10">
        <f>Catalog!AD388</f>
        <v>0</v>
      </c>
      <c r="M414" s="10">
        <f>Catalog!V388</f>
        <v>0</v>
      </c>
      <c r="N414" s="10">
        <f>Catalog!Q388</f>
        <v>0</v>
      </c>
      <c r="O414" s="10">
        <f>Catalog!AF388</f>
        <v>0</v>
      </c>
    </row>
    <row r="415" spans="1:15" x14ac:dyDescent="0.25">
      <c r="A415" s="10">
        <f>Catalog!D389</f>
        <v>0</v>
      </c>
      <c r="B415" s="10">
        <f>Catalog!F389</f>
        <v>0</v>
      </c>
      <c r="C415" s="10" t="str">
        <f>IF(Catalog!I389="","",Catalog!I389)&amp;IF(AND(Catalog!I389&lt;&gt;"",Catalog!J389&lt;&gt;""),"; ","")&amp;IF(Catalog!J389="","",Catalog!J389)</f>
        <v/>
      </c>
      <c r="D415" s="10">
        <f>Catalog!P389</f>
        <v>0</v>
      </c>
      <c r="E415" s="10">
        <f>Catalog!R389</f>
        <v>0</v>
      </c>
      <c r="F415" s="10">
        <f>Catalog!M389</f>
        <v>0</v>
      </c>
      <c r="G415" s="10">
        <f>Catalog!K389</f>
        <v>0</v>
      </c>
      <c r="H415" s="10" t="str">
        <f>IF(Catalog!S389&lt;&gt;"","ISBN:"&amp;Catalog!S389,IF(Catalog!T389&lt;&gt;"","ISSN:"&amp;Catalog!T389,""))</f>
        <v/>
      </c>
      <c r="I415" s="10">
        <f>Catalog!B389</f>
        <v>0</v>
      </c>
      <c r="J415" s="10">
        <f>Catalog!L389</f>
        <v>0</v>
      </c>
      <c r="K415" s="10">
        <f>IF(Catalog!AG389&lt;&gt;"",Catalog!AG389,Catalog!AE389)</f>
        <v>0</v>
      </c>
      <c r="L415" s="10">
        <f>Catalog!AD389</f>
        <v>0</v>
      </c>
      <c r="M415" s="10">
        <f>Catalog!V389</f>
        <v>0</v>
      </c>
      <c r="N415" s="10">
        <f>Catalog!Q389</f>
        <v>0</v>
      </c>
      <c r="O415" s="10">
        <f>Catalog!AF389</f>
        <v>0</v>
      </c>
    </row>
    <row r="416" spans="1:15" x14ac:dyDescent="0.25">
      <c r="A416" s="10">
        <f>Catalog!D390</f>
        <v>0</v>
      </c>
      <c r="B416" s="10">
        <f>Catalog!F390</f>
        <v>0</v>
      </c>
      <c r="C416" s="10" t="str">
        <f>IF(Catalog!I390="","",Catalog!I390)&amp;IF(AND(Catalog!I390&lt;&gt;"",Catalog!J390&lt;&gt;""),"; ","")&amp;IF(Catalog!J390="","",Catalog!J390)</f>
        <v/>
      </c>
      <c r="D416" s="10">
        <f>Catalog!P390</f>
        <v>0</v>
      </c>
      <c r="E416" s="10">
        <f>Catalog!R390</f>
        <v>0</v>
      </c>
      <c r="F416" s="10">
        <f>Catalog!M390</f>
        <v>0</v>
      </c>
      <c r="G416" s="10">
        <f>Catalog!K390</f>
        <v>0</v>
      </c>
      <c r="H416" s="10" t="str">
        <f>IF(Catalog!S390&lt;&gt;"","ISBN:"&amp;Catalog!S390,IF(Catalog!T390&lt;&gt;"","ISSN:"&amp;Catalog!T390,""))</f>
        <v/>
      </c>
      <c r="I416" s="10">
        <f>Catalog!B390</f>
        <v>0</v>
      </c>
      <c r="J416" s="10">
        <f>Catalog!L390</f>
        <v>0</v>
      </c>
      <c r="K416" s="10">
        <f>IF(Catalog!AG390&lt;&gt;"",Catalog!AG390,Catalog!AE390)</f>
        <v>0</v>
      </c>
      <c r="L416" s="10">
        <f>Catalog!AD390</f>
        <v>0</v>
      </c>
      <c r="M416" s="10">
        <f>Catalog!V390</f>
        <v>0</v>
      </c>
      <c r="N416" s="10">
        <f>Catalog!Q390</f>
        <v>0</v>
      </c>
      <c r="O416" s="10">
        <f>Catalog!AF390</f>
        <v>0</v>
      </c>
    </row>
    <row r="417" spans="1:15" x14ac:dyDescent="0.25">
      <c r="A417" s="10">
        <f>Catalog!D391</f>
        <v>0</v>
      </c>
      <c r="B417" s="10">
        <f>Catalog!F391</f>
        <v>0</v>
      </c>
      <c r="C417" s="10" t="str">
        <f>IF(Catalog!I391="","",Catalog!I391)&amp;IF(AND(Catalog!I391&lt;&gt;"",Catalog!J391&lt;&gt;""),"; ","")&amp;IF(Catalog!J391="","",Catalog!J391)</f>
        <v/>
      </c>
      <c r="D417" s="10">
        <f>Catalog!P391</f>
        <v>0</v>
      </c>
      <c r="E417" s="10">
        <f>Catalog!R391</f>
        <v>0</v>
      </c>
      <c r="F417" s="10">
        <f>Catalog!M391</f>
        <v>0</v>
      </c>
      <c r="G417" s="10">
        <f>Catalog!K391</f>
        <v>0</v>
      </c>
      <c r="H417" s="10" t="str">
        <f>IF(Catalog!S391&lt;&gt;"","ISBN:"&amp;Catalog!S391,IF(Catalog!T391&lt;&gt;"","ISSN:"&amp;Catalog!T391,""))</f>
        <v/>
      </c>
      <c r="I417" s="10">
        <f>Catalog!B391</f>
        <v>0</v>
      </c>
      <c r="J417" s="10">
        <f>Catalog!L391</f>
        <v>0</v>
      </c>
      <c r="K417" s="10">
        <f>IF(Catalog!AG391&lt;&gt;"",Catalog!AG391,Catalog!AE391)</f>
        <v>0</v>
      </c>
      <c r="L417" s="10">
        <f>Catalog!AD391</f>
        <v>0</v>
      </c>
      <c r="M417" s="10">
        <f>Catalog!V391</f>
        <v>0</v>
      </c>
      <c r="N417" s="10">
        <f>Catalog!Q391</f>
        <v>0</v>
      </c>
      <c r="O417" s="10">
        <f>Catalog!AF391</f>
        <v>0</v>
      </c>
    </row>
    <row r="418" spans="1:15" x14ac:dyDescent="0.25">
      <c r="A418" s="10">
        <f>Catalog!D392</f>
        <v>0</v>
      </c>
      <c r="B418" s="10">
        <f>Catalog!F392</f>
        <v>0</v>
      </c>
      <c r="C418" s="10" t="str">
        <f>IF(Catalog!I392="","",Catalog!I392)&amp;IF(AND(Catalog!I392&lt;&gt;"",Catalog!J392&lt;&gt;""),"; ","")&amp;IF(Catalog!J392="","",Catalog!J392)</f>
        <v/>
      </c>
      <c r="D418" s="10">
        <f>Catalog!P392</f>
        <v>0</v>
      </c>
      <c r="E418" s="10">
        <f>Catalog!R392</f>
        <v>0</v>
      </c>
      <c r="F418" s="10">
        <f>Catalog!M392</f>
        <v>0</v>
      </c>
      <c r="G418" s="10">
        <f>Catalog!K392</f>
        <v>0</v>
      </c>
      <c r="H418" s="10" t="str">
        <f>IF(Catalog!S392&lt;&gt;"","ISBN:"&amp;Catalog!S392,IF(Catalog!T392&lt;&gt;"","ISSN:"&amp;Catalog!T392,""))</f>
        <v/>
      </c>
      <c r="I418" s="10">
        <f>Catalog!B392</f>
        <v>0</v>
      </c>
      <c r="J418" s="10">
        <f>Catalog!L392</f>
        <v>0</v>
      </c>
      <c r="K418" s="10">
        <f>IF(Catalog!AG392&lt;&gt;"",Catalog!AG392,Catalog!AE392)</f>
        <v>0</v>
      </c>
      <c r="L418" s="10">
        <f>Catalog!AD392</f>
        <v>0</v>
      </c>
      <c r="M418" s="10">
        <f>Catalog!V392</f>
        <v>0</v>
      </c>
      <c r="N418" s="10">
        <f>Catalog!Q392</f>
        <v>0</v>
      </c>
      <c r="O418" s="10">
        <f>Catalog!AF392</f>
        <v>0</v>
      </c>
    </row>
    <row r="419" spans="1:15" x14ac:dyDescent="0.25">
      <c r="A419" s="10">
        <f>Catalog!D393</f>
        <v>0</v>
      </c>
      <c r="B419" s="10">
        <f>Catalog!F393</f>
        <v>0</v>
      </c>
      <c r="C419" s="10" t="str">
        <f>IF(Catalog!I393="","",Catalog!I393)&amp;IF(AND(Catalog!I393&lt;&gt;"",Catalog!J393&lt;&gt;""),"; ","")&amp;IF(Catalog!J393="","",Catalog!J393)</f>
        <v/>
      </c>
      <c r="D419" s="10">
        <f>Catalog!P393</f>
        <v>0</v>
      </c>
      <c r="E419" s="10">
        <f>Catalog!R393</f>
        <v>0</v>
      </c>
      <c r="F419" s="10">
        <f>Catalog!M393</f>
        <v>0</v>
      </c>
      <c r="G419" s="10">
        <f>Catalog!K393</f>
        <v>0</v>
      </c>
      <c r="H419" s="10" t="str">
        <f>IF(Catalog!S393&lt;&gt;"","ISBN:"&amp;Catalog!S393,IF(Catalog!T393&lt;&gt;"","ISSN:"&amp;Catalog!T393,""))</f>
        <v/>
      </c>
      <c r="I419" s="10">
        <f>Catalog!B393</f>
        <v>0</v>
      </c>
      <c r="J419" s="10">
        <f>Catalog!L393</f>
        <v>0</v>
      </c>
      <c r="K419" s="10">
        <f>IF(Catalog!AG393&lt;&gt;"",Catalog!AG393,Catalog!AE393)</f>
        <v>0</v>
      </c>
      <c r="L419" s="10">
        <f>Catalog!AD393</f>
        <v>0</v>
      </c>
      <c r="M419" s="10">
        <f>Catalog!V393</f>
        <v>0</v>
      </c>
      <c r="N419" s="10">
        <f>Catalog!Q393</f>
        <v>0</v>
      </c>
      <c r="O419" s="10">
        <f>Catalog!AF393</f>
        <v>0</v>
      </c>
    </row>
    <row r="420" spans="1:15" x14ac:dyDescent="0.25">
      <c r="A420" s="10">
        <f>Catalog!D394</f>
        <v>0</v>
      </c>
      <c r="B420" s="10">
        <f>Catalog!F394</f>
        <v>0</v>
      </c>
      <c r="C420" s="10" t="str">
        <f>IF(Catalog!I394="","",Catalog!I394)&amp;IF(AND(Catalog!I394&lt;&gt;"",Catalog!J394&lt;&gt;""),"; ","")&amp;IF(Catalog!J394="","",Catalog!J394)</f>
        <v/>
      </c>
      <c r="D420" s="10">
        <f>Catalog!P394</f>
        <v>0</v>
      </c>
      <c r="E420" s="10">
        <f>Catalog!R394</f>
        <v>0</v>
      </c>
      <c r="F420" s="10">
        <f>Catalog!M394</f>
        <v>0</v>
      </c>
      <c r="G420" s="10">
        <f>Catalog!K394</f>
        <v>0</v>
      </c>
      <c r="H420" s="10" t="str">
        <f>IF(Catalog!S394&lt;&gt;"","ISBN:"&amp;Catalog!S394,IF(Catalog!T394&lt;&gt;"","ISSN:"&amp;Catalog!T394,""))</f>
        <v/>
      </c>
      <c r="I420" s="10">
        <f>Catalog!B394</f>
        <v>0</v>
      </c>
      <c r="J420" s="10">
        <f>Catalog!L394</f>
        <v>0</v>
      </c>
      <c r="K420" s="10">
        <f>IF(Catalog!AG394&lt;&gt;"",Catalog!AG394,Catalog!AE394)</f>
        <v>0</v>
      </c>
      <c r="L420" s="10">
        <f>Catalog!AD394</f>
        <v>0</v>
      </c>
      <c r="M420" s="10">
        <f>Catalog!V394</f>
        <v>0</v>
      </c>
      <c r="N420" s="10">
        <f>Catalog!Q394</f>
        <v>0</v>
      </c>
      <c r="O420" s="10">
        <f>Catalog!AF394</f>
        <v>0</v>
      </c>
    </row>
    <row r="421" spans="1:15" x14ac:dyDescent="0.25">
      <c r="A421" s="10">
        <f>Catalog!D395</f>
        <v>0</v>
      </c>
      <c r="B421" s="10">
        <f>Catalog!F395</f>
        <v>0</v>
      </c>
      <c r="C421" s="10" t="str">
        <f>IF(Catalog!I395="","",Catalog!I395)&amp;IF(AND(Catalog!I395&lt;&gt;"",Catalog!J395&lt;&gt;""),"; ","")&amp;IF(Catalog!J395="","",Catalog!J395)</f>
        <v/>
      </c>
      <c r="D421" s="10">
        <f>Catalog!P395</f>
        <v>0</v>
      </c>
      <c r="E421" s="10">
        <f>Catalog!R395</f>
        <v>0</v>
      </c>
      <c r="F421" s="10">
        <f>Catalog!M395</f>
        <v>0</v>
      </c>
      <c r="G421" s="10">
        <f>Catalog!K395</f>
        <v>0</v>
      </c>
      <c r="H421" s="10" t="str">
        <f>IF(Catalog!S395&lt;&gt;"","ISBN:"&amp;Catalog!S395,IF(Catalog!T395&lt;&gt;"","ISSN:"&amp;Catalog!T395,""))</f>
        <v/>
      </c>
      <c r="I421" s="10">
        <f>Catalog!B395</f>
        <v>0</v>
      </c>
      <c r="J421" s="10">
        <f>Catalog!L395</f>
        <v>0</v>
      </c>
      <c r="K421" s="10">
        <f>IF(Catalog!AG395&lt;&gt;"",Catalog!AG395,Catalog!AE395)</f>
        <v>0</v>
      </c>
      <c r="L421" s="10">
        <f>Catalog!AD395</f>
        <v>0</v>
      </c>
      <c r="M421" s="10">
        <f>Catalog!V395</f>
        <v>0</v>
      </c>
      <c r="N421" s="10">
        <f>Catalog!Q395</f>
        <v>0</v>
      </c>
      <c r="O421" s="10">
        <f>Catalog!AF395</f>
        <v>0</v>
      </c>
    </row>
    <row r="422" spans="1:15" x14ac:dyDescent="0.25">
      <c r="A422" s="10">
        <f>Catalog!D396</f>
        <v>0</v>
      </c>
      <c r="B422" s="10">
        <f>Catalog!F396</f>
        <v>0</v>
      </c>
      <c r="C422" s="10" t="str">
        <f>IF(Catalog!I396="","",Catalog!I396)&amp;IF(AND(Catalog!I396&lt;&gt;"",Catalog!J396&lt;&gt;""),"; ","")&amp;IF(Catalog!J396="","",Catalog!J396)</f>
        <v/>
      </c>
      <c r="D422" s="10">
        <f>Catalog!P396</f>
        <v>0</v>
      </c>
      <c r="E422" s="10">
        <f>Catalog!R396</f>
        <v>0</v>
      </c>
      <c r="F422" s="10">
        <f>Catalog!M396</f>
        <v>0</v>
      </c>
      <c r="G422" s="10">
        <f>Catalog!K396</f>
        <v>0</v>
      </c>
      <c r="H422" s="10" t="str">
        <f>IF(Catalog!S396&lt;&gt;"","ISBN:"&amp;Catalog!S396,IF(Catalog!T396&lt;&gt;"","ISSN:"&amp;Catalog!T396,""))</f>
        <v/>
      </c>
      <c r="I422" s="10">
        <f>Catalog!B396</f>
        <v>0</v>
      </c>
      <c r="J422" s="10">
        <f>Catalog!L396</f>
        <v>0</v>
      </c>
      <c r="K422" s="10">
        <f>IF(Catalog!AG396&lt;&gt;"",Catalog!AG396,Catalog!AE396)</f>
        <v>0</v>
      </c>
      <c r="L422" s="10">
        <f>Catalog!AD396</f>
        <v>0</v>
      </c>
      <c r="M422" s="10">
        <f>Catalog!V396</f>
        <v>0</v>
      </c>
      <c r="N422" s="10">
        <f>Catalog!Q396</f>
        <v>0</v>
      </c>
      <c r="O422" s="10">
        <f>Catalog!AF396</f>
        <v>0</v>
      </c>
    </row>
    <row r="423" spans="1:15" x14ac:dyDescent="0.25">
      <c r="A423" s="10">
        <f>Catalog!D397</f>
        <v>0</v>
      </c>
      <c r="B423" s="10">
        <f>Catalog!F397</f>
        <v>0</v>
      </c>
      <c r="C423" s="10" t="str">
        <f>IF(Catalog!I397="","",Catalog!I397)&amp;IF(AND(Catalog!I397&lt;&gt;"",Catalog!J397&lt;&gt;""),"; ","")&amp;IF(Catalog!J397="","",Catalog!J397)</f>
        <v/>
      </c>
      <c r="D423" s="10">
        <f>Catalog!P397</f>
        <v>0</v>
      </c>
      <c r="E423" s="10">
        <f>Catalog!R397</f>
        <v>0</v>
      </c>
      <c r="F423" s="10">
        <f>Catalog!M397</f>
        <v>0</v>
      </c>
      <c r="G423" s="10">
        <f>Catalog!K397</f>
        <v>0</v>
      </c>
      <c r="H423" s="10" t="str">
        <f>IF(Catalog!S397&lt;&gt;"","ISBN:"&amp;Catalog!S397,IF(Catalog!T397&lt;&gt;"","ISSN:"&amp;Catalog!T397,""))</f>
        <v/>
      </c>
      <c r="I423" s="10">
        <f>Catalog!B397</f>
        <v>0</v>
      </c>
      <c r="J423" s="10">
        <f>Catalog!L397</f>
        <v>0</v>
      </c>
      <c r="K423" s="10">
        <f>IF(Catalog!AG397&lt;&gt;"",Catalog!AG397,Catalog!AE397)</f>
        <v>0</v>
      </c>
      <c r="L423" s="10">
        <f>Catalog!AD397</f>
        <v>0</v>
      </c>
      <c r="M423" s="10">
        <f>Catalog!V397</f>
        <v>0</v>
      </c>
      <c r="N423" s="10">
        <f>Catalog!Q397</f>
        <v>0</v>
      </c>
      <c r="O423" s="10">
        <f>Catalog!AF397</f>
        <v>0</v>
      </c>
    </row>
    <row r="424" spans="1:15" x14ac:dyDescent="0.25">
      <c r="A424" s="10">
        <f>Catalog!D398</f>
        <v>0</v>
      </c>
      <c r="B424" s="10">
        <f>Catalog!F398</f>
        <v>0</v>
      </c>
      <c r="C424" s="10" t="str">
        <f>IF(Catalog!I398="","",Catalog!I398)&amp;IF(AND(Catalog!I398&lt;&gt;"",Catalog!J398&lt;&gt;""),"; ","")&amp;IF(Catalog!J398="","",Catalog!J398)</f>
        <v/>
      </c>
      <c r="D424" s="10">
        <f>Catalog!P398</f>
        <v>0</v>
      </c>
      <c r="E424" s="10">
        <f>Catalog!R398</f>
        <v>0</v>
      </c>
      <c r="F424" s="10">
        <f>Catalog!M398</f>
        <v>0</v>
      </c>
      <c r="G424" s="10">
        <f>Catalog!K398</f>
        <v>0</v>
      </c>
      <c r="H424" s="10" t="str">
        <f>IF(Catalog!S398&lt;&gt;"","ISBN:"&amp;Catalog!S398,IF(Catalog!T398&lt;&gt;"","ISSN:"&amp;Catalog!T398,""))</f>
        <v/>
      </c>
      <c r="I424" s="10">
        <f>Catalog!B398</f>
        <v>0</v>
      </c>
      <c r="J424" s="10">
        <f>Catalog!L398</f>
        <v>0</v>
      </c>
      <c r="K424" s="10">
        <f>IF(Catalog!AG398&lt;&gt;"",Catalog!AG398,Catalog!AE398)</f>
        <v>0</v>
      </c>
      <c r="L424" s="10">
        <f>Catalog!AD398</f>
        <v>0</v>
      </c>
      <c r="M424" s="10">
        <f>Catalog!V398</f>
        <v>0</v>
      </c>
      <c r="N424" s="10">
        <f>Catalog!Q398</f>
        <v>0</v>
      </c>
      <c r="O424" s="10">
        <f>Catalog!AF398</f>
        <v>0</v>
      </c>
    </row>
    <row r="425" spans="1:15" x14ac:dyDescent="0.25">
      <c r="A425" s="10">
        <f>Catalog!D399</f>
        <v>0</v>
      </c>
      <c r="B425" s="10">
        <f>Catalog!F399</f>
        <v>0</v>
      </c>
      <c r="C425" s="10" t="str">
        <f>IF(Catalog!I399="","",Catalog!I399)&amp;IF(AND(Catalog!I399&lt;&gt;"",Catalog!J399&lt;&gt;""),"; ","")&amp;IF(Catalog!J399="","",Catalog!J399)</f>
        <v/>
      </c>
      <c r="D425" s="10">
        <f>Catalog!P399</f>
        <v>0</v>
      </c>
      <c r="E425" s="10">
        <f>Catalog!R399</f>
        <v>0</v>
      </c>
      <c r="F425" s="10">
        <f>Catalog!M399</f>
        <v>0</v>
      </c>
      <c r="G425" s="10">
        <f>Catalog!K399</f>
        <v>0</v>
      </c>
      <c r="H425" s="10" t="str">
        <f>IF(Catalog!S399&lt;&gt;"","ISBN:"&amp;Catalog!S399,IF(Catalog!T399&lt;&gt;"","ISSN:"&amp;Catalog!T399,""))</f>
        <v/>
      </c>
      <c r="I425" s="10">
        <f>Catalog!B399</f>
        <v>0</v>
      </c>
      <c r="J425" s="10">
        <f>Catalog!L399</f>
        <v>0</v>
      </c>
      <c r="K425" s="10">
        <f>IF(Catalog!AG399&lt;&gt;"",Catalog!AG399,Catalog!AE399)</f>
        <v>0</v>
      </c>
      <c r="L425" s="10">
        <f>Catalog!AD399</f>
        <v>0</v>
      </c>
      <c r="M425" s="10">
        <f>Catalog!V399</f>
        <v>0</v>
      </c>
      <c r="N425" s="10">
        <f>Catalog!Q399</f>
        <v>0</v>
      </c>
      <c r="O425" s="10">
        <f>Catalog!AF399</f>
        <v>0</v>
      </c>
    </row>
    <row r="426" spans="1:15" x14ac:dyDescent="0.25">
      <c r="A426" s="10">
        <f>Catalog!D400</f>
        <v>0</v>
      </c>
      <c r="B426" s="10">
        <f>Catalog!F400</f>
        <v>0</v>
      </c>
      <c r="C426" s="10" t="str">
        <f>IF(Catalog!I400="","",Catalog!I400)&amp;IF(AND(Catalog!I400&lt;&gt;"",Catalog!J400&lt;&gt;""),"; ","")&amp;IF(Catalog!J400="","",Catalog!J400)</f>
        <v/>
      </c>
      <c r="D426" s="10">
        <f>Catalog!P400</f>
        <v>0</v>
      </c>
      <c r="E426" s="10">
        <f>Catalog!R400</f>
        <v>0</v>
      </c>
      <c r="F426" s="10">
        <f>Catalog!M400</f>
        <v>0</v>
      </c>
      <c r="G426" s="10">
        <f>Catalog!K400</f>
        <v>0</v>
      </c>
      <c r="H426" s="10" t="str">
        <f>IF(Catalog!S400&lt;&gt;"","ISBN:"&amp;Catalog!S400,IF(Catalog!T400&lt;&gt;"","ISSN:"&amp;Catalog!T400,""))</f>
        <v/>
      </c>
      <c r="I426" s="10">
        <f>Catalog!B400</f>
        <v>0</v>
      </c>
      <c r="J426" s="10">
        <f>Catalog!L400</f>
        <v>0</v>
      </c>
      <c r="K426" s="10">
        <f>IF(Catalog!AG400&lt;&gt;"",Catalog!AG400,Catalog!AE400)</f>
        <v>0</v>
      </c>
      <c r="L426" s="10">
        <f>Catalog!AD400</f>
        <v>0</v>
      </c>
      <c r="M426" s="10">
        <f>Catalog!V400</f>
        <v>0</v>
      </c>
      <c r="N426" s="10">
        <f>Catalog!Q400</f>
        <v>0</v>
      </c>
      <c r="O426" s="10">
        <f>Catalog!AF400</f>
        <v>0</v>
      </c>
    </row>
    <row r="427" spans="1:15" x14ac:dyDescent="0.25">
      <c r="A427" s="10">
        <f>Catalog!D401</f>
        <v>0</v>
      </c>
      <c r="B427" s="10">
        <f>Catalog!F401</f>
        <v>0</v>
      </c>
      <c r="C427" s="10" t="str">
        <f>IF(Catalog!I401="","",Catalog!I401)&amp;IF(AND(Catalog!I401&lt;&gt;"",Catalog!J401&lt;&gt;""),"; ","")&amp;IF(Catalog!J401="","",Catalog!J401)</f>
        <v/>
      </c>
      <c r="D427" s="10">
        <f>Catalog!P401</f>
        <v>0</v>
      </c>
      <c r="E427" s="10">
        <f>Catalog!R401</f>
        <v>0</v>
      </c>
      <c r="F427" s="10">
        <f>Catalog!M401</f>
        <v>0</v>
      </c>
      <c r="G427" s="10">
        <f>Catalog!K401</f>
        <v>0</v>
      </c>
      <c r="H427" s="10" t="str">
        <f>IF(Catalog!S401&lt;&gt;"","ISBN:"&amp;Catalog!S401,IF(Catalog!T401&lt;&gt;"","ISSN:"&amp;Catalog!T401,""))</f>
        <v/>
      </c>
      <c r="I427" s="10">
        <f>Catalog!B401</f>
        <v>0</v>
      </c>
      <c r="J427" s="10">
        <f>Catalog!L401</f>
        <v>0</v>
      </c>
      <c r="K427" s="10">
        <f>IF(Catalog!AG401&lt;&gt;"",Catalog!AG401,Catalog!AE401)</f>
        <v>0</v>
      </c>
      <c r="L427" s="10">
        <f>Catalog!AD401</f>
        <v>0</v>
      </c>
      <c r="M427" s="10">
        <f>Catalog!V401</f>
        <v>0</v>
      </c>
      <c r="N427" s="10">
        <f>Catalog!Q401</f>
        <v>0</v>
      </c>
      <c r="O427" s="10">
        <f>Catalog!AF401</f>
        <v>0</v>
      </c>
    </row>
    <row r="428" spans="1:15" x14ac:dyDescent="0.25">
      <c r="A428" s="10">
        <f>Catalog!D402</f>
        <v>0</v>
      </c>
      <c r="B428" s="10">
        <f>Catalog!F402</f>
        <v>0</v>
      </c>
      <c r="C428" s="10" t="str">
        <f>IF(Catalog!I402="","",Catalog!I402)&amp;IF(AND(Catalog!I402&lt;&gt;"",Catalog!J402&lt;&gt;""),"; ","")&amp;IF(Catalog!J402="","",Catalog!J402)</f>
        <v/>
      </c>
      <c r="D428" s="10">
        <f>Catalog!P402</f>
        <v>0</v>
      </c>
      <c r="E428" s="10">
        <f>Catalog!R402</f>
        <v>0</v>
      </c>
      <c r="F428" s="10">
        <f>Catalog!M402</f>
        <v>0</v>
      </c>
      <c r="G428" s="10">
        <f>Catalog!K402</f>
        <v>0</v>
      </c>
      <c r="H428" s="10" t="str">
        <f>IF(Catalog!S402&lt;&gt;"","ISBN:"&amp;Catalog!S402,IF(Catalog!T402&lt;&gt;"","ISSN:"&amp;Catalog!T402,""))</f>
        <v/>
      </c>
      <c r="I428" s="10">
        <f>Catalog!B402</f>
        <v>0</v>
      </c>
      <c r="J428" s="10">
        <f>Catalog!L402</f>
        <v>0</v>
      </c>
      <c r="K428" s="10">
        <f>IF(Catalog!AG402&lt;&gt;"",Catalog!AG402,Catalog!AE402)</f>
        <v>0</v>
      </c>
      <c r="L428" s="10">
        <f>Catalog!AD402</f>
        <v>0</v>
      </c>
      <c r="M428" s="10">
        <f>Catalog!V402</f>
        <v>0</v>
      </c>
      <c r="N428" s="10">
        <f>Catalog!Q402</f>
        <v>0</v>
      </c>
      <c r="O428" s="10">
        <f>Catalog!AF402</f>
        <v>0</v>
      </c>
    </row>
    <row r="429" spans="1:15" x14ac:dyDescent="0.25">
      <c r="A429" s="10">
        <f>Catalog!D403</f>
        <v>0</v>
      </c>
      <c r="B429" s="10">
        <f>Catalog!F403</f>
        <v>0</v>
      </c>
      <c r="C429" s="10" t="str">
        <f>IF(Catalog!I403="","",Catalog!I403)&amp;IF(AND(Catalog!I403&lt;&gt;"",Catalog!J403&lt;&gt;""),"; ","")&amp;IF(Catalog!J403="","",Catalog!J403)</f>
        <v/>
      </c>
      <c r="D429" s="10">
        <f>Catalog!P403</f>
        <v>0</v>
      </c>
      <c r="E429" s="10">
        <f>Catalog!R403</f>
        <v>0</v>
      </c>
      <c r="F429" s="10">
        <f>Catalog!M403</f>
        <v>0</v>
      </c>
      <c r="G429" s="10">
        <f>Catalog!K403</f>
        <v>0</v>
      </c>
      <c r="H429" s="10" t="str">
        <f>IF(Catalog!S403&lt;&gt;"","ISBN:"&amp;Catalog!S403,IF(Catalog!T403&lt;&gt;"","ISSN:"&amp;Catalog!T403,""))</f>
        <v/>
      </c>
      <c r="I429" s="10">
        <f>Catalog!B403</f>
        <v>0</v>
      </c>
      <c r="J429" s="10">
        <f>Catalog!L403</f>
        <v>0</v>
      </c>
      <c r="K429" s="10">
        <f>IF(Catalog!AG403&lt;&gt;"",Catalog!AG403,Catalog!AE403)</f>
        <v>0</v>
      </c>
      <c r="L429" s="10">
        <f>Catalog!AD403</f>
        <v>0</v>
      </c>
      <c r="M429" s="10">
        <f>Catalog!V403</f>
        <v>0</v>
      </c>
      <c r="N429" s="10">
        <f>Catalog!Q403</f>
        <v>0</v>
      </c>
      <c r="O429" s="10">
        <f>Catalog!AF403</f>
        <v>0</v>
      </c>
    </row>
    <row r="430" spans="1:15" x14ac:dyDescent="0.25">
      <c r="A430" s="10">
        <f>Catalog!D404</f>
        <v>0</v>
      </c>
      <c r="B430" s="10">
        <f>Catalog!F404</f>
        <v>0</v>
      </c>
      <c r="C430" s="10" t="str">
        <f>IF(Catalog!I404="","",Catalog!I404)&amp;IF(AND(Catalog!I404&lt;&gt;"",Catalog!J404&lt;&gt;""),"; ","")&amp;IF(Catalog!J404="","",Catalog!J404)</f>
        <v/>
      </c>
      <c r="D430" s="10">
        <f>Catalog!P404</f>
        <v>0</v>
      </c>
      <c r="E430" s="10">
        <f>Catalog!R404</f>
        <v>0</v>
      </c>
      <c r="F430" s="10">
        <f>Catalog!M404</f>
        <v>0</v>
      </c>
      <c r="G430" s="10">
        <f>Catalog!K404</f>
        <v>0</v>
      </c>
      <c r="H430" s="10" t="str">
        <f>IF(Catalog!S404&lt;&gt;"","ISBN:"&amp;Catalog!S404,IF(Catalog!T404&lt;&gt;"","ISSN:"&amp;Catalog!T404,""))</f>
        <v/>
      </c>
      <c r="I430" s="10">
        <f>Catalog!B404</f>
        <v>0</v>
      </c>
      <c r="J430" s="10">
        <f>Catalog!L404</f>
        <v>0</v>
      </c>
      <c r="K430" s="10">
        <f>IF(Catalog!AG404&lt;&gt;"",Catalog!AG404,Catalog!AE404)</f>
        <v>0</v>
      </c>
      <c r="L430" s="10">
        <f>Catalog!AD404</f>
        <v>0</v>
      </c>
      <c r="M430" s="10">
        <f>Catalog!V404</f>
        <v>0</v>
      </c>
      <c r="N430" s="10">
        <f>Catalog!Q404</f>
        <v>0</v>
      </c>
      <c r="O430" s="10">
        <f>Catalog!AF404</f>
        <v>0</v>
      </c>
    </row>
    <row r="431" spans="1:15" x14ac:dyDescent="0.25">
      <c r="A431" s="10">
        <f>Catalog!D405</f>
        <v>0</v>
      </c>
      <c r="B431" s="10">
        <f>Catalog!F405</f>
        <v>0</v>
      </c>
      <c r="C431" s="10" t="str">
        <f>IF(Catalog!I405="","",Catalog!I405)&amp;IF(AND(Catalog!I405&lt;&gt;"",Catalog!J405&lt;&gt;""),"; ","")&amp;IF(Catalog!J405="","",Catalog!J405)</f>
        <v/>
      </c>
      <c r="D431" s="10">
        <f>Catalog!P405</f>
        <v>0</v>
      </c>
      <c r="E431" s="10">
        <f>Catalog!R405</f>
        <v>0</v>
      </c>
      <c r="F431" s="10">
        <f>Catalog!M405</f>
        <v>0</v>
      </c>
      <c r="G431" s="10">
        <f>Catalog!K405</f>
        <v>0</v>
      </c>
      <c r="H431" s="10" t="str">
        <f>IF(Catalog!S405&lt;&gt;"","ISBN:"&amp;Catalog!S405,IF(Catalog!T405&lt;&gt;"","ISSN:"&amp;Catalog!T405,""))</f>
        <v/>
      </c>
      <c r="I431" s="10">
        <f>Catalog!B405</f>
        <v>0</v>
      </c>
      <c r="J431" s="10">
        <f>Catalog!L405</f>
        <v>0</v>
      </c>
      <c r="K431" s="10">
        <f>IF(Catalog!AG405&lt;&gt;"",Catalog!AG405,Catalog!AE405)</f>
        <v>0</v>
      </c>
      <c r="L431" s="10">
        <f>Catalog!AD405</f>
        <v>0</v>
      </c>
      <c r="M431" s="10">
        <f>Catalog!V405</f>
        <v>0</v>
      </c>
      <c r="N431" s="10">
        <f>Catalog!Q405</f>
        <v>0</v>
      </c>
      <c r="O431" s="10">
        <f>Catalog!AF405</f>
        <v>0</v>
      </c>
    </row>
    <row r="432" spans="1:15" x14ac:dyDescent="0.25">
      <c r="A432" s="10">
        <f>Catalog!D406</f>
        <v>0</v>
      </c>
      <c r="B432" s="10">
        <f>Catalog!F406</f>
        <v>0</v>
      </c>
      <c r="C432" s="10" t="str">
        <f>IF(Catalog!I406="","",Catalog!I406)&amp;IF(AND(Catalog!I406&lt;&gt;"",Catalog!J406&lt;&gt;""),"; ","")&amp;IF(Catalog!J406="","",Catalog!J406)</f>
        <v/>
      </c>
      <c r="D432" s="10">
        <f>Catalog!P406</f>
        <v>0</v>
      </c>
      <c r="E432" s="10">
        <f>Catalog!R406</f>
        <v>0</v>
      </c>
      <c r="F432" s="10">
        <f>Catalog!M406</f>
        <v>0</v>
      </c>
      <c r="G432" s="10">
        <f>Catalog!K406</f>
        <v>0</v>
      </c>
      <c r="H432" s="10" t="str">
        <f>IF(Catalog!S406&lt;&gt;"","ISBN:"&amp;Catalog!S406,IF(Catalog!T406&lt;&gt;"","ISSN:"&amp;Catalog!T406,""))</f>
        <v/>
      </c>
      <c r="I432" s="10">
        <f>Catalog!B406</f>
        <v>0</v>
      </c>
      <c r="J432" s="10">
        <f>Catalog!L406</f>
        <v>0</v>
      </c>
      <c r="K432" s="10">
        <f>IF(Catalog!AG406&lt;&gt;"",Catalog!AG406,Catalog!AE406)</f>
        <v>0</v>
      </c>
      <c r="L432" s="10">
        <f>Catalog!AD406</f>
        <v>0</v>
      </c>
      <c r="M432" s="10">
        <f>Catalog!V406</f>
        <v>0</v>
      </c>
      <c r="N432" s="10">
        <f>Catalog!Q406</f>
        <v>0</v>
      </c>
      <c r="O432" s="10">
        <f>Catalog!AF406</f>
        <v>0</v>
      </c>
    </row>
    <row r="433" spans="1:15" x14ac:dyDescent="0.25">
      <c r="A433" s="10">
        <f>Catalog!D407</f>
        <v>0</v>
      </c>
      <c r="B433" s="10">
        <f>Catalog!F407</f>
        <v>0</v>
      </c>
      <c r="C433" s="10" t="str">
        <f>IF(Catalog!I407="","",Catalog!I407)&amp;IF(AND(Catalog!I407&lt;&gt;"",Catalog!J407&lt;&gt;""),"; ","")&amp;IF(Catalog!J407="","",Catalog!J407)</f>
        <v/>
      </c>
      <c r="D433" s="10">
        <f>Catalog!P407</f>
        <v>0</v>
      </c>
      <c r="E433" s="10">
        <f>Catalog!R407</f>
        <v>0</v>
      </c>
      <c r="F433" s="10">
        <f>Catalog!M407</f>
        <v>0</v>
      </c>
      <c r="G433" s="10">
        <f>Catalog!K407</f>
        <v>0</v>
      </c>
      <c r="H433" s="10" t="str">
        <f>IF(Catalog!S407&lt;&gt;"","ISBN:"&amp;Catalog!S407,IF(Catalog!T407&lt;&gt;"","ISSN:"&amp;Catalog!T407,""))</f>
        <v/>
      </c>
      <c r="I433" s="10">
        <f>Catalog!B407</f>
        <v>0</v>
      </c>
      <c r="J433" s="10">
        <f>Catalog!L407</f>
        <v>0</v>
      </c>
      <c r="K433" s="10">
        <f>IF(Catalog!AG407&lt;&gt;"",Catalog!AG407,Catalog!AE407)</f>
        <v>0</v>
      </c>
      <c r="L433" s="10">
        <f>Catalog!AD407</f>
        <v>0</v>
      </c>
      <c r="M433" s="10">
        <f>Catalog!V407</f>
        <v>0</v>
      </c>
      <c r="N433" s="10">
        <f>Catalog!Q407</f>
        <v>0</v>
      </c>
      <c r="O433" s="10">
        <f>Catalog!AF407</f>
        <v>0</v>
      </c>
    </row>
    <row r="434" spans="1:15" x14ac:dyDescent="0.25">
      <c r="A434" s="10">
        <f>Catalog!D408</f>
        <v>0</v>
      </c>
      <c r="B434" s="10">
        <f>Catalog!F408</f>
        <v>0</v>
      </c>
      <c r="C434" s="10" t="str">
        <f>IF(Catalog!I408="","",Catalog!I408)&amp;IF(AND(Catalog!I408&lt;&gt;"",Catalog!J408&lt;&gt;""),"; ","")&amp;IF(Catalog!J408="","",Catalog!J408)</f>
        <v/>
      </c>
      <c r="D434" s="10">
        <f>Catalog!P408</f>
        <v>0</v>
      </c>
      <c r="E434" s="10">
        <f>Catalog!R408</f>
        <v>0</v>
      </c>
      <c r="F434" s="10">
        <f>Catalog!M408</f>
        <v>0</v>
      </c>
      <c r="G434" s="10">
        <f>Catalog!K408</f>
        <v>0</v>
      </c>
      <c r="H434" s="10" t="str">
        <f>IF(Catalog!S408&lt;&gt;"","ISBN:"&amp;Catalog!S408,IF(Catalog!T408&lt;&gt;"","ISSN:"&amp;Catalog!T408,""))</f>
        <v/>
      </c>
      <c r="I434" s="10">
        <f>Catalog!B408</f>
        <v>0</v>
      </c>
      <c r="J434" s="10">
        <f>Catalog!L408</f>
        <v>0</v>
      </c>
      <c r="K434" s="10">
        <f>IF(Catalog!AG408&lt;&gt;"",Catalog!AG408,Catalog!AE408)</f>
        <v>0</v>
      </c>
      <c r="L434" s="10">
        <f>Catalog!AD408</f>
        <v>0</v>
      </c>
      <c r="M434" s="10">
        <f>Catalog!V408</f>
        <v>0</v>
      </c>
      <c r="N434" s="10">
        <f>Catalog!Q408</f>
        <v>0</v>
      </c>
      <c r="O434" s="10">
        <f>Catalog!AF408</f>
        <v>0</v>
      </c>
    </row>
    <row r="435" spans="1:15" x14ac:dyDescent="0.25">
      <c r="A435" s="10">
        <f>Catalog!D409</f>
        <v>0</v>
      </c>
      <c r="B435" s="10">
        <f>Catalog!F409</f>
        <v>0</v>
      </c>
      <c r="C435" s="10" t="str">
        <f>IF(Catalog!I409="","",Catalog!I409)&amp;IF(AND(Catalog!I409&lt;&gt;"",Catalog!J409&lt;&gt;""),"; ","")&amp;IF(Catalog!J409="","",Catalog!J409)</f>
        <v/>
      </c>
      <c r="D435" s="10">
        <f>Catalog!P409</f>
        <v>0</v>
      </c>
      <c r="E435" s="10">
        <f>Catalog!R409</f>
        <v>0</v>
      </c>
      <c r="F435" s="10">
        <f>Catalog!M409</f>
        <v>0</v>
      </c>
      <c r="G435" s="10">
        <f>Catalog!K409</f>
        <v>0</v>
      </c>
      <c r="H435" s="10" t="str">
        <f>IF(Catalog!S409&lt;&gt;"","ISBN:"&amp;Catalog!S409,IF(Catalog!T409&lt;&gt;"","ISSN:"&amp;Catalog!T409,""))</f>
        <v/>
      </c>
      <c r="I435" s="10">
        <f>Catalog!B409</f>
        <v>0</v>
      </c>
      <c r="J435" s="10">
        <f>Catalog!L409</f>
        <v>0</v>
      </c>
      <c r="K435" s="10">
        <f>IF(Catalog!AG409&lt;&gt;"",Catalog!AG409,Catalog!AE409)</f>
        <v>0</v>
      </c>
      <c r="L435" s="10">
        <f>Catalog!AD409</f>
        <v>0</v>
      </c>
      <c r="M435" s="10">
        <f>Catalog!V409</f>
        <v>0</v>
      </c>
      <c r="N435" s="10">
        <f>Catalog!Q409</f>
        <v>0</v>
      </c>
      <c r="O435" s="10">
        <f>Catalog!AF409</f>
        <v>0</v>
      </c>
    </row>
    <row r="436" spans="1:15" x14ac:dyDescent="0.25">
      <c r="A436" s="10">
        <f>Catalog!D410</f>
        <v>0</v>
      </c>
      <c r="B436" s="10">
        <f>Catalog!F410</f>
        <v>0</v>
      </c>
      <c r="C436" s="10" t="str">
        <f>IF(Catalog!I410="","",Catalog!I410)&amp;IF(AND(Catalog!I410&lt;&gt;"",Catalog!J410&lt;&gt;""),"; ","")&amp;IF(Catalog!J410="","",Catalog!J410)</f>
        <v/>
      </c>
      <c r="D436" s="10">
        <f>Catalog!P410</f>
        <v>0</v>
      </c>
      <c r="E436" s="10">
        <f>Catalog!R410</f>
        <v>0</v>
      </c>
      <c r="F436" s="10">
        <f>Catalog!M410</f>
        <v>0</v>
      </c>
      <c r="G436" s="10">
        <f>Catalog!K410</f>
        <v>0</v>
      </c>
      <c r="H436" s="10" t="str">
        <f>IF(Catalog!S410&lt;&gt;"","ISBN:"&amp;Catalog!S410,IF(Catalog!T410&lt;&gt;"","ISSN:"&amp;Catalog!T410,""))</f>
        <v/>
      </c>
      <c r="I436" s="10">
        <f>Catalog!B410</f>
        <v>0</v>
      </c>
      <c r="J436" s="10">
        <f>Catalog!L410</f>
        <v>0</v>
      </c>
      <c r="K436" s="10">
        <f>IF(Catalog!AG410&lt;&gt;"",Catalog!AG410,Catalog!AE410)</f>
        <v>0</v>
      </c>
      <c r="L436" s="10">
        <f>Catalog!AD410</f>
        <v>0</v>
      </c>
      <c r="M436" s="10">
        <f>Catalog!V410</f>
        <v>0</v>
      </c>
      <c r="N436" s="10">
        <f>Catalog!Q410</f>
        <v>0</v>
      </c>
      <c r="O436" s="10">
        <f>Catalog!AF410</f>
        <v>0</v>
      </c>
    </row>
    <row r="437" spans="1:15" x14ac:dyDescent="0.25">
      <c r="A437" s="10">
        <f>Catalog!D411</f>
        <v>0</v>
      </c>
      <c r="B437" s="10">
        <f>Catalog!F411</f>
        <v>0</v>
      </c>
      <c r="C437" s="10" t="str">
        <f>IF(Catalog!I411="","",Catalog!I411)&amp;IF(AND(Catalog!I411&lt;&gt;"",Catalog!J411&lt;&gt;""),"; ","")&amp;IF(Catalog!J411="","",Catalog!J411)</f>
        <v/>
      </c>
      <c r="D437" s="10">
        <f>Catalog!P411</f>
        <v>0</v>
      </c>
      <c r="E437" s="10">
        <f>Catalog!R411</f>
        <v>0</v>
      </c>
      <c r="F437" s="10">
        <f>Catalog!M411</f>
        <v>0</v>
      </c>
      <c r="G437" s="10">
        <f>Catalog!K411</f>
        <v>0</v>
      </c>
      <c r="H437" s="10" t="str">
        <f>IF(Catalog!S411&lt;&gt;"","ISBN:"&amp;Catalog!S411,IF(Catalog!T411&lt;&gt;"","ISSN:"&amp;Catalog!T411,""))</f>
        <v/>
      </c>
      <c r="I437" s="10">
        <f>Catalog!B411</f>
        <v>0</v>
      </c>
      <c r="J437" s="10">
        <f>Catalog!L411</f>
        <v>0</v>
      </c>
      <c r="K437" s="10">
        <f>IF(Catalog!AG411&lt;&gt;"",Catalog!AG411,Catalog!AE411)</f>
        <v>0</v>
      </c>
      <c r="L437" s="10">
        <f>Catalog!AD411</f>
        <v>0</v>
      </c>
      <c r="M437" s="10">
        <f>Catalog!V411</f>
        <v>0</v>
      </c>
      <c r="N437" s="10">
        <f>Catalog!Q411</f>
        <v>0</v>
      </c>
      <c r="O437" s="10">
        <f>Catalog!AF411</f>
        <v>0</v>
      </c>
    </row>
    <row r="438" spans="1:15" x14ac:dyDescent="0.25">
      <c r="A438" s="10">
        <f>Catalog!D412</f>
        <v>0</v>
      </c>
      <c r="B438" s="10">
        <f>Catalog!F412</f>
        <v>0</v>
      </c>
      <c r="C438" s="10" t="str">
        <f>IF(Catalog!I412="","",Catalog!I412)&amp;IF(AND(Catalog!I412&lt;&gt;"",Catalog!J412&lt;&gt;""),"; ","")&amp;IF(Catalog!J412="","",Catalog!J412)</f>
        <v/>
      </c>
      <c r="D438" s="10">
        <f>Catalog!P412</f>
        <v>0</v>
      </c>
      <c r="E438" s="10">
        <f>Catalog!R412</f>
        <v>0</v>
      </c>
      <c r="F438" s="10">
        <f>Catalog!M412</f>
        <v>0</v>
      </c>
      <c r="G438" s="10">
        <f>Catalog!K412</f>
        <v>0</v>
      </c>
      <c r="H438" s="10" t="str">
        <f>IF(Catalog!S412&lt;&gt;"","ISBN:"&amp;Catalog!S412,IF(Catalog!T412&lt;&gt;"","ISSN:"&amp;Catalog!T412,""))</f>
        <v/>
      </c>
      <c r="I438" s="10">
        <f>Catalog!B412</f>
        <v>0</v>
      </c>
      <c r="J438" s="10">
        <f>Catalog!L412</f>
        <v>0</v>
      </c>
      <c r="K438" s="10">
        <f>IF(Catalog!AG412&lt;&gt;"",Catalog!AG412,Catalog!AE412)</f>
        <v>0</v>
      </c>
      <c r="L438" s="10">
        <f>Catalog!AD412</f>
        <v>0</v>
      </c>
      <c r="M438" s="10">
        <f>Catalog!V412</f>
        <v>0</v>
      </c>
      <c r="N438" s="10">
        <f>Catalog!Q412</f>
        <v>0</v>
      </c>
      <c r="O438" s="10">
        <f>Catalog!AF412</f>
        <v>0</v>
      </c>
    </row>
    <row r="439" spans="1:15" x14ac:dyDescent="0.25">
      <c r="A439" s="10">
        <f>Catalog!D413</f>
        <v>0</v>
      </c>
      <c r="B439" s="10">
        <f>Catalog!F413</f>
        <v>0</v>
      </c>
      <c r="C439" s="10" t="str">
        <f>IF(Catalog!I413="","",Catalog!I413)&amp;IF(AND(Catalog!I413&lt;&gt;"",Catalog!J413&lt;&gt;""),"; ","")&amp;IF(Catalog!J413="","",Catalog!J413)</f>
        <v/>
      </c>
      <c r="D439" s="10">
        <f>Catalog!P413</f>
        <v>0</v>
      </c>
      <c r="E439" s="10">
        <f>Catalog!R413</f>
        <v>0</v>
      </c>
      <c r="F439" s="10">
        <f>Catalog!M413</f>
        <v>0</v>
      </c>
      <c r="G439" s="10">
        <f>Catalog!K413</f>
        <v>0</v>
      </c>
      <c r="H439" s="10" t="str">
        <f>IF(Catalog!S413&lt;&gt;"","ISBN:"&amp;Catalog!S413,IF(Catalog!T413&lt;&gt;"","ISSN:"&amp;Catalog!T413,""))</f>
        <v/>
      </c>
      <c r="I439" s="10">
        <f>Catalog!B413</f>
        <v>0</v>
      </c>
      <c r="J439" s="10">
        <f>Catalog!L413</f>
        <v>0</v>
      </c>
      <c r="K439" s="10">
        <f>IF(Catalog!AG413&lt;&gt;"",Catalog!AG413,Catalog!AE413)</f>
        <v>0</v>
      </c>
      <c r="L439" s="10">
        <f>Catalog!AD413</f>
        <v>0</v>
      </c>
      <c r="M439" s="10">
        <f>Catalog!V413</f>
        <v>0</v>
      </c>
      <c r="N439" s="10">
        <f>Catalog!Q413</f>
        <v>0</v>
      </c>
      <c r="O439" s="10">
        <f>Catalog!AF413</f>
        <v>0</v>
      </c>
    </row>
    <row r="440" spans="1:15" x14ac:dyDescent="0.25">
      <c r="A440" s="10">
        <f>Catalog!D414</f>
        <v>0</v>
      </c>
      <c r="B440" s="10">
        <f>Catalog!F414</f>
        <v>0</v>
      </c>
      <c r="C440" s="10" t="str">
        <f>IF(Catalog!I414="","",Catalog!I414)&amp;IF(AND(Catalog!I414&lt;&gt;"",Catalog!J414&lt;&gt;""),"; ","")&amp;IF(Catalog!J414="","",Catalog!J414)</f>
        <v/>
      </c>
      <c r="D440" s="10">
        <f>Catalog!P414</f>
        <v>0</v>
      </c>
      <c r="E440" s="10">
        <f>Catalog!R414</f>
        <v>0</v>
      </c>
      <c r="F440" s="10">
        <f>Catalog!M414</f>
        <v>0</v>
      </c>
      <c r="G440" s="10">
        <f>Catalog!K414</f>
        <v>0</v>
      </c>
      <c r="H440" s="10" t="str">
        <f>IF(Catalog!S414&lt;&gt;"","ISBN:"&amp;Catalog!S414,IF(Catalog!T414&lt;&gt;"","ISSN:"&amp;Catalog!T414,""))</f>
        <v/>
      </c>
      <c r="I440" s="10">
        <f>Catalog!B414</f>
        <v>0</v>
      </c>
      <c r="J440" s="10">
        <f>Catalog!L414</f>
        <v>0</v>
      </c>
      <c r="K440" s="10">
        <f>IF(Catalog!AG414&lt;&gt;"",Catalog!AG414,Catalog!AE414)</f>
        <v>0</v>
      </c>
      <c r="L440" s="10">
        <f>Catalog!AD414</f>
        <v>0</v>
      </c>
      <c r="M440" s="10">
        <f>Catalog!V414</f>
        <v>0</v>
      </c>
      <c r="N440" s="10">
        <f>Catalog!Q414</f>
        <v>0</v>
      </c>
      <c r="O440" s="10">
        <f>Catalog!AF414</f>
        <v>0</v>
      </c>
    </row>
    <row r="441" spans="1:15" x14ac:dyDescent="0.25">
      <c r="A441" s="10">
        <f>Catalog!D415</f>
        <v>0</v>
      </c>
      <c r="B441" s="10">
        <f>Catalog!F415</f>
        <v>0</v>
      </c>
      <c r="C441" s="10" t="str">
        <f>IF(Catalog!I415="","",Catalog!I415)&amp;IF(AND(Catalog!I415&lt;&gt;"",Catalog!J415&lt;&gt;""),"; ","")&amp;IF(Catalog!J415="","",Catalog!J415)</f>
        <v/>
      </c>
      <c r="D441" s="10">
        <f>Catalog!P415</f>
        <v>0</v>
      </c>
      <c r="E441" s="10">
        <f>Catalog!R415</f>
        <v>0</v>
      </c>
      <c r="F441" s="10">
        <f>Catalog!M415</f>
        <v>0</v>
      </c>
      <c r="G441" s="10">
        <f>Catalog!K415</f>
        <v>0</v>
      </c>
      <c r="H441" s="10" t="str">
        <f>IF(Catalog!S415&lt;&gt;"","ISBN:"&amp;Catalog!S415,IF(Catalog!T415&lt;&gt;"","ISSN:"&amp;Catalog!T415,""))</f>
        <v/>
      </c>
      <c r="I441" s="10">
        <f>Catalog!B415</f>
        <v>0</v>
      </c>
      <c r="J441" s="10">
        <f>Catalog!L415</f>
        <v>0</v>
      </c>
      <c r="K441" s="10">
        <f>IF(Catalog!AG415&lt;&gt;"",Catalog!AG415,Catalog!AE415)</f>
        <v>0</v>
      </c>
      <c r="L441" s="10">
        <f>Catalog!AD415</f>
        <v>0</v>
      </c>
      <c r="M441" s="10">
        <f>Catalog!V415</f>
        <v>0</v>
      </c>
      <c r="N441" s="10">
        <f>Catalog!Q415</f>
        <v>0</v>
      </c>
      <c r="O441" s="10">
        <f>Catalog!AF415</f>
        <v>0</v>
      </c>
    </row>
    <row r="442" spans="1:15" x14ac:dyDescent="0.25">
      <c r="A442" s="10">
        <f>Catalog!D416</f>
        <v>0</v>
      </c>
      <c r="B442" s="10">
        <f>Catalog!F416</f>
        <v>0</v>
      </c>
      <c r="C442" s="10" t="str">
        <f>IF(Catalog!I416="","",Catalog!I416)&amp;IF(AND(Catalog!I416&lt;&gt;"",Catalog!J416&lt;&gt;""),"; ","")&amp;IF(Catalog!J416="","",Catalog!J416)</f>
        <v/>
      </c>
      <c r="D442" s="10">
        <f>Catalog!P416</f>
        <v>0</v>
      </c>
      <c r="E442" s="10">
        <f>Catalog!R416</f>
        <v>0</v>
      </c>
      <c r="F442" s="10">
        <f>Catalog!M416</f>
        <v>0</v>
      </c>
      <c r="G442" s="10">
        <f>Catalog!K416</f>
        <v>0</v>
      </c>
      <c r="H442" s="10" t="str">
        <f>IF(Catalog!S416&lt;&gt;"","ISBN:"&amp;Catalog!S416,IF(Catalog!T416&lt;&gt;"","ISSN:"&amp;Catalog!T416,""))</f>
        <v/>
      </c>
      <c r="I442" s="10">
        <f>Catalog!B416</f>
        <v>0</v>
      </c>
      <c r="J442" s="10">
        <f>Catalog!L416</f>
        <v>0</v>
      </c>
      <c r="K442" s="10">
        <f>IF(Catalog!AG416&lt;&gt;"",Catalog!AG416,Catalog!AE416)</f>
        <v>0</v>
      </c>
      <c r="L442" s="10">
        <f>Catalog!AD416</f>
        <v>0</v>
      </c>
      <c r="M442" s="10">
        <f>Catalog!V416</f>
        <v>0</v>
      </c>
      <c r="N442" s="10">
        <f>Catalog!Q416</f>
        <v>0</v>
      </c>
      <c r="O442" s="10">
        <f>Catalog!AF416</f>
        <v>0</v>
      </c>
    </row>
    <row r="443" spans="1:15" x14ac:dyDescent="0.25">
      <c r="A443" s="10">
        <f>Catalog!D417</f>
        <v>0</v>
      </c>
      <c r="B443" s="10">
        <f>Catalog!F417</f>
        <v>0</v>
      </c>
      <c r="C443" s="10" t="str">
        <f>IF(Catalog!I417="","",Catalog!I417)&amp;IF(AND(Catalog!I417&lt;&gt;"",Catalog!J417&lt;&gt;""),"; ","")&amp;IF(Catalog!J417="","",Catalog!J417)</f>
        <v/>
      </c>
      <c r="D443" s="10">
        <f>Catalog!P417</f>
        <v>0</v>
      </c>
      <c r="E443" s="10">
        <f>Catalog!R417</f>
        <v>0</v>
      </c>
      <c r="F443" s="10">
        <f>Catalog!M417</f>
        <v>0</v>
      </c>
      <c r="G443" s="10">
        <f>Catalog!K417</f>
        <v>0</v>
      </c>
      <c r="H443" s="10" t="str">
        <f>IF(Catalog!S417&lt;&gt;"","ISBN:"&amp;Catalog!S417,IF(Catalog!T417&lt;&gt;"","ISSN:"&amp;Catalog!T417,""))</f>
        <v/>
      </c>
      <c r="I443" s="10">
        <f>Catalog!B417</f>
        <v>0</v>
      </c>
      <c r="J443" s="10">
        <f>Catalog!L417</f>
        <v>0</v>
      </c>
      <c r="K443" s="10">
        <f>IF(Catalog!AG417&lt;&gt;"",Catalog!AG417,Catalog!AE417)</f>
        <v>0</v>
      </c>
      <c r="L443" s="10">
        <f>Catalog!AD417</f>
        <v>0</v>
      </c>
      <c r="M443" s="10">
        <f>Catalog!V417</f>
        <v>0</v>
      </c>
      <c r="N443" s="10">
        <f>Catalog!Q417</f>
        <v>0</v>
      </c>
      <c r="O443" s="10">
        <f>Catalog!AF417</f>
        <v>0</v>
      </c>
    </row>
    <row r="444" spans="1:15" x14ac:dyDescent="0.25">
      <c r="A444" s="10">
        <f>Catalog!D418</f>
        <v>0</v>
      </c>
      <c r="B444" s="10">
        <f>Catalog!F418</f>
        <v>0</v>
      </c>
      <c r="C444" s="10" t="str">
        <f>IF(Catalog!I418="","",Catalog!I418)&amp;IF(AND(Catalog!I418&lt;&gt;"",Catalog!J418&lt;&gt;""),"; ","")&amp;IF(Catalog!J418="","",Catalog!J418)</f>
        <v/>
      </c>
      <c r="D444" s="10">
        <f>Catalog!P418</f>
        <v>0</v>
      </c>
      <c r="E444" s="10">
        <f>Catalog!R418</f>
        <v>0</v>
      </c>
      <c r="F444" s="10">
        <f>Catalog!M418</f>
        <v>0</v>
      </c>
      <c r="G444" s="10">
        <f>Catalog!K418</f>
        <v>0</v>
      </c>
      <c r="H444" s="10" t="str">
        <f>IF(Catalog!S418&lt;&gt;"","ISBN:"&amp;Catalog!S418,IF(Catalog!T418&lt;&gt;"","ISSN:"&amp;Catalog!T418,""))</f>
        <v/>
      </c>
      <c r="I444" s="10">
        <f>Catalog!B418</f>
        <v>0</v>
      </c>
      <c r="J444" s="10">
        <f>Catalog!L418</f>
        <v>0</v>
      </c>
      <c r="K444" s="10">
        <f>IF(Catalog!AG418&lt;&gt;"",Catalog!AG418,Catalog!AE418)</f>
        <v>0</v>
      </c>
      <c r="L444" s="10">
        <f>Catalog!AD418</f>
        <v>0</v>
      </c>
      <c r="M444" s="10">
        <f>Catalog!V418</f>
        <v>0</v>
      </c>
      <c r="N444" s="10">
        <f>Catalog!Q418</f>
        <v>0</v>
      </c>
      <c r="O444" s="10">
        <f>Catalog!AF418</f>
        <v>0</v>
      </c>
    </row>
    <row r="445" spans="1:15" x14ac:dyDescent="0.25">
      <c r="A445" s="10">
        <f>Catalog!D419</f>
        <v>0</v>
      </c>
      <c r="B445" s="10">
        <f>Catalog!F419</f>
        <v>0</v>
      </c>
      <c r="C445" s="10" t="str">
        <f>IF(Catalog!I419="","",Catalog!I419)&amp;IF(AND(Catalog!I419&lt;&gt;"",Catalog!J419&lt;&gt;""),"; ","")&amp;IF(Catalog!J419="","",Catalog!J419)</f>
        <v/>
      </c>
      <c r="D445" s="10">
        <f>Catalog!P419</f>
        <v>0</v>
      </c>
      <c r="E445" s="10">
        <f>Catalog!R419</f>
        <v>0</v>
      </c>
      <c r="F445" s="10">
        <f>Catalog!M419</f>
        <v>0</v>
      </c>
      <c r="G445" s="10">
        <f>Catalog!K419</f>
        <v>0</v>
      </c>
      <c r="H445" s="10" t="str">
        <f>IF(Catalog!S419&lt;&gt;"","ISBN:"&amp;Catalog!S419,IF(Catalog!T419&lt;&gt;"","ISSN:"&amp;Catalog!T419,""))</f>
        <v/>
      </c>
      <c r="I445" s="10">
        <f>Catalog!B419</f>
        <v>0</v>
      </c>
      <c r="J445" s="10">
        <f>Catalog!L419</f>
        <v>0</v>
      </c>
      <c r="K445" s="10">
        <f>IF(Catalog!AG419&lt;&gt;"",Catalog!AG419,Catalog!AE419)</f>
        <v>0</v>
      </c>
      <c r="L445" s="10">
        <f>Catalog!AD419</f>
        <v>0</v>
      </c>
      <c r="M445" s="10">
        <f>Catalog!V419</f>
        <v>0</v>
      </c>
      <c r="N445" s="10">
        <f>Catalog!Q419</f>
        <v>0</v>
      </c>
      <c r="O445" s="10">
        <f>Catalog!AF419</f>
        <v>0</v>
      </c>
    </row>
    <row r="446" spans="1:15" x14ac:dyDescent="0.25">
      <c r="A446" s="10">
        <f>Catalog!D420</f>
        <v>0</v>
      </c>
      <c r="B446" s="10">
        <f>Catalog!F420</f>
        <v>0</v>
      </c>
      <c r="C446" s="10" t="str">
        <f>IF(Catalog!I420="","",Catalog!I420)&amp;IF(AND(Catalog!I420&lt;&gt;"",Catalog!J420&lt;&gt;""),"; ","")&amp;IF(Catalog!J420="","",Catalog!J420)</f>
        <v/>
      </c>
      <c r="D446" s="10">
        <f>Catalog!P420</f>
        <v>0</v>
      </c>
      <c r="E446" s="10">
        <f>Catalog!R420</f>
        <v>0</v>
      </c>
      <c r="F446" s="10">
        <f>Catalog!M420</f>
        <v>0</v>
      </c>
      <c r="G446" s="10">
        <f>Catalog!K420</f>
        <v>0</v>
      </c>
      <c r="H446" s="10" t="str">
        <f>IF(Catalog!S420&lt;&gt;"","ISBN:"&amp;Catalog!S420,IF(Catalog!T420&lt;&gt;"","ISSN:"&amp;Catalog!T420,""))</f>
        <v/>
      </c>
      <c r="I446" s="10">
        <f>Catalog!B420</f>
        <v>0</v>
      </c>
      <c r="J446" s="10">
        <f>Catalog!L420</f>
        <v>0</v>
      </c>
      <c r="K446" s="10">
        <f>IF(Catalog!AG420&lt;&gt;"",Catalog!AG420,Catalog!AE420)</f>
        <v>0</v>
      </c>
      <c r="L446" s="10">
        <f>Catalog!AD420</f>
        <v>0</v>
      </c>
      <c r="M446" s="10">
        <f>Catalog!V420</f>
        <v>0</v>
      </c>
      <c r="N446" s="10">
        <f>Catalog!Q420</f>
        <v>0</v>
      </c>
      <c r="O446" s="10">
        <f>Catalog!AF420</f>
        <v>0</v>
      </c>
    </row>
    <row r="447" spans="1:15" x14ac:dyDescent="0.25">
      <c r="A447" s="10">
        <f>Catalog!D421</f>
        <v>0</v>
      </c>
      <c r="B447" s="10">
        <f>Catalog!F421</f>
        <v>0</v>
      </c>
      <c r="C447" s="10" t="str">
        <f>IF(Catalog!I421="","",Catalog!I421)&amp;IF(AND(Catalog!I421&lt;&gt;"",Catalog!J421&lt;&gt;""),"; ","")&amp;IF(Catalog!J421="","",Catalog!J421)</f>
        <v/>
      </c>
      <c r="D447" s="10">
        <f>Catalog!P421</f>
        <v>0</v>
      </c>
      <c r="E447" s="10">
        <f>Catalog!R421</f>
        <v>0</v>
      </c>
      <c r="F447" s="10">
        <f>Catalog!M421</f>
        <v>0</v>
      </c>
      <c r="G447" s="10">
        <f>Catalog!K421</f>
        <v>0</v>
      </c>
      <c r="H447" s="10" t="str">
        <f>IF(Catalog!S421&lt;&gt;"","ISBN:"&amp;Catalog!S421,IF(Catalog!T421&lt;&gt;"","ISSN:"&amp;Catalog!T421,""))</f>
        <v/>
      </c>
      <c r="I447" s="10">
        <f>Catalog!B421</f>
        <v>0</v>
      </c>
      <c r="J447" s="10">
        <f>Catalog!L421</f>
        <v>0</v>
      </c>
      <c r="K447" s="10">
        <f>IF(Catalog!AG421&lt;&gt;"",Catalog!AG421,Catalog!AE421)</f>
        <v>0</v>
      </c>
      <c r="L447" s="10">
        <f>Catalog!AD421</f>
        <v>0</v>
      </c>
      <c r="M447" s="10">
        <f>Catalog!V421</f>
        <v>0</v>
      </c>
      <c r="N447" s="10">
        <f>Catalog!Q421</f>
        <v>0</v>
      </c>
      <c r="O447" s="10">
        <f>Catalog!AF421</f>
        <v>0</v>
      </c>
    </row>
    <row r="448" spans="1:15" x14ac:dyDescent="0.25">
      <c r="A448" s="10">
        <f>Catalog!D422</f>
        <v>0</v>
      </c>
      <c r="B448" s="10">
        <f>Catalog!F422</f>
        <v>0</v>
      </c>
      <c r="C448" s="10" t="str">
        <f>IF(Catalog!I422="","",Catalog!I422)&amp;IF(AND(Catalog!I422&lt;&gt;"",Catalog!J422&lt;&gt;""),"; ","")&amp;IF(Catalog!J422="","",Catalog!J422)</f>
        <v/>
      </c>
      <c r="D448" s="10">
        <f>Catalog!P422</f>
        <v>0</v>
      </c>
      <c r="E448" s="10">
        <f>Catalog!R422</f>
        <v>0</v>
      </c>
      <c r="F448" s="10">
        <f>Catalog!M422</f>
        <v>0</v>
      </c>
      <c r="G448" s="10">
        <f>Catalog!K422</f>
        <v>0</v>
      </c>
      <c r="H448" s="10" t="str">
        <f>IF(Catalog!S422&lt;&gt;"","ISBN:"&amp;Catalog!S422,IF(Catalog!T422&lt;&gt;"","ISSN:"&amp;Catalog!T422,""))</f>
        <v/>
      </c>
      <c r="I448" s="10">
        <f>Catalog!B422</f>
        <v>0</v>
      </c>
      <c r="J448" s="10">
        <f>Catalog!L422</f>
        <v>0</v>
      </c>
      <c r="K448" s="10">
        <f>IF(Catalog!AG422&lt;&gt;"",Catalog!AG422,Catalog!AE422)</f>
        <v>0</v>
      </c>
      <c r="L448" s="10">
        <f>Catalog!AD422</f>
        <v>0</v>
      </c>
      <c r="M448" s="10">
        <f>Catalog!V422</f>
        <v>0</v>
      </c>
      <c r="N448" s="10">
        <f>Catalog!Q422</f>
        <v>0</v>
      </c>
      <c r="O448" s="10">
        <f>Catalog!AF422</f>
        <v>0</v>
      </c>
    </row>
    <row r="449" spans="1:15" x14ac:dyDescent="0.25">
      <c r="A449" s="10">
        <f>Catalog!D423</f>
        <v>0</v>
      </c>
      <c r="B449" s="10">
        <f>Catalog!F423</f>
        <v>0</v>
      </c>
      <c r="C449" s="10" t="str">
        <f>IF(Catalog!I423="","",Catalog!I423)&amp;IF(AND(Catalog!I423&lt;&gt;"",Catalog!J423&lt;&gt;""),"; ","")&amp;IF(Catalog!J423="","",Catalog!J423)</f>
        <v/>
      </c>
      <c r="D449" s="10">
        <f>Catalog!P423</f>
        <v>0</v>
      </c>
      <c r="E449" s="10">
        <f>Catalog!R423</f>
        <v>0</v>
      </c>
      <c r="F449" s="10">
        <f>Catalog!M423</f>
        <v>0</v>
      </c>
      <c r="G449" s="10">
        <f>Catalog!K423</f>
        <v>0</v>
      </c>
      <c r="H449" s="10" t="str">
        <f>IF(Catalog!S423&lt;&gt;"","ISBN:"&amp;Catalog!S423,IF(Catalog!T423&lt;&gt;"","ISSN:"&amp;Catalog!T423,""))</f>
        <v/>
      </c>
      <c r="I449" s="10">
        <f>Catalog!B423</f>
        <v>0</v>
      </c>
      <c r="J449" s="10">
        <f>Catalog!L423</f>
        <v>0</v>
      </c>
      <c r="K449" s="10">
        <f>IF(Catalog!AG423&lt;&gt;"",Catalog!AG423,Catalog!AE423)</f>
        <v>0</v>
      </c>
      <c r="L449" s="10">
        <f>Catalog!AD423</f>
        <v>0</v>
      </c>
      <c r="M449" s="10">
        <f>Catalog!V423</f>
        <v>0</v>
      </c>
      <c r="N449" s="10">
        <f>Catalog!Q423</f>
        <v>0</v>
      </c>
      <c r="O449" s="10">
        <f>Catalog!AF423</f>
        <v>0</v>
      </c>
    </row>
    <row r="450" spans="1:15" x14ac:dyDescent="0.25">
      <c r="A450" s="10">
        <f>Catalog!D424</f>
        <v>0</v>
      </c>
      <c r="B450" s="10">
        <f>Catalog!F424</f>
        <v>0</v>
      </c>
      <c r="C450" s="10" t="str">
        <f>IF(Catalog!I424="","",Catalog!I424)&amp;IF(AND(Catalog!I424&lt;&gt;"",Catalog!J424&lt;&gt;""),"; ","")&amp;IF(Catalog!J424="","",Catalog!J424)</f>
        <v/>
      </c>
      <c r="D450" s="10">
        <f>Catalog!P424</f>
        <v>0</v>
      </c>
      <c r="E450" s="10">
        <f>Catalog!R424</f>
        <v>0</v>
      </c>
      <c r="F450" s="10">
        <f>Catalog!M424</f>
        <v>0</v>
      </c>
      <c r="G450" s="10">
        <f>Catalog!K424</f>
        <v>0</v>
      </c>
      <c r="H450" s="10" t="str">
        <f>IF(Catalog!S424&lt;&gt;"","ISBN:"&amp;Catalog!S424,IF(Catalog!T424&lt;&gt;"","ISSN:"&amp;Catalog!T424,""))</f>
        <v/>
      </c>
      <c r="I450" s="10">
        <f>Catalog!B424</f>
        <v>0</v>
      </c>
      <c r="J450" s="10">
        <f>Catalog!L424</f>
        <v>0</v>
      </c>
      <c r="K450" s="10">
        <f>IF(Catalog!AG424&lt;&gt;"",Catalog!AG424,Catalog!AE424)</f>
        <v>0</v>
      </c>
      <c r="L450" s="10">
        <f>Catalog!AD424</f>
        <v>0</v>
      </c>
      <c r="M450" s="10">
        <f>Catalog!V424</f>
        <v>0</v>
      </c>
      <c r="N450" s="10">
        <f>Catalog!Q424</f>
        <v>0</v>
      </c>
      <c r="O450" s="10">
        <f>Catalog!AF424</f>
        <v>0</v>
      </c>
    </row>
    <row r="451" spans="1:15" x14ac:dyDescent="0.25">
      <c r="A451" s="10">
        <f>Catalog!D425</f>
        <v>0</v>
      </c>
      <c r="B451" s="10">
        <f>Catalog!F425</f>
        <v>0</v>
      </c>
      <c r="C451" s="10" t="str">
        <f>IF(Catalog!I425="","",Catalog!I425)&amp;IF(AND(Catalog!I425&lt;&gt;"",Catalog!J425&lt;&gt;""),"; ","")&amp;IF(Catalog!J425="","",Catalog!J425)</f>
        <v/>
      </c>
      <c r="D451" s="10">
        <f>Catalog!P425</f>
        <v>0</v>
      </c>
      <c r="E451" s="10">
        <f>Catalog!R425</f>
        <v>0</v>
      </c>
      <c r="F451" s="10">
        <f>Catalog!M425</f>
        <v>0</v>
      </c>
      <c r="G451" s="10">
        <f>Catalog!K425</f>
        <v>0</v>
      </c>
      <c r="H451" s="10" t="str">
        <f>IF(Catalog!S425&lt;&gt;"","ISBN:"&amp;Catalog!S425,IF(Catalog!T425&lt;&gt;"","ISSN:"&amp;Catalog!T425,""))</f>
        <v/>
      </c>
      <c r="I451" s="10">
        <f>Catalog!B425</f>
        <v>0</v>
      </c>
      <c r="J451" s="10">
        <f>Catalog!L425</f>
        <v>0</v>
      </c>
      <c r="K451" s="10">
        <f>IF(Catalog!AG425&lt;&gt;"",Catalog!AG425,Catalog!AE425)</f>
        <v>0</v>
      </c>
      <c r="L451" s="10">
        <f>Catalog!AD425</f>
        <v>0</v>
      </c>
      <c r="M451" s="10">
        <f>Catalog!V425</f>
        <v>0</v>
      </c>
      <c r="N451" s="10">
        <f>Catalog!Q425</f>
        <v>0</v>
      </c>
      <c r="O451" s="10">
        <f>Catalog!AF425</f>
        <v>0</v>
      </c>
    </row>
    <row r="452" spans="1:15" x14ac:dyDescent="0.25">
      <c r="A452" s="10">
        <f>Catalog!D426</f>
        <v>0</v>
      </c>
      <c r="B452" s="10">
        <f>Catalog!F426</f>
        <v>0</v>
      </c>
      <c r="C452" s="10" t="str">
        <f>IF(Catalog!I426="","",Catalog!I426)&amp;IF(AND(Catalog!I426&lt;&gt;"",Catalog!J426&lt;&gt;""),"; ","")&amp;IF(Catalog!J426="","",Catalog!J426)</f>
        <v/>
      </c>
      <c r="D452" s="10">
        <f>Catalog!P426</f>
        <v>0</v>
      </c>
      <c r="E452" s="10">
        <f>Catalog!R426</f>
        <v>0</v>
      </c>
      <c r="F452" s="10">
        <f>Catalog!M426</f>
        <v>0</v>
      </c>
      <c r="G452" s="10">
        <f>Catalog!K426</f>
        <v>0</v>
      </c>
      <c r="H452" s="10" t="str">
        <f>IF(Catalog!S426&lt;&gt;"","ISBN:"&amp;Catalog!S426,IF(Catalog!T426&lt;&gt;"","ISSN:"&amp;Catalog!T426,""))</f>
        <v/>
      </c>
      <c r="I452" s="10">
        <f>Catalog!B426</f>
        <v>0</v>
      </c>
      <c r="J452" s="10">
        <f>Catalog!L426</f>
        <v>0</v>
      </c>
      <c r="K452" s="10">
        <f>IF(Catalog!AG426&lt;&gt;"",Catalog!AG426,Catalog!AE426)</f>
        <v>0</v>
      </c>
      <c r="L452" s="10">
        <f>Catalog!AD426</f>
        <v>0</v>
      </c>
      <c r="M452" s="10">
        <f>Catalog!V426</f>
        <v>0</v>
      </c>
      <c r="N452" s="10">
        <f>Catalog!Q426</f>
        <v>0</v>
      </c>
      <c r="O452" s="10">
        <f>Catalog!AF426</f>
        <v>0</v>
      </c>
    </row>
    <row r="453" spans="1:15" x14ac:dyDescent="0.25">
      <c r="A453" s="10">
        <f>Catalog!D427</f>
        <v>0</v>
      </c>
      <c r="B453" s="10">
        <f>Catalog!F427</f>
        <v>0</v>
      </c>
      <c r="C453" s="10" t="str">
        <f>IF(Catalog!I427="","",Catalog!I427)&amp;IF(AND(Catalog!I427&lt;&gt;"",Catalog!J427&lt;&gt;""),"; ","")&amp;IF(Catalog!J427="","",Catalog!J427)</f>
        <v/>
      </c>
      <c r="D453" s="10">
        <f>Catalog!P427</f>
        <v>0</v>
      </c>
      <c r="E453" s="10">
        <f>Catalog!R427</f>
        <v>0</v>
      </c>
      <c r="F453" s="10">
        <f>Catalog!M427</f>
        <v>0</v>
      </c>
      <c r="G453" s="10">
        <f>Catalog!K427</f>
        <v>0</v>
      </c>
      <c r="H453" s="10" t="str">
        <f>IF(Catalog!S427&lt;&gt;"","ISBN:"&amp;Catalog!S427,IF(Catalog!T427&lt;&gt;"","ISSN:"&amp;Catalog!T427,""))</f>
        <v/>
      </c>
      <c r="I453" s="10">
        <f>Catalog!B427</f>
        <v>0</v>
      </c>
      <c r="J453" s="10">
        <f>Catalog!L427</f>
        <v>0</v>
      </c>
      <c r="K453" s="10">
        <f>IF(Catalog!AG427&lt;&gt;"",Catalog!AG427,Catalog!AE427)</f>
        <v>0</v>
      </c>
      <c r="L453" s="10">
        <f>Catalog!AD427</f>
        <v>0</v>
      </c>
      <c r="M453" s="10">
        <f>Catalog!V427</f>
        <v>0</v>
      </c>
      <c r="N453" s="10">
        <f>Catalog!Q427</f>
        <v>0</v>
      </c>
      <c r="O453" s="10">
        <f>Catalog!AF427</f>
        <v>0</v>
      </c>
    </row>
    <row r="454" spans="1:15" x14ac:dyDescent="0.25">
      <c r="A454" s="10">
        <f>Catalog!D428</f>
        <v>0</v>
      </c>
      <c r="B454" s="10">
        <f>Catalog!F428</f>
        <v>0</v>
      </c>
      <c r="C454" s="10" t="str">
        <f>IF(Catalog!I428="","",Catalog!I428)&amp;IF(AND(Catalog!I428&lt;&gt;"",Catalog!J428&lt;&gt;""),"; ","")&amp;IF(Catalog!J428="","",Catalog!J428)</f>
        <v/>
      </c>
      <c r="D454" s="10">
        <f>Catalog!P428</f>
        <v>0</v>
      </c>
      <c r="E454" s="10">
        <f>Catalog!R428</f>
        <v>0</v>
      </c>
      <c r="F454" s="10">
        <f>Catalog!M428</f>
        <v>0</v>
      </c>
      <c r="G454" s="10">
        <f>Catalog!K428</f>
        <v>0</v>
      </c>
      <c r="H454" s="10" t="str">
        <f>IF(Catalog!S428&lt;&gt;"","ISBN:"&amp;Catalog!S428,IF(Catalog!T428&lt;&gt;"","ISSN:"&amp;Catalog!T428,""))</f>
        <v/>
      </c>
      <c r="I454" s="10">
        <f>Catalog!B428</f>
        <v>0</v>
      </c>
      <c r="J454" s="10">
        <f>Catalog!L428</f>
        <v>0</v>
      </c>
      <c r="K454" s="10">
        <f>IF(Catalog!AG428&lt;&gt;"",Catalog!AG428,Catalog!AE428)</f>
        <v>0</v>
      </c>
      <c r="L454" s="10">
        <f>Catalog!AD428</f>
        <v>0</v>
      </c>
      <c r="M454" s="10">
        <f>Catalog!V428</f>
        <v>0</v>
      </c>
      <c r="N454" s="10">
        <f>Catalog!Q428</f>
        <v>0</v>
      </c>
      <c r="O454" s="10">
        <f>Catalog!AF428</f>
        <v>0</v>
      </c>
    </row>
    <row r="455" spans="1:15" x14ac:dyDescent="0.25">
      <c r="A455" s="10">
        <f>Catalog!D429</f>
        <v>0</v>
      </c>
      <c r="B455" s="10">
        <f>Catalog!F429</f>
        <v>0</v>
      </c>
      <c r="C455" s="10" t="str">
        <f>IF(Catalog!I429="","",Catalog!I429)&amp;IF(AND(Catalog!I429&lt;&gt;"",Catalog!J429&lt;&gt;""),"; ","")&amp;IF(Catalog!J429="","",Catalog!J429)</f>
        <v/>
      </c>
      <c r="D455" s="10">
        <f>Catalog!P429</f>
        <v>0</v>
      </c>
      <c r="E455" s="10">
        <f>Catalog!R429</f>
        <v>0</v>
      </c>
      <c r="F455" s="10">
        <f>Catalog!M429</f>
        <v>0</v>
      </c>
      <c r="G455" s="10">
        <f>Catalog!K429</f>
        <v>0</v>
      </c>
      <c r="H455" s="10" t="str">
        <f>IF(Catalog!S429&lt;&gt;"","ISBN:"&amp;Catalog!S429,IF(Catalog!T429&lt;&gt;"","ISSN:"&amp;Catalog!T429,""))</f>
        <v/>
      </c>
      <c r="I455" s="10">
        <f>Catalog!B429</f>
        <v>0</v>
      </c>
      <c r="J455" s="10">
        <f>Catalog!L429</f>
        <v>0</v>
      </c>
      <c r="K455" s="10">
        <f>IF(Catalog!AG429&lt;&gt;"",Catalog!AG429,Catalog!AE429)</f>
        <v>0</v>
      </c>
      <c r="L455" s="10">
        <f>Catalog!AD429</f>
        <v>0</v>
      </c>
      <c r="M455" s="10">
        <f>Catalog!V429</f>
        <v>0</v>
      </c>
      <c r="N455" s="10">
        <f>Catalog!Q429</f>
        <v>0</v>
      </c>
      <c r="O455" s="10">
        <f>Catalog!AF429</f>
        <v>0</v>
      </c>
    </row>
    <row r="456" spans="1:15" x14ac:dyDescent="0.25">
      <c r="A456" s="10">
        <f>Catalog!D430</f>
        <v>0</v>
      </c>
      <c r="B456" s="10">
        <f>Catalog!F430</f>
        <v>0</v>
      </c>
      <c r="C456" s="10" t="str">
        <f>IF(Catalog!I430="","",Catalog!I430)&amp;IF(AND(Catalog!I430&lt;&gt;"",Catalog!J430&lt;&gt;""),"; ","")&amp;IF(Catalog!J430="","",Catalog!J430)</f>
        <v/>
      </c>
      <c r="D456" s="10">
        <f>Catalog!P430</f>
        <v>0</v>
      </c>
      <c r="E456" s="10">
        <f>Catalog!R430</f>
        <v>0</v>
      </c>
      <c r="F456" s="10">
        <f>Catalog!M430</f>
        <v>0</v>
      </c>
      <c r="G456" s="10">
        <f>Catalog!K430</f>
        <v>0</v>
      </c>
      <c r="H456" s="10" t="str">
        <f>IF(Catalog!S430&lt;&gt;"","ISBN:"&amp;Catalog!S430,IF(Catalog!T430&lt;&gt;"","ISSN:"&amp;Catalog!T430,""))</f>
        <v/>
      </c>
      <c r="I456" s="10">
        <f>Catalog!B430</f>
        <v>0</v>
      </c>
      <c r="J456" s="10">
        <f>Catalog!L430</f>
        <v>0</v>
      </c>
      <c r="K456" s="10">
        <f>IF(Catalog!AG430&lt;&gt;"",Catalog!AG430,Catalog!AE430)</f>
        <v>0</v>
      </c>
      <c r="L456" s="10">
        <f>Catalog!AD430</f>
        <v>0</v>
      </c>
      <c r="M456" s="10">
        <f>Catalog!V430</f>
        <v>0</v>
      </c>
      <c r="N456" s="10">
        <f>Catalog!Q430</f>
        <v>0</v>
      </c>
      <c r="O456" s="10">
        <f>Catalog!AF430</f>
        <v>0</v>
      </c>
    </row>
    <row r="457" spans="1:15" x14ac:dyDescent="0.25">
      <c r="A457" s="10">
        <f>Catalog!D431</f>
        <v>0</v>
      </c>
      <c r="B457" s="10">
        <f>Catalog!F431</f>
        <v>0</v>
      </c>
      <c r="C457" s="10" t="str">
        <f>IF(Catalog!I431="","",Catalog!I431)&amp;IF(AND(Catalog!I431&lt;&gt;"",Catalog!J431&lt;&gt;""),"; ","")&amp;IF(Catalog!J431="","",Catalog!J431)</f>
        <v/>
      </c>
      <c r="D457" s="10">
        <f>Catalog!P431</f>
        <v>0</v>
      </c>
      <c r="E457" s="10">
        <f>Catalog!R431</f>
        <v>0</v>
      </c>
      <c r="F457" s="10">
        <f>Catalog!M431</f>
        <v>0</v>
      </c>
      <c r="G457" s="10">
        <f>Catalog!K431</f>
        <v>0</v>
      </c>
      <c r="H457" s="10" t="str">
        <f>IF(Catalog!S431&lt;&gt;"","ISBN:"&amp;Catalog!S431,IF(Catalog!T431&lt;&gt;"","ISSN:"&amp;Catalog!T431,""))</f>
        <v/>
      </c>
      <c r="I457" s="10">
        <f>Catalog!B431</f>
        <v>0</v>
      </c>
      <c r="J457" s="10">
        <f>Catalog!L431</f>
        <v>0</v>
      </c>
      <c r="K457" s="10">
        <f>IF(Catalog!AG431&lt;&gt;"",Catalog!AG431,Catalog!AE431)</f>
        <v>0</v>
      </c>
      <c r="L457" s="10">
        <f>Catalog!AD431</f>
        <v>0</v>
      </c>
      <c r="M457" s="10">
        <f>Catalog!V431</f>
        <v>0</v>
      </c>
      <c r="N457" s="10">
        <f>Catalog!Q431</f>
        <v>0</v>
      </c>
      <c r="O457" s="10">
        <f>Catalog!AF431</f>
        <v>0</v>
      </c>
    </row>
    <row r="458" spans="1:15" x14ac:dyDescent="0.25">
      <c r="A458" s="10">
        <f>Catalog!D432</f>
        <v>0</v>
      </c>
      <c r="B458" s="10">
        <f>Catalog!F432</f>
        <v>0</v>
      </c>
      <c r="C458" s="10" t="str">
        <f>IF(Catalog!I432="","",Catalog!I432)&amp;IF(AND(Catalog!I432&lt;&gt;"",Catalog!J432&lt;&gt;""),"; ","")&amp;IF(Catalog!J432="","",Catalog!J432)</f>
        <v/>
      </c>
      <c r="D458" s="10">
        <f>Catalog!P432</f>
        <v>0</v>
      </c>
      <c r="E458" s="10">
        <f>Catalog!R432</f>
        <v>0</v>
      </c>
      <c r="F458" s="10">
        <f>Catalog!M432</f>
        <v>0</v>
      </c>
      <c r="G458" s="10">
        <f>Catalog!K432</f>
        <v>0</v>
      </c>
      <c r="H458" s="10" t="str">
        <f>IF(Catalog!S432&lt;&gt;"","ISBN:"&amp;Catalog!S432,IF(Catalog!T432&lt;&gt;"","ISSN:"&amp;Catalog!T432,""))</f>
        <v/>
      </c>
      <c r="I458" s="10">
        <f>Catalog!B432</f>
        <v>0</v>
      </c>
      <c r="J458" s="10">
        <f>Catalog!L432</f>
        <v>0</v>
      </c>
      <c r="K458" s="10">
        <f>IF(Catalog!AG432&lt;&gt;"",Catalog!AG432,Catalog!AE432)</f>
        <v>0</v>
      </c>
      <c r="L458" s="10">
        <f>Catalog!AD432</f>
        <v>0</v>
      </c>
      <c r="M458" s="10">
        <f>Catalog!V432</f>
        <v>0</v>
      </c>
      <c r="N458" s="10">
        <f>Catalog!Q432</f>
        <v>0</v>
      </c>
      <c r="O458" s="10">
        <f>Catalog!AF432</f>
        <v>0</v>
      </c>
    </row>
    <row r="459" spans="1:15" x14ac:dyDescent="0.25">
      <c r="A459" s="10">
        <f>Catalog!D433</f>
        <v>0</v>
      </c>
      <c r="B459" s="10">
        <f>Catalog!F433</f>
        <v>0</v>
      </c>
      <c r="C459" s="10" t="str">
        <f>IF(Catalog!I433="","",Catalog!I433)&amp;IF(AND(Catalog!I433&lt;&gt;"",Catalog!J433&lt;&gt;""),"; ","")&amp;IF(Catalog!J433="","",Catalog!J433)</f>
        <v/>
      </c>
      <c r="D459" s="10">
        <f>Catalog!P433</f>
        <v>0</v>
      </c>
      <c r="E459" s="10">
        <f>Catalog!R433</f>
        <v>0</v>
      </c>
      <c r="F459" s="10">
        <f>Catalog!M433</f>
        <v>0</v>
      </c>
      <c r="G459" s="10">
        <f>Catalog!K433</f>
        <v>0</v>
      </c>
      <c r="H459" s="10" t="str">
        <f>IF(Catalog!S433&lt;&gt;"","ISBN:"&amp;Catalog!S433,IF(Catalog!T433&lt;&gt;"","ISSN:"&amp;Catalog!T433,""))</f>
        <v/>
      </c>
      <c r="I459" s="10">
        <f>Catalog!B433</f>
        <v>0</v>
      </c>
      <c r="J459" s="10">
        <f>Catalog!L433</f>
        <v>0</v>
      </c>
      <c r="K459" s="10">
        <f>IF(Catalog!AG433&lt;&gt;"",Catalog!AG433,Catalog!AE433)</f>
        <v>0</v>
      </c>
      <c r="L459" s="10">
        <f>Catalog!AD433</f>
        <v>0</v>
      </c>
      <c r="M459" s="10">
        <f>Catalog!V433</f>
        <v>0</v>
      </c>
      <c r="N459" s="10">
        <f>Catalog!Q433</f>
        <v>0</v>
      </c>
      <c r="O459" s="10">
        <f>Catalog!AF433</f>
        <v>0</v>
      </c>
    </row>
    <row r="460" spans="1:15" x14ac:dyDescent="0.25">
      <c r="A460" s="10">
        <f>Catalog!D434</f>
        <v>0</v>
      </c>
      <c r="B460" s="10">
        <f>Catalog!F434</f>
        <v>0</v>
      </c>
      <c r="C460" s="10" t="str">
        <f>IF(Catalog!I434="","",Catalog!I434)&amp;IF(AND(Catalog!I434&lt;&gt;"",Catalog!J434&lt;&gt;""),"; ","")&amp;IF(Catalog!J434="","",Catalog!J434)</f>
        <v/>
      </c>
      <c r="D460" s="10">
        <f>Catalog!P434</f>
        <v>0</v>
      </c>
      <c r="E460" s="10">
        <f>Catalog!R434</f>
        <v>0</v>
      </c>
      <c r="F460" s="10">
        <f>Catalog!M434</f>
        <v>0</v>
      </c>
      <c r="G460" s="10">
        <f>Catalog!K434</f>
        <v>0</v>
      </c>
      <c r="H460" s="10" t="str">
        <f>IF(Catalog!S434&lt;&gt;"","ISBN:"&amp;Catalog!S434,IF(Catalog!T434&lt;&gt;"","ISSN:"&amp;Catalog!T434,""))</f>
        <v/>
      </c>
      <c r="I460" s="10">
        <f>Catalog!B434</f>
        <v>0</v>
      </c>
      <c r="J460" s="10">
        <f>Catalog!L434</f>
        <v>0</v>
      </c>
      <c r="K460" s="10">
        <f>IF(Catalog!AG434&lt;&gt;"",Catalog!AG434,Catalog!AE434)</f>
        <v>0</v>
      </c>
      <c r="L460" s="10">
        <f>Catalog!AD434</f>
        <v>0</v>
      </c>
      <c r="M460" s="10">
        <f>Catalog!V434</f>
        <v>0</v>
      </c>
      <c r="N460" s="10">
        <f>Catalog!Q434</f>
        <v>0</v>
      </c>
      <c r="O460" s="10">
        <f>Catalog!AF434</f>
        <v>0</v>
      </c>
    </row>
    <row r="461" spans="1:15" x14ac:dyDescent="0.25">
      <c r="A461" s="10">
        <f>Catalog!D435</f>
        <v>0</v>
      </c>
      <c r="B461" s="10">
        <f>Catalog!F435</f>
        <v>0</v>
      </c>
      <c r="C461" s="10" t="str">
        <f>IF(Catalog!I435="","",Catalog!I435)&amp;IF(AND(Catalog!I435&lt;&gt;"",Catalog!J435&lt;&gt;""),"; ","")&amp;IF(Catalog!J435="","",Catalog!J435)</f>
        <v/>
      </c>
      <c r="D461" s="10">
        <f>Catalog!P435</f>
        <v>0</v>
      </c>
      <c r="E461" s="10">
        <f>Catalog!R435</f>
        <v>0</v>
      </c>
      <c r="F461" s="10">
        <f>Catalog!M435</f>
        <v>0</v>
      </c>
      <c r="G461" s="10">
        <f>Catalog!K435</f>
        <v>0</v>
      </c>
      <c r="H461" s="10" t="str">
        <f>IF(Catalog!S435&lt;&gt;"","ISBN:"&amp;Catalog!S435,IF(Catalog!T435&lt;&gt;"","ISSN:"&amp;Catalog!T435,""))</f>
        <v/>
      </c>
      <c r="I461" s="10">
        <f>Catalog!B435</f>
        <v>0</v>
      </c>
      <c r="J461" s="10">
        <f>Catalog!L435</f>
        <v>0</v>
      </c>
      <c r="K461" s="10">
        <f>IF(Catalog!AG435&lt;&gt;"",Catalog!AG435,Catalog!AE435)</f>
        <v>0</v>
      </c>
      <c r="L461" s="10">
        <f>Catalog!AD435</f>
        <v>0</v>
      </c>
      <c r="M461" s="10">
        <f>Catalog!V435</f>
        <v>0</v>
      </c>
      <c r="N461" s="10">
        <f>Catalog!Q435</f>
        <v>0</v>
      </c>
      <c r="O461" s="10">
        <f>Catalog!AF435</f>
        <v>0</v>
      </c>
    </row>
    <row r="462" spans="1:15" x14ac:dyDescent="0.25">
      <c r="A462" s="10">
        <f>Catalog!D436</f>
        <v>0</v>
      </c>
      <c r="B462" s="10">
        <f>Catalog!F436</f>
        <v>0</v>
      </c>
      <c r="C462" s="10" t="str">
        <f>IF(Catalog!I436="","",Catalog!I436)&amp;IF(AND(Catalog!I436&lt;&gt;"",Catalog!J436&lt;&gt;""),"; ","")&amp;IF(Catalog!J436="","",Catalog!J436)</f>
        <v/>
      </c>
      <c r="D462" s="10">
        <f>Catalog!P436</f>
        <v>0</v>
      </c>
      <c r="E462" s="10">
        <f>Catalog!R436</f>
        <v>0</v>
      </c>
      <c r="F462" s="10">
        <f>Catalog!M436</f>
        <v>0</v>
      </c>
      <c r="G462" s="10">
        <f>Catalog!K436</f>
        <v>0</v>
      </c>
      <c r="H462" s="10" t="str">
        <f>IF(Catalog!S436&lt;&gt;"","ISBN:"&amp;Catalog!S436,IF(Catalog!T436&lt;&gt;"","ISSN:"&amp;Catalog!T436,""))</f>
        <v/>
      </c>
      <c r="I462" s="10">
        <f>Catalog!B436</f>
        <v>0</v>
      </c>
      <c r="J462" s="10">
        <f>Catalog!L436</f>
        <v>0</v>
      </c>
      <c r="K462" s="10">
        <f>IF(Catalog!AG436&lt;&gt;"",Catalog!AG436,Catalog!AE436)</f>
        <v>0</v>
      </c>
      <c r="L462" s="10">
        <f>Catalog!AD436</f>
        <v>0</v>
      </c>
      <c r="M462" s="10">
        <f>Catalog!V436</f>
        <v>0</v>
      </c>
      <c r="N462" s="10">
        <f>Catalog!Q436</f>
        <v>0</v>
      </c>
      <c r="O462" s="10">
        <f>Catalog!AF436</f>
        <v>0</v>
      </c>
    </row>
    <row r="463" spans="1:15" x14ac:dyDescent="0.25">
      <c r="A463" s="10">
        <f>Catalog!D437</f>
        <v>0</v>
      </c>
      <c r="B463" s="10">
        <f>Catalog!F437</f>
        <v>0</v>
      </c>
      <c r="C463" s="10" t="str">
        <f>IF(Catalog!I437="","",Catalog!I437)&amp;IF(AND(Catalog!I437&lt;&gt;"",Catalog!J437&lt;&gt;""),"; ","")&amp;IF(Catalog!J437="","",Catalog!J437)</f>
        <v/>
      </c>
      <c r="D463" s="10">
        <f>Catalog!P437</f>
        <v>0</v>
      </c>
      <c r="E463" s="10">
        <f>Catalog!R437</f>
        <v>0</v>
      </c>
      <c r="F463" s="10">
        <f>Catalog!M437</f>
        <v>0</v>
      </c>
      <c r="G463" s="10">
        <f>Catalog!K437</f>
        <v>0</v>
      </c>
      <c r="H463" s="10" t="str">
        <f>IF(Catalog!S437&lt;&gt;"","ISBN:"&amp;Catalog!S437,IF(Catalog!T437&lt;&gt;"","ISSN:"&amp;Catalog!T437,""))</f>
        <v/>
      </c>
      <c r="I463" s="10">
        <f>Catalog!B437</f>
        <v>0</v>
      </c>
      <c r="J463" s="10">
        <f>Catalog!L437</f>
        <v>0</v>
      </c>
      <c r="K463" s="10">
        <f>IF(Catalog!AG437&lt;&gt;"",Catalog!AG437,Catalog!AE437)</f>
        <v>0</v>
      </c>
      <c r="L463" s="10">
        <f>Catalog!AD437</f>
        <v>0</v>
      </c>
      <c r="M463" s="10">
        <f>Catalog!V437</f>
        <v>0</v>
      </c>
      <c r="N463" s="10">
        <f>Catalog!Q437</f>
        <v>0</v>
      </c>
      <c r="O463" s="10">
        <f>Catalog!AF437</f>
        <v>0</v>
      </c>
    </row>
    <row r="464" spans="1:15" x14ac:dyDescent="0.25">
      <c r="A464" s="10">
        <f>Catalog!D438</f>
        <v>0</v>
      </c>
      <c r="B464" s="10">
        <f>Catalog!F438</f>
        <v>0</v>
      </c>
      <c r="C464" s="10" t="str">
        <f>IF(Catalog!I438="","",Catalog!I438)&amp;IF(AND(Catalog!I438&lt;&gt;"",Catalog!J438&lt;&gt;""),"; ","")&amp;IF(Catalog!J438="","",Catalog!J438)</f>
        <v/>
      </c>
      <c r="D464" s="10">
        <f>Catalog!P438</f>
        <v>0</v>
      </c>
      <c r="E464" s="10">
        <f>Catalog!R438</f>
        <v>0</v>
      </c>
      <c r="F464" s="10">
        <f>Catalog!M438</f>
        <v>0</v>
      </c>
      <c r="G464" s="10">
        <f>Catalog!K438</f>
        <v>0</v>
      </c>
      <c r="H464" s="10" t="str">
        <f>IF(Catalog!S438&lt;&gt;"","ISBN:"&amp;Catalog!S438,IF(Catalog!T438&lt;&gt;"","ISSN:"&amp;Catalog!T438,""))</f>
        <v/>
      </c>
      <c r="I464" s="10">
        <f>Catalog!B438</f>
        <v>0</v>
      </c>
      <c r="J464" s="10">
        <f>Catalog!L438</f>
        <v>0</v>
      </c>
      <c r="K464" s="10">
        <f>IF(Catalog!AG438&lt;&gt;"",Catalog!AG438,Catalog!AE438)</f>
        <v>0</v>
      </c>
      <c r="L464" s="10">
        <f>Catalog!AD438</f>
        <v>0</v>
      </c>
      <c r="M464" s="10">
        <f>Catalog!V438</f>
        <v>0</v>
      </c>
      <c r="N464" s="10">
        <f>Catalog!Q438</f>
        <v>0</v>
      </c>
      <c r="O464" s="10">
        <f>Catalog!AF438</f>
        <v>0</v>
      </c>
    </row>
    <row r="465" spans="1:15" x14ac:dyDescent="0.25">
      <c r="A465" s="10">
        <f>Catalog!D439</f>
        <v>0</v>
      </c>
      <c r="B465" s="10">
        <f>Catalog!F439</f>
        <v>0</v>
      </c>
      <c r="C465" s="10" t="str">
        <f>IF(Catalog!I439="","",Catalog!I439)&amp;IF(AND(Catalog!I439&lt;&gt;"",Catalog!J439&lt;&gt;""),"; ","")&amp;IF(Catalog!J439="","",Catalog!J439)</f>
        <v/>
      </c>
      <c r="D465" s="10">
        <f>Catalog!P439</f>
        <v>0</v>
      </c>
      <c r="E465" s="10">
        <f>Catalog!R439</f>
        <v>0</v>
      </c>
      <c r="F465" s="10">
        <f>Catalog!M439</f>
        <v>0</v>
      </c>
      <c r="G465" s="10">
        <f>Catalog!K439</f>
        <v>0</v>
      </c>
      <c r="H465" s="10" t="str">
        <f>IF(Catalog!S439&lt;&gt;"","ISBN:"&amp;Catalog!S439,IF(Catalog!T439&lt;&gt;"","ISSN:"&amp;Catalog!T439,""))</f>
        <v/>
      </c>
      <c r="I465" s="10">
        <f>Catalog!B439</f>
        <v>0</v>
      </c>
      <c r="J465" s="10">
        <f>Catalog!L439</f>
        <v>0</v>
      </c>
      <c r="K465" s="10">
        <f>IF(Catalog!AG439&lt;&gt;"",Catalog!AG439,Catalog!AE439)</f>
        <v>0</v>
      </c>
      <c r="L465" s="10">
        <f>Catalog!AD439</f>
        <v>0</v>
      </c>
      <c r="M465" s="10">
        <f>Catalog!V439</f>
        <v>0</v>
      </c>
      <c r="N465" s="10">
        <f>Catalog!Q439</f>
        <v>0</v>
      </c>
      <c r="O465" s="10">
        <f>Catalog!AF439</f>
        <v>0</v>
      </c>
    </row>
    <row r="466" spans="1:15" x14ac:dyDescent="0.25">
      <c r="A466" s="10">
        <f>Catalog!D440</f>
        <v>0</v>
      </c>
      <c r="B466" s="10">
        <f>Catalog!F440</f>
        <v>0</v>
      </c>
      <c r="C466" s="10" t="str">
        <f>IF(Catalog!I440="","",Catalog!I440)&amp;IF(AND(Catalog!I440&lt;&gt;"",Catalog!J440&lt;&gt;""),"; ","")&amp;IF(Catalog!J440="","",Catalog!J440)</f>
        <v/>
      </c>
      <c r="D466" s="10">
        <f>Catalog!P440</f>
        <v>0</v>
      </c>
      <c r="E466" s="10">
        <f>Catalog!R440</f>
        <v>0</v>
      </c>
      <c r="F466" s="10">
        <f>Catalog!M440</f>
        <v>0</v>
      </c>
      <c r="G466" s="10">
        <f>Catalog!K440</f>
        <v>0</v>
      </c>
      <c r="H466" s="10" t="str">
        <f>IF(Catalog!S440&lt;&gt;"","ISBN:"&amp;Catalog!S440,IF(Catalog!T440&lt;&gt;"","ISSN:"&amp;Catalog!T440,""))</f>
        <v/>
      </c>
      <c r="I466" s="10">
        <f>Catalog!B440</f>
        <v>0</v>
      </c>
      <c r="J466" s="10">
        <f>Catalog!L440</f>
        <v>0</v>
      </c>
      <c r="K466" s="10">
        <f>IF(Catalog!AG440&lt;&gt;"",Catalog!AG440,Catalog!AE440)</f>
        <v>0</v>
      </c>
      <c r="L466" s="10">
        <f>Catalog!AD440</f>
        <v>0</v>
      </c>
      <c r="M466" s="10">
        <f>Catalog!V440</f>
        <v>0</v>
      </c>
      <c r="N466" s="10">
        <f>Catalog!Q440</f>
        <v>0</v>
      </c>
      <c r="O466" s="10">
        <f>Catalog!AF440</f>
        <v>0</v>
      </c>
    </row>
    <row r="467" spans="1:15" x14ac:dyDescent="0.25">
      <c r="A467" s="10">
        <f>Catalog!D441</f>
        <v>0</v>
      </c>
      <c r="B467" s="10">
        <f>Catalog!F441</f>
        <v>0</v>
      </c>
      <c r="C467" s="10" t="str">
        <f>IF(Catalog!I441="","",Catalog!I441)&amp;IF(AND(Catalog!I441&lt;&gt;"",Catalog!J441&lt;&gt;""),"; ","")&amp;IF(Catalog!J441="","",Catalog!J441)</f>
        <v/>
      </c>
      <c r="D467" s="10">
        <f>Catalog!P441</f>
        <v>0</v>
      </c>
      <c r="E467" s="10">
        <f>Catalog!R441</f>
        <v>0</v>
      </c>
      <c r="F467" s="10">
        <f>Catalog!M441</f>
        <v>0</v>
      </c>
      <c r="G467" s="10">
        <f>Catalog!K441</f>
        <v>0</v>
      </c>
      <c r="H467" s="10" t="str">
        <f>IF(Catalog!S441&lt;&gt;"","ISBN:"&amp;Catalog!S441,IF(Catalog!T441&lt;&gt;"","ISSN:"&amp;Catalog!T441,""))</f>
        <v/>
      </c>
      <c r="I467" s="10">
        <f>Catalog!B441</f>
        <v>0</v>
      </c>
      <c r="J467" s="10">
        <f>Catalog!L441</f>
        <v>0</v>
      </c>
      <c r="K467" s="10">
        <f>IF(Catalog!AG441&lt;&gt;"",Catalog!AG441,Catalog!AE441)</f>
        <v>0</v>
      </c>
      <c r="L467" s="10">
        <f>Catalog!AD441</f>
        <v>0</v>
      </c>
      <c r="M467" s="10">
        <f>Catalog!V441</f>
        <v>0</v>
      </c>
      <c r="N467" s="10">
        <f>Catalog!Q441</f>
        <v>0</v>
      </c>
      <c r="O467" s="10">
        <f>Catalog!AF441</f>
        <v>0</v>
      </c>
    </row>
    <row r="468" spans="1:15" x14ac:dyDescent="0.25">
      <c r="A468" s="10">
        <f>Catalog!D442</f>
        <v>0</v>
      </c>
      <c r="B468" s="10">
        <f>Catalog!F442</f>
        <v>0</v>
      </c>
      <c r="C468" s="10" t="str">
        <f>IF(Catalog!I442="","",Catalog!I442)&amp;IF(AND(Catalog!I442&lt;&gt;"",Catalog!J442&lt;&gt;""),"; ","")&amp;IF(Catalog!J442="","",Catalog!J442)</f>
        <v/>
      </c>
      <c r="D468" s="10">
        <f>Catalog!P442</f>
        <v>0</v>
      </c>
      <c r="E468" s="10">
        <f>Catalog!R442</f>
        <v>0</v>
      </c>
      <c r="F468" s="10">
        <f>Catalog!M442</f>
        <v>0</v>
      </c>
      <c r="G468" s="10">
        <f>Catalog!K442</f>
        <v>0</v>
      </c>
      <c r="H468" s="10" t="str">
        <f>IF(Catalog!S442&lt;&gt;"","ISBN:"&amp;Catalog!S442,IF(Catalog!T442&lt;&gt;"","ISSN:"&amp;Catalog!T442,""))</f>
        <v/>
      </c>
      <c r="I468" s="10">
        <f>Catalog!B442</f>
        <v>0</v>
      </c>
      <c r="J468" s="10">
        <f>Catalog!L442</f>
        <v>0</v>
      </c>
      <c r="K468" s="10">
        <f>IF(Catalog!AG442&lt;&gt;"",Catalog!AG442,Catalog!AE442)</f>
        <v>0</v>
      </c>
      <c r="L468" s="10">
        <f>Catalog!AD442</f>
        <v>0</v>
      </c>
      <c r="M468" s="10">
        <f>Catalog!V442</f>
        <v>0</v>
      </c>
      <c r="N468" s="10">
        <f>Catalog!Q442</f>
        <v>0</v>
      </c>
      <c r="O468" s="10">
        <f>Catalog!AF442</f>
        <v>0</v>
      </c>
    </row>
    <row r="469" spans="1:15" x14ac:dyDescent="0.25">
      <c r="A469" s="10">
        <f>Catalog!D443</f>
        <v>0</v>
      </c>
      <c r="B469" s="10">
        <f>Catalog!F443</f>
        <v>0</v>
      </c>
      <c r="C469" s="10" t="str">
        <f>IF(Catalog!I443="","",Catalog!I443)&amp;IF(AND(Catalog!I443&lt;&gt;"",Catalog!J443&lt;&gt;""),"; ","")&amp;IF(Catalog!J443="","",Catalog!J443)</f>
        <v/>
      </c>
      <c r="D469" s="10">
        <f>Catalog!P443</f>
        <v>0</v>
      </c>
      <c r="E469" s="10">
        <f>Catalog!R443</f>
        <v>0</v>
      </c>
      <c r="F469" s="10">
        <f>Catalog!M443</f>
        <v>0</v>
      </c>
      <c r="G469" s="10">
        <f>Catalog!K443</f>
        <v>0</v>
      </c>
      <c r="H469" s="10" t="str">
        <f>IF(Catalog!S443&lt;&gt;"","ISBN:"&amp;Catalog!S443,IF(Catalog!T443&lt;&gt;"","ISSN:"&amp;Catalog!T443,""))</f>
        <v/>
      </c>
      <c r="I469" s="10">
        <f>Catalog!B443</f>
        <v>0</v>
      </c>
      <c r="J469" s="10">
        <f>Catalog!L443</f>
        <v>0</v>
      </c>
      <c r="K469" s="10">
        <f>IF(Catalog!AG443&lt;&gt;"",Catalog!AG443,Catalog!AE443)</f>
        <v>0</v>
      </c>
      <c r="L469" s="10">
        <f>Catalog!AD443</f>
        <v>0</v>
      </c>
      <c r="M469" s="10">
        <f>Catalog!V443</f>
        <v>0</v>
      </c>
      <c r="N469" s="10">
        <f>Catalog!Q443</f>
        <v>0</v>
      </c>
      <c r="O469" s="10">
        <f>Catalog!AF443</f>
        <v>0</v>
      </c>
    </row>
    <row r="470" spans="1:15" x14ac:dyDescent="0.25">
      <c r="A470" s="10">
        <f>Catalog!D444</f>
        <v>0</v>
      </c>
      <c r="B470" s="10">
        <f>Catalog!F444</f>
        <v>0</v>
      </c>
      <c r="C470" s="10" t="str">
        <f>IF(Catalog!I444="","",Catalog!I444)&amp;IF(AND(Catalog!I444&lt;&gt;"",Catalog!J444&lt;&gt;""),"; ","")&amp;IF(Catalog!J444="","",Catalog!J444)</f>
        <v/>
      </c>
      <c r="D470" s="10">
        <f>Catalog!P444</f>
        <v>0</v>
      </c>
      <c r="E470" s="10">
        <f>Catalog!R444</f>
        <v>0</v>
      </c>
      <c r="F470" s="10">
        <f>Catalog!M444</f>
        <v>0</v>
      </c>
      <c r="G470" s="10">
        <f>Catalog!K444</f>
        <v>0</v>
      </c>
      <c r="H470" s="10" t="str">
        <f>IF(Catalog!S444&lt;&gt;"","ISBN:"&amp;Catalog!S444,IF(Catalog!T444&lt;&gt;"","ISSN:"&amp;Catalog!T444,""))</f>
        <v/>
      </c>
      <c r="I470" s="10">
        <f>Catalog!B444</f>
        <v>0</v>
      </c>
      <c r="J470" s="10">
        <f>Catalog!L444</f>
        <v>0</v>
      </c>
      <c r="K470" s="10">
        <f>IF(Catalog!AG444&lt;&gt;"",Catalog!AG444,Catalog!AE444)</f>
        <v>0</v>
      </c>
      <c r="L470" s="10">
        <f>Catalog!AD444</f>
        <v>0</v>
      </c>
      <c r="M470" s="10">
        <f>Catalog!V444</f>
        <v>0</v>
      </c>
      <c r="N470" s="10">
        <f>Catalog!Q444</f>
        <v>0</v>
      </c>
      <c r="O470" s="10">
        <f>Catalog!AF444</f>
        <v>0</v>
      </c>
    </row>
    <row r="471" spans="1:15" x14ac:dyDescent="0.25">
      <c r="A471" s="10">
        <f>Catalog!D445</f>
        <v>0</v>
      </c>
      <c r="B471" s="10">
        <f>Catalog!F445</f>
        <v>0</v>
      </c>
      <c r="C471" s="10" t="str">
        <f>IF(Catalog!I445="","",Catalog!I445)&amp;IF(AND(Catalog!I445&lt;&gt;"",Catalog!J445&lt;&gt;""),"; ","")&amp;IF(Catalog!J445="","",Catalog!J445)</f>
        <v/>
      </c>
      <c r="D471" s="10">
        <f>Catalog!P445</f>
        <v>0</v>
      </c>
      <c r="E471" s="10">
        <f>Catalog!R445</f>
        <v>0</v>
      </c>
      <c r="F471" s="10">
        <f>Catalog!M445</f>
        <v>0</v>
      </c>
      <c r="G471" s="10">
        <f>Catalog!K445</f>
        <v>0</v>
      </c>
      <c r="H471" s="10" t="str">
        <f>IF(Catalog!S445&lt;&gt;"","ISBN:"&amp;Catalog!S445,IF(Catalog!T445&lt;&gt;"","ISSN:"&amp;Catalog!T445,""))</f>
        <v/>
      </c>
      <c r="I471" s="10">
        <f>Catalog!B445</f>
        <v>0</v>
      </c>
      <c r="J471" s="10">
        <f>Catalog!L445</f>
        <v>0</v>
      </c>
      <c r="K471" s="10">
        <f>IF(Catalog!AG445&lt;&gt;"",Catalog!AG445,Catalog!AE445)</f>
        <v>0</v>
      </c>
      <c r="L471" s="10">
        <f>Catalog!AD445</f>
        <v>0</v>
      </c>
      <c r="M471" s="10">
        <f>Catalog!V445</f>
        <v>0</v>
      </c>
      <c r="N471" s="10">
        <f>Catalog!Q445</f>
        <v>0</v>
      </c>
      <c r="O471" s="10">
        <f>Catalog!AF445</f>
        <v>0</v>
      </c>
    </row>
    <row r="472" spans="1:15" x14ac:dyDescent="0.25">
      <c r="A472" s="10">
        <f>Catalog!D446</f>
        <v>0</v>
      </c>
      <c r="B472" s="10">
        <f>Catalog!F446</f>
        <v>0</v>
      </c>
      <c r="C472" s="10" t="str">
        <f>IF(Catalog!I446="","",Catalog!I446)&amp;IF(AND(Catalog!I446&lt;&gt;"",Catalog!J446&lt;&gt;""),"; ","")&amp;IF(Catalog!J446="","",Catalog!J446)</f>
        <v/>
      </c>
      <c r="D472" s="10">
        <f>Catalog!P446</f>
        <v>0</v>
      </c>
      <c r="E472" s="10">
        <f>Catalog!R446</f>
        <v>0</v>
      </c>
      <c r="F472" s="10">
        <f>Catalog!M446</f>
        <v>0</v>
      </c>
      <c r="G472" s="10">
        <f>Catalog!K446</f>
        <v>0</v>
      </c>
      <c r="H472" s="10" t="str">
        <f>IF(Catalog!S446&lt;&gt;"","ISBN:"&amp;Catalog!S446,IF(Catalog!T446&lt;&gt;"","ISSN:"&amp;Catalog!T446,""))</f>
        <v/>
      </c>
      <c r="I472" s="10">
        <f>Catalog!B446</f>
        <v>0</v>
      </c>
      <c r="J472" s="10">
        <f>Catalog!L446</f>
        <v>0</v>
      </c>
      <c r="K472" s="10">
        <f>IF(Catalog!AG446&lt;&gt;"",Catalog!AG446,Catalog!AE446)</f>
        <v>0</v>
      </c>
      <c r="L472" s="10">
        <f>Catalog!AD446</f>
        <v>0</v>
      </c>
      <c r="M472" s="10">
        <f>Catalog!V446</f>
        <v>0</v>
      </c>
      <c r="N472" s="10">
        <f>Catalog!Q446</f>
        <v>0</v>
      </c>
      <c r="O472" s="10">
        <f>Catalog!AF446</f>
        <v>0</v>
      </c>
    </row>
    <row r="473" spans="1:15" x14ac:dyDescent="0.25">
      <c r="A473" s="10">
        <f>Catalog!D447</f>
        <v>0</v>
      </c>
      <c r="B473" s="10">
        <f>Catalog!F447</f>
        <v>0</v>
      </c>
      <c r="C473" s="10" t="str">
        <f>IF(Catalog!I447="","",Catalog!I447)&amp;IF(AND(Catalog!I447&lt;&gt;"",Catalog!J447&lt;&gt;""),"; ","")&amp;IF(Catalog!J447="","",Catalog!J447)</f>
        <v/>
      </c>
      <c r="D473" s="10">
        <f>Catalog!P447</f>
        <v>0</v>
      </c>
      <c r="E473" s="10">
        <f>Catalog!R447</f>
        <v>0</v>
      </c>
      <c r="F473" s="10">
        <f>Catalog!M447</f>
        <v>0</v>
      </c>
      <c r="G473" s="10">
        <f>Catalog!K447</f>
        <v>0</v>
      </c>
      <c r="H473" s="10" t="str">
        <f>IF(Catalog!S447&lt;&gt;"","ISBN:"&amp;Catalog!S447,IF(Catalog!T447&lt;&gt;"","ISSN:"&amp;Catalog!T447,""))</f>
        <v/>
      </c>
      <c r="I473" s="10">
        <f>Catalog!B447</f>
        <v>0</v>
      </c>
      <c r="J473" s="10">
        <f>Catalog!L447</f>
        <v>0</v>
      </c>
      <c r="K473" s="10">
        <f>IF(Catalog!AG447&lt;&gt;"",Catalog!AG447,Catalog!AE447)</f>
        <v>0</v>
      </c>
      <c r="L473" s="10">
        <f>Catalog!AD447</f>
        <v>0</v>
      </c>
      <c r="M473" s="10">
        <f>Catalog!V447</f>
        <v>0</v>
      </c>
      <c r="N473" s="10">
        <f>Catalog!Q447</f>
        <v>0</v>
      </c>
      <c r="O473" s="10">
        <f>Catalog!AF447</f>
        <v>0</v>
      </c>
    </row>
    <row r="474" spans="1:15" x14ac:dyDescent="0.25">
      <c r="A474" s="10">
        <f>Catalog!D448</f>
        <v>0</v>
      </c>
      <c r="B474" s="10">
        <f>Catalog!F448</f>
        <v>0</v>
      </c>
      <c r="C474" s="10" t="str">
        <f>IF(Catalog!I448="","",Catalog!I448)&amp;IF(AND(Catalog!I448&lt;&gt;"",Catalog!J448&lt;&gt;""),"; ","")&amp;IF(Catalog!J448="","",Catalog!J448)</f>
        <v/>
      </c>
      <c r="D474" s="10">
        <f>Catalog!P448</f>
        <v>0</v>
      </c>
      <c r="E474" s="10">
        <f>Catalog!R448</f>
        <v>0</v>
      </c>
      <c r="F474" s="10">
        <f>Catalog!M448</f>
        <v>0</v>
      </c>
      <c r="G474" s="10">
        <f>Catalog!K448</f>
        <v>0</v>
      </c>
      <c r="H474" s="10" t="str">
        <f>IF(Catalog!S448&lt;&gt;"","ISBN:"&amp;Catalog!S448,IF(Catalog!T448&lt;&gt;"","ISSN:"&amp;Catalog!T448,""))</f>
        <v/>
      </c>
      <c r="I474" s="10">
        <f>Catalog!B448</f>
        <v>0</v>
      </c>
      <c r="J474" s="10">
        <f>Catalog!L448</f>
        <v>0</v>
      </c>
      <c r="K474" s="10">
        <f>IF(Catalog!AG448&lt;&gt;"",Catalog!AG448,Catalog!AE448)</f>
        <v>0</v>
      </c>
      <c r="L474" s="10">
        <f>Catalog!AD448</f>
        <v>0</v>
      </c>
      <c r="M474" s="10">
        <f>Catalog!V448</f>
        <v>0</v>
      </c>
      <c r="N474" s="10">
        <f>Catalog!Q448</f>
        <v>0</v>
      </c>
      <c r="O474" s="10">
        <f>Catalog!AF448</f>
        <v>0</v>
      </c>
    </row>
    <row r="475" spans="1:15" x14ac:dyDescent="0.25">
      <c r="A475" s="10">
        <f>Catalog!D449</f>
        <v>0</v>
      </c>
      <c r="B475" s="10">
        <f>Catalog!F449</f>
        <v>0</v>
      </c>
      <c r="C475" s="10" t="str">
        <f>IF(Catalog!I449="","",Catalog!I449)&amp;IF(AND(Catalog!I449&lt;&gt;"",Catalog!J449&lt;&gt;""),"; ","")&amp;IF(Catalog!J449="","",Catalog!J449)</f>
        <v/>
      </c>
      <c r="D475" s="10">
        <f>Catalog!P449</f>
        <v>0</v>
      </c>
      <c r="E475" s="10">
        <f>Catalog!R449</f>
        <v>0</v>
      </c>
      <c r="F475" s="10">
        <f>Catalog!M449</f>
        <v>0</v>
      </c>
      <c r="G475" s="10">
        <f>Catalog!K449</f>
        <v>0</v>
      </c>
      <c r="H475" s="10" t="str">
        <f>IF(Catalog!S449&lt;&gt;"","ISBN:"&amp;Catalog!S449,IF(Catalog!T449&lt;&gt;"","ISSN:"&amp;Catalog!T449,""))</f>
        <v/>
      </c>
      <c r="I475" s="10">
        <f>Catalog!B449</f>
        <v>0</v>
      </c>
      <c r="J475" s="10">
        <f>Catalog!L449</f>
        <v>0</v>
      </c>
      <c r="K475" s="10">
        <f>IF(Catalog!AG449&lt;&gt;"",Catalog!AG449,Catalog!AE449)</f>
        <v>0</v>
      </c>
      <c r="L475" s="10">
        <f>Catalog!AD449</f>
        <v>0</v>
      </c>
      <c r="M475" s="10">
        <f>Catalog!V449</f>
        <v>0</v>
      </c>
      <c r="N475" s="10">
        <f>Catalog!Q449</f>
        <v>0</v>
      </c>
      <c r="O475" s="10">
        <f>Catalog!AF449</f>
        <v>0</v>
      </c>
    </row>
    <row r="476" spans="1:15" x14ac:dyDescent="0.25">
      <c r="A476" s="10">
        <f>Catalog!D450</f>
        <v>0</v>
      </c>
      <c r="B476" s="10">
        <f>Catalog!F450</f>
        <v>0</v>
      </c>
      <c r="C476" s="10" t="str">
        <f>IF(Catalog!I450="","",Catalog!I450)&amp;IF(AND(Catalog!I450&lt;&gt;"",Catalog!J450&lt;&gt;""),"; ","")&amp;IF(Catalog!J450="","",Catalog!J450)</f>
        <v/>
      </c>
      <c r="D476" s="10">
        <f>Catalog!P450</f>
        <v>0</v>
      </c>
      <c r="E476" s="10">
        <f>Catalog!R450</f>
        <v>0</v>
      </c>
      <c r="F476" s="10">
        <f>Catalog!M450</f>
        <v>0</v>
      </c>
      <c r="G476" s="10">
        <f>Catalog!K450</f>
        <v>0</v>
      </c>
      <c r="H476" s="10" t="str">
        <f>IF(Catalog!S450&lt;&gt;"","ISBN:"&amp;Catalog!S450,IF(Catalog!T450&lt;&gt;"","ISSN:"&amp;Catalog!T450,""))</f>
        <v/>
      </c>
      <c r="I476" s="10">
        <f>Catalog!B450</f>
        <v>0</v>
      </c>
      <c r="J476" s="10">
        <f>Catalog!L450</f>
        <v>0</v>
      </c>
      <c r="K476" s="10">
        <f>IF(Catalog!AG450&lt;&gt;"",Catalog!AG450,Catalog!AE450)</f>
        <v>0</v>
      </c>
      <c r="L476" s="10">
        <f>Catalog!AD450</f>
        <v>0</v>
      </c>
      <c r="M476" s="10">
        <f>Catalog!V450</f>
        <v>0</v>
      </c>
      <c r="N476" s="10">
        <f>Catalog!Q450</f>
        <v>0</v>
      </c>
      <c r="O476" s="10">
        <f>Catalog!AF450</f>
        <v>0</v>
      </c>
    </row>
    <row r="477" spans="1:15" x14ac:dyDescent="0.25">
      <c r="A477" s="10">
        <f>Catalog!D451</f>
        <v>0</v>
      </c>
      <c r="B477" s="10">
        <f>Catalog!F451</f>
        <v>0</v>
      </c>
      <c r="C477" s="10" t="str">
        <f>IF(Catalog!I451="","",Catalog!I451)&amp;IF(AND(Catalog!I451&lt;&gt;"",Catalog!J451&lt;&gt;""),"; ","")&amp;IF(Catalog!J451="","",Catalog!J451)</f>
        <v/>
      </c>
      <c r="D477" s="10">
        <f>Catalog!P451</f>
        <v>0</v>
      </c>
      <c r="E477" s="10">
        <f>Catalog!R451</f>
        <v>0</v>
      </c>
      <c r="F477" s="10">
        <f>Catalog!M451</f>
        <v>0</v>
      </c>
      <c r="G477" s="10">
        <f>Catalog!K451</f>
        <v>0</v>
      </c>
      <c r="H477" s="10" t="str">
        <f>IF(Catalog!S451&lt;&gt;"","ISBN:"&amp;Catalog!S451,IF(Catalog!T451&lt;&gt;"","ISSN:"&amp;Catalog!T451,""))</f>
        <v/>
      </c>
      <c r="I477" s="10">
        <f>Catalog!B451</f>
        <v>0</v>
      </c>
      <c r="J477" s="10">
        <f>Catalog!L451</f>
        <v>0</v>
      </c>
      <c r="K477" s="10">
        <f>IF(Catalog!AG451&lt;&gt;"",Catalog!AG451,Catalog!AE451)</f>
        <v>0</v>
      </c>
      <c r="L477" s="10">
        <f>Catalog!AD451</f>
        <v>0</v>
      </c>
      <c r="M477" s="10">
        <f>Catalog!V451</f>
        <v>0</v>
      </c>
      <c r="N477" s="10">
        <f>Catalog!Q451</f>
        <v>0</v>
      </c>
      <c r="O477" s="10">
        <f>Catalog!AF451</f>
        <v>0</v>
      </c>
    </row>
    <row r="478" spans="1:15" x14ac:dyDescent="0.25">
      <c r="A478" s="10">
        <f>Catalog!D452</f>
        <v>0</v>
      </c>
      <c r="B478" s="10">
        <f>Catalog!F452</f>
        <v>0</v>
      </c>
      <c r="C478" s="10" t="str">
        <f>IF(Catalog!I452="","",Catalog!I452)&amp;IF(AND(Catalog!I452&lt;&gt;"",Catalog!J452&lt;&gt;""),"; ","")&amp;IF(Catalog!J452="","",Catalog!J452)</f>
        <v/>
      </c>
      <c r="D478" s="10">
        <f>Catalog!P452</f>
        <v>0</v>
      </c>
      <c r="E478" s="10">
        <f>Catalog!R452</f>
        <v>0</v>
      </c>
      <c r="F478" s="10">
        <f>Catalog!M452</f>
        <v>0</v>
      </c>
      <c r="G478" s="10">
        <f>Catalog!K452</f>
        <v>0</v>
      </c>
      <c r="H478" s="10" t="str">
        <f>IF(Catalog!S452&lt;&gt;"","ISBN:"&amp;Catalog!S452,IF(Catalog!T452&lt;&gt;"","ISSN:"&amp;Catalog!T452,""))</f>
        <v/>
      </c>
      <c r="I478" s="10">
        <f>Catalog!B452</f>
        <v>0</v>
      </c>
      <c r="J478" s="10">
        <f>Catalog!L452</f>
        <v>0</v>
      </c>
      <c r="K478" s="10">
        <f>IF(Catalog!AG452&lt;&gt;"",Catalog!AG452,Catalog!AE452)</f>
        <v>0</v>
      </c>
      <c r="L478" s="10">
        <f>Catalog!AD452</f>
        <v>0</v>
      </c>
      <c r="M478" s="10">
        <f>Catalog!V452</f>
        <v>0</v>
      </c>
      <c r="N478" s="10">
        <f>Catalog!Q452</f>
        <v>0</v>
      </c>
      <c r="O478" s="10">
        <f>Catalog!AF452</f>
        <v>0</v>
      </c>
    </row>
    <row r="479" spans="1:15" x14ac:dyDescent="0.25">
      <c r="A479" s="10">
        <f>Catalog!D453</f>
        <v>0</v>
      </c>
      <c r="B479" s="10">
        <f>Catalog!F453</f>
        <v>0</v>
      </c>
      <c r="C479" s="10" t="str">
        <f>IF(Catalog!I453="","",Catalog!I453)&amp;IF(AND(Catalog!I453&lt;&gt;"",Catalog!J453&lt;&gt;""),"; ","")&amp;IF(Catalog!J453="","",Catalog!J453)</f>
        <v/>
      </c>
      <c r="D479" s="10">
        <f>Catalog!P453</f>
        <v>0</v>
      </c>
      <c r="E479" s="10">
        <f>Catalog!R453</f>
        <v>0</v>
      </c>
      <c r="F479" s="10">
        <f>Catalog!M453</f>
        <v>0</v>
      </c>
      <c r="G479" s="10">
        <f>Catalog!K453</f>
        <v>0</v>
      </c>
      <c r="H479" s="10" t="str">
        <f>IF(Catalog!S453&lt;&gt;"","ISBN:"&amp;Catalog!S453,IF(Catalog!T453&lt;&gt;"","ISSN:"&amp;Catalog!T453,""))</f>
        <v/>
      </c>
      <c r="I479" s="10">
        <f>Catalog!B453</f>
        <v>0</v>
      </c>
      <c r="J479" s="10">
        <f>Catalog!L453</f>
        <v>0</v>
      </c>
      <c r="K479" s="10">
        <f>IF(Catalog!AG453&lt;&gt;"",Catalog!AG453,Catalog!AE453)</f>
        <v>0</v>
      </c>
      <c r="L479" s="10">
        <f>Catalog!AD453</f>
        <v>0</v>
      </c>
      <c r="M479" s="10">
        <f>Catalog!V453</f>
        <v>0</v>
      </c>
      <c r="N479" s="10">
        <f>Catalog!Q453</f>
        <v>0</v>
      </c>
      <c r="O479" s="10">
        <f>Catalog!AF453</f>
        <v>0</v>
      </c>
    </row>
    <row r="480" spans="1:15" x14ac:dyDescent="0.25">
      <c r="A480" s="10">
        <f>Catalog!D454</f>
        <v>0</v>
      </c>
      <c r="B480" s="10">
        <f>Catalog!F454</f>
        <v>0</v>
      </c>
      <c r="C480" s="10" t="str">
        <f>IF(Catalog!I454="","",Catalog!I454)&amp;IF(AND(Catalog!I454&lt;&gt;"",Catalog!J454&lt;&gt;""),"; ","")&amp;IF(Catalog!J454="","",Catalog!J454)</f>
        <v/>
      </c>
      <c r="D480" s="10">
        <f>Catalog!P454</f>
        <v>0</v>
      </c>
      <c r="E480" s="10">
        <f>Catalog!R454</f>
        <v>0</v>
      </c>
      <c r="F480" s="10">
        <f>Catalog!M454</f>
        <v>0</v>
      </c>
      <c r="G480" s="10">
        <f>Catalog!K454</f>
        <v>0</v>
      </c>
      <c r="H480" s="10" t="str">
        <f>IF(Catalog!S454&lt;&gt;"","ISBN:"&amp;Catalog!S454,IF(Catalog!T454&lt;&gt;"","ISSN:"&amp;Catalog!T454,""))</f>
        <v/>
      </c>
      <c r="I480" s="10">
        <f>Catalog!B454</f>
        <v>0</v>
      </c>
      <c r="J480" s="10">
        <f>Catalog!L454</f>
        <v>0</v>
      </c>
      <c r="K480" s="10">
        <f>IF(Catalog!AG454&lt;&gt;"",Catalog!AG454,Catalog!AE454)</f>
        <v>0</v>
      </c>
      <c r="L480" s="10">
        <f>Catalog!AD454</f>
        <v>0</v>
      </c>
      <c r="M480" s="10">
        <f>Catalog!V454</f>
        <v>0</v>
      </c>
      <c r="N480" s="10">
        <f>Catalog!Q454</f>
        <v>0</v>
      </c>
      <c r="O480" s="10">
        <f>Catalog!AF454</f>
        <v>0</v>
      </c>
    </row>
    <row r="481" spans="1:15" x14ac:dyDescent="0.25">
      <c r="A481" s="10">
        <f>Catalog!D455</f>
        <v>0</v>
      </c>
      <c r="B481" s="10">
        <f>Catalog!F455</f>
        <v>0</v>
      </c>
      <c r="C481" s="10" t="str">
        <f>IF(Catalog!I455="","",Catalog!I455)&amp;IF(AND(Catalog!I455&lt;&gt;"",Catalog!J455&lt;&gt;""),"; ","")&amp;IF(Catalog!J455="","",Catalog!J455)</f>
        <v/>
      </c>
      <c r="D481" s="10">
        <f>Catalog!P455</f>
        <v>0</v>
      </c>
      <c r="E481" s="10">
        <f>Catalog!R455</f>
        <v>0</v>
      </c>
      <c r="F481" s="10">
        <f>Catalog!M455</f>
        <v>0</v>
      </c>
      <c r="G481" s="10">
        <f>Catalog!K455</f>
        <v>0</v>
      </c>
      <c r="H481" s="10" t="str">
        <f>IF(Catalog!S455&lt;&gt;"","ISBN:"&amp;Catalog!S455,IF(Catalog!T455&lt;&gt;"","ISSN:"&amp;Catalog!T455,""))</f>
        <v/>
      </c>
      <c r="I481" s="10">
        <f>Catalog!B455</f>
        <v>0</v>
      </c>
      <c r="J481" s="10">
        <f>Catalog!L455</f>
        <v>0</v>
      </c>
      <c r="K481" s="10">
        <f>IF(Catalog!AG455&lt;&gt;"",Catalog!AG455,Catalog!AE455)</f>
        <v>0</v>
      </c>
      <c r="L481" s="10">
        <f>Catalog!AD455</f>
        <v>0</v>
      </c>
      <c r="M481" s="10">
        <f>Catalog!V455</f>
        <v>0</v>
      </c>
      <c r="N481" s="10">
        <f>Catalog!Q455</f>
        <v>0</v>
      </c>
      <c r="O481" s="10">
        <f>Catalog!AF455</f>
        <v>0</v>
      </c>
    </row>
    <row r="482" spans="1:15" x14ac:dyDescent="0.25">
      <c r="A482" s="10">
        <f>Catalog!D456</f>
        <v>0</v>
      </c>
      <c r="B482" s="10">
        <f>Catalog!F456</f>
        <v>0</v>
      </c>
      <c r="C482" s="10" t="str">
        <f>IF(Catalog!I456="","",Catalog!I456)&amp;IF(AND(Catalog!I456&lt;&gt;"",Catalog!J456&lt;&gt;""),"; ","")&amp;IF(Catalog!J456="","",Catalog!J456)</f>
        <v/>
      </c>
      <c r="D482" s="10">
        <f>Catalog!P456</f>
        <v>0</v>
      </c>
      <c r="E482" s="10">
        <f>Catalog!R456</f>
        <v>0</v>
      </c>
      <c r="F482" s="10">
        <f>Catalog!M456</f>
        <v>0</v>
      </c>
      <c r="G482" s="10">
        <f>Catalog!K456</f>
        <v>0</v>
      </c>
      <c r="H482" s="10" t="str">
        <f>IF(Catalog!S456&lt;&gt;"","ISBN:"&amp;Catalog!S456,IF(Catalog!T456&lt;&gt;"","ISSN:"&amp;Catalog!T456,""))</f>
        <v/>
      </c>
      <c r="I482" s="10">
        <f>Catalog!B456</f>
        <v>0</v>
      </c>
      <c r="J482" s="10">
        <f>Catalog!L456</f>
        <v>0</v>
      </c>
      <c r="K482" s="10">
        <f>IF(Catalog!AG456&lt;&gt;"",Catalog!AG456,Catalog!AE456)</f>
        <v>0</v>
      </c>
      <c r="L482" s="10">
        <f>Catalog!AD456</f>
        <v>0</v>
      </c>
      <c r="M482" s="10">
        <f>Catalog!V456</f>
        <v>0</v>
      </c>
      <c r="N482" s="10">
        <f>Catalog!Q456</f>
        <v>0</v>
      </c>
      <c r="O482" s="10">
        <f>Catalog!AF456</f>
        <v>0</v>
      </c>
    </row>
    <row r="483" spans="1:15" x14ac:dyDescent="0.25">
      <c r="A483" s="10">
        <f>Catalog!D457</f>
        <v>0</v>
      </c>
      <c r="B483" s="10">
        <f>Catalog!F457</f>
        <v>0</v>
      </c>
      <c r="C483" s="10" t="str">
        <f>IF(Catalog!I457="","",Catalog!I457)&amp;IF(AND(Catalog!I457&lt;&gt;"",Catalog!J457&lt;&gt;""),"; ","")&amp;IF(Catalog!J457="","",Catalog!J457)</f>
        <v/>
      </c>
      <c r="D483" s="10">
        <f>Catalog!P457</f>
        <v>0</v>
      </c>
      <c r="E483" s="10">
        <f>Catalog!R457</f>
        <v>0</v>
      </c>
      <c r="F483" s="10">
        <f>Catalog!M457</f>
        <v>0</v>
      </c>
      <c r="G483" s="10">
        <f>Catalog!K457</f>
        <v>0</v>
      </c>
      <c r="H483" s="10" t="str">
        <f>IF(Catalog!S457&lt;&gt;"","ISBN:"&amp;Catalog!S457,IF(Catalog!T457&lt;&gt;"","ISSN:"&amp;Catalog!T457,""))</f>
        <v/>
      </c>
      <c r="I483" s="10">
        <f>Catalog!B457</f>
        <v>0</v>
      </c>
      <c r="J483" s="10">
        <f>Catalog!L457</f>
        <v>0</v>
      </c>
      <c r="K483" s="10">
        <f>IF(Catalog!AG457&lt;&gt;"",Catalog!AG457,Catalog!AE457)</f>
        <v>0</v>
      </c>
      <c r="L483" s="10">
        <f>Catalog!AD457</f>
        <v>0</v>
      </c>
      <c r="M483" s="10">
        <f>Catalog!V457</f>
        <v>0</v>
      </c>
      <c r="N483" s="10">
        <f>Catalog!Q457</f>
        <v>0</v>
      </c>
      <c r="O483" s="10">
        <f>Catalog!AF457</f>
        <v>0</v>
      </c>
    </row>
    <row r="484" spans="1:15" x14ac:dyDescent="0.25">
      <c r="A484" s="10">
        <f>Catalog!D458</f>
        <v>0</v>
      </c>
      <c r="B484" s="10">
        <f>Catalog!F458</f>
        <v>0</v>
      </c>
      <c r="C484" s="10" t="str">
        <f>IF(Catalog!I458="","",Catalog!I458)&amp;IF(AND(Catalog!I458&lt;&gt;"",Catalog!J458&lt;&gt;""),"; ","")&amp;IF(Catalog!J458="","",Catalog!J458)</f>
        <v/>
      </c>
      <c r="D484" s="10">
        <f>Catalog!P458</f>
        <v>0</v>
      </c>
      <c r="E484" s="10">
        <f>Catalog!R458</f>
        <v>0</v>
      </c>
      <c r="F484" s="10">
        <f>Catalog!M458</f>
        <v>0</v>
      </c>
      <c r="G484" s="10">
        <f>Catalog!K458</f>
        <v>0</v>
      </c>
      <c r="H484" s="10" t="str">
        <f>IF(Catalog!S458&lt;&gt;"","ISBN:"&amp;Catalog!S458,IF(Catalog!T458&lt;&gt;"","ISSN:"&amp;Catalog!T458,""))</f>
        <v/>
      </c>
      <c r="I484" s="10">
        <f>Catalog!B458</f>
        <v>0</v>
      </c>
      <c r="J484" s="10">
        <f>Catalog!L458</f>
        <v>0</v>
      </c>
      <c r="K484" s="10">
        <f>IF(Catalog!AG458&lt;&gt;"",Catalog!AG458,Catalog!AE458)</f>
        <v>0</v>
      </c>
      <c r="L484" s="10">
        <f>Catalog!AD458</f>
        <v>0</v>
      </c>
      <c r="M484" s="10">
        <f>Catalog!V458</f>
        <v>0</v>
      </c>
      <c r="N484" s="10">
        <f>Catalog!Q458</f>
        <v>0</v>
      </c>
      <c r="O484" s="10">
        <f>Catalog!AF458</f>
        <v>0</v>
      </c>
    </row>
    <row r="485" spans="1:15" x14ac:dyDescent="0.25">
      <c r="A485" s="10">
        <f>Catalog!D459</f>
        <v>0</v>
      </c>
      <c r="B485" s="10">
        <f>Catalog!F459</f>
        <v>0</v>
      </c>
      <c r="C485" s="10" t="str">
        <f>IF(Catalog!I459="","",Catalog!I459)&amp;IF(AND(Catalog!I459&lt;&gt;"",Catalog!J459&lt;&gt;""),"; ","")&amp;IF(Catalog!J459="","",Catalog!J459)</f>
        <v/>
      </c>
      <c r="D485" s="10">
        <f>Catalog!P459</f>
        <v>0</v>
      </c>
      <c r="E485" s="10">
        <f>Catalog!R459</f>
        <v>0</v>
      </c>
      <c r="F485" s="10">
        <f>Catalog!M459</f>
        <v>0</v>
      </c>
      <c r="G485" s="10">
        <f>Catalog!K459</f>
        <v>0</v>
      </c>
      <c r="H485" s="10" t="str">
        <f>IF(Catalog!S459&lt;&gt;"","ISBN:"&amp;Catalog!S459,IF(Catalog!T459&lt;&gt;"","ISSN:"&amp;Catalog!T459,""))</f>
        <v/>
      </c>
      <c r="I485" s="10">
        <f>Catalog!B459</f>
        <v>0</v>
      </c>
      <c r="J485" s="10">
        <f>Catalog!L459</f>
        <v>0</v>
      </c>
      <c r="K485" s="10">
        <f>IF(Catalog!AG459&lt;&gt;"",Catalog!AG459,Catalog!AE459)</f>
        <v>0</v>
      </c>
      <c r="L485" s="10">
        <f>Catalog!AD459</f>
        <v>0</v>
      </c>
      <c r="M485" s="10">
        <f>Catalog!V459</f>
        <v>0</v>
      </c>
      <c r="N485" s="10">
        <f>Catalog!Q459</f>
        <v>0</v>
      </c>
      <c r="O485" s="10">
        <f>Catalog!AF459</f>
        <v>0</v>
      </c>
    </row>
    <row r="486" spans="1:15" x14ac:dyDescent="0.25">
      <c r="A486" s="10">
        <f>Catalog!D460</f>
        <v>0</v>
      </c>
      <c r="B486" s="10">
        <f>Catalog!F460</f>
        <v>0</v>
      </c>
      <c r="C486" s="10" t="str">
        <f>IF(Catalog!I460="","",Catalog!I460)&amp;IF(AND(Catalog!I460&lt;&gt;"",Catalog!J460&lt;&gt;""),"; ","")&amp;IF(Catalog!J460="","",Catalog!J460)</f>
        <v/>
      </c>
      <c r="D486" s="10">
        <f>Catalog!P460</f>
        <v>0</v>
      </c>
      <c r="E486" s="10">
        <f>Catalog!R460</f>
        <v>0</v>
      </c>
      <c r="F486" s="10">
        <f>Catalog!M460</f>
        <v>0</v>
      </c>
      <c r="G486" s="10">
        <f>Catalog!K460</f>
        <v>0</v>
      </c>
      <c r="H486" s="10" t="str">
        <f>IF(Catalog!S460&lt;&gt;"","ISBN:"&amp;Catalog!S460,IF(Catalog!T460&lt;&gt;"","ISSN:"&amp;Catalog!T460,""))</f>
        <v/>
      </c>
      <c r="I486" s="10">
        <f>Catalog!B460</f>
        <v>0</v>
      </c>
      <c r="J486" s="10">
        <f>Catalog!L460</f>
        <v>0</v>
      </c>
      <c r="K486" s="10">
        <f>IF(Catalog!AG460&lt;&gt;"",Catalog!AG460,Catalog!AE460)</f>
        <v>0</v>
      </c>
      <c r="L486" s="10">
        <f>Catalog!AD460</f>
        <v>0</v>
      </c>
      <c r="M486" s="10">
        <f>Catalog!V460</f>
        <v>0</v>
      </c>
      <c r="N486" s="10">
        <f>Catalog!Q460</f>
        <v>0</v>
      </c>
      <c r="O486" s="10">
        <f>Catalog!AF460</f>
        <v>0</v>
      </c>
    </row>
    <row r="487" spans="1:15" x14ac:dyDescent="0.25">
      <c r="A487" s="10">
        <f>Catalog!D461</f>
        <v>0</v>
      </c>
      <c r="B487" s="10">
        <f>Catalog!F461</f>
        <v>0</v>
      </c>
      <c r="C487" s="10" t="str">
        <f>IF(Catalog!I461="","",Catalog!I461)&amp;IF(AND(Catalog!I461&lt;&gt;"",Catalog!J461&lt;&gt;""),"; ","")&amp;IF(Catalog!J461="","",Catalog!J461)</f>
        <v/>
      </c>
      <c r="D487" s="10">
        <f>Catalog!P461</f>
        <v>0</v>
      </c>
      <c r="E487" s="10">
        <f>Catalog!R461</f>
        <v>0</v>
      </c>
      <c r="F487" s="10">
        <f>Catalog!M461</f>
        <v>0</v>
      </c>
      <c r="G487" s="10">
        <f>Catalog!K461</f>
        <v>0</v>
      </c>
      <c r="H487" s="10" t="str">
        <f>IF(Catalog!S461&lt;&gt;"","ISBN:"&amp;Catalog!S461,IF(Catalog!T461&lt;&gt;"","ISSN:"&amp;Catalog!T461,""))</f>
        <v/>
      </c>
      <c r="I487" s="10">
        <f>Catalog!B461</f>
        <v>0</v>
      </c>
      <c r="J487" s="10">
        <f>Catalog!L461</f>
        <v>0</v>
      </c>
      <c r="K487" s="10">
        <f>IF(Catalog!AG461&lt;&gt;"",Catalog!AG461,Catalog!AE461)</f>
        <v>0</v>
      </c>
      <c r="L487" s="10">
        <f>Catalog!AD461</f>
        <v>0</v>
      </c>
      <c r="M487" s="10">
        <f>Catalog!V461</f>
        <v>0</v>
      </c>
      <c r="N487" s="10">
        <f>Catalog!Q461</f>
        <v>0</v>
      </c>
      <c r="O487" s="10">
        <f>Catalog!AF461</f>
        <v>0</v>
      </c>
    </row>
    <row r="488" spans="1:15" x14ac:dyDescent="0.25">
      <c r="A488" s="10">
        <f>Catalog!D462</f>
        <v>0</v>
      </c>
      <c r="B488" s="10">
        <f>Catalog!F462</f>
        <v>0</v>
      </c>
      <c r="C488" s="10" t="str">
        <f>IF(Catalog!I462="","",Catalog!I462)&amp;IF(AND(Catalog!I462&lt;&gt;"",Catalog!J462&lt;&gt;""),"; ","")&amp;IF(Catalog!J462="","",Catalog!J462)</f>
        <v/>
      </c>
      <c r="D488" s="10">
        <f>Catalog!P462</f>
        <v>0</v>
      </c>
      <c r="E488" s="10">
        <f>Catalog!R462</f>
        <v>0</v>
      </c>
      <c r="F488" s="10">
        <f>Catalog!M462</f>
        <v>0</v>
      </c>
      <c r="G488" s="10">
        <f>Catalog!K462</f>
        <v>0</v>
      </c>
      <c r="H488" s="10" t="str">
        <f>IF(Catalog!S462&lt;&gt;"","ISBN:"&amp;Catalog!S462,IF(Catalog!T462&lt;&gt;"","ISSN:"&amp;Catalog!T462,""))</f>
        <v/>
      </c>
      <c r="I488" s="10">
        <f>Catalog!B462</f>
        <v>0</v>
      </c>
      <c r="J488" s="10">
        <f>Catalog!L462</f>
        <v>0</v>
      </c>
      <c r="K488" s="10">
        <f>IF(Catalog!AG462&lt;&gt;"",Catalog!AG462,Catalog!AE462)</f>
        <v>0</v>
      </c>
      <c r="L488" s="10">
        <f>Catalog!AD462</f>
        <v>0</v>
      </c>
      <c r="M488" s="10">
        <f>Catalog!V462</f>
        <v>0</v>
      </c>
      <c r="N488" s="10">
        <f>Catalog!Q462</f>
        <v>0</v>
      </c>
      <c r="O488" s="10">
        <f>Catalog!AF462</f>
        <v>0</v>
      </c>
    </row>
    <row r="489" spans="1:15" x14ac:dyDescent="0.25">
      <c r="A489" s="10">
        <f>Catalog!D463</f>
        <v>0</v>
      </c>
      <c r="B489" s="10">
        <f>Catalog!F463</f>
        <v>0</v>
      </c>
      <c r="C489" s="10" t="str">
        <f>IF(Catalog!I463="","",Catalog!I463)&amp;IF(AND(Catalog!I463&lt;&gt;"",Catalog!J463&lt;&gt;""),"; ","")&amp;IF(Catalog!J463="","",Catalog!J463)</f>
        <v/>
      </c>
      <c r="D489" s="10">
        <f>Catalog!P463</f>
        <v>0</v>
      </c>
      <c r="E489" s="10">
        <f>Catalog!R463</f>
        <v>0</v>
      </c>
      <c r="F489" s="10">
        <f>Catalog!M463</f>
        <v>0</v>
      </c>
      <c r="G489" s="10">
        <f>Catalog!K463</f>
        <v>0</v>
      </c>
      <c r="H489" s="10" t="str">
        <f>IF(Catalog!S463&lt;&gt;"","ISBN:"&amp;Catalog!S463,IF(Catalog!T463&lt;&gt;"","ISSN:"&amp;Catalog!T463,""))</f>
        <v/>
      </c>
      <c r="I489" s="10">
        <f>Catalog!B463</f>
        <v>0</v>
      </c>
      <c r="J489" s="10">
        <f>Catalog!L463</f>
        <v>0</v>
      </c>
      <c r="K489" s="10">
        <f>IF(Catalog!AG463&lt;&gt;"",Catalog!AG463,Catalog!AE463)</f>
        <v>0</v>
      </c>
      <c r="L489" s="10">
        <f>Catalog!AD463</f>
        <v>0</v>
      </c>
      <c r="M489" s="10">
        <f>Catalog!V463</f>
        <v>0</v>
      </c>
      <c r="N489" s="10">
        <f>Catalog!Q463</f>
        <v>0</v>
      </c>
      <c r="O489" s="10">
        <f>Catalog!AF463</f>
        <v>0</v>
      </c>
    </row>
    <row r="490" spans="1:15" x14ac:dyDescent="0.25">
      <c r="A490" s="10">
        <f>Catalog!D464</f>
        <v>0</v>
      </c>
      <c r="B490" s="10">
        <f>Catalog!F464</f>
        <v>0</v>
      </c>
      <c r="C490" s="10" t="str">
        <f>IF(Catalog!I464="","",Catalog!I464)&amp;IF(AND(Catalog!I464&lt;&gt;"",Catalog!J464&lt;&gt;""),"; ","")&amp;IF(Catalog!J464="","",Catalog!J464)</f>
        <v/>
      </c>
      <c r="D490" s="10">
        <f>Catalog!P464</f>
        <v>0</v>
      </c>
      <c r="E490" s="10">
        <f>Catalog!R464</f>
        <v>0</v>
      </c>
      <c r="F490" s="10">
        <f>Catalog!M464</f>
        <v>0</v>
      </c>
      <c r="G490" s="10">
        <f>Catalog!K464</f>
        <v>0</v>
      </c>
      <c r="H490" s="10" t="str">
        <f>IF(Catalog!S464&lt;&gt;"","ISBN:"&amp;Catalog!S464,IF(Catalog!T464&lt;&gt;"","ISSN:"&amp;Catalog!T464,""))</f>
        <v/>
      </c>
      <c r="I490" s="10">
        <f>Catalog!B464</f>
        <v>0</v>
      </c>
      <c r="J490" s="10">
        <f>Catalog!L464</f>
        <v>0</v>
      </c>
      <c r="K490" s="10">
        <f>IF(Catalog!AG464&lt;&gt;"",Catalog!AG464,Catalog!AE464)</f>
        <v>0</v>
      </c>
      <c r="L490" s="10">
        <f>Catalog!AD464</f>
        <v>0</v>
      </c>
      <c r="M490" s="10">
        <f>Catalog!V464</f>
        <v>0</v>
      </c>
      <c r="N490" s="10">
        <f>Catalog!Q464</f>
        <v>0</v>
      </c>
      <c r="O490" s="10">
        <f>Catalog!AF464</f>
        <v>0</v>
      </c>
    </row>
    <row r="491" spans="1:15" x14ac:dyDescent="0.25">
      <c r="A491" s="10">
        <f>Catalog!D465</f>
        <v>0</v>
      </c>
      <c r="B491" s="10">
        <f>Catalog!F465</f>
        <v>0</v>
      </c>
      <c r="C491" s="10" t="str">
        <f>IF(Catalog!I465="","",Catalog!I465)&amp;IF(AND(Catalog!I465&lt;&gt;"",Catalog!J465&lt;&gt;""),"; ","")&amp;IF(Catalog!J465="","",Catalog!J465)</f>
        <v/>
      </c>
      <c r="D491" s="10">
        <f>Catalog!P465</f>
        <v>0</v>
      </c>
      <c r="E491" s="10">
        <f>Catalog!R465</f>
        <v>0</v>
      </c>
      <c r="F491" s="10">
        <f>Catalog!M465</f>
        <v>0</v>
      </c>
      <c r="G491" s="10">
        <f>Catalog!K465</f>
        <v>0</v>
      </c>
      <c r="H491" s="10" t="str">
        <f>IF(Catalog!S465&lt;&gt;"","ISBN:"&amp;Catalog!S465,IF(Catalog!T465&lt;&gt;"","ISSN:"&amp;Catalog!T465,""))</f>
        <v/>
      </c>
      <c r="I491" s="10">
        <f>Catalog!B465</f>
        <v>0</v>
      </c>
      <c r="J491" s="10">
        <f>Catalog!L465</f>
        <v>0</v>
      </c>
      <c r="K491" s="10">
        <f>IF(Catalog!AG465&lt;&gt;"",Catalog!AG465,Catalog!AE465)</f>
        <v>0</v>
      </c>
      <c r="L491" s="10">
        <f>Catalog!AD465</f>
        <v>0</v>
      </c>
      <c r="M491" s="10">
        <f>Catalog!V465</f>
        <v>0</v>
      </c>
      <c r="N491" s="10">
        <f>Catalog!Q465</f>
        <v>0</v>
      </c>
      <c r="O491" s="10">
        <f>Catalog!AF465</f>
        <v>0</v>
      </c>
    </row>
    <row r="492" spans="1:15" x14ac:dyDescent="0.25">
      <c r="A492" s="10">
        <f>Catalog!D466</f>
        <v>0</v>
      </c>
      <c r="B492" s="10">
        <f>Catalog!F466</f>
        <v>0</v>
      </c>
      <c r="C492" s="10" t="str">
        <f>IF(Catalog!I466="","",Catalog!I466)&amp;IF(AND(Catalog!I466&lt;&gt;"",Catalog!J466&lt;&gt;""),"; ","")&amp;IF(Catalog!J466="","",Catalog!J466)</f>
        <v/>
      </c>
      <c r="D492" s="10">
        <f>Catalog!P466</f>
        <v>0</v>
      </c>
      <c r="E492" s="10">
        <f>Catalog!R466</f>
        <v>0</v>
      </c>
      <c r="F492" s="10">
        <f>Catalog!M466</f>
        <v>0</v>
      </c>
      <c r="G492" s="10">
        <f>Catalog!K466</f>
        <v>0</v>
      </c>
      <c r="H492" s="10" t="str">
        <f>IF(Catalog!S466&lt;&gt;"","ISBN:"&amp;Catalog!S466,IF(Catalog!T466&lt;&gt;"","ISSN:"&amp;Catalog!T466,""))</f>
        <v/>
      </c>
      <c r="I492" s="10">
        <f>Catalog!B466</f>
        <v>0</v>
      </c>
      <c r="J492" s="10">
        <f>Catalog!L466</f>
        <v>0</v>
      </c>
      <c r="K492" s="10">
        <f>IF(Catalog!AG466&lt;&gt;"",Catalog!AG466,Catalog!AE466)</f>
        <v>0</v>
      </c>
      <c r="L492" s="10">
        <f>Catalog!AD466</f>
        <v>0</v>
      </c>
      <c r="M492" s="10">
        <f>Catalog!V466</f>
        <v>0</v>
      </c>
      <c r="N492" s="10">
        <f>Catalog!Q466</f>
        <v>0</v>
      </c>
      <c r="O492" s="10">
        <f>Catalog!AF466</f>
        <v>0</v>
      </c>
    </row>
    <row r="493" spans="1:15" x14ac:dyDescent="0.25">
      <c r="A493" s="10">
        <f>Catalog!D467</f>
        <v>0</v>
      </c>
      <c r="B493" s="10">
        <f>Catalog!F467</f>
        <v>0</v>
      </c>
      <c r="C493" s="10" t="str">
        <f>IF(Catalog!I467="","",Catalog!I467)&amp;IF(AND(Catalog!I467&lt;&gt;"",Catalog!J467&lt;&gt;""),"; ","")&amp;IF(Catalog!J467="","",Catalog!J467)</f>
        <v/>
      </c>
      <c r="D493" s="10">
        <f>Catalog!P467</f>
        <v>0</v>
      </c>
      <c r="E493" s="10">
        <f>Catalog!R467</f>
        <v>0</v>
      </c>
      <c r="F493" s="10">
        <f>Catalog!M467</f>
        <v>0</v>
      </c>
      <c r="G493" s="10">
        <f>Catalog!K467</f>
        <v>0</v>
      </c>
      <c r="H493" s="10" t="str">
        <f>IF(Catalog!S467&lt;&gt;"","ISBN:"&amp;Catalog!S467,IF(Catalog!T467&lt;&gt;"","ISSN:"&amp;Catalog!T467,""))</f>
        <v/>
      </c>
      <c r="I493" s="10">
        <f>Catalog!B467</f>
        <v>0</v>
      </c>
      <c r="J493" s="10">
        <f>Catalog!L467</f>
        <v>0</v>
      </c>
      <c r="K493" s="10">
        <f>IF(Catalog!AG467&lt;&gt;"",Catalog!AG467,Catalog!AE467)</f>
        <v>0</v>
      </c>
      <c r="L493" s="10">
        <f>Catalog!AD467</f>
        <v>0</v>
      </c>
      <c r="M493" s="10">
        <f>Catalog!V467</f>
        <v>0</v>
      </c>
      <c r="N493" s="10">
        <f>Catalog!Q467</f>
        <v>0</v>
      </c>
      <c r="O493" s="10">
        <f>Catalog!AF467</f>
        <v>0</v>
      </c>
    </row>
    <row r="494" spans="1:15" x14ac:dyDescent="0.25">
      <c r="A494" s="10">
        <f>Catalog!D468</f>
        <v>0</v>
      </c>
      <c r="B494" s="10">
        <f>Catalog!F468</f>
        <v>0</v>
      </c>
      <c r="C494" s="10" t="str">
        <f>IF(Catalog!I468="","",Catalog!I468)&amp;IF(AND(Catalog!I468&lt;&gt;"",Catalog!J468&lt;&gt;""),"; ","")&amp;IF(Catalog!J468="","",Catalog!J468)</f>
        <v/>
      </c>
      <c r="D494" s="10">
        <f>Catalog!P468</f>
        <v>0</v>
      </c>
      <c r="E494" s="10">
        <f>Catalog!R468</f>
        <v>0</v>
      </c>
      <c r="F494" s="10">
        <f>Catalog!M468</f>
        <v>0</v>
      </c>
      <c r="G494" s="10">
        <f>Catalog!K468</f>
        <v>0</v>
      </c>
      <c r="H494" s="10" t="str">
        <f>IF(Catalog!S468&lt;&gt;"","ISBN:"&amp;Catalog!S468,IF(Catalog!T468&lt;&gt;"","ISSN:"&amp;Catalog!T468,""))</f>
        <v/>
      </c>
      <c r="I494" s="10">
        <f>Catalog!B468</f>
        <v>0</v>
      </c>
      <c r="J494" s="10">
        <f>Catalog!L468</f>
        <v>0</v>
      </c>
      <c r="K494" s="10">
        <f>IF(Catalog!AG468&lt;&gt;"",Catalog!AG468,Catalog!AE468)</f>
        <v>0</v>
      </c>
      <c r="L494" s="10">
        <f>Catalog!AD468</f>
        <v>0</v>
      </c>
      <c r="M494" s="10">
        <f>Catalog!V468</f>
        <v>0</v>
      </c>
      <c r="N494" s="10">
        <f>Catalog!Q468</f>
        <v>0</v>
      </c>
      <c r="O494" s="10">
        <f>Catalog!AF468</f>
        <v>0</v>
      </c>
    </row>
    <row r="495" spans="1:15" x14ac:dyDescent="0.25">
      <c r="A495" s="10">
        <f>Catalog!D469</f>
        <v>0</v>
      </c>
      <c r="B495" s="10">
        <f>Catalog!F469</f>
        <v>0</v>
      </c>
      <c r="C495" s="10" t="str">
        <f>IF(Catalog!I469="","",Catalog!I469)&amp;IF(AND(Catalog!I469&lt;&gt;"",Catalog!J469&lt;&gt;""),"; ","")&amp;IF(Catalog!J469="","",Catalog!J469)</f>
        <v/>
      </c>
      <c r="D495" s="10">
        <f>Catalog!P469</f>
        <v>0</v>
      </c>
      <c r="E495" s="10">
        <f>Catalog!R469</f>
        <v>0</v>
      </c>
      <c r="F495" s="10">
        <f>Catalog!M469</f>
        <v>0</v>
      </c>
      <c r="G495" s="10">
        <f>Catalog!K469</f>
        <v>0</v>
      </c>
      <c r="H495" s="10" t="str">
        <f>IF(Catalog!S469&lt;&gt;"","ISBN:"&amp;Catalog!S469,IF(Catalog!T469&lt;&gt;"","ISSN:"&amp;Catalog!T469,""))</f>
        <v/>
      </c>
      <c r="I495" s="10">
        <f>Catalog!B469</f>
        <v>0</v>
      </c>
      <c r="J495" s="10">
        <f>Catalog!L469</f>
        <v>0</v>
      </c>
      <c r="K495" s="10">
        <f>IF(Catalog!AG469&lt;&gt;"",Catalog!AG469,Catalog!AE469)</f>
        <v>0</v>
      </c>
      <c r="L495" s="10">
        <f>Catalog!AD469</f>
        <v>0</v>
      </c>
      <c r="M495" s="10">
        <f>Catalog!V469</f>
        <v>0</v>
      </c>
      <c r="N495" s="10">
        <f>Catalog!Q469</f>
        <v>0</v>
      </c>
      <c r="O495" s="10">
        <f>Catalog!AF469</f>
        <v>0</v>
      </c>
    </row>
    <row r="496" spans="1:15" x14ac:dyDescent="0.25">
      <c r="A496" s="10">
        <f>Catalog!D470</f>
        <v>0</v>
      </c>
      <c r="B496" s="10">
        <f>Catalog!F470</f>
        <v>0</v>
      </c>
      <c r="C496" s="10" t="str">
        <f>IF(Catalog!I470="","",Catalog!I470)&amp;IF(AND(Catalog!I470&lt;&gt;"",Catalog!J470&lt;&gt;""),"; ","")&amp;IF(Catalog!J470="","",Catalog!J470)</f>
        <v/>
      </c>
      <c r="D496" s="10">
        <f>Catalog!P470</f>
        <v>0</v>
      </c>
      <c r="E496" s="10">
        <f>Catalog!R470</f>
        <v>0</v>
      </c>
      <c r="F496" s="10">
        <f>Catalog!M470</f>
        <v>0</v>
      </c>
      <c r="G496" s="10">
        <f>Catalog!K470</f>
        <v>0</v>
      </c>
      <c r="H496" s="10" t="str">
        <f>IF(Catalog!S470&lt;&gt;"","ISBN:"&amp;Catalog!S470,IF(Catalog!T470&lt;&gt;"","ISSN:"&amp;Catalog!T470,""))</f>
        <v/>
      </c>
      <c r="I496" s="10">
        <f>Catalog!B470</f>
        <v>0</v>
      </c>
      <c r="J496" s="10">
        <f>Catalog!L470</f>
        <v>0</v>
      </c>
      <c r="K496" s="10">
        <f>IF(Catalog!AG470&lt;&gt;"",Catalog!AG470,Catalog!AE470)</f>
        <v>0</v>
      </c>
      <c r="L496" s="10">
        <f>Catalog!AD470</f>
        <v>0</v>
      </c>
      <c r="M496" s="10">
        <f>Catalog!V470</f>
        <v>0</v>
      </c>
      <c r="N496" s="10">
        <f>Catalog!Q470</f>
        <v>0</v>
      </c>
      <c r="O496" s="10">
        <f>Catalog!AF470</f>
        <v>0</v>
      </c>
    </row>
    <row r="497" spans="1:15" x14ac:dyDescent="0.25">
      <c r="A497" s="10">
        <f>Catalog!D471</f>
        <v>0</v>
      </c>
      <c r="B497" s="10">
        <f>Catalog!F471</f>
        <v>0</v>
      </c>
      <c r="C497" s="10" t="str">
        <f>IF(Catalog!I471="","",Catalog!I471)&amp;IF(AND(Catalog!I471&lt;&gt;"",Catalog!J471&lt;&gt;""),"; ","")&amp;IF(Catalog!J471="","",Catalog!J471)</f>
        <v/>
      </c>
      <c r="D497" s="10">
        <f>Catalog!P471</f>
        <v>0</v>
      </c>
      <c r="E497" s="10">
        <f>Catalog!R471</f>
        <v>0</v>
      </c>
      <c r="F497" s="10">
        <f>Catalog!M471</f>
        <v>0</v>
      </c>
      <c r="G497" s="10">
        <f>Catalog!K471</f>
        <v>0</v>
      </c>
      <c r="H497" s="10" t="str">
        <f>IF(Catalog!S471&lt;&gt;"","ISBN:"&amp;Catalog!S471,IF(Catalog!T471&lt;&gt;"","ISSN:"&amp;Catalog!T471,""))</f>
        <v/>
      </c>
      <c r="I497" s="10">
        <f>Catalog!B471</f>
        <v>0</v>
      </c>
      <c r="J497" s="10">
        <f>Catalog!L471</f>
        <v>0</v>
      </c>
      <c r="K497" s="10">
        <f>IF(Catalog!AG471&lt;&gt;"",Catalog!AG471,Catalog!AE471)</f>
        <v>0</v>
      </c>
      <c r="L497" s="10">
        <f>Catalog!AD471</f>
        <v>0</v>
      </c>
      <c r="M497" s="10">
        <f>Catalog!V471</f>
        <v>0</v>
      </c>
      <c r="N497" s="10">
        <f>Catalog!Q471</f>
        <v>0</v>
      </c>
      <c r="O497" s="10">
        <f>Catalog!AF471</f>
        <v>0</v>
      </c>
    </row>
    <row r="498" spans="1:15" x14ac:dyDescent="0.25">
      <c r="A498" s="10">
        <f>Catalog!D472</f>
        <v>0</v>
      </c>
      <c r="B498" s="10">
        <f>Catalog!F472</f>
        <v>0</v>
      </c>
      <c r="C498" s="10" t="str">
        <f>IF(Catalog!I472="","",Catalog!I472)&amp;IF(AND(Catalog!I472&lt;&gt;"",Catalog!J472&lt;&gt;""),"; ","")&amp;IF(Catalog!J472="","",Catalog!J472)</f>
        <v/>
      </c>
      <c r="D498" s="10">
        <f>Catalog!P472</f>
        <v>0</v>
      </c>
      <c r="E498" s="10">
        <f>Catalog!R472</f>
        <v>0</v>
      </c>
      <c r="F498" s="10">
        <f>Catalog!M472</f>
        <v>0</v>
      </c>
      <c r="G498" s="10">
        <f>Catalog!K472</f>
        <v>0</v>
      </c>
      <c r="H498" s="10" t="str">
        <f>IF(Catalog!S472&lt;&gt;"","ISBN:"&amp;Catalog!S472,IF(Catalog!T472&lt;&gt;"","ISSN:"&amp;Catalog!T472,""))</f>
        <v/>
      </c>
      <c r="I498" s="10">
        <f>Catalog!B472</f>
        <v>0</v>
      </c>
      <c r="J498" s="10">
        <f>Catalog!L472</f>
        <v>0</v>
      </c>
      <c r="K498" s="10">
        <f>IF(Catalog!AG472&lt;&gt;"",Catalog!AG472,Catalog!AE472)</f>
        <v>0</v>
      </c>
      <c r="L498" s="10">
        <f>Catalog!AD472</f>
        <v>0</v>
      </c>
      <c r="M498" s="10">
        <f>Catalog!V472</f>
        <v>0</v>
      </c>
      <c r="N498" s="10">
        <f>Catalog!Q472</f>
        <v>0</v>
      </c>
      <c r="O498" s="10">
        <f>Catalog!AF472</f>
        <v>0</v>
      </c>
    </row>
    <row r="499" spans="1:15" x14ac:dyDescent="0.25">
      <c r="A499" s="10">
        <f>Catalog!D473</f>
        <v>0</v>
      </c>
      <c r="B499" s="10">
        <f>Catalog!F473</f>
        <v>0</v>
      </c>
      <c r="C499" s="10" t="str">
        <f>IF(Catalog!I473="","",Catalog!I473)&amp;IF(AND(Catalog!I473&lt;&gt;"",Catalog!J473&lt;&gt;""),"; ","")&amp;IF(Catalog!J473="","",Catalog!J473)</f>
        <v/>
      </c>
      <c r="D499" s="10">
        <f>Catalog!P473</f>
        <v>0</v>
      </c>
      <c r="E499" s="10">
        <f>Catalog!R473</f>
        <v>0</v>
      </c>
      <c r="F499" s="10">
        <f>Catalog!M473</f>
        <v>0</v>
      </c>
      <c r="G499" s="10">
        <f>Catalog!K473</f>
        <v>0</v>
      </c>
      <c r="H499" s="10" t="str">
        <f>IF(Catalog!S473&lt;&gt;"","ISBN:"&amp;Catalog!S473,IF(Catalog!T473&lt;&gt;"","ISSN:"&amp;Catalog!T473,""))</f>
        <v/>
      </c>
      <c r="I499" s="10">
        <f>Catalog!B473</f>
        <v>0</v>
      </c>
      <c r="J499" s="10">
        <f>Catalog!L473</f>
        <v>0</v>
      </c>
      <c r="K499" s="10">
        <f>IF(Catalog!AG473&lt;&gt;"",Catalog!AG473,Catalog!AE473)</f>
        <v>0</v>
      </c>
      <c r="L499" s="10">
        <f>Catalog!AD473</f>
        <v>0</v>
      </c>
      <c r="M499" s="10">
        <f>Catalog!V473</f>
        <v>0</v>
      </c>
      <c r="N499" s="10">
        <f>Catalog!Q473</f>
        <v>0</v>
      </c>
      <c r="O499" s="10">
        <f>Catalog!AF473</f>
        <v>0</v>
      </c>
    </row>
    <row r="500" spans="1:15" x14ac:dyDescent="0.25">
      <c r="A500" s="10">
        <f>Catalog!D474</f>
        <v>0</v>
      </c>
      <c r="B500" s="10">
        <f>Catalog!F474</f>
        <v>0</v>
      </c>
      <c r="C500" s="10" t="str">
        <f>IF(Catalog!I474="","",Catalog!I474)&amp;IF(AND(Catalog!I474&lt;&gt;"",Catalog!J474&lt;&gt;""),"; ","")&amp;IF(Catalog!J474="","",Catalog!J474)</f>
        <v/>
      </c>
      <c r="D500" s="10">
        <f>Catalog!P474</f>
        <v>0</v>
      </c>
      <c r="E500" s="10">
        <f>Catalog!R474</f>
        <v>0</v>
      </c>
      <c r="F500" s="10">
        <f>Catalog!M474</f>
        <v>0</v>
      </c>
      <c r="G500" s="10">
        <f>Catalog!K474</f>
        <v>0</v>
      </c>
      <c r="H500" s="10" t="str">
        <f>IF(Catalog!S474&lt;&gt;"","ISBN:"&amp;Catalog!S474,IF(Catalog!T474&lt;&gt;"","ISSN:"&amp;Catalog!T474,""))</f>
        <v/>
      </c>
      <c r="I500" s="10">
        <f>Catalog!B474</f>
        <v>0</v>
      </c>
      <c r="J500" s="10">
        <f>Catalog!L474</f>
        <v>0</v>
      </c>
      <c r="K500" s="10">
        <f>IF(Catalog!AG474&lt;&gt;"",Catalog!AG474,Catalog!AE474)</f>
        <v>0</v>
      </c>
      <c r="L500" s="10">
        <f>Catalog!AD474</f>
        <v>0</v>
      </c>
      <c r="M500" s="10">
        <f>Catalog!V474</f>
        <v>0</v>
      </c>
      <c r="N500" s="10">
        <f>Catalog!Q474</f>
        <v>0</v>
      </c>
      <c r="O500" s="10">
        <f>Catalog!AF474</f>
        <v>0</v>
      </c>
    </row>
    <row r="501" spans="1:15" x14ac:dyDescent="0.25">
      <c r="A501" s="10">
        <f>Catalog!D475</f>
        <v>0</v>
      </c>
      <c r="B501" s="10">
        <f>Catalog!F475</f>
        <v>0</v>
      </c>
      <c r="C501" s="10" t="str">
        <f>IF(Catalog!I475="","",Catalog!I475)&amp;IF(AND(Catalog!I475&lt;&gt;"",Catalog!J475&lt;&gt;""),"; ","")&amp;IF(Catalog!J475="","",Catalog!J475)</f>
        <v/>
      </c>
      <c r="D501" s="10">
        <f>Catalog!P475</f>
        <v>0</v>
      </c>
      <c r="E501" s="10">
        <f>Catalog!R475</f>
        <v>0</v>
      </c>
      <c r="F501" s="10">
        <f>Catalog!M475</f>
        <v>0</v>
      </c>
      <c r="G501" s="10">
        <f>Catalog!K475</f>
        <v>0</v>
      </c>
      <c r="H501" s="10" t="str">
        <f>IF(Catalog!S475&lt;&gt;"","ISBN:"&amp;Catalog!S475,IF(Catalog!T475&lt;&gt;"","ISSN:"&amp;Catalog!T475,""))</f>
        <v/>
      </c>
      <c r="I501" s="10">
        <f>Catalog!B475</f>
        <v>0</v>
      </c>
      <c r="J501" s="10">
        <f>Catalog!L475</f>
        <v>0</v>
      </c>
      <c r="K501" s="10">
        <f>IF(Catalog!AG475&lt;&gt;"",Catalog!AG475,Catalog!AE475)</f>
        <v>0</v>
      </c>
      <c r="L501" s="10">
        <f>Catalog!AD475</f>
        <v>0</v>
      </c>
      <c r="M501" s="10">
        <f>Catalog!V475</f>
        <v>0</v>
      </c>
      <c r="N501" s="10">
        <f>Catalog!Q475</f>
        <v>0</v>
      </c>
      <c r="O501" s="10">
        <f>Catalog!AF475</f>
        <v>0</v>
      </c>
    </row>
    <row r="502" spans="1:15" x14ac:dyDescent="0.25">
      <c r="A502" s="10">
        <f>Catalog!D476</f>
        <v>0</v>
      </c>
      <c r="B502" s="10">
        <f>Catalog!F476</f>
        <v>0</v>
      </c>
      <c r="C502" s="10" t="str">
        <f>IF(Catalog!I476="","",Catalog!I476)&amp;IF(AND(Catalog!I476&lt;&gt;"",Catalog!J476&lt;&gt;""),"; ","")&amp;IF(Catalog!J476="","",Catalog!J476)</f>
        <v/>
      </c>
      <c r="D502" s="10">
        <f>Catalog!P476</f>
        <v>0</v>
      </c>
      <c r="E502" s="10">
        <f>Catalog!R476</f>
        <v>0</v>
      </c>
      <c r="F502" s="10">
        <f>Catalog!M476</f>
        <v>0</v>
      </c>
      <c r="G502" s="10">
        <f>Catalog!K476</f>
        <v>0</v>
      </c>
      <c r="H502" s="10" t="str">
        <f>IF(Catalog!S476&lt;&gt;"","ISBN:"&amp;Catalog!S476,IF(Catalog!T476&lt;&gt;"","ISSN:"&amp;Catalog!T476,""))</f>
        <v/>
      </c>
      <c r="I502" s="10">
        <f>Catalog!B476</f>
        <v>0</v>
      </c>
      <c r="J502" s="10">
        <f>Catalog!L476</f>
        <v>0</v>
      </c>
      <c r="K502" s="10">
        <f>IF(Catalog!AG476&lt;&gt;"",Catalog!AG476,Catalog!AE476)</f>
        <v>0</v>
      </c>
      <c r="L502" s="10">
        <f>Catalog!AD476</f>
        <v>0</v>
      </c>
      <c r="M502" s="10">
        <f>Catalog!V476</f>
        <v>0</v>
      </c>
      <c r="N502" s="10">
        <f>Catalog!Q476</f>
        <v>0</v>
      </c>
      <c r="O502" s="10">
        <f>Catalog!AF476</f>
        <v>0</v>
      </c>
    </row>
    <row r="503" spans="1:15" x14ac:dyDescent="0.25">
      <c r="A503" s="10">
        <f>Catalog!D477</f>
        <v>0</v>
      </c>
      <c r="B503" s="10">
        <f>Catalog!F477</f>
        <v>0</v>
      </c>
      <c r="C503" s="10" t="str">
        <f>IF(Catalog!I477="","",Catalog!I477)&amp;IF(AND(Catalog!I477&lt;&gt;"",Catalog!J477&lt;&gt;""),"; ","")&amp;IF(Catalog!J477="","",Catalog!J477)</f>
        <v/>
      </c>
      <c r="D503" s="10">
        <f>Catalog!P477</f>
        <v>0</v>
      </c>
      <c r="E503" s="10">
        <f>Catalog!R477</f>
        <v>0</v>
      </c>
      <c r="F503" s="10">
        <f>Catalog!M477</f>
        <v>0</v>
      </c>
      <c r="G503" s="10">
        <f>Catalog!K477</f>
        <v>0</v>
      </c>
      <c r="H503" s="10" t="str">
        <f>IF(Catalog!S477&lt;&gt;"","ISBN:"&amp;Catalog!S477,IF(Catalog!T477&lt;&gt;"","ISSN:"&amp;Catalog!T477,""))</f>
        <v/>
      </c>
      <c r="I503" s="10">
        <f>Catalog!B477</f>
        <v>0</v>
      </c>
      <c r="J503" s="10">
        <f>Catalog!L477</f>
        <v>0</v>
      </c>
      <c r="K503" s="10">
        <f>IF(Catalog!AG477&lt;&gt;"",Catalog!AG477,Catalog!AE477)</f>
        <v>0</v>
      </c>
      <c r="L503" s="10">
        <f>Catalog!AD477</f>
        <v>0</v>
      </c>
      <c r="M503" s="10">
        <f>Catalog!V477</f>
        <v>0</v>
      </c>
      <c r="N503" s="10">
        <f>Catalog!Q477</f>
        <v>0</v>
      </c>
      <c r="O503" s="10">
        <f>Catalog!AF477</f>
        <v>0</v>
      </c>
    </row>
    <row r="504" spans="1:15" x14ac:dyDescent="0.25">
      <c r="A504" s="10">
        <f>Catalog!D478</f>
        <v>0</v>
      </c>
      <c r="B504" s="10">
        <f>Catalog!F478</f>
        <v>0</v>
      </c>
      <c r="C504" s="10" t="str">
        <f>IF(Catalog!I478="","",Catalog!I478)&amp;IF(AND(Catalog!I478&lt;&gt;"",Catalog!J478&lt;&gt;""),"; ","")&amp;IF(Catalog!J478="","",Catalog!J478)</f>
        <v/>
      </c>
      <c r="D504" s="10">
        <f>Catalog!P478</f>
        <v>0</v>
      </c>
      <c r="E504" s="10">
        <f>Catalog!R478</f>
        <v>0</v>
      </c>
      <c r="F504" s="10">
        <f>Catalog!M478</f>
        <v>0</v>
      </c>
      <c r="G504" s="10">
        <f>Catalog!K478</f>
        <v>0</v>
      </c>
      <c r="H504" s="10" t="str">
        <f>IF(Catalog!S478&lt;&gt;"","ISBN:"&amp;Catalog!S478,IF(Catalog!T478&lt;&gt;"","ISSN:"&amp;Catalog!T478,""))</f>
        <v/>
      </c>
      <c r="I504" s="10">
        <f>Catalog!B478</f>
        <v>0</v>
      </c>
      <c r="J504" s="10">
        <f>Catalog!L478</f>
        <v>0</v>
      </c>
      <c r="K504" s="10">
        <f>IF(Catalog!AG478&lt;&gt;"",Catalog!AG478,Catalog!AE478)</f>
        <v>0</v>
      </c>
      <c r="L504" s="10">
        <f>Catalog!AD478</f>
        <v>0</v>
      </c>
      <c r="M504" s="10">
        <f>Catalog!V478</f>
        <v>0</v>
      </c>
      <c r="N504" s="10">
        <f>Catalog!Q478</f>
        <v>0</v>
      </c>
      <c r="O504" s="10">
        <f>Catalog!AF478</f>
        <v>0</v>
      </c>
    </row>
    <row r="505" spans="1:15" x14ac:dyDescent="0.25">
      <c r="A505" s="10">
        <f>Catalog!D479</f>
        <v>0</v>
      </c>
      <c r="B505" s="10">
        <f>Catalog!F479</f>
        <v>0</v>
      </c>
      <c r="C505" s="10" t="str">
        <f>IF(Catalog!I479="","",Catalog!I479)&amp;IF(AND(Catalog!I479&lt;&gt;"",Catalog!J479&lt;&gt;""),"; ","")&amp;IF(Catalog!J479="","",Catalog!J479)</f>
        <v/>
      </c>
      <c r="D505" s="10">
        <f>Catalog!P479</f>
        <v>0</v>
      </c>
      <c r="E505" s="10">
        <f>Catalog!R479</f>
        <v>0</v>
      </c>
      <c r="F505" s="10">
        <f>Catalog!M479</f>
        <v>0</v>
      </c>
      <c r="G505" s="10">
        <f>Catalog!K479</f>
        <v>0</v>
      </c>
      <c r="H505" s="10" t="str">
        <f>IF(Catalog!S479&lt;&gt;"","ISBN:"&amp;Catalog!S479,IF(Catalog!T479&lt;&gt;"","ISSN:"&amp;Catalog!T479,""))</f>
        <v/>
      </c>
      <c r="I505" s="10">
        <f>Catalog!B479</f>
        <v>0</v>
      </c>
      <c r="J505" s="10">
        <f>Catalog!L479</f>
        <v>0</v>
      </c>
      <c r="K505" s="10">
        <f>IF(Catalog!AG479&lt;&gt;"",Catalog!AG479,Catalog!AE479)</f>
        <v>0</v>
      </c>
      <c r="L505" s="10">
        <f>Catalog!AD479</f>
        <v>0</v>
      </c>
      <c r="M505" s="10">
        <f>Catalog!V479</f>
        <v>0</v>
      </c>
      <c r="N505" s="10">
        <f>Catalog!Q479</f>
        <v>0</v>
      </c>
      <c r="O505" s="10">
        <f>Catalog!AF479</f>
        <v>0</v>
      </c>
    </row>
    <row r="506" spans="1:15" x14ac:dyDescent="0.25">
      <c r="A506" s="10">
        <f>Catalog!D480</f>
        <v>0</v>
      </c>
      <c r="B506" s="10">
        <f>Catalog!F480</f>
        <v>0</v>
      </c>
      <c r="C506" s="10" t="str">
        <f>IF(Catalog!I480="","",Catalog!I480)&amp;IF(AND(Catalog!I480&lt;&gt;"",Catalog!J480&lt;&gt;""),"; ","")&amp;IF(Catalog!J480="","",Catalog!J480)</f>
        <v/>
      </c>
      <c r="D506" s="10">
        <f>Catalog!P480</f>
        <v>0</v>
      </c>
      <c r="E506" s="10">
        <f>Catalog!R480</f>
        <v>0</v>
      </c>
      <c r="F506" s="10">
        <f>Catalog!M480</f>
        <v>0</v>
      </c>
      <c r="G506" s="10">
        <f>Catalog!K480</f>
        <v>0</v>
      </c>
      <c r="H506" s="10" t="str">
        <f>IF(Catalog!S480&lt;&gt;"","ISBN:"&amp;Catalog!S480,IF(Catalog!T480&lt;&gt;"","ISSN:"&amp;Catalog!T480,""))</f>
        <v/>
      </c>
      <c r="I506" s="10">
        <f>Catalog!B480</f>
        <v>0</v>
      </c>
      <c r="J506" s="10">
        <f>Catalog!L480</f>
        <v>0</v>
      </c>
      <c r="K506" s="10">
        <f>IF(Catalog!AG480&lt;&gt;"",Catalog!AG480,Catalog!AE480)</f>
        <v>0</v>
      </c>
      <c r="L506" s="10">
        <f>Catalog!AD480</f>
        <v>0</v>
      </c>
      <c r="M506" s="10">
        <f>Catalog!V480</f>
        <v>0</v>
      </c>
      <c r="N506" s="10">
        <f>Catalog!Q480</f>
        <v>0</v>
      </c>
      <c r="O506" s="10">
        <f>Catalog!AF480</f>
        <v>0</v>
      </c>
    </row>
    <row r="507" spans="1:15" x14ac:dyDescent="0.25">
      <c r="A507" s="10">
        <f>Catalog!D481</f>
        <v>0</v>
      </c>
      <c r="B507" s="10">
        <f>Catalog!F481</f>
        <v>0</v>
      </c>
      <c r="C507" s="10" t="str">
        <f>IF(Catalog!I481="","",Catalog!I481)&amp;IF(AND(Catalog!I481&lt;&gt;"",Catalog!J481&lt;&gt;""),"; ","")&amp;IF(Catalog!J481="","",Catalog!J481)</f>
        <v/>
      </c>
      <c r="D507" s="10">
        <f>Catalog!P481</f>
        <v>0</v>
      </c>
      <c r="E507" s="10">
        <f>Catalog!R481</f>
        <v>0</v>
      </c>
      <c r="F507" s="10">
        <f>Catalog!M481</f>
        <v>0</v>
      </c>
      <c r="G507" s="10">
        <f>Catalog!K481</f>
        <v>0</v>
      </c>
      <c r="H507" s="10" t="str">
        <f>IF(Catalog!S481&lt;&gt;"","ISBN:"&amp;Catalog!S481,IF(Catalog!T481&lt;&gt;"","ISSN:"&amp;Catalog!T481,""))</f>
        <v/>
      </c>
      <c r="I507" s="10">
        <f>Catalog!B481</f>
        <v>0</v>
      </c>
      <c r="J507" s="10">
        <f>Catalog!L481</f>
        <v>0</v>
      </c>
      <c r="K507" s="10">
        <f>IF(Catalog!AG481&lt;&gt;"",Catalog!AG481,Catalog!AE481)</f>
        <v>0</v>
      </c>
      <c r="L507" s="10">
        <f>Catalog!AD481</f>
        <v>0</v>
      </c>
      <c r="M507" s="10">
        <f>Catalog!V481</f>
        <v>0</v>
      </c>
      <c r="N507" s="10">
        <f>Catalog!Q481</f>
        <v>0</v>
      </c>
      <c r="O507" s="10">
        <f>Catalog!AF481</f>
        <v>0</v>
      </c>
    </row>
    <row r="508" spans="1:15" x14ac:dyDescent="0.25">
      <c r="A508" s="10">
        <f>Catalog!D482</f>
        <v>0</v>
      </c>
      <c r="B508" s="10">
        <f>Catalog!F482</f>
        <v>0</v>
      </c>
      <c r="C508" s="10" t="str">
        <f>IF(Catalog!I482="","",Catalog!I482)&amp;IF(AND(Catalog!I482&lt;&gt;"",Catalog!J482&lt;&gt;""),"; ","")&amp;IF(Catalog!J482="","",Catalog!J482)</f>
        <v/>
      </c>
      <c r="D508" s="10">
        <f>Catalog!P482</f>
        <v>0</v>
      </c>
      <c r="E508" s="10">
        <f>Catalog!R482</f>
        <v>0</v>
      </c>
      <c r="F508" s="10">
        <f>Catalog!M482</f>
        <v>0</v>
      </c>
      <c r="G508" s="10">
        <f>Catalog!K482</f>
        <v>0</v>
      </c>
      <c r="H508" s="10" t="str">
        <f>IF(Catalog!S482&lt;&gt;"","ISBN:"&amp;Catalog!S482,IF(Catalog!T482&lt;&gt;"","ISSN:"&amp;Catalog!T482,""))</f>
        <v/>
      </c>
      <c r="I508" s="10">
        <f>Catalog!B482</f>
        <v>0</v>
      </c>
      <c r="J508" s="10">
        <f>Catalog!L482</f>
        <v>0</v>
      </c>
      <c r="K508" s="10">
        <f>IF(Catalog!AG482&lt;&gt;"",Catalog!AG482,Catalog!AE482)</f>
        <v>0</v>
      </c>
      <c r="L508" s="10">
        <f>Catalog!AD482</f>
        <v>0</v>
      </c>
      <c r="M508" s="10">
        <f>Catalog!V482</f>
        <v>0</v>
      </c>
      <c r="N508" s="10">
        <f>Catalog!Q482</f>
        <v>0</v>
      </c>
      <c r="O508" s="10">
        <f>Catalog!AF482</f>
        <v>0</v>
      </c>
    </row>
    <row r="509" spans="1:15" x14ac:dyDescent="0.25">
      <c r="A509" s="10">
        <f>Catalog!D483</f>
        <v>0</v>
      </c>
      <c r="B509" s="10">
        <f>Catalog!F483</f>
        <v>0</v>
      </c>
      <c r="C509" s="10" t="str">
        <f>IF(Catalog!I483="","",Catalog!I483)&amp;IF(AND(Catalog!I483&lt;&gt;"",Catalog!J483&lt;&gt;""),"; ","")&amp;IF(Catalog!J483="","",Catalog!J483)</f>
        <v/>
      </c>
      <c r="D509" s="10">
        <f>Catalog!P483</f>
        <v>0</v>
      </c>
      <c r="E509" s="10">
        <f>Catalog!R483</f>
        <v>0</v>
      </c>
      <c r="F509" s="10">
        <f>Catalog!M483</f>
        <v>0</v>
      </c>
      <c r="G509" s="10">
        <f>Catalog!K483</f>
        <v>0</v>
      </c>
      <c r="H509" s="10" t="str">
        <f>IF(Catalog!S483&lt;&gt;"","ISBN:"&amp;Catalog!S483,IF(Catalog!T483&lt;&gt;"","ISSN:"&amp;Catalog!T483,""))</f>
        <v/>
      </c>
      <c r="I509" s="10">
        <f>Catalog!B483</f>
        <v>0</v>
      </c>
      <c r="J509" s="10">
        <f>Catalog!L483</f>
        <v>0</v>
      </c>
      <c r="K509" s="10">
        <f>IF(Catalog!AG483&lt;&gt;"",Catalog!AG483,Catalog!AE483)</f>
        <v>0</v>
      </c>
      <c r="L509" s="10">
        <f>Catalog!AD483</f>
        <v>0</v>
      </c>
      <c r="M509" s="10">
        <f>Catalog!V483</f>
        <v>0</v>
      </c>
      <c r="N509" s="10">
        <f>Catalog!Q483</f>
        <v>0</v>
      </c>
      <c r="O509" s="10">
        <f>Catalog!AF483</f>
        <v>0</v>
      </c>
    </row>
    <row r="510" spans="1:15" x14ac:dyDescent="0.25">
      <c r="A510" s="10">
        <f>Catalog!D484</f>
        <v>0</v>
      </c>
      <c r="B510" s="10">
        <f>Catalog!F484</f>
        <v>0</v>
      </c>
      <c r="C510" s="10" t="str">
        <f>IF(Catalog!I484="","",Catalog!I484)&amp;IF(AND(Catalog!I484&lt;&gt;"",Catalog!J484&lt;&gt;""),"; ","")&amp;IF(Catalog!J484="","",Catalog!J484)</f>
        <v/>
      </c>
      <c r="D510" s="10">
        <f>Catalog!P484</f>
        <v>0</v>
      </c>
      <c r="E510" s="10">
        <f>Catalog!R484</f>
        <v>0</v>
      </c>
      <c r="F510" s="10">
        <f>Catalog!M484</f>
        <v>0</v>
      </c>
      <c r="G510" s="10">
        <f>Catalog!K484</f>
        <v>0</v>
      </c>
      <c r="H510" s="10" t="str">
        <f>IF(Catalog!S484&lt;&gt;"","ISBN:"&amp;Catalog!S484,IF(Catalog!T484&lt;&gt;"","ISSN:"&amp;Catalog!T484,""))</f>
        <v/>
      </c>
      <c r="I510" s="10">
        <f>Catalog!B484</f>
        <v>0</v>
      </c>
      <c r="J510" s="10">
        <f>Catalog!L484</f>
        <v>0</v>
      </c>
      <c r="K510" s="10">
        <f>IF(Catalog!AG484&lt;&gt;"",Catalog!AG484,Catalog!AE484)</f>
        <v>0</v>
      </c>
      <c r="L510" s="10">
        <f>Catalog!AD484</f>
        <v>0</v>
      </c>
      <c r="M510" s="10">
        <f>Catalog!V484</f>
        <v>0</v>
      </c>
      <c r="N510" s="10">
        <f>Catalog!Q484</f>
        <v>0</v>
      </c>
      <c r="O510" s="10">
        <f>Catalog!AF484</f>
        <v>0</v>
      </c>
    </row>
    <row r="511" spans="1:15" x14ac:dyDescent="0.25">
      <c r="A511" s="10">
        <f>Catalog!D485</f>
        <v>0</v>
      </c>
      <c r="B511" s="10">
        <f>Catalog!F485</f>
        <v>0</v>
      </c>
      <c r="C511" s="10" t="str">
        <f>IF(Catalog!I485="","",Catalog!I485)&amp;IF(AND(Catalog!I485&lt;&gt;"",Catalog!J485&lt;&gt;""),"; ","")&amp;IF(Catalog!J485="","",Catalog!J485)</f>
        <v/>
      </c>
      <c r="D511" s="10">
        <f>Catalog!P485</f>
        <v>0</v>
      </c>
      <c r="E511" s="10">
        <f>Catalog!R485</f>
        <v>0</v>
      </c>
      <c r="F511" s="10">
        <f>Catalog!M485</f>
        <v>0</v>
      </c>
      <c r="G511" s="10">
        <f>Catalog!K485</f>
        <v>0</v>
      </c>
      <c r="H511" s="10" t="str">
        <f>IF(Catalog!S485&lt;&gt;"","ISBN:"&amp;Catalog!S485,IF(Catalog!T485&lt;&gt;"","ISSN:"&amp;Catalog!T485,""))</f>
        <v/>
      </c>
      <c r="I511" s="10">
        <f>Catalog!B485</f>
        <v>0</v>
      </c>
      <c r="J511" s="10">
        <f>Catalog!L485</f>
        <v>0</v>
      </c>
      <c r="K511" s="10">
        <f>IF(Catalog!AG485&lt;&gt;"",Catalog!AG485,Catalog!AE485)</f>
        <v>0</v>
      </c>
      <c r="L511" s="10">
        <f>Catalog!AD485</f>
        <v>0</v>
      </c>
      <c r="M511" s="10">
        <f>Catalog!V485</f>
        <v>0</v>
      </c>
      <c r="N511" s="10">
        <f>Catalog!Q485</f>
        <v>0</v>
      </c>
      <c r="O511" s="10">
        <f>Catalog!AF485</f>
        <v>0</v>
      </c>
    </row>
    <row r="512" spans="1:15" x14ac:dyDescent="0.25">
      <c r="A512" s="10">
        <f>Catalog!D486</f>
        <v>0</v>
      </c>
      <c r="B512" s="10">
        <f>Catalog!F486</f>
        <v>0</v>
      </c>
      <c r="C512" s="10" t="str">
        <f>IF(Catalog!I486="","",Catalog!I486)&amp;IF(AND(Catalog!I486&lt;&gt;"",Catalog!J486&lt;&gt;""),"; ","")&amp;IF(Catalog!J486="","",Catalog!J486)</f>
        <v/>
      </c>
      <c r="D512" s="10">
        <f>Catalog!P486</f>
        <v>0</v>
      </c>
      <c r="E512" s="10">
        <f>Catalog!R486</f>
        <v>0</v>
      </c>
      <c r="F512" s="10">
        <f>Catalog!M486</f>
        <v>0</v>
      </c>
      <c r="G512" s="10">
        <f>Catalog!K486</f>
        <v>0</v>
      </c>
      <c r="H512" s="10" t="str">
        <f>IF(Catalog!S486&lt;&gt;"","ISBN:"&amp;Catalog!S486,IF(Catalog!T486&lt;&gt;"","ISSN:"&amp;Catalog!T486,""))</f>
        <v/>
      </c>
      <c r="I512" s="10">
        <f>Catalog!B486</f>
        <v>0</v>
      </c>
      <c r="J512" s="10">
        <f>Catalog!L486</f>
        <v>0</v>
      </c>
      <c r="K512" s="10">
        <f>IF(Catalog!AG486&lt;&gt;"",Catalog!AG486,Catalog!AE486)</f>
        <v>0</v>
      </c>
      <c r="L512" s="10">
        <f>Catalog!AD486</f>
        <v>0</v>
      </c>
      <c r="M512" s="10">
        <f>Catalog!V486</f>
        <v>0</v>
      </c>
      <c r="N512" s="10">
        <f>Catalog!Q486</f>
        <v>0</v>
      </c>
      <c r="O512" s="10">
        <f>Catalog!AF486</f>
        <v>0</v>
      </c>
    </row>
    <row r="513" spans="1:15" x14ac:dyDescent="0.25">
      <c r="A513" s="10">
        <f>Catalog!D487</f>
        <v>0</v>
      </c>
      <c r="B513" s="10">
        <f>Catalog!F487</f>
        <v>0</v>
      </c>
      <c r="C513" s="10" t="str">
        <f>IF(Catalog!I487="","",Catalog!I487)&amp;IF(AND(Catalog!I487&lt;&gt;"",Catalog!J487&lt;&gt;""),"; ","")&amp;IF(Catalog!J487="","",Catalog!J487)</f>
        <v/>
      </c>
      <c r="D513" s="10">
        <f>Catalog!P487</f>
        <v>0</v>
      </c>
      <c r="E513" s="10">
        <f>Catalog!R487</f>
        <v>0</v>
      </c>
      <c r="F513" s="10">
        <f>Catalog!M487</f>
        <v>0</v>
      </c>
      <c r="G513" s="10">
        <f>Catalog!K487</f>
        <v>0</v>
      </c>
      <c r="H513" s="10" t="str">
        <f>IF(Catalog!S487&lt;&gt;"","ISBN:"&amp;Catalog!S487,IF(Catalog!T487&lt;&gt;"","ISSN:"&amp;Catalog!T487,""))</f>
        <v/>
      </c>
      <c r="I513" s="10">
        <f>Catalog!B487</f>
        <v>0</v>
      </c>
      <c r="J513" s="10">
        <f>Catalog!L487</f>
        <v>0</v>
      </c>
      <c r="K513" s="10">
        <f>IF(Catalog!AG487&lt;&gt;"",Catalog!AG487,Catalog!AE487)</f>
        <v>0</v>
      </c>
      <c r="L513" s="10">
        <f>Catalog!AD487</f>
        <v>0</v>
      </c>
      <c r="M513" s="10">
        <f>Catalog!V487</f>
        <v>0</v>
      </c>
      <c r="N513" s="10">
        <f>Catalog!Q487</f>
        <v>0</v>
      </c>
      <c r="O513" s="10">
        <f>Catalog!AF487</f>
        <v>0</v>
      </c>
    </row>
    <row r="514" spans="1:15" x14ac:dyDescent="0.25">
      <c r="A514" s="10">
        <f>Catalog!D488</f>
        <v>0</v>
      </c>
      <c r="B514" s="10">
        <f>Catalog!F488</f>
        <v>0</v>
      </c>
      <c r="C514" s="10" t="str">
        <f>IF(Catalog!I488="","",Catalog!I488)&amp;IF(AND(Catalog!I488&lt;&gt;"",Catalog!J488&lt;&gt;""),"; ","")&amp;IF(Catalog!J488="","",Catalog!J488)</f>
        <v/>
      </c>
      <c r="D514" s="10">
        <f>Catalog!P488</f>
        <v>0</v>
      </c>
      <c r="E514" s="10">
        <f>Catalog!R488</f>
        <v>0</v>
      </c>
      <c r="F514" s="10">
        <f>Catalog!M488</f>
        <v>0</v>
      </c>
      <c r="G514" s="10">
        <f>Catalog!K488</f>
        <v>0</v>
      </c>
      <c r="H514" s="10" t="str">
        <f>IF(Catalog!S488&lt;&gt;"","ISBN:"&amp;Catalog!S488,IF(Catalog!T488&lt;&gt;"","ISSN:"&amp;Catalog!T488,""))</f>
        <v/>
      </c>
      <c r="I514" s="10">
        <f>Catalog!B488</f>
        <v>0</v>
      </c>
      <c r="J514" s="10">
        <f>Catalog!L488</f>
        <v>0</v>
      </c>
      <c r="K514" s="10">
        <f>IF(Catalog!AG488&lt;&gt;"",Catalog!AG488,Catalog!AE488)</f>
        <v>0</v>
      </c>
      <c r="L514" s="10">
        <f>Catalog!AD488</f>
        <v>0</v>
      </c>
      <c r="M514" s="10">
        <f>Catalog!V488</f>
        <v>0</v>
      </c>
      <c r="N514" s="10">
        <f>Catalog!Q488</f>
        <v>0</v>
      </c>
      <c r="O514" s="10">
        <f>Catalog!AF488</f>
        <v>0</v>
      </c>
    </row>
    <row r="515" spans="1:15" x14ac:dyDescent="0.25">
      <c r="A515" s="10">
        <f>Catalog!D489</f>
        <v>0</v>
      </c>
      <c r="B515" s="10">
        <f>Catalog!F489</f>
        <v>0</v>
      </c>
      <c r="C515" s="10" t="str">
        <f>IF(Catalog!I489="","",Catalog!I489)&amp;IF(AND(Catalog!I489&lt;&gt;"",Catalog!J489&lt;&gt;""),"; ","")&amp;IF(Catalog!J489="","",Catalog!J489)</f>
        <v/>
      </c>
      <c r="D515" s="10">
        <f>Catalog!P489</f>
        <v>0</v>
      </c>
      <c r="E515" s="10">
        <f>Catalog!R489</f>
        <v>0</v>
      </c>
      <c r="F515" s="10">
        <f>Catalog!M489</f>
        <v>0</v>
      </c>
      <c r="G515" s="10">
        <f>Catalog!K489</f>
        <v>0</v>
      </c>
      <c r="H515" s="10" t="str">
        <f>IF(Catalog!S489&lt;&gt;"","ISBN:"&amp;Catalog!S489,IF(Catalog!T489&lt;&gt;"","ISSN:"&amp;Catalog!T489,""))</f>
        <v/>
      </c>
      <c r="I515" s="10">
        <f>Catalog!B489</f>
        <v>0</v>
      </c>
      <c r="J515" s="10">
        <f>Catalog!L489</f>
        <v>0</v>
      </c>
      <c r="K515" s="10">
        <f>IF(Catalog!AG489&lt;&gt;"",Catalog!AG489,Catalog!AE489)</f>
        <v>0</v>
      </c>
      <c r="L515" s="10">
        <f>Catalog!AD489</f>
        <v>0</v>
      </c>
      <c r="M515" s="10">
        <f>Catalog!V489</f>
        <v>0</v>
      </c>
      <c r="N515" s="10">
        <f>Catalog!Q489</f>
        <v>0</v>
      </c>
      <c r="O515" s="10">
        <f>Catalog!AF489</f>
        <v>0</v>
      </c>
    </row>
    <row r="516" spans="1:15" x14ac:dyDescent="0.25">
      <c r="A516" s="10">
        <f>Catalog!D490</f>
        <v>0</v>
      </c>
      <c r="B516" s="10">
        <f>Catalog!F490</f>
        <v>0</v>
      </c>
      <c r="C516" s="10" t="str">
        <f>IF(Catalog!I490="","",Catalog!I490)&amp;IF(AND(Catalog!I490&lt;&gt;"",Catalog!J490&lt;&gt;""),"; ","")&amp;IF(Catalog!J490="","",Catalog!J490)</f>
        <v/>
      </c>
      <c r="D516" s="10">
        <f>Catalog!P490</f>
        <v>0</v>
      </c>
      <c r="E516" s="10">
        <f>Catalog!R490</f>
        <v>0</v>
      </c>
      <c r="F516" s="10">
        <f>Catalog!M490</f>
        <v>0</v>
      </c>
      <c r="G516" s="10">
        <f>Catalog!K490</f>
        <v>0</v>
      </c>
      <c r="H516" s="10" t="str">
        <f>IF(Catalog!S490&lt;&gt;"","ISBN:"&amp;Catalog!S490,IF(Catalog!T490&lt;&gt;"","ISSN:"&amp;Catalog!T490,""))</f>
        <v/>
      </c>
      <c r="I516" s="10">
        <f>Catalog!B490</f>
        <v>0</v>
      </c>
      <c r="J516" s="10">
        <f>Catalog!L490</f>
        <v>0</v>
      </c>
      <c r="K516" s="10">
        <f>IF(Catalog!AG490&lt;&gt;"",Catalog!AG490,Catalog!AE490)</f>
        <v>0</v>
      </c>
      <c r="L516" s="10">
        <f>Catalog!AD490</f>
        <v>0</v>
      </c>
      <c r="M516" s="10">
        <f>Catalog!V490</f>
        <v>0</v>
      </c>
      <c r="N516" s="10">
        <f>Catalog!Q490</f>
        <v>0</v>
      </c>
      <c r="O516" s="10">
        <f>Catalog!AF490</f>
        <v>0</v>
      </c>
    </row>
    <row r="517" spans="1:15" x14ac:dyDescent="0.25">
      <c r="A517" s="10">
        <f>Catalog!D491</f>
        <v>0</v>
      </c>
      <c r="B517" s="10">
        <f>Catalog!F491</f>
        <v>0</v>
      </c>
      <c r="C517" s="10" t="str">
        <f>IF(Catalog!I491="","",Catalog!I491)&amp;IF(AND(Catalog!I491&lt;&gt;"",Catalog!J491&lt;&gt;""),"; ","")&amp;IF(Catalog!J491="","",Catalog!J491)</f>
        <v/>
      </c>
      <c r="D517" s="10">
        <f>Catalog!P491</f>
        <v>0</v>
      </c>
      <c r="E517" s="10">
        <f>Catalog!R491</f>
        <v>0</v>
      </c>
      <c r="F517" s="10">
        <f>Catalog!M491</f>
        <v>0</v>
      </c>
      <c r="G517" s="10">
        <f>Catalog!K491</f>
        <v>0</v>
      </c>
      <c r="H517" s="10" t="str">
        <f>IF(Catalog!S491&lt;&gt;"","ISBN:"&amp;Catalog!S491,IF(Catalog!T491&lt;&gt;"","ISSN:"&amp;Catalog!T491,""))</f>
        <v/>
      </c>
      <c r="I517" s="10">
        <f>Catalog!B491</f>
        <v>0</v>
      </c>
      <c r="J517" s="10">
        <f>Catalog!L491</f>
        <v>0</v>
      </c>
      <c r="K517" s="10">
        <f>IF(Catalog!AG491&lt;&gt;"",Catalog!AG491,Catalog!AE491)</f>
        <v>0</v>
      </c>
      <c r="L517" s="10">
        <f>Catalog!AD491</f>
        <v>0</v>
      </c>
      <c r="M517" s="10">
        <f>Catalog!V491</f>
        <v>0</v>
      </c>
      <c r="N517" s="10">
        <f>Catalog!Q491</f>
        <v>0</v>
      </c>
      <c r="O517" s="10">
        <f>Catalog!AF491</f>
        <v>0</v>
      </c>
    </row>
    <row r="518" spans="1:15" x14ac:dyDescent="0.25">
      <c r="A518" s="10">
        <f>Catalog!D492</f>
        <v>0</v>
      </c>
      <c r="B518" s="10">
        <f>Catalog!F492</f>
        <v>0</v>
      </c>
      <c r="C518" s="10" t="str">
        <f>IF(Catalog!I492="","",Catalog!I492)&amp;IF(AND(Catalog!I492&lt;&gt;"",Catalog!J492&lt;&gt;""),"; ","")&amp;IF(Catalog!J492="","",Catalog!J492)</f>
        <v/>
      </c>
      <c r="D518" s="10">
        <f>Catalog!P492</f>
        <v>0</v>
      </c>
      <c r="E518" s="10">
        <f>Catalog!R492</f>
        <v>0</v>
      </c>
      <c r="F518" s="10">
        <f>Catalog!M492</f>
        <v>0</v>
      </c>
      <c r="G518" s="10">
        <f>Catalog!K492</f>
        <v>0</v>
      </c>
      <c r="H518" s="10" t="str">
        <f>IF(Catalog!S492&lt;&gt;"","ISBN:"&amp;Catalog!S492,IF(Catalog!T492&lt;&gt;"","ISSN:"&amp;Catalog!T492,""))</f>
        <v/>
      </c>
      <c r="I518" s="10">
        <f>Catalog!B492</f>
        <v>0</v>
      </c>
      <c r="J518" s="10">
        <f>Catalog!L492</f>
        <v>0</v>
      </c>
      <c r="K518" s="10">
        <f>IF(Catalog!AG492&lt;&gt;"",Catalog!AG492,Catalog!AE492)</f>
        <v>0</v>
      </c>
      <c r="L518" s="10">
        <f>Catalog!AD492</f>
        <v>0</v>
      </c>
      <c r="M518" s="10">
        <f>Catalog!V492</f>
        <v>0</v>
      </c>
      <c r="N518" s="10">
        <f>Catalog!Q492</f>
        <v>0</v>
      </c>
      <c r="O518" s="10">
        <f>Catalog!AF492</f>
        <v>0</v>
      </c>
    </row>
    <row r="519" spans="1:15" x14ac:dyDescent="0.25">
      <c r="A519" s="10">
        <f>Catalog!D493</f>
        <v>0</v>
      </c>
      <c r="B519" s="10">
        <f>Catalog!F493</f>
        <v>0</v>
      </c>
      <c r="C519" s="10" t="str">
        <f>IF(Catalog!I493="","",Catalog!I493)&amp;IF(AND(Catalog!I493&lt;&gt;"",Catalog!J493&lt;&gt;""),"; ","")&amp;IF(Catalog!J493="","",Catalog!J493)</f>
        <v/>
      </c>
      <c r="D519" s="10">
        <f>Catalog!P493</f>
        <v>0</v>
      </c>
      <c r="E519" s="10">
        <f>Catalog!R493</f>
        <v>0</v>
      </c>
      <c r="F519" s="10">
        <f>Catalog!M493</f>
        <v>0</v>
      </c>
      <c r="G519" s="10">
        <f>Catalog!K493</f>
        <v>0</v>
      </c>
      <c r="H519" s="10" t="str">
        <f>IF(Catalog!S493&lt;&gt;"","ISBN:"&amp;Catalog!S493,IF(Catalog!T493&lt;&gt;"","ISSN:"&amp;Catalog!T493,""))</f>
        <v/>
      </c>
      <c r="I519" s="10">
        <f>Catalog!B493</f>
        <v>0</v>
      </c>
      <c r="J519" s="10">
        <f>Catalog!L493</f>
        <v>0</v>
      </c>
      <c r="K519" s="10">
        <f>IF(Catalog!AG493&lt;&gt;"",Catalog!AG493,Catalog!AE493)</f>
        <v>0</v>
      </c>
      <c r="L519" s="10">
        <f>Catalog!AD493</f>
        <v>0</v>
      </c>
      <c r="M519" s="10">
        <f>Catalog!V493</f>
        <v>0</v>
      </c>
      <c r="N519" s="10">
        <f>Catalog!Q493</f>
        <v>0</v>
      </c>
      <c r="O519" s="10">
        <f>Catalog!AF493</f>
        <v>0</v>
      </c>
    </row>
    <row r="520" spans="1:15" x14ac:dyDescent="0.25">
      <c r="A520" s="10">
        <f>Catalog!D494</f>
        <v>0</v>
      </c>
      <c r="B520" s="10">
        <f>Catalog!F494</f>
        <v>0</v>
      </c>
      <c r="C520" s="10" t="str">
        <f>IF(Catalog!I494="","",Catalog!I494)&amp;IF(AND(Catalog!I494&lt;&gt;"",Catalog!J494&lt;&gt;""),"; ","")&amp;IF(Catalog!J494="","",Catalog!J494)</f>
        <v/>
      </c>
      <c r="D520" s="10">
        <f>Catalog!P494</f>
        <v>0</v>
      </c>
      <c r="E520" s="10">
        <f>Catalog!R494</f>
        <v>0</v>
      </c>
      <c r="F520" s="10">
        <f>Catalog!M494</f>
        <v>0</v>
      </c>
      <c r="G520" s="10">
        <f>Catalog!K494</f>
        <v>0</v>
      </c>
      <c r="H520" s="10" t="str">
        <f>IF(Catalog!S494&lt;&gt;"","ISBN:"&amp;Catalog!S494,IF(Catalog!T494&lt;&gt;"","ISSN:"&amp;Catalog!T494,""))</f>
        <v/>
      </c>
      <c r="I520" s="10">
        <f>Catalog!B494</f>
        <v>0</v>
      </c>
      <c r="J520" s="10">
        <f>Catalog!L494</f>
        <v>0</v>
      </c>
      <c r="K520" s="10">
        <f>IF(Catalog!AG494&lt;&gt;"",Catalog!AG494,Catalog!AE494)</f>
        <v>0</v>
      </c>
      <c r="L520" s="10">
        <f>Catalog!AD494</f>
        <v>0</v>
      </c>
      <c r="M520" s="10">
        <f>Catalog!V494</f>
        <v>0</v>
      </c>
      <c r="N520" s="10">
        <f>Catalog!Q494</f>
        <v>0</v>
      </c>
      <c r="O520" s="10">
        <f>Catalog!AF494</f>
        <v>0</v>
      </c>
    </row>
    <row r="521" spans="1:15" x14ac:dyDescent="0.25">
      <c r="A521" s="10">
        <f>Catalog!D495</f>
        <v>0</v>
      </c>
      <c r="B521" s="10">
        <f>Catalog!F495</f>
        <v>0</v>
      </c>
      <c r="C521" s="10" t="str">
        <f>IF(Catalog!I495="","",Catalog!I495)&amp;IF(AND(Catalog!I495&lt;&gt;"",Catalog!J495&lt;&gt;""),"; ","")&amp;IF(Catalog!J495="","",Catalog!J495)</f>
        <v/>
      </c>
      <c r="D521" s="10">
        <f>Catalog!P495</f>
        <v>0</v>
      </c>
      <c r="E521" s="10">
        <f>Catalog!R495</f>
        <v>0</v>
      </c>
      <c r="F521" s="10">
        <f>Catalog!M495</f>
        <v>0</v>
      </c>
      <c r="G521" s="10">
        <f>Catalog!K495</f>
        <v>0</v>
      </c>
      <c r="H521" s="10" t="str">
        <f>IF(Catalog!S495&lt;&gt;"","ISBN:"&amp;Catalog!S495,IF(Catalog!T495&lt;&gt;"","ISSN:"&amp;Catalog!T495,""))</f>
        <v/>
      </c>
      <c r="I521" s="10">
        <f>Catalog!B495</f>
        <v>0</v>
      </c>
      <c r="J521" s="10">
        <f>Catalog!L495</f>
        <v>0</v>
      </c>
      <c r="K521" s="10">
        <f>IF(Catalog!AG495&lt;&gt;"",Catalog!AG495,Catalog!AE495)</f>
        <v>0</v>
      </c>
      <c r="L521" s="10">
        <f>Catalog!AD495</f>
        <v>0</v>
      </c>
      <c r="M521" s="10">
        <f>Catalog!V495</f>
        <v>0</v>
      </c>
      <c r="N521" s="10">
        <f>Catalog!Q495</f>
        <v>0</v>
      </c>
      <c r="O521" s="10">
        <f>Catalog!AF495</f>
        <v>0</v>
      </c>
    </row>
    <row r="522" spans="1:15" x14ac:dyDescent="0.25">
      <c r="A522" s="10">
        <f>Catalog!D496</f>
        <v>0</v>
      </c>
      <c r="B522" s="10">
        <f>Catalog!F496</f>
        <v>0</v>
      </c>
      <c r="C522" s="10" t="str">
        <f>IF(Catalog!I496="","",Catalog!I496)&amp;IF(AND(Catalog!I496&lt;&gt;"",Catalog!J496&lt;&gt;""),"; ","")&amp;IF(Catalog!J496="","",Catalog!J496)</f>
        <v/>
      </c>
      <c r="D522" s="10">
        <f>Catalog!P496</f>
        <v>0</v>
      </c>
      <c r="E522" s="10">
        <f>Catalog!R496</f>
        <v>0</v>
      </c>
      <c r="F522" s="10">
        <f>Catalog!M496</f>
        <v>0</v>
      </c>
      <c r="G522" s="10">
        <f>Catalog!K496</f>
        <v>0</v>
      </c>
      <c r="H522" s="10" t="str">
        <f>IF(Catalog!S496&lt;&gt;"","ISBN:"&amp;Catalog!S496,IF(Catalog!T496&lt;&gt;"","ISSN:"&amp;Catalog!T496,""))</f>
        <v/>
      </c>
      <c r="I522" s="10">
        <f>Catalog!B496</f>
        <v>0</v>
      </c>
      <c r="J522" s="10">
        <f>Catalog!L496</f>
        <v>0</v>
      </c>
      <c r="K522" s="10">
        <f>IF(Catalog!AG496&lt;&gt;"",Catalog!AG496,Catalog!AE496)</f>
        <v>0</v>
      </c>
      <c r="L522" s="10">
        <f>Catalog!AD496</f>
        <v>0</v>
      </c>
      <c r="M522" s="10">
        <f>Catalog!V496</f>
        <v>0</v>
      </c>
      <c r="N522" s="10">
        <f>Catalog!Q496</f>
        <v>0</v>
      </c>
      <c r="O522" s="10">
        <f>Catalog!AF496</f>
        <v>0</v>
      </c>
    </row>
    <row r="523" spans="1:15" x14ac:dyDescent="0.25">
      <c r="A523" s="10">
        <f>Catalog!D497</f>
        <v>0</v>
      </c>
      <c r="B523" s="10">
        <f>Catalog!F497</f>
        <v>0</v>
      </c>
      <c r="C523" s="10" t="str">
        <f>IF(Catalog!I497="","",Catalog!I497)&amp;IF(AND(Catalog!I497&lt;&gt;"",Catalog!J497&lt;&gt;""),"; ","")&amp;IF(Catalog!J497="","",Catalog!J497)</f>
        <v/>
      </c>
      <c r="D523" s="10">
        <f>Catalog!P497</f>
        <v>0</v>
      </c>
      <c r="E523" s="10">
        <f>Catalog!R497</f>
        <v>0</v>
      </c>
      <c r="F523" s="10">
        <f>Catalog!M497</f>
        <v>0</v>
      </c>
      <c r="G523" s="10">
        <f>Catalog!K497</f>
        <v>0</v>
      </c>
      <c r="H523" s="10" t="str">
        <f>IF(Catalog!S497&lt;&gt;"","ISBN:"&amp;Catalog!S497,IF(Catalog!T497&lt;&gt;"","ISSN:"&amp;Catalog!T497,""))</f>
        <v/>
      </c>
      <c r="I523" s="10">
        <f>Catalog!B497</f>
        <v>0</v>
      </c>
      <c r="J523" s="10">
        <f>Catalog!L497</f>
        <v>0</v>
      </c>
      <c r="K523" s="10">
        <f>IF(Catalog!AG497&lt;&gt;"",Catalog!AG497,Catalog!AE497)</f>
        <v>0</v>
      </c>
      <c r="L523" s="10">
        <f>Catalog!AD497</f>
        <v>0</v>
      </c>
      <c r="M523" s="10">
        <f>Catalog!V497</f>
        <v>0</v>
      </c>
      <c r="N523" s="10">
        <f>Catalog!Q497</f>
        <v>0</v>
      </c>
      <c r="O523" s="10">
        <f>Catalog!AF497</f>
        <v>0</v>
      </c>
    </row>
    <row r="524" spans="1:15" x14ac:dyDescent="0.25">
      <c r="A524" s="10">
        <f>Catalog!D498</f>
        <v>0</v>
      </c>
      <c r="B524" s="10">
        <f>Catalog!F498</f>
        <v>0</v>
      </c>
      <c r="C524" s="10" t="str">
        <f>IF(Catalog!I498="","",Catalog!I498)&amp;IF(AND(Catalog!I498&lt;&gt;"",Catalog!J498&lt;&gt;""),"; ","")&amp;IF(Catalog!J498="","",Catalog!J498)</f>
        <v/>
      </c>
      <c r="D524" s="10">
        <f>Catalog!P498</f>
        <v>0</v>
      </c>
      <c r="E524" s="10">
        <f>Catalog!R498</f>
        <v>0</v>
      </c>
      <c r="F524" s="10">
        <f>Catalog!M498</f>
        <v>0</v>
      </c>
      <c r="G524" s="10">
        <f>Catalog!K498</f>
        <v>0</v>
      </c>
      <c r="H524" s="10" t="str">
        <f>IF(Catalog!S498&lt;&gt;"","ISBN:"&amp;Catalog!S498,IF(Catalog!T498&lt;&gt;"","ISSN:"&amp;Catalog!T498,""))</f>
        <v/>
      </c>
      <c r="I524" s="10">
        <f>Catalog!B498</f>
        <v>0</v>
      </c>
      <c r="J524" s="10">
        <f>Catalog!L498</f>
        <v>0</v>
      </c>
      <c r="K524" s="10">
        <f>IF(Catalog!AG498&lt;&gt;"",Catalog!AG498,Catalog!AE498)</f>
        <v>0</v>
      </c>
      <c r="L524" s="10">
        <f>Catalog!AD498</f>
        <v>0</v>
      </c>
      <c r="M524" s="10">
        <f>Catalog!V498</f>
        <v>0</v>
      </c>
      <c r="N524" s="10">
        <f>Catalog!Q498</f>
        <v>0</v>
      </c>
      <c r="O524" s="10">
        <f>Catalog!AF498</f>
        <v>0</v>
      </c>
    </row>
    <row r="525" spans="1:15" x14ac:dyDescent="0.25">
      <c r="A525" s="10">
        <f>Catalog!D499</f>
        <v>0</v>
      </c>
      <c r="B525" s="10">
        <f>Catalog!F499</f>
        <v>0</v>
      </c>
      <c r="C525" s="10" t="str">
        <f>IF(Catalog!I499="","",Catalog!I499)&amp;IF(AND(Catalog!I499&lt;&gt;"",Catalog!J499&lt;&gt;""),"; ","")&amp;IF(Catalog!J499="","",Catalog!J499)</f>
        <v/>
      </c>
      <c r="D525" s="10">
        <f>Catalog!P499</f>
        <v>0</v>
      </c>
      <c r="E525" s="10">
        <f>Catalog!R499</f>
        <v>0</v>
      </c>
      <c r="F525" s="10">
        <f>Catalog!M499</f>
        <v>0</v>
      </c>
      <c r="G525" s="10">
        <f>Catalog!K499</f>
        <v>0</v>
      </c>
      <c r="H525" s="10" t="str">
        <f>IF(Catalog!S499&lt;&gt;"","ISBN:"&amp;Catalog!S499,IF(Catalog!T499&lt;&gt;"","ISSN:"&amp;Catalog!T499,""))</f>
        <v/>
      </c>
      <c r="I525" s="10">
        <f>Catalog!B499</f>
        <v>0</v>
      </c>
      <c r="J525" s="10">
        <f>Catalog!L499</f>
        <v>0</v>
      </c>
      <c r="K525" s="10">
        <f>IF(Catalog!AG499&lt;&gt;"",Catalog!AG499,Catalog!AE499)</f>
        <v>0</v>
      </c>
      <c r="L525" s="10">
        <f>Catalog!AD499</f>
        <v>0</v>
      </c>
      <c r="M525" s="10">
        <f>Catalog!V499</f>
        <v>0</v>
      </c>
      <c r="N525" s="10">
        <f>Catalog!Q499</f>
        <v>0</v>
      </c>
      <c r="O525" s="10">
        <f>Catalog!AF499</f>
        <v>0</v>
      </c>
    </row>
    <row r="526" spans="1:15" x14ac:dyDescent="0.25">
      <c r="A526" s="10">
        <f>Catalog!D500</f>
        <v>0</v>
      </c>
      <c r="B526" s="10">
        <f>Catalog!F500</f>
        <v>0</v>
      </c>
      <c r="C526" s="10" t="str">
        <f>IF(Catalog!I500="","",Catalog!I500)&amp;IF(AND(Catalog!I500&lt;&gt;"",Catalog!J500&lt;&gt;""),"; ","")&amp;IF(Catalog!J500="","",Catalog!J500)</f>
        <v/>
      </c>
      <c r="D526" s="10">
        <f>Catalog!P500</f>
        <v>0</v>
      </c>
      <c r="E526" s="10">
        <f>Catalog!R500</f>
        <v>0</v>
      </c>
      <c r="F526" s="10">
        <f>Catalog!M500</f>
        <v>0</v>
      </c>
      <c r="G526" s="10">
        <f>Catalog!K500</f>
        <v>0</v>
      </c>
      <c r="H526" s="10" t="str">
        <f>IF(Catalog!S500&lt;&gt;"","ISBN:"&amp;Catalog!S500,IF(Catalog!T500&lt;&gt;"","ISSN:"&amp;Catalog!T500,""))</f>
        <v/>
      </c>
      <c r="I526" s="10">
        <f>Catalog!B500</f>
        <v>0</v>
      </c>
      <c r="J526" s="10">
        <f>Catalog!L500</f>
        <v>0</v>
      </c>
      <c r="K526" s="10">
        <f>IF(Catalog!AG500&lt;&gt;"",Catalog!AG500,Catalog!AE500)</f>
        <v>0</v>
      </c>
      <c r="L526" s="10">
        <f>Catalog!AD500</f>
        <v>0</v>
      </c>
      <c r="M526" s="10">
        <f>Catalog!V500</f>
        <v>0</v>
      </c>
      <c r="N526" s="10">
        <f>Catalog!Q500</f>
        <v>0</v>
      </c>
      <c r="O526" s="10">
        <f>Catalog!AF500</f>
        <v>0</v>
      </c>
    </row>
    <row r="527" spans="1:15" x14ac:dyDescent="0.25">
      <c r="A527" s="10">
        <f>Catalog!D501</f>
        <v>0</v>
      </c>
      <c r="B527" s="10">
        <f>Catalog!F501</f>
        <v>0</v>
      </c>
      <c r="C527" s="10" t="str">
        <f>IF(Catalog!I501="","",Catalog!I501)&amp;IF(AND(Catalog!I501&lt;&gt;"",Catalog!J501&lt;&gt;""),"; ","")&amp;IF(Catalog!J501="","",Catalog!J501)</f>
        <v/>
      </c>
      <c r="D527" s="10">
        <f>Catalog!P501</f>
        <v>0</v>
      </c>
      <c r="E527" s="10">
        <f>Catalog!R501</f>
        <v>0</v>
      </c>
      <c r="F527" s="10">
        <f>Catalog!M501</f>
        <v>0</v>
      </c>
      <c r="G527" s="10">
        <f>Catalog!K501</f>
        <v>0</v>
      </c>
      <c r="H527" s="10" t="str">
        <f>IF(Catalog!S501&lt;&gt;"","ISBN:"&amp;Catalog!S501,IF(Catalog!T501&lt;&gt;"","ISSN:"&amp;Catalog!T501,""))</f>
        <v/>
      </c>
      <c r="I527" s="10">
        <f>Catalog!B501</f>
        <v>0</v>
      </c>
      <c r="J527" s="10">
        <f>Catalog!L501</f>
        <v>0</v>
      </c>
      <c r="K527" s="10">
        <f>IF(Catalog!AG501&lt;&gt;"",Catalog!AG501,Catalog!AE501)</f>
        <v>0</v>
      </c>
      <c r="L527" s="10">
        <f>Catalog!AD501</f>
        <v>0</v>
      </c>
      <c r="M527" s="10">
        <f>Catalog!V501</f>
        <v>0</v>
      </c>
      <c r="N527" s="10">
        <f>Catalog!Q501</f>
        <v>0</v>
      </c>
      <c r="O527" s="10">
        <f>Catalog!AF501</f>
        <v>0</v>
      </c>
    </row>
  </sheetData>
  <sheetProtection password="E720" sheet="1"/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26"/>
  <sheetViews>
    <sheetView workbookViewId="0">
      <pane ySplit="26" topLeftCell="A27" activePane="bottomLeft" state="frozen"/>
      <selection pane="bottomLeft"/>
    </sheetView>
  </sheetViews>
  <sheetFormatPr defaultRowHeight="15" x14ac:dyDescent="0.25"/>
  <cols>
    <col min="1" max="1" width="32" customWidth="1"/>
    <col min="2" max="2" width="16" customWidth="1"/>
  </cols>
  <sheetData>
    <row r="1" spans="1:2" ht="18.75" x14ac:dyDescent="0.3">
      <c r="A1" s="20" t="s">
        <v>436</v>
      </c>
      <c r="B1" s="21"/>
    </row>
    <row r="3" spans="1:2" x14ac:dyDescent="0.25">
      <c r="A3" s="5" t="s">
        <v>437</v>
      </c>
      <c r="B3" s="5" t="s">
        <v>50</v>
      </c>
    </row>
    <row r="4" spans="1:2" x14ac:dyDescent="0.25">
      <c r="A4" s="14" t="s">
        <v>438</v>
      </c>
      <c r="B4" s="15">
        <f>COUNTA(Catalog!$D$2:$D$501)</f>
        <v>20</v>
      </c>
    </row>
    <row r="5" spans="1:2" x14ac:dyDescent="0.25">
      <c r="A5" s="14" t="s">
        <v>439</v>
      </c>
      <c r="B5" s="15">
        <f>COUNTA(Catalog!$A$2:$A$501)-COUNTA(Catalog!$D$2:$D$501)</f>
        <v>480</v>
      </c>
    </row>
    <row r="6" spans="1:2" x14ac:dyDescent="0.25">
      <c r="A6" s="14" t="s">
        <v>440</v>
      </c>
      <c r="B6" s="15">
        <f>SUMPRODUCT((Catalog!$D$2:$D$501&lt;&gt;"")*(Catalog!$F$2:$F$501=""))</f>
        <v>1</v>
      </c>
    </row>
    <row r="7" spans="1:2" x14ac:dyDescent="0.25">
      <c r="A7" s="14" t="s">
        <v>441</v>
      </c>
      <c r="B7" s="15">
        <f>SUMPRODUCT((Catalog!$D$2:$D$501&lt;&gt;"")*(Catalog!$K$2:$K$501=""))</f>
        <v>0</v>
      </c>
    </row>
    <row r="8" spans="1:2" x14ac:dyDescent="0.25">
      <c r="A8" s="14" t="s">
        <v>442</v>
      </c>
      <c r="B8" s="15">
        <f>SUMPRODUCT((Catalog!$D$2:$D$501&lt;&gt;"")*(Catalog!$L$2:$L$501=""))</f>
        <v>0</v>
      </c>
    </row>
    <row r="9" spans="1:2" x14ac:dyDescent="0.25">
      <c r="A9" s="14" t="s">
        <v>443</v>
      </c>
      <c r="B9" s="15">
        <f>SUMPRODUCT((Catalog!$D$2:$D$501&lt;&gt;"")*(Catalog!$W$2:$W$501=""))</f>
        <v>0</v>
      </c>
    </row>
    <row r="10" spans="1:2" x14ac:dyDescent="0.25">
      <c r="A10" s="14" t="s">
        <v>444</v>
      </c>
      <c r="B10" s="15">
        <f>SUMPRODUCT((Catalog!$D$2:$D$501&lt;&gt;"")*(Catalog!$X$2:$X$501=""))</f>
        <v>0</v>
      </c>
    </row>
    <row r="11" spans="1:2" x14ac:dyDescent="0.25">
      <c r="A11" s="14" t="s">
        <v>445</v>
      </c>
      <c r="B11" s="15">
        <f>SUMPRODUCT((Catalog!$S$2:$S$501&lt;&gt;"")*(COUNTIF(Catalog!$S$2:$S$501,Catalog!$S$2:$S$501)&gt;1))/2</f>
        <v>0</v>
      </c>
    </row>
    <row r="12" spans="1:2" x14ac:dyDescent="0.25">
      <c r="A12" s="14" t="s">
        <v>446</v>
      </c>
      <c r="B12" s="15">
        <f>SUMPRODUCT((Catalog!$T$2:$T$501&lt;&gt;"")*(COUNTIF(Catalog!$T$2:$T$501,Catalog!$T$2:$T$501)&gt;1))/2</f>
        <v>0</v>
      </c>
    </row>
    <row r="13" spans="1:2" x14ac:dyDescent="0.25">
      <c r="A13" s="14" t="s">
        <v>447</v>
      </c>
      <c r="B13" s="15">
        <f>SUMPRODUCT((Catalog!$B$2:$B$501&lt;&gt;"")*(COUNTIF(Catalog!$B$2:$B$501,Catalog!$B$2:$B$501)&gt;1))/2</f>
        <v>0</v>
      </c>
    </row>
    <row r="14" spans="1:2" x14ac:dyDescent="0.25">
      <c r="A14" s="14" t="s">
        <v>448</v>
      </c>
      <c r="B14" s="15">
        <f>COUNTA(Digital_Catalog!$C$2:$C$501)</f>
        <v>6</v>
      </c>
    </row>
    <row r="15" spans="1:2" x14ac:dyDescent="0.25">
      <c r="A15" s="14" t="s">
        <v>449</v>
      </c>
      <c r="B15" s="15">
        <f>COUNTA(Archive!$B$2:$B$201)</f>
        <v>2</v>
      </c>
    </row>
    <row r="16" spans="1:2" x14ac:dyDescent="0.25">
      <c r="A16" s="14" t="s">
        <v>450</v>
      </c>
      <c r="B16" s="15">
        <f ca="1">COUNTIF(Circulation!$H$2:$H$501,"Active")</f>
        <v>0</v>
      </c>
    </row>
    <row r="17" spans="1:3" x14ac:dyDescent="0.25">
      <c r="A17" s="14" t="s">
        <v>451</v>
      </c>
      <c r="B17" s="15">
        <f ca="1">COUNTIF(Circulation!$H$2:$H$501,"Overdue")</f>
        <v>0</v>
      </c>
    </row>
    <row r="25" spans="1:3" ht="15.75" x14ac:dyDescent="0.25">
      <c r="A25" s="13" t="s">
        <v>452</v>
      </c>
    </row>
    <row r="26" spans="1:3" x14ac:dyDescent="0.25">
      <c r="A26" s="5" t="s">
        <v>225</v>
      </c>
      <c r="B26" s="5" t="s">
        <v>228</v>
      </c>
      <c r="C26" s="5" t="s">
        <v>453</v>
      </c>
    </row>
    <row r="27" spans="1:3" x14ac:dyDescent="0.25">
      <c r="A27" s="16">
        <f>Catalog!A2</f>
        <v>1</v>
      </c>
      <c r="B27" s="16" t="str">
        <f>Catalog!D2</f>
        <v>Rabindra Rachanabali</v>
      </c>
      <c r="C27" s="17" t="str">
        <f>IF(Catalog!D2="","",IF(ISBLANK(Catalog!F2),"Missing Creator; ","")&amp;IF(ISBLANK(Catalog!K2),"Missing Type; ","")&amp;IF(ISBLANK(Catalog!L2),"Missing Genre; ","")&amp;IF(ISBLANK(Catalog!W2),"Missing Location Type; ","")&amp;IF(ISBLANK(Catalog!X2),"Missing Location Identifier; ","")&amp;IF(AND(Catalog!S2&lt;&gt;"",COUNTIF(Catalog!$S$2:$S$501,Catalog!S2)&gt;1),"Duplicate ISBN; ","")&amp;IF(AND(Catalog!B2&lt;&gt;"",COUNTIF(Catalog!$B$2:$B$501,Catalog!B2)&gt;1),"Duplicate Accession; ",""))</f>
        <v/>
      </c>
    </row>
    <row r="28" spans="1:3" x14ac:dyDescent="0.25">
      <c r="A28" s="16">
        <f>Catalog!A3</f>
        <v>2</v>
      </c>
      <c r="B28" s="16" t="str">
        <f>Catalog!D3</f>
        <v>Rabindra Rachanabali</v>
      </c>
      <c r="C28" s="17" t="str">
        <f>IF(Catalog!D3="","",IF(ISBLANK(Catalog!F3),"Missing Creator; ","")&amp;IF(ISBLANK(Catalog!K3),"Missing Type; ","")&amp;IF(ISBLANK(Catalog!L3),"Missing Genre; ","")&amp;IF(ISBLANK(Catalog!W3),"Missing Location Type; ","")&amp;IF(ISBLANK(Catalog!X3),"Missing Location Identifier; ","")&amp;IF(AND(Catalog!S3&lt;&gt;"",COUNTIF(Catalog!$S$2:$S$501,Catalog!S3)&gt;1),"Duplicate ISBN; ","")&amp;IF(AND(Catalog!B3&lt;&gt;"",COUNTIF(Catalog!$B$2:$B$501,Catalog!B3)&gt;1),"Duplicate Accession; ",""))</f>
        <v/>
      </c>
    </row>
    <row r="29" spans="1:3" x14ac:dyDescent="0.25">
      <c r="A29" s="16">
        <f>Catalog!A4</f>
        <v>3</v>
      </c>
      <c r="B29" s="16" t="str">
        <f>Catalog!D4</f>
        <v>Rabindra Rachanabali</v>
      </c>
      <c r="C29" s="17" t="str">
        <f>IF(Catalog!D4="","",IF(ISBLANK(Catalog!F4),"Missing Creator; ","")&amp;IF(ISBLANK(Catalog!K4),"Missing Type; ","")&amp;IF(ISBLANK(Catalog!L4),"Missing Genre; ","")&amp;IF(ISBLANK(Catalog!W4),"Missing Location Type; ","")&amp;IF(ISBLANK(Catalog!X4),"Missing Location Identifier; ","")&amp;IF(AND(Catalog!S4&lt;&gt;"",COUNTIF(Catalog!$S$2:$S$501,Catalog!S4)&gt;1),"Duplicate ISBN; ","")&amp;IF(AND(Catalog!B4&lt;&gt;"",COUNTIF(Catalog!$B$2:$B$501,Catalog!B4)&gt;1),"Duplicate Accession; ",""))</f>
        <v/>
      </c>
    </row>
    <row r="30" spans="1:3" x14ac:dyDescent="0.25">
      <c r="A30" s="16">
        <f>Catalog!A5</f>
        <v>4</v>
      </c>
      <c r="B30" s="16" t="str">
        <f>Catalog!D5</f>
        <v>Rabindra Rachanabali</v>
      </c>
      <c r="C30" s="17" t="str">
        <f>IF(Catalog!D5="","",IF(ISBLANK(Catalog!F5),"Missing Creator; ","")&amp;IF(ISBLANK(Catalog!K5),"Missing Type; ","")&amp;IF(ISBLANK(Catalog!L5),"Missing Genre; ","")&amp;IF(ISBLANK(Catalog!W5),"Missing Location Type; ","")&amp;IF(ISBLANK(Catalog!X5),"Missing Location Identifier; ","")&amp;IF(AND(Catalog!S5&lt;&gt;"",COUNTIF(Catalog!$S$2:$S$501,Catalog!S5)&gt;1),"Duplicate ISBN; ","")&amp;IF(AND(Catalog!B5&lt;&gt;"",COUNTIF(Catalog!$B$2:$B$501,Catalog!B5)&gt;1),"Duplicate Accession; ",""))</f>
        <v/>
      </c>
    </row>
    <row r="31" spans="1:3" x14ac:dyDescent="0.25">
      <c r="A31" s="16">
        <f>Catalog!A6</f>
        <v>5</v>
      </c>
      <c r="B31" s="16" t="str">
        <f>Catalog!D6</f>
        <v>Rabindra Rachanabali</v>
      </c>
      <c r="C31" s="17" t="str">
        <f>IF(Catalog!D6="","",IF(ISBLANK(Catalog!F6),"Missing Creator; ","")&amp;IF(ISBLANK(Catalog!K6),"Missing Type; ","")&amp;IF(ISBLANK(Catalog!L6),"Missing Genre; ","")&amp;IF(ISBLANK(Catalog!W6),"Missing Location Type; ","")&amp;IF(ISBLANK(Catalog!X6),"Missing Location Identifier; ","")&amp;IF(AND(Catalog!S6&lt;&gt;"",COUNTIF(Catalog!$S$2:$S$501,Catalog!S6)&gt;1),"Duplicate ISBN; ","")&amp;IF(AND(Catalog!B6&lt;&gt;"",COUNTIF(Catalog!$B$2:$B$501,Catalog!B6)&gt;1),"Duplicate Accession; ",""))</f>
        <v/>
      </c>
    </row>
    <row r="32" spans="1:3" x14ac:dyDescent="0.25">
      <c r="A32" s="16">
        <f>Catalog!A7</f>
        <v>6</v>
      </c>
      <c r="B32" s="16" t="str">
        <f>Catalog!D7</f>
        <v>Rabindra Rachanabali</v>
      </c>
      <c r="C32" s="17" t="str">
        <f>IF(Catalog!D7="","",IF(ISBLANK(Catalog!F7),"Missing Creator; ","")&amp;IF(ISBLANK(Catalog!K7),"Missing Type; ","")&amp;IF(ISBLANK(Catalog!L7),"Missing Genre; ","")&amp;IF(ISBLANK(Catalog!W7),"Missing Location Type; ","")&amp;IF(ISBLANK(Catalog!X7),"Missing Location Identifier; ","")&amp;IF(AND(Catalog!S7&lt;&gt;"",COUNTIF(Catalog!$S$2:$S$501,Catalog!S7)&gt;1),"Duplicate ISBN; ","")&amp;IF(AND(Catalog!B7&lt;&gt;"",COUNTIF(Catalog!$B$2:$B$501,Catalog!B7)&gt;1),"Duplicate Accession; ",""))</f>
        <v/>
      </c>
    </row>
    <row r="33" spans="1:3" x14ac:dyDescent="0.25">
      <c r="A33" s="16">
        <f>Catalog!A8</f>
        <v>7</v>
      </c>
      <c r="B33" s="16" t="str">
        <f>Catalog!D8</f>
        <v>Rabindra Rachanabali</v>
      </c>
      <c r="C33" s="17" t="str">
        <f>IF(Catalog!D8="","",IF(ISBLANK(Catalog!F8),"Missing Creator; ","")&amp;IF(ISBLANK(Catalog!K8),"Missing Type; ","")&amp;IF(ISBLANK(Catalog!L8),"Missing Genre; ","")&amp;IF(ISBLANK(Catalog!W8),"Missing Location Type; ","")&amp;IF(ISBLANK(Catalog!X8),"Missing Location Identifier; ","")&amp;IF(AND(Catalog!S8&lt;&gt;"",COUNTIF(Catalog!$S$2:$S$501,Catalog!S8)&gt;1),"Duplicate ISBN; ","")&amp;IF(AND(Catalog!B8&lt;&gt;"",COUNTIF(Catalog!$B$2:$B$501,Catalog!B8)&gt;1),"Duplicate Accession; ",""))</f>
        <v/>
      </c>
    </row>
    <row r="34" spans="1:3" x14ac:dyDescent="0.25">
      <c r="A34" s="16">
        <f>Catalog!A9</f>
        <v>8</v>
      </c>
      <c r="B34" s="16" t="str">
        <f>Catalog!D9</f>
        <v>Rabindra Rachanabali</v>
      </c>
      <c r="C34" s="17" t="str">
        <f>IF(Catalog!D9="","",IF(ISBLANK(Catalog!F9),"Missing Creator; ","")&amp;IF(ISBLANK(Catalog!K9),"Missing Type; ","")&amp;IF(ISBLANK(Catalog!L9),"Missing Genre; ","")&amp;IF(ISBLANK(Catalog!W9),"Missing Location Type; ","")&amp;IF(ISBLANK(Catalog!X9),"Missing Location Identifier; ","")&amp;IF(AND(Catalog!S9&lt;&gt;"",COUNTIF(Catalog!$S$2:$S$501,Catalog!S9)&gt;1),"Duplicate ISBN; ","")&amp;IF(AND(Catalog!B9&lt;&gt;"",COUNTIF(Catalog!$B$2:$B$501,Catalog!B9)&gt;1),"Duplicate Accession; ",""))</f>
        <v/>
      </c>
    </row>
    <row r="35" spans="1:3" x14ac:dyDescent="0.25">
      <c r="A35" s="16">
        <f>Catalog!A10</f>
        <v>9</v>
      </c>
      <c r="B35" s="16" t="str">
        <f>Catalog!D10</f>
        <v>Rabindra Rachanabali</v>
      </c>
      <c r="C35" s="17" t="str">
        <f>IF(Catalog!D10="","",IF(ISBLANK(Catalog!F10),"Missing Creator; ","")&amp;IF(ISBLANK(Catalog!K10),"Missing Type; ","")&amp;IF(ISBLANK(Catalog!L10),"Missing Genre; ","")&amp;IF(ISBLANK(Catalog!W10),"Missing Location Type; ","")&amp;IF(ISBLANK(Catalog!X10),"Missing Location Identifier; ","")&amp;IF(AND(Catalog!S10&lt;&gt;"",COUNTIF(Catalog!$S$2:$S$501,Catalog!S10)&gt;1),"Duplicate ISBN; ","")&amp;IF(AND(Catalog!B10&lt;&gt;"",COUNTIF(Catalog!$B$2:$B$501,Catalog!B10)&gt;1),"Duplicate Accession; ",""))</f>
        <v/>
      </c>
    </row>
    <row r="36" spans="1:3" x14ac:dyDescent="0.25">
      <c r="A36" s="16">
        <f>Catalog!A11</f>
        <v>10</v>
      </c>
      <c r="B36" s="16" t="str">
        <f>Catalog!D11</f>
        <v>Rabindra Rachanabali</v>
      </c>
      <c r="C36" s="17" t="str">
        <f>IF(Catalog!D11="","",IF(ISBLANK(Catalog!F11),"Missing Creator; ","")&amp;IF(ISBLANK(Catalog!K11),"Missing Type; ","")&amp;IF(ISBLANK(Catalog!L11),"Missing Genre; ","")&amp;IF(ISBLANK(Catalog!W11),"Missing Location Type; ","")&amp;IF(ISBLANK(Catalog!X11),"Missing Location Identifier; ","")&amp;IF(AND(Catalog!S11&lt;&gt;"",COUNTIF(Catalog!$S$2:$S$501,Catalog!S11)&gt;1),"Duplicate ISBN; ","")&amp;IF(AND(Catalog!B11&lt;&gt;"",COUNTIF(Catalog!$B$2:$B$501,Catalog!B11)&gt;1),"Duplicate Accession; ",""))</f>
        <v/>
      </c>
    </row>
    <row r="37" spans="1:3" x14ac:dyDescent="0.25">
      <c r="A37" s="16">
        <f>Catalog!A12</f>
        <v>11</v>
      </c>
      <c r="B37" s="16" t="str">
        <f>Catalog!D12</f>
        <v>Rabindra Rachanabali</v>
      </c>
      <c r="C37" s="17" t="str">
        <f>IF(Catalog!D12="","",IF(ISBLANK(Catalog!F12),"Missing Creator; ","")&amp;IF(ISBLANK(Catalog!K12),"Missing Type; ","")&amp;IF(ISBLANK(Catalog!L12),"Missing Genre; ","")&amp;IF(ISBLANK(Catalog!W12),"Missing Location Type; ","")&amp;IF(ISBLANK(Catalog!X12),"Missing Location Identifier; ","")&amp;IF(AND(Catalog!S12&lt;&gt;"",COUNTIF(Catalog!$S$2:$S$501,Catalog!S12)&gt;1),"Duplicate ISBN; ","")&amp;IF(AND(Catalog!B12&lt;&gt;"",COUNTIF(Catalog!$B$2:$B$501,Catalog!B12)&gt;1),"Duplicate Accession; ",""))</f>
        <v/>
      </c>
    </row>
    <row r="38" spans="1:3" x14ac:dyDescent="0.25">
      <c r="A38" s="16">
        <f>Catalog!A13</f>
        <v>12</v>
      </c>
      <c r="B38" s="16" t="str">
        <f>Catalog!D13</f>
        <v>Rabindra Rachanabali</v>
      </c>
      <c r="C38" s="17" t="str">
        <f>IF(Catalog!D13="","",IF(ISBLANK(Catalog!F13),"Missing Creator; ","")&amp;IF(ISBLANK(Catalog!K13),"Missing Type; ","")&amp;IF(ISBLANK(Catalog!L13),"Missing Genre; ","")&amp;IF(ISBLANK(Catalog!W13),"Missing Location Type; ","")&amp;IF(ISBLANK(Catalog!X13),"Missing Location Identifier; ","")&amp;IF(AND(Catalog!S13&lt;&gt;"",COUNTIF(Catalog!$S$2:$S$501,Catalog!S13)&gt;1),"Duplicate ISBN; ","")&amp;IF(AND(Catalog!B13&lt;&gt;"",COUNTIF(Catalog!$B$2:$B$501,Catalog!B13)&gt;1),"Duplicate Accession; ",""))</f>
        <v/>
      </c>
    </row>
    <row r="39" spans="1:3" x14ac:dyDescent="0.25">
      <c r="A39" s="16">
        <f>Catalog!A14</f>
        <v>13</v>
      </c>
      <c r="B39" s="16" t="str">
        <f>Catalog!D14</f>
        <v>Rabindra Rachanabali</v>
      </c>
      <c r="C39" s="17" t="str">
        <f>IF(Catalog!D14="","",IF(ISBLANK(Catalog!F14),"Missing Creator; ","")&amp;IF(ISBLANK(Catalog!K14),"Missing Type; ","")&amp;IF(ISBLANK(Catalog!L14),"Missing Genre; ","")&amp;IF(ISBLANK(Catalog!W14),"Missing Location Type; ","")&amp;IF(ISBLANK(Catalog!X14),"Missing Location Identifier; ","")&amp;IF(AND(Catalog!S14&lt;&gt;"",COUNTIF(Catalog!$S$2:$S$501,Catalog!S14)&gt;1),"Duplicate ISBN; ","")&amp;IF(AND(Catalog!B14&lt;&gt;"",COUNTIF(Catalog!$B$2:$B$501,Catalog!B14)&gt;1),"Duplicate Accession; ",""))</f>
        <v/>
      </c>
    </row>
    <row r="40" spans="1:3" x14ac:dyDescent="0.25">
      <c r="A40" s="16">
        <f>Catalog!A15</f>
        <v>14</v>
      </c>
      <c r="B40" s="16" t="str">
        <f>Catalog!D15</f>
        <v>Rabindra Rachanabali</v>
      </c>
      <c r="C40" s="17" t="str">
        <f>IF(Catalog!D15="","",IF(ISBLANK(Catalog!F15),"Missing Creator; ","")&amp;IF(ISBLANK(Catalog!K15),"Missing Type; ","")&amp;IF(ISBLANK(Catalog!L15),"Missing Genre; ","")&amp;IF(ISBLANK(Catalog!W15),"Missing Location Type; ","")&amp;IF(ISBLANK(Catalog!X15),"Missing Location Identifier; ","")&amp;IF(AND(Catalog!S15&lt;&gt;"",COUNTIF(Catalog!$S$2:$S$501,Catalog!S15)&gt;1),"Duplicate ISBN; ","")&amp;IF(AND(Catalog!B15&lt;&gt;"",COUNTIF(Catalog!$B$2:$B$501,Catalog!B15)&gt;1),"Duplicate Accession; ",""))</f>
        <v/>
      </c>
    </row>
    <row r="41" spans="1:3" x14ac:dyDescent="0.25">
      <c r="A41" s="16">
        <f>Catalog!A16</f>
        <v>15</v>
      </c>
      <c r="B41" s="16" t="str">
        <f>Catalog!D16</f>
        <v>Rabindra Rachanabali</v>
      </c>
      <c r="C41" s="17" t="str">
        <f>IF(Catalog!D16="","",IF(ISBLANK(Catalog!F16),"Missing Creator; ","")&amp;IF(ISBLANK(Catalog!K16),"Missing Type; ","")&amp;IF(ISBLANK(Catalog!L16),"Missing Genre; ","")&amp;IF(ISBLANK(Catalog!W16),"Missing Location Type; ","")&amp;IF(ISBLANK(Catalog!X16),"Missing Location Identifier; ","")&amp;IF(AND(Catalog!S16&lt;&gt;"",COUNTIF(Catalog!$S$2:$S$501,Catalog!S16)&gt;1),"Duplicate ISBN; ","")&amp;IF(AND(Catalog!B16&lt;&gt;"",COUNTIF(Catalog!$B$2:$B$501,Catalog!B16)&gt;1),"Duplicate Accession; ",""))</f>
        <v/>
      </c>
    </row>
    <row r="42" spans="1:3" x14ac:dyDescent="0.25">
      <c r="A42" s="16">
        <f>Catalog!A17</f>
        <v>16</v>
      </c>
      <c r="B42" s="16" t="str">
        <f>Catalog!D17</f>
        <v>Rabindra Rachanabali</v>
      </c>
      <c r="C42" s="17" t="str">
        <f>IF(Catalog!D17="","",IF(ISBLANK(Catalog!F17),"Missing Creator; ","")&amp;IF(ISBLANK(Catalog!K17),"Missing Type; ","")&amp;IF(ISBLANK(Catalog!L17),"Missing Genre; ","")&amp;IF(ISBLANK(Catalog!W17),"Missing Location Type; ","")&amp;IF(ISBLANK(Catalog!X17),"Missing Location Identifier; ","")&amp;IF(AND(Catalog!S17&lt;&gt;"",COUNTIF(Catalog!$S$2:$S$501,Catalog!S17)&gt;1),"Duplicate ISBN; ","")&amp;IF(AND(Catalog!B17&lt;&gt;"",COUNTIF(Catalog!$B$2:$B$501,Catalog!B17)&gt;1),"Duplicate Accession; ",""))</f>
        <v/>
      </c>
    </row>
    <row r="43" spans="1:3" x14ac:dyDescent="0.25">
      <c r="A43" s="16">
        <f>Catalog!A18</f>
        <v>17</v>
      </c>
      <c r="B43" s="16" t="str">
        <f>Catalog!D18</f>
        <v>Rabindra Rachanabali</v>
      </c>
      <c r="C43" s="17" t="str">
        <f>IF(Catalog!D18="","",IF(ISBLANK(Catalog!F18),"Missing Creator; ","")&amp;IF(ISBLANK(Catalog!K18),"Missing Type; ","")&amp;IF(ISBLANK(Catalog!L18),"Missing Genre; ","")&amp;IF(ISBLANK(Catalog!W18),"Missing Location Type; ","")&amp;IF(ISBLANK(Catalog!X18),"Missing Location Identifier; ","")&amp;IF(AND(Catalog!S18&lt;&gt;"",COUNTIF(Catalog!$S$2:$S$501,Catalog!S18)&gt;1),"Duplicate ISBN; ","")&amp;IF(AND(Catalog!B18&lt;&gt;"",COUNTIF(Catalog!$B$2:$B$501,Catalog!B18)&gt;1),"Duplicate Accession; ",""))</f>
        <v/>
      </c>
    </row>
    <row r="44" spans="1:3" x14ac:dyDescent="0.25">
      <c r="A44" s="16">
        <f>Catalog!A19</f>
        <v>18</v>
      </c>
      <c r="B44" s="16" t="str">
        <f>Catalog!D19</f>
        <v>Rabindra Rachanabali</v>
      </c>
      <c r="C44" s="17" t="str">
        <f>IF(Catalog!D19="","",IF(ISBLANK(Catalog!F19),"Missing Creator; ","")&amp;IF(ISBLANK(Catalog!K19),"Missing Type; ","")&amp;IF(ISBLANK(Catalog!L19),"Missing Genre; ","")&amp;IF(ISBLANK(Catalog!W19),"Missing Location Type; ","")&amp;IF(ISBLANK(Catalog!X19),"Missing Location Identifier; ","")&amp;IF(AND(Catalog!S19&lt;&gt;"",COUNTIF(Catalog!$S$2:$S$501,Catalog!S19)&gt;1),"Duplicate ISBN; ","")&amp;IF(AND(Catalog!B19&lt;&gt;"",COUNTIF(Catalog!$B$2:$B$501,Catalog!B19)&gt;1),"Duplicate Accession; ",""))</f>
        <v/>
      </c>
    </row>
    <row r="45" spans="1:3" x14ac:dyDescent="0.25">
      <c r="A45" s="16">
        <f>Catalog!A20</f>
        <v>19</v>
      </c>
      <c r="B45" s="16" t="str">
        <f>Catalog!D20</f>
        <v>নীলকণ্ঠ পাখির খোঁজে</v>
      </c>
      <c r="C45" s="17" t="str">
        <f>IF(Catalog!D20="","",IF(ISBLANK(Catalog!F20),"Missing Creator; ","")&amp;IF(ISBLANK(Catalog!K20),"Missing Type; ","")&amp;IF(ISBLANK(Catalog!L20),"Missing Genre; ","")&amp;IF(ISBLANK(Catalog!W20),"Missing Location Type; ","")&amp;IF(ISBLANK(Catalog!X20),"Missing Location Identifier; ","")&amp;IF(AND(Catalog!S20&lt;&gt;"",COUNTIF(Catalog!$S$2:$S$501,Catalog!S20)&gt;1),"Duplicate ISBN; ","")&amp;IF(AND(Catalog!B20&lt;&gt;"",COUNTIF(Catalog!$B$2:$B$501,Catalog!B20)&gt;1),"Duplicate Accession; ",""))</f>
        <v/>
      </c>
    </row>
    <row r="46" spans="1:3" x14ac:dyDescent="0.25">
      <c r="A46" s="16">
        <f>Catalog!A21</f>
        <v>20</v>
      </c>
      <c r="B46" s="16" t="str">
        <f>Catalog!D21</f>
        <v>Desh</v>
      </c>
      <c r="C46" s="17" t="str">
        <f>IF(Catalog!D21="","",IF(ISBLANK(Catalog!F21),"Missing Creator; ","")&amp;IF(ISBLANK(Catalog!K21),"Missing Type; ","")&amp;IF(ISBLANK(Catalog!L21),"Missing Genre; ","")&amp;IF(ISBLANK(Catalog!W21),"Missing Location Type; ","")&amp;IF(ISBLANK(Catalog!X21),"Missing Location Identifier; ","")&amp;IF(AND(Catalog!S21&lt;&gt;"",COUNTIF(Catalog!$S$2:$S$501,Catalog!S21)&gt;1),"Duplicate ISBN; ","")&amp;IF(AND(Catalog!B21&lt;&gt;"",COUNTIF(Catalog!$B$2:$B$501,Catalog!B21)&gt;1),"Duplicate Accession; ",""))</f>
        <v xml:space="preserve">Missing Creator; </v>
      </c>
    </row>
    <row r="47" spans="1:3" x14ac:dyDescent="0.25">
      <c r="A47" s="16" t="str">
        <f>Catalog!A22</f>
        <v/>
      </c>
      <c r="B47" s="16">
        <f>Catalog!D22</f>
        <v>0</v>
      </c>
      <c r="C47" s="17" t="str">
        <f>IF(Catalog!D22="","",IF(ISBLANK(Catalog!F22),"Missing Creator; ","")&amp;IF(ISBLANK(Catalog!K22),"Missing Type; ","")&amp;IF(ISBLANK(Catalog!L22),"Missing Genre; ","")&amp;IF(ISBLANK(Catalog!W22),"Missing Location Type; ","")&amp;IF(ISBLANK(Catalog!X22),"Missing Location Identifier; ","")&amp;IF(AND(Catalog!S22&lt;&gt;"",COUNTIF(Catalog!$S$2:$S$501,Catalog!S22)&gt;1),"Duplicate ISBN; ","")&amp;IF(AND(Catalog!B22&lt;&gt;"",COUNTIF(Catalog!$B$2:$B$501,Catalog!B22)&gt;1),"Duplicate Accession; ",""))</f>
        <v/>
      </c>
    </row>
    <row r="48" spans="1:3" x14ac:dyDescent="0.25">
      <c r="A48" s="16" t="str">
        <f>Catalog!A23</f>
        <v/>
      </c>
      <c r="B48" s="16">
        <f>Catalog!D23</f>
        <v>0</v>
      </c>
      <c r="C48" s="17" t="str">
        <f>IF(Catalog!D23="","",IF(ISBLANK(Catalog!F23),"Missing Creator; ","")&amp;IF(ISBLANK(Catalog!K23),"Missing Type; ","")&amp;IF(ISBLANK(Catalog!L23),"Missing Genre; ","")&amp;IF(ISBLANK(Catalog!W23),"Missing Location Type; ","")&amp;IF(ISBLANK(Catalog!X23),"Missing Location Identifier; ","")&amp;IF(AND(Catalog!S23&lt;&gt;"",COUNTIF(Catalog!$S$2:$S$501,Catalog!S23)&gt;1),"Duplicate ISBN; ","")&amp;IF(AND(Catalog!B23&lt;&gt;"",COUNTIF(Catalog!$B$2:$B$501,Catalog!B23)&gt;1),"Duplicate Accession; ",""))</f>
        <v/>
      </c>
    </row>
    <row r="49" spans="1:3" x14ac:dyDescent="0.25">
      <c r="A49" s="16" t="str">
        <f>Catalog!A24</f>
        <v/>
      </c>
      <c r="B49" s="16">
        <f>Catalog!D24</f>
        <v>0</v>
      </c>
      <c r="C49" s="17" t="str">
        <f>IF(Catalog!D24="","",IF(ISBLANK(Catalog!F24),"Missing Creator; ","")&amp;IF(ISBLANK(Catalog!K24),"Missing Type; ","")&amp;IF(ISBLANK(Catalog!L24),"Missing Genre; ","")&amp;IF(ISBLANK(Catalog!W24),"Missing Location Type; ","")&amp;IF(ISBLANK(Catalog!X24),"Missing Location Identifier; ","")&amp;IF(AND(Catalog!S24&lt;&gt;"",COUNTIF(Catalog!$S$2:$S$501,Catalog!S24)&gt;1),"Duplicate ISBN; ","")&amp;IF(AND(Catalog!B24&lt;&gt;"",COUNTIF(Catalog!$B$2:$B$501,Catalog!B24)&gt;1),"Duplicate Accession; ",""))</f>
        <v/>
      </c>
    </row>
    <row r="50" spans="1:3" x14ac:dyDescent="0.25">
      <c r="A50" s="16" t="str">
        <f>Catalog!A25</f>
        <v/>
      </c>
      <c r="B50" s="16">
        <f>Catalog!D25</f>
        <v>0</v>
      </c>
      <c r="C50" s="17" t="str">
        <f>IF(Catalog!D25="","",IF(ISBLANK(Catalog!F25),"Missing Creator; ","")&amp;IF(ISBLANK(Catalog!K25),"Missing Type; ","")&amp;IF(ISBLANK(Catalog!L25),"Missing Genre; ","")&amp;IF(ISBLANK(Catalog!W25),"Missing Location Type; ","")&amp;IF(ISBLANK(Catalog!X25),"Missing Location Identifier; ","")&amp;IF(AND(Catalog!S25&lt;&gt;"",COUNTIF(Catalog!$S$2:$S$501,Catalog!S25)&gt;1),"Duplicate ISBN; ","")&amp;IF(AND(Catalog!B25&lt;&gt;"",COUNTIF(Catalog!$B$2:$B$501,Catalog!B25)&gt;1),"Duplicate Accession; ",""))</f>
        <v/>
      </c>
    </row>
    <row r="51" spans="1:3" x14ac:dyDescent="0.25">
      <c r="A51" s="16" t="str">
        <f>Catalog!A26</f>
        <v/>
      </c>
      <c r="B51" s="16">
        <f>Catalog!D26</f>
        <v>0</v>
      </c>
      <c r="C51" s="17" t="str">
        <f>IF(Catalog!D26="","",IF(ISBLANK(Catalog!F26),"Missing Creator; ","")&amp;IF(ISBLANK(Catalog!K26),"Missing Type; ","")&amp;IF(ISBLANK(Catalog!L26),"Missing Genre; ","")&amp;IF(ISBLANK(Catalog!W26),"Missing Location Type; ","")&amp;IF(ISBLANK(Catalog!X26),"Missing Location Identifier; ","")&amp;IF(AND(Catalog!S26&lt;&gt;"",COUNTIF(Catalog!$S$2:$S$501,Catalog!S26)&gt;1),"Duplicate ISBN; ","")&amp;IF(AND(Catalog!B26&lt;&gt;"",COUNTIF(Catalog!$B$2:$B$501,Catalog!B26)&gt;1),"Duplicate Accession; ",""))</f>
        <v/>
      </c>
    </row>
    <row r="52" spans="1:3" x14ac:dyDescent="0.25">
      <c r="A52" s="16" t="str">
        <f>Catalog!A27</f>
        <v/>
      </c>
      <c r="B52" s="16">
        <f>Catalog!D27</f>
        <v>0</v>
      </c>
      <c r="C52" s="17" t="str">
        <f>IF(Catalog!D27="","",IF(ISBLANK(Catalog!F27),"Missing Creator; ","")&amp;IF(ISBLANK(Catalog!K27),"Missing Type; ","")&amp;IF(ISBLANK(Catalog!L27),"Missing Genre; ","")&amp;IF(ISBLANK(Catalog!W27),"Missing Location Type; ","")&amp;IF(ISBLANK(Catalog!X27),"Missing Location Identifier; ","")&amp;IF(AND(Catalog!S27&lt;&gt;"",COUNTIF(Catalog!$S$2:$S$501,Catalog!S27)&gt;1),"Duplicate ISBN; ","")&amp;IF(AND(Catalog!B27&lt;&gt;"",COUNTIF(Catalog!$B$2:$B$501,Catalog!B27)&gt;1),"Duplicate Accession; ",""))</f>
        <v/>
      </c>
    </row>
    <row r="53" spans="1:3" x14ac:dyDescent="0.25">
      <c r="A53" s="16" t="str">
        <f>Catalog!A28</f>
        <v/>
      </c>
      <c r="B53" s="16">
        <f>Catalog!D28</f>
        <v>0</v>
      </c>
      <c r="C53" s="17" t="str">
        <f>IF(Catalog!D28="","",IF(ISBLANK(Catalog!F28),"Missing Creator; ","")&amp;IF(ISBLANK(Catalog!K28),"Missing Type; ","")&amp;IF(ISBLANK(Catalog!L28),"Missing Genre; ","")&amp;IF(ISBLANK(Catalog!W28),"Missing Location Type; ","")&amp;IF(ISBLANK(Catalog!X28),"Missing Location Identifier; ","")&amp;IF(AND(Catalog!S28&lt;&gt;"",COUNTIF(Catalog!$S$2:$S$501,Catalog!S28)&gt;1),"Duplicate ISBN; ","")&amp;IF(AND(Catalog!B28&lt;&gt;"",COUNTIF(Catalog!$B$2:$B$501,Catalog!B28)&gt;1),"Duplicate Accession; ",""))</f>
        <v/>
      </c>
    </row>
    <row r="54" spans="1:3" x14ac:dyDescent="0.25">
      <c r="A54" s="16" t="str">
        <f>Catalog!A29</f>
        <v/>
      </c>
      <c r="B54" s="16">
        <f>Catalog!D29</f>
        <v>0</v>
      </c>
      <c r="C54" s="17" t="str">
        <f>IF(Catalog!D29="","",IF(ISBLANK(Catalog!F29),"Missing Creator; ","")&amp;IF(ISBLANK(Catalog!K29),"Missing Type; ","")&amp;IF(ISBLANK(Catalog!L29),"Missing Genre; ","")&amp;IF(ISBLANK(Catalog!W29),"Missing Location Type; ","")&amp;IF(ISBLANK(Catalog!X29),"Missing Location Identifier; ","")&amp;IF(AND(Catalog!S29&lt;&gt;"",COUNTIF(Catalog!$S$2:$S$501,Catalog!S29)&gt;1),"Duplicate ISBN; ","")&amp;IF(AND(Catalog!B29&lt;&gt;"",COUNTIF(Catalog!$B$2:$B$501,Catalog!B29)&gt;1),"Duplicate Accession; ",""))</f>
        <v/>
      </c>
    </row>
    <row r="55" spans="1:3" x14ac:dyDescent="0.25">
      <c r="A55" s="16" t="str">
        <f>Catalog!A30</f>
        <v/>
      </c>
      <c r="B55" s="16">
        <f>Catalog!D30</f>
        <v>0</v>
      </c>
      <c r="C55" s="17" t="str">
        <f>IF(Catalog!D30="","",IF(ISBLANK(Catalog!F30),"Missing Creator; ","")&amp;IF(ISBLANK(Catalog!K30),"Missing Type; ","")&amp;IF(ISBLANK(Catalog!L30),"Missing Genre; ","")&amp;IF(ISBLANK(Catalog!W30),"Missing Location Type; ","")&amp;IF(ISBLANK(Catalog!X30),"Missing Location Identifier; ","")&amp;IF(AND(Catalog!S30&lt;&gt;"",COUNTIF(Catalog!$S$2:$S$501,Catalog!S30)&gt;1),"Duplicate ISBN; ","")&amp;IF(AND(Catalog!B30&lt;&gt;"",COUNTIF(Catalog!$B$2:$B$501,Catalog!B30)&gt;1),"Duplicate Accession; ",""))</f>
        <v/>
      </c>
    </row>
    <row r="56" spans="1:3" x14ac:dyDescent="0.25">
      <c r="A56" s="16" t="str">
        <f>Catalog!A31</f>
        <v/>
      </c>
      <c r="B56" s="16">
        <f>Catalog!D31</f>
        <v>0</v>
      </c>
      <c r="C56" s="17" t="str">
        <f>IF(Catalog!D31="","",IF(ISBLANK(Catalog!F31),"Missing Creator; ","")&amp;IF(ISBLANK(Catalog!K31),"Missing Type; ","")&amp;IF(ISBLANK(Catalog!L31),"Missing Genre; ","")&amp;IF(ISBLANK(Catalog!W31),"Missing Location Type; ","")&amp;IF(ISBLANK(Catalog!X31),"Missing Location Identifier; ","")&amp;IF(AND(Catalog!S31&lt;&gt;"",COUNTIF(Catalog!$S$2:$S$501,Catalog!S31)&gt;1),"Duplicate ISBN; ","")&amp;IF(AND(Catalog!B31&lt;&gt;"",COUNTIF(Catalog!$B$2:$B$501,Catalog!B31)&gt;1),"Duplicate Accession; ",""))</f>
        <v/>
      </c>
    </row>
    <row r="57" spans="1:3" x14ac:dyDescent="0.25">
      <c r="A57" s="16" t="str">
        <f>Catalog!A32</f>
        <v/>
      </c>
      <c r="B57" s="16">
        <f>Catalog!D32</f>
        <v>0</v>
      </c>
      <c r="C57" s="17" t="str">
        <f>IF(Catalog!D32="","",IF(ISBLANK(Catalog!F32),"Missing Creator; ","")&amp;IF(ISBLANK(Catalog!K32),"Missing Type; ","")&amp;IF(ISBLANK(Catalog!L32),"Missing Genre; ","")&amp;IF(ISBLANK(Catalog!W32),"Missing Location Type; ","")&amp;IF(ISBLANK(Catalog!X32),"Missing Location Identifier; ","")&amp;IF(AND(Catalog!S32&lt;&gt;"",COUNTIF(Catalog!$S$2:$S$501,Catalog!S32)&gt;1),"Duplicate ISBN; ","")&amp;IF(AND(Catalog!B32&lt;&gt;"",COUNTIF(Catalog!$B$2:$B$501,Catalog!B32)&gt;1),"Duplicate Accession; ",""))</f>
        <v/>
      </c>
    </row>
    <row r="58" spans="1:3" x14ac:dyDescent="0.25">
      <c r="A58" s="16" t="str">
        <f>Catalog!A33</f>
        <v/>
      </c>
      <c r="B58" s="16">
        <f>Catalog!D33</f>
        <v>0</v>
      </c>
      <c r="C58" s="17" t="str">
        <f>IF(Catalog!D33="","",IF(ISBLANK(Catalog!F33),"Missing Creator; ","")&amp;IF(ISBLANK(Catalog!K33),"Missing Type; ","")&amp;IF(ISBLANK(Catalog!L33),"Missing Genre; ","")&amp;IF(ISBLANK(Catalog!W33),"Missing Location Type; ","")&amp;IF(ISBLANK(Catalog!X33),"Missing Location Identifier; ","")&amp;IF(AND(Catalog!S33&lt;&gt;"",COUNTIF(Catalog!$S$2:$S$501,Catalog!S33)&gt;1),"Duplicate ISBN; ","")&amp;IF(AND(Catalog!B33&lt;&gt;"",COUNTIF(Catalog!$B$2:$B$501,Catalog!B33)&gt;1),"Duplicate Accession; ",""))</f>
        <v/>
      </c>
    </row>
    <row r="59" spans="1:3" x14ac:dyDescent="0.25">
      <c r="A59" s="16" t="str">
        <f>Catalog!A34</f>
        <v/>
      </c>
      <c r="B59" s="16">
        <f>Catalog!D34</f>
        <v>0</v>
      </c>
      <c r="C59" s="17" t="str">
        <f>IF(Catalog!D34="","",IF(ISBLANK(Catalog!F34),"Missing Creator; ","")&amp;IF(ISBLANK(Catalog!K34),"Missing Type; ","")&amp;IF(ISBLANK(Catalog!L34),"Missing Genre; ","")&amp;IF(ISBLANK(Catalog!W34),"Missing Location Type; ","")&amp;IF(ISBLANK(Catalog!X34),"Missing Location Identifier; ","")&amp;IF(AND(Catalog!S34&lt;&gt;"",COUNTIF(Catalog!$S$2:$S$501,Catalog!S34)&gt;1),"Duplicate ISBN; ","")&amp;IF(AND(Catalog!B34&lt;&gt;"",COUNTIF(Catalog!$B$2:$B$501,Catalog!B34)&gt;1),"Duplicate Accession; ",""))</f>
        <v/>
      </c>
    </row>
    <row r="60" spans="1:3" x14ac:dyDescent="0.25">
      <c r="A60" s="16" t="str">
        <f>Catalog!A35</f>
        <v/>
      </c>
      <c r="B60" s="16">
        <f>Catalog!D35</f>
        <v>0</v>
      </c>
      <c r="C60" s="17" t="str">
        <f>IF(Catalog!D35="","",IF(ISBLANK(Catalog!F35),"Missing Creator; ","")&amp;IF(ISBLANK(Catalog!K35),"Missing Type; ","")&amp;IF(ISBLANK(Catalog!L35),"Missing Genre; ","")&amp;IF(ISBLANK(Catalog!W35),"Missing Location Type; ","")&amp;IF(ISBLANK(Catalog!X35),"Missing Location Identifier; ","")&amp;IF(AND(Catalog!S35&lt;&gt;"",COUNTIF(Catalog!$S$2:$S$501,Catalog!S35)&gt;1),"Duplicate ISBN; ","")&amp;IF(AND(Catalog!B35&lt;&gt;"",COUNTIF(Catalog!$B$2:$B$501,Catalog!B35)&gt;1),"Duplicate Accession; ",""))</f>
        <v/>
      </c>
    </row>
    <row r="61" spans="1:3" x14ac:dyDescent="0.25">
      <c r="A61" s="16" t="str">
        <f>Catalog!A36</f>
        <v/>
      </c>
      <c r="B61" s="16">
        <f>Catalog!D36</f>
        <v>0</v>
      </c>
      <c r="C61" s="17" t="str">
        <f>IF(Catalog!D36="","",IF(ISBLANK(Catalog!F36),"Missing Creator; ","")&amp;IF(ISBLANK(Catalog!K36),"Missing Type; ","")&amp;IF(ISBLANK(Catalog!L36),"Missing Genre; ","")&amp;IF(ISBLANK(Catalog!W36),"Missing Location Type; ","")&amp;IF(ISBLANK(Catalog!X36),"Missing Location Identifier; ","")&amp;IF(AND(Catalog!S36&lt;&gt;"",COUNTIF(Catalog!$S$2:$S$501,Catalog!S36)&gt;1),"Duplicate ISBN; ","")&amp;IF(AND(Catalog!B36&lt;&gt;"",COUNTIF(Catalog!$B$2:$B$501,Catalog!B36)&gt;1),"Duplicate Accession; ",""))</f>
        <v/>
      </c>
    </row>
    <row r="62" spans="1:3" x14ac:dyDescent="0.25">
      <c r="A62" s="16" t="str">
        <f>Catalog!A37</f>
        <v/>
      </c>
      <c r="B62" s="16">
        <f>Catalog!D37</f>
        <v>0</v>
      </c>
      <c r="C62" s="17" t="str">
        <f>IF(Catalog!D37="","",IF(ISBLANK(Catalog!F37),"Missing Creator; ","")&amp;IF(ISBLANK(Catalog!K37),"Missing Type; ","")&amp;IF(ISBLANK(Catalog!L37),"Missing Genre; ","")&amp;IF(ISBLANK(Catalog!W37),"Missing Location Type; ","")&amp;IF(ISBLANK(Catalog!X37),"Missing Location Identifier; ","")&amp;IF(AND(Catalog!S37&lt;&gt;"",COUNTIF(Catalog!$S$2:$S$501,Catalog!S37)&gt;1),"Duplicate ISBN; ","")&amp;IF(AND(Catalog!B37&lt;&gt;"",COUNTIF(Catalog!$B$2:$B$501,Catalog!B37)&gt;1),"Duplicate Accession; ",""))</f>
        <v/>
      </c>
    </row>
    <row r="63" spans="1:3" x14ac:dyDescent="0.25">
      <c r="A63" s="16" t="str">
        <f>Catalog!A38</f>
        <v/>
      </c>
      <c r="B63" s="16">
        <f>Catalog!D38</f>
        <v>0</v>
      </c>
      <c r="C63" s="17" t="str">
        <f>IF(Catalog!D38="","",IF(ISBLANK(Catalog!F38),"Missing Creator; ","")&amp;IF(ISBLANK(Catalog!K38),"Missing Type; ","")&amp;IF(ISBLANK(Catalog!L38),"Missing Genre; ","")&amp;IF(ISBLANK(Catalog!W38),"Missing Location Type; ","")&amp;IF(ISBLANK(Catalog!X38),"Missing Location Identifier; ","")&amp;IF(AND(Catalog!S38&lt;&gt;"",COUNTIF(Catalog!$S$2:$S$501,Catalog!S38)&gt;1),"Duplicate ISBN; ","")&amp;IF(AND(Catalog!B38&lt;&gt;"",COUNTIF(Catalog!$B$2:$B$501,Catalog!B38)&gt;1),"Duplicate Accession; ",""))</f>
        <v/>
      </c>
    </row>
    <row r="64" spans="1:3" x14ac:dyDescent="0.25">
      <c r="A64" s="16" t="str">
        <f>Catalog!A39</f>
        <v/>
      </c>
      <c r="B64" s="16">
        <f>Catalog!D39</f>
        <v>0</v>
      </c>
      <c r="C64" s="17" t="str">
        <f>IF(Catalog!D39="","",IF(ISBLANK(Catalog!F39),"Missing Creator; ","")&amp;IF(ISBLANK(Catalog!K39),"Missing Type; ","")&amp;IF(ISBLANK(Catalog!L39),"Missing Genre; ","")&amp;IF(ISBLANK(Catalog!W39),"Missing Location Type; ","")&amp;IF(ISBLANK(Catalog!X39),"Missing Location Identifier; ","")&amp;IF(AND(Catalog!S39&lt;&gt;"",COUNTIF(Catalog!$S$2:$S$501,Catalog!S39)&gt;1),"Duplicate ISBN; ","")&amp;IF(AND(Catalog!B39&lt;&gt;"",COUNTIF(Catalog!$B$2:$B$501,Catalog!B39)&gt;1),"Duplicate Accession; ",""))</f>
        <v/>
      </c>
    </row>
    <row r="65" spans="1:3" x14ac:dyDescent="0.25">
      <c r="A65" s="16" t="str">
        <f>Catalog!A40</f>
        <v/>
      </c>
      <c r="B65" s="16">
        <f>Catalog!D40</f>
        <v>0</v>
      </c>
      <c r="C65" s="17" t="str">
        <f>IF(Catalog!D40="","",IF(ISBLANK(Catalog!F40),"Missing Creator; ","")&amp;IF(ISBLANK(Catalog!K40),"Missing Type; ","")&amp;IF(ISBLANK(Catalog!L40),"Missing Genre; ","")&amp;IF(ISBLANK(Catalog!W40),"Missing Location Type; ","")&amp;IF(ISBLANK(Catalog!X40),"Missing Location Identifier; ","")&amp;IF(AND(Catalog!S40&lt;&gt;"",COUNTIF(Catalog!$S$2:$S$501,Catalog!S40)&gt;1),"Duplicate ISBN; ","")&amp;IF(AND(Catalog!B40&lt;&gt;"",COUNTIF(Catalog!$B$2:$B$501,Catalog!B40)&gt;1),"Duplicate Accession; ",""))</f>
        <v/>
      </c>
    </row>
    <row r="66" spans="1:3" x14ac:dyDescent="0.25">
      <c r="A66" s="16" t="str">
        <f>Catalog!A41</f>
        <v/>
      </c>
      <c r="B66" s="16">
        <f>Catalog!D41</f>
        <v>0</v>
      </c>
      <c r="C66" s="17" t="str">
        <f>IF(Catalog!D41="","",IF(ISBLANK(Catalog!F41),"Missing Creator; ","")&amp;IF(ISBLANK(Catalog!K41),"Missing Type; ","")&amp;IF(ISBLANK(Catalog!L41),"Missing Genre; ","")&amp;IF(ISBLANK(Catalog!W41),"Missing Location Type; ","")&amp;IF(ISBLANK(Catalog!X41),"Missing Location Identifier; ","")&amp;IF(AND(Catalog!S41&lt;&gt;"",COUNTIF(Catalog!$S$2:$S$501,Catalog!S41)&gt;1),"Duplicate ISBN; ","")&amp;IF(AND(Catalog!B41&lt;&gt;"",COUNTIF(Catalog!$B$2:$B$501,Catalog!B41)&gt;1),"Duplicate Accession; ",""))</f>
        <v/>
      </c>
    </row>
    <row r="67" spans="1:3" x14ac:dyDescent="0.25">
      <c r="A67" s="16" t="str">
        <f>Catalog!A42</f>
        <v/>
      </c>
      <c r="B67" s="16">
        <f>Catalog!D42</f>
        <v>0</v>
      </c>
      <c r="C67" s="17" t="str">
        <f>IF(Catalog!D42="","",IF(ISBLANK(Catalog!F42),"Missing Creator; ","")&amp;IF(ISBLANK(Catalog!K42),"Missing Type; ","")&amp;IF(ISBLANK(Catalog!L42),"Missing Genre; ","")&amp;IF(ISBLANK(Catalog!W42),"Missing Location Type; ","")&amp;IF(ISBLANK(Catalog!X42),"Missing Location Identifier; ","")&amp;IF(AND(Catalog!S42&lt;&gt;"",COUNTIF(Catalog!$S$2:$S$501,Catalog!S42)&gt;1),"Duplicate ISBN; ","")&amp;IF(AND(Catalog!B42&lt;&gt;"",COUNTIF(Catalog!$B$2:$B$501,Catalog!B42)&gt;1),"Duplicate Accession; ",""))</f>
        <v/>
      </c>
    </row>
    <row r="68" spans="1:3" x14ac:dyDescent="0.25">
      <c r="A68" s="16" t="str">
        <f>Catalog!A43</f>
        <v/>
      </c>
      <c r="B68" s="16">
        <f>Catalog!D43</f>
        <v>0</v>
      </c>
      <c r="C68" s="17" t="str">
        <f>IF(Catalog!D43="","",IF(ISBLANK(Catalog!F43),"Missing Creator; ","")&amp;IF(ISBLANK(Catalog!K43),"Missing Type; ","")&amp;IF(ISBLANK(Catalog!L43),"Missing Genre; ","")&amp;IF(ISBLANK(Catalog!W43),"Missing Location Type; ","")&amp;IF(ISBLANK(Catalog!X43),"Missing Location Identifier; ","")&amp;IF(AND(Catalog!S43&lt;&gt;"",COUNTIF(Catalog!$S$2:$S$501,Catalog!S43)&gt;1),"Duplicate ISBN; ","")&amp;IF(AND(Catalog!B43&lt;&gt;"",COUNTIF(Catalog!$B$2:$B$501,Catalog!B43)&gt;1),"Duplicate Accession; ",""))</f>
        <v/>
      </c>
    </row>
    <row r="69" spans="1:3" x14ac:dyDescent="0.25">
      <c r="A69" s="16" t="str">
        <f>Catalog!A44</f>
        <v/>
      </c>
      <c r="B69" s="16">
        <f>Catalog!D44</f>
        <v>0</v>
      </c>
      <c r="C69" s="17" t="str">
        <f>IF(Catalog!D44="","",IF(ISBLANK(Catalog!F44),"Missing Creator; ","")&amp;IF(ISBLANK(Catalog!K44),"Missing Type; ","")&amp;IF(ISBLANK(Catalog!L44),"Missing Genre; ","")&amp;IF(ISBLANK(Catalog!W44),"Missing Location Type; ","")&amp;IF(ISBLANK(Catalog!X44),"Missing Location Identifier; ","")&amp;IF(AND(Catalog!S44&lt;&gt;"",COUNTIF(Catalog!$S$2:$S$501,Catalog!S44)&gt;1),"Duplicate ISBN; ","")&amp;IF(AND(Catalog!B44&lt;&gt;"",COUNTIF(Catalog!$B$2:$B$501,Catalog!B44)&gt;1),"Duplicate Accession; ",""))</f>
        <v/>
      </c>
    </row>
    <row r="70" spans="1:3" x14ac:dyDescent="0.25">
      <c r="A70" s="16" t="str">
        <f>Catalog!A45</f>
        <v/>
      </c>
      <c r="B70" s="16">
        <f>Catalog!D45</f>
        <v>0</v>
      </c>
      <c r="C70" s="17" t="str">
        <f>IF(Catalog!D45="","",IF(ISBLANK(Catalog!F45),"Missing Creator; ","")&amp;IF(ISBLANK(Catalog!K45),"Missing Type; ","")&amp;IF(ISBLANK(Catalog!L45),"Missing Genre; ","")&amp;IF(ISBLANK(Catalog!W45),"Missing Location Type; ","")&amp;IF(ISBLANK(Catalog!X45),"Missing Location Identifier; ","")&amp;IF(AND(Catalog!S45&lt;&gt;"",COUNTIF(Catalog!$S$2:$S$501,Catalog!S45)&gt;1),"Duplicate ISBN; ","")&amp;IF(AND(Catalog!B45&lt;&gt;"",COUNTIF(Catalog!$B$2:$B$501,Catalog!B45)&gt;1),"Duplicate Accession; ",""))</f>
        <v/>
      </c>
    </row>
    <row r="71" spans="1:3" x14ac:dyDescent="0.25">
      <c r="A71" s="16" t="str">
        <f>Catalog!A46</f>
        <v/>
      </c>
      <c r="B71" s="16">
        <f>Catalog!D46</f>
        <v>0</v>
      </c>
      <c r="C71" s="17" t="str">
        <f>IF(Catalog!D46="","",IF(ISBLANK(Catalog!F46),"Missing Creator; ","")&amp;IF(ISBLANK(Catalog!K46),"Missing Type; ","")&amp;IF(ISBLANK(Catalog!L46),"Missing Genre; ","")&amp;IF(ISBLANK(Catalog!W46),"Missing Location Type; ","")&amp;IF(ISBLANK(Catalog!X46),"Missing Location Identifier; ","")&amp;IF(AND(Catalog!S46&lt;&gt;"",COUNTIF(Catalog!$S$2:$S$501,Catalog!S46)&gt;1),"Duplicate ISBN; ","")&amp;IF(AND(Catalog!B46&lt;&gt;"",COUNTIF(Catalog!$B$2:$B$501,Catalog!B46)&gt;1),"Duplicate Accession; ",""))</f>
        <v/>
      </c>
    </row>
    <row r="72" spans="1:3" x14ac:dyDescent="0.25">
      <c r="A72" s="16" t="str">
        <f>Catalog!A47</f>
        <v/>
      </c>
      <c r="B72" s="16">
        <f>Catalog!D47</f>
        <v>0</v>
      </c>
      <c r="C72" s="17" t="str">
        <f>IF(Catalog!D47="","",IF(ISBLANK(Catalog!F47),"Missing Creator; ","")&amp;IF(ISBLANK(Catalog!K47),"Missing Type; ","")&amp;IF(ISBLANK(Catalog!L47),"Missing Genre; ","")&amp;IF(ISBLANK(Catalog!W47),"Missing Location Type; ","")&amp;IF(ISBLANK(Catalog!X47),"Missing Location Identifier; ","")&amp;IF(AND(Catalog!S47&lt;&gt;"",COUNTIF(Catalog!$S$2:$S$501,Catalog!S47)&gt;1),"Duplicate ISBN; ","")&amp;IF(AND(Catalog!B47&lt;&gt;"",COUNTIF(Catalog!$B$2:$B$501,Catalog!B47)&gt;1),"Duplicate Accession; ",""))</f>
        <v/>
      </c>
    </row>
    <row r="73" spans="1:3" x14ac:dyDescent="0.25">
      <c r="A73" s="16" t="str">
        <f>Catalog!A48</f>
        <v/>
      </c>
      <c r="B73" s="16">
        <f>Catalog!D48</f>
        <v>0</v>
      </c>
      <c r="C73" s="17" t="str">
        <f>IF(Catalog!D48="","",IF(ISBLANK(Catalog!F48),"Missing Creator; ","")&amp;IF(ISBLANK(Catalog!K48),"Missing Type; ","")&amp;IF(ISBLANK(Catalog!L48),"Missing Genre; ","")&amp;IF(ISBLANK(Catalog!W48),"Missing Location Type; ","")&amp;IF(ISBLANK(Catalog!X48),"Missing Location Identifier; ","")&amp;IF(AND(Catalog!S48&lt;&gt;"",COUNTIF(Catalog!$S$2:$S$501,Catalog!S48)&gt;1),"Duplicate ISBN; ","")&amp;IF(AND(Catalog!B48&lt;&gt;"",COUNTIF(Catalog!$B$2:$B$501,Catalog!B48)&gt;1),"Duplicate Accession; ",""))</f>
        <v/>
      </c>
    </row>
    <row r="74" spans="1:3" x14ac:dyDescent="0.25">
      <c r="A74" s="16" t="str">
        <f>Catalog!A49</f>
        <v/>
      </c>
      <c r="B74" s="16">
        <f>Catalog!D49</f>
        <v>0</v>
      </c>
      <c r="C74" s="17" t="str">
        <f>IF(Catalog!D49="","",IF(ISBLANK(Catalog!F49),"Missing Creator; ","")&amp;IF(ISBLANK(Catalog!K49),"Missing Type; ","")&amp;IF(ISBLANK(Catalog!L49),"Missing Genre; ","")&amp;IF(ISBLANK(Catalog!W49),"Missing Location Type; ","")&amp;IF(ISBLANK(Catalog!X49),"Missing Location Identifier; ","")&amp;IF(AND(Catalog!S49&lt;&gt;"",COUNTIF(Catalog!$S$2:$S$501,Catalog!S49)&gt;1),"Duplicate ISBN; ","")&amp;IF(AND(Catalog!B49&lt;&gt;"",COUNTIF(Catalog!$B$2:$B$501,Catalog!B49)&gt;1),"Duplicate Accession; ",""))</f>
        <v/>
      </c>
    </row>
    <row r="75" spans="1:3" x14ac:dyDescent="0.25">
      <c r="A75" s="16" t="str">
        <f>Catalog!A50</f>
        <v/>
      </c>
      <c r="B75" s="16">
        <f>Catalog!D50</f>
        <v>0</v>
      </c>
      <c r="C75" s="17" t="str">
        <f>IF(Catalog!D50="","",IF(ISBLANK(Catalog!F50),"Missing Creator; ","")&amp;IF(ISBLANK(Catalog!K50),"Missing Type; ","")&amp;IF(ISBLANK(Catalog!L50),"Missing Genre; ","")&amp;IF(ISBLANK(Catalog!W50),"Missing Location Type; ","")&amp;IF(ISBLANK(Catalog!X50),"Missing Location Identifier; ","")&amp;IF(AND(Catalog!S50&lt;&gt;"",COUNTIF(Catalog!$S$2:$S$501,Catalog!S50)&gt;1),"Duplicate ISBN; ","")&amp;IF(AND(Catalog!B50&lt;&gt;"",COUNTIF(Catalog!$B$2:$B$501,Catalog!B50)&gt;1),"Duplicate Accession; ",""))</f>
        <v/>
      </c>
    </row>
    <row r="76" spans="1:3" x14ac:dyDescent="0.25">
      <c r="A76" s="16" t="str">
        <f>Catalog!A51</f>
        <v/>
      </c>
      <c r="B76" s="16">
        <f>Catalog!D51</f>
        <v>0</v>
      </c>
      <c r="C76" s="17" t="str">
        <f>IF(Catalog!D51="","",IF(ISBLANK(Catalog!F51),"Missing Creator; ","")&amp;IF(ISBLANK(Catalog!K51),"Missing Type; ","")&amp;IF(ISBLANK(Catalog!L51),"Missing Genre; ","")&amp;IF(ISBLANK(Catalog!W51),"Missing Location Type; ","")&amp;IF(ISBLANK(Catalog!X51),"Missing Location Identifier; ","")&amp;IF(AND(Catalog!S51&lt;&gt;"",COUNTIF(Catalog!$S$2:$S$501,Catalog!S51)&gt;1),"Duplicate ISBN; ","")&amp;IF(AND(Catalog!B51&lt;&gt;"",COUNTIF(Catalog!$B$2:$B$501,Catalog!B51)&gt;1),"Duplicate Accession; ",""))</f>
        <v/>
      </c>
    </row>
    <row r="77" spans="1:3" x14ac:dyDescent="0.25">
      <c r="A77" s="16" t="str">
        <f>Catalog!A52</f>
        <v/>
      </c>
      <c r="B77" s="16">
        <f>Catalog!D52</f>
        <v>0</v>
      </c>
      <c r="C77" s="17" t="str">
        <f>IF(Catalog!D52="","",IF(ISBLANK(Catalog!F52),"Missing Creator; ","")&amp;IF(ISBLANK(Catalog!K52),"Missing Type; ","")&amp;IF(ISBLANK(Catalog!L52),"Missing Genre; ","")&amp;IF(ISBLANK(Catalog!W52),"Missing Location Type; ","")&amp;IF(ISBLANK(Catalog!X52),"Missing Location Identifier; ","")&amp;IF(AND(Catalog!S52&lt;&gt;"",COUNTIF(Catalog!$S$2:$S$501,Catalog!S52)&gt;1),"Duplicate ISBN; ","")&amp;IF(AND(Catalog!B52&lt;&gt;"",COUNTIF(Catalog!$B$2:$B$501,Catalog!B52)&gt;1),"Duplicate Accession; ",""))</f>
        <v/>
      </c>
    </row>
    <row r="78" spans="1:3" x14ac:dyDescent="0.25">
      <c r="A78" s="16" t="str">
        <f>Catalog!A53</f>
        <v/>
      </c>
      <c r="B78" s="16">
        <f>Catalog!D53</f>
        <v>0</v>
      </c>
      <c r="C78" s="17" t="str">
        <f>IF(Catalog!D53="","",IF(ISBLANK(Catalog!F53),"Missing Creator; ","")&amp;IF(ISBLANK(Catalog!K53),"Missing Type; ","")&amp;IF(ISBLANK(Catalog!L53),"Missing Genre; ","")&amp;IF(ISBLANK(Catalog!W53),"Missing Location Type; ","")&amp;IF(ISBLANK(Catalog!X53),"Missing Location Identifier; ","")&amp;IF(AND(Catalog!S53&lt;&gt;"",COUNTIF(Catalog!$S$2:$S$501,Catalog!S53)&gt;1),"Duplicate ISBN; ","")&amp;IF(AND(Catalog!B53&lt;&gt;"",COUNTIF(Catalog!$B$2:$B$501,Catalog!B53)&gt;1),"Duplicate Accession; ",""))</f>
        <v/>
      </c>
    </row>
    <row r="79" spans="1:3" x14ac:dyDescent="0.25">
      <c r="A79" s="16" t="str">
        <f>Catalog!A54</f>
        <v/>
      </c>
      <c r="B79" s="16">
        <f>Catalog!D54</f>
        <v>0</v>
      </c>
      <c r="C79" s="17" t="str">
        <f>IF(Catalog!D54="","",IF(ISBLANK(Catalog!F54),"Missing Creator; ","")&amp;IF(ISBLANK(Catalog!K54),"Missing Type; ","")&amp;IF(ISBLANK(Catalog!L54),"Missing Genre; ","")&amp;IF(ISBLANK(Catalog!W54),"Missing Location Type; ","")&amp;IF(ISBLANK(Catalog!X54),"Missing Location Identifier; ","")&amp;IF(AND(Catalog!S54&lt;&gt;"",COUNTIF(Catalog!$S$2:$S$501,Catalog!S54)&gt;1),"Duplicate ISBN; ","")&amp;IF(AND(Catalog!B54&lt;&gt;"",COUNTIF(Catalog!$B$2:$B$501,Catalog!B54)&gt;1),"Duplicate Accession; ",""))</f>
        <v/>
      </c>
    </row>
    <row r="80" spans="1:3" x14ac:dyDescent="0.25">
      <c r="A80" s="16" t="str">
        <f>Catalog!A55</f>
        <v/>
      </c>
      <c r="B80" s="16">
        <f>Catalog!D55</f>
        <v>0</v>
      </c>
      <c r="C80" s="17" t="str">
        <f>IF(Catalog!D55="","",IF(ISBLANK(Catalog!F55),"Missing Creator; ","")&amp;IF(ISBLANK(Catalog!K55),"Missing Type; ","")&amp;IF(ISBLANK(Catalog!L55),"Missing Genre; ","")&amp;IF(ISBLANK(Catalog!W55),"Missing Location Type; ","")&amp;IF(ISBLANK(Catalog!X55),"Missing Location Identifier; ","")&amp;IF(AND(Catalog!S55&lt;&gt;"",COUNTIF(Catalog!$S$2:$S$501,Catalog!S55)&gt;1),"Duplicate ISBN; ","")&amp;IF(AND(Catalog!B55&lt;&gt;"",COUNTIF(Catalog!$B$2:$B$501,Catalog!B55)&gt;1),"Duplicate Accession; ",""))</f>
        <v/>
      </c>
    </row>
    <row r="81" spans="1:3" x14ac:dyDescent="0.25">
      <c r="A81" s="16" t="str">
        <f>Catalog!A56</f>
        <v/>
      </c>
      <c r="B81" s="16">
        <f>Catalog!D56</f>
        <v>0</v>
      </c>
      <c r="C81" s="17" t="str">
        <f>IF(Catalog!D56="","",IF(ISBLANK(Catalog!F56),"Missing Creator; ","")&amp;IF(ISBLANK(Catalog!K56),"Missing Type; ","")&amp;IF(ISBLANK(Catalog!L56),"Missing Genre; ","")&amp;IF(ISBLANK(Catalog!W56),"Missing Location Type; ","")&amp;IF(ISBLANK(Catalog!X56),"Missing Location Identifier; ","")&amp;IF(AND(Catalog!S56&lt;&gt;"",COUNTIF(Catalog!$S$2:$S$501,Catalog!S56)&gt;1),"Duplicate ISBN; ","")&amp;IF(AND(Catalog!B56&lt;&gt;"",COUNTIF(Catalog!$B$2:$B$501,Catalog!B56)&gt;1),"Duplicate Accession; ",""))</f>
        <v/>
      </c>
    </row>
    <row r="82" spans="1:3" x14ac:dyDescent="0.25">
      <c r="A82" s="16" t="str">
        <f>Catalog!A57</f>
        <v/>
      </c>
      <c r="B82" s="16">
        <f>Catalog!D57</f>
        <v>0</v>
      </c>
      <c r="C82" s="17" t="str">
        <f>IF(Catalog!D57="","",IF(ISBLANK(Catalog!F57),"Missing Creator; ","")&amp;IF(ISBLANK(Catalog!K57),"Missing Type; ","")&amp;IF(ISBLANK(Catalog!L57),"Missing Genre; ","")&amp;IF(ISBLANK(Catalog!W57),"Missing Location Type; ","")&amp;IF(ISBLANK(Catalog!X57),"Missing Location Identifier; ","")&amp;IF(AND(Catalog!S57&lt;&gt;"",COUNTIF(Catalog!$S$2:$S$501,Catalog!S57)&gt;1),"Duplicate ISBN; ","")&amp;IF(AND(Catalog!B57&lt;&gt;"",COUNTIF(Catalog!$B$2:$B$501,Catalog!B57)&gt;1),"Duplicate Accession; ",""))</f>
        <v/>
      </c>
    </row>
    <row r="83" spans="1:3" x14ac:dyDescent="0.25">
      <c r="A83" s="16" t="str">
        <f>Catalog!A58</f>
        <v/>
      </c>
      <c r="B83" s="16">
        <f>Catalog!D58</f>
        <v>0</v>
      </c>
      <c r="C83" s="17" t="str">
        <f>IF(Catalog!D58="","",IF(ISBLANK(Catalog!F58),"Missing Creator; ","")&amp;IF(ISBLANK(Catalog!K58),"Missing Type; ","")&amp;IF(ISBLANK(Catalog!L58),"Missing Genre; ","")&amp;IF(ISBLANK(Catalog!W58),"Missing Location Type; ","")&amp;IF(ISBLANK(Catalog!X58),"Missing Location Identifier; ","")&amp;IF(AND(Catalog!S58&lt;&gt;"",COUNTIF(Catalog!$S$2:$S$501,Catalog!S58)&gt;1),"Duplicate ISBN; ","")&amp;IF(AND(Catalog!B58&lt;&gt;"",COUNTIF(Catalog!$B$2:$B$501,Catalog!B58)&gt;1),"Duplicate Accession; ",""))</f>
        <v/>
      </c>
    </row>
    <row r="84" spans="1:3" x14ac:dyDescent="0.25">
      <c r="A84" s="16" t="str">
        <f>Catalog!A59</f>
        <v/>
      </c>
      <c r="B84" s="16">
        <f>Catalog!D59</f>
        <v>0</v>
      </c>
      <c r="C84" s="17" t="str">
        <f>IF(Catalog!D59="","",IF(ISBLANK(Catalog!F59),"Missing Creator; ","")&amp;IF(ISBLANK(Catalog!K59),"Missing Type; ","")&amp;IF(ISBLANK(Catalog!L59),"Missing Genre; ","")&amp;IF(ISBLANK(Catalog!W59),"Missing Location Type; ","")&amp;IF(ISBLANK(Catalog!X59),"Missing Location Identifier; ","")&amp;IF(AND(Catalog!S59&lt;&gt;"",COUNTIF(Catalog!$S$2:$S$501,Catalog!S59)&gt;1),"Duplicate ISBN; ","")&amp;IF(AND(Catalog!B59&lt;&gt;"",COUNTIF(Catalog!$B$2:$B$501,Catalog!B59)&gt;1),"Duplicate Accession; ",""))</f>
        <v/>
      </c>
    </row>
    <row r="85" spans="1:3" x14ac:dyDescent="0.25">
      <c r="A85" s="16" t="str">
        <f>Catalog!A60</f>
        <v/>
      </c>
      <c r="B85" s="16">
        <f>Catalog!D60</f>
        <v>0</v>
      </c>
      <c r="C85" s="17" t="str">
        <f>IF(Catalog!D60="","",IF(ISBLANK(Catalog!F60),"Missing Creator; ","")&amp;IF(ISBLANK(Catalog!K60),"Missing Type; ","")&amp;IF(ISBLANK(Catalog!L60),"Missing Genre; ","")&amp;IF(ISBLANK(Catalog!W60),"Missing Location Type; ","")&amp;IF(ISBLANK(Catalog!X60),"Missing Location Identifier; ","")&amp;IF(AND(Catalog!S60&lt;&gt;"",COUNTIF(Catalog!$S$2:$S$501,Catalog!S60)&gt;1),"Duplicate ISBN; ","")&amp;IF(AND(Catalog!B60&lt;&gt;"",COUNTIF(Catalog!$B$2:$B$501,Catalog!B60)&gt;1),"Duplicate Accession; ",""))</f>
        <v/>
      </c>
    </row>
    <row r="86" spans="1:3" x14ac:dyDescent="0.25">
      <c r="A86" s="16" t="str">
        <f>Catalog!A61</f>
        <v/>
      </c>
      <c r="B86" s="16">
        <f>Catalog!D61</f>
        <v>0</v>
      </c>
      <c r="C86" s="17" t="str">
        <f>IF(Catalog!D61="","",IF(ISBLANK(Catalog!F61),"Missing Creator; ","")&amp;IF(ISBLANK(Catalog!K61),"Missing Type; ","")&amp;IF(ISBLANK(Catalog!L61),"Missing Genre; ","")&amp;IF(ISBLANK(Catalog!W61),"Missing Location Type; ","")&amp;IF(ISBLANK(Catalog!X61),"Missing Location Identifier; ","")&amp;IF(AND(Catalog!S61&lt;&gt;"",COUNTIF(Catalog!$S$2:$S$501,Catalog!S61)&gt;1),"Duplicate ISBN; ","")&amp;IF(AND(Catalog!B61&lt;&gt;"",COUNTIF(Catalog!$B$2:$B$501,Catalog!B61)&gt;1),"Duplicate Accession; ",""))</f>
        <v/>
      </c>
    </row>
    <row r="87" spans="1:3" x14ac:dyDescent="0.25">
      <c r="A87" s="16" t="str">
        <f>Catalog!A62</f>
        <v/>
      </c>
      <c r="B87" s="16">
        <f>Catalog!D62</f>
        <v>0</v>
      </c>
      <c r="C87" s="17" t="str">
        <f>IF(Catalog!D62="","",IF(ISBLANK(Catalog!F62),"Missing Creator; ","")&amp;IF(ISBLANK(Catalog!K62),"Missing Type; ","")&amp;IF(ISBLANK(Catalog!L62),"Missing Genre; ","")&amp;IF(ISBLANK(Catalog!W62),"Missing Location Type; ","")&amp;IF(ISBLANK(Catalog!X62),"Missing Location Identifier; ","")&amp;IF(AND(Catalog!S62&lt;&gt;"",COUNTIF(Catalog!$S$2:$S$501,Catalog!S62)&gt;1),"Duplicate ISBN; ","")&amp;IF(AND(Catalog!B62&lt;&gt;"",COUNTIF(Catalog!$B$2:$B$501,Catalog!B62)&gt;1),"Duplicate Accession; ",""))</f>
        <v/>
      </c>
    </row>
    <row r="88" spans="1:3" x14ac:dyDescent="0.25">
      <c r="A88" s="16" t="str">
        <f>Catalog!A63</f>
        <v/>
      </c>
      <c r="B88" s="16">
        <f>Catalog!D63</f>
        <v>0</v>
      </c>
      <c r="C88" s="17" t="str">
        <f>IF(Catalog!D63="","",IF(ISBLANK(Catalog!F63),"Missing Creator; ","")&amp;IF(ISBLANK(Catalog!K63),"Missing Type; ","")&amp;IF(ISBLANK(Catalog!L63),"Missing Genre; ","")&amp;IF(ISBLANK(Catalog!W63),"Missing Location Type; ","")&amp;IF(ISBLANK(Catalog!X63),"Missing Location Identifier; ","")&amp;IF(AND(Catalog!S63&lt;&gt;"",COUNTIF(Catalog!$S$2:$S$501,Catalog!S63)&gt;1),"Duplicate ISBN; ","")&amp;IF(AND(Catalog!B63&lt;&gt;"",COUNTIF(Catalog!$B$2:$B$501,Catalog!B63)&gt;1),"Duplicate Accession; ",""))</f>
        <v/>
      </c>
    </row>
    <row r="89" spans="1:3" x14ac:dyDescent="0.25">
      <c r="A89" s="16" t="str">
        <f>Catalog!A64</f>
        <v/>
      </c>
      <c r="B89" s="16">
        <f>Catalog!D64</f>
        <v>0</v>
      </c>
      <c r="C89" s="17" t="str">
        <f>IF(Catalog!D64="","",IF(ISBLANK(Catalog!F64),"Missing Creator; ","")&amp;IF(ISBLANK(Catalog!K64),"Missing Type; ","")&amp;IF(ISBLANK(Catalog!L64),"Missing Genre; ","")&amp;IF(ISBLANK(Catalog!W64),"Missing Location Type; ","")&amp;IF(ISBLANK(Catalog!X64),"Missing Location Identifier; ","")&amp;IF(AND(Catalog!S64&lt;&gt;"",COUNTIF(Catalog!$S$2:$S$501,Catalog!S64)&gt;1),"Duplicate ISBN; ","")&amp;IF(AND(Catalog!B64&lt;&gt;"",COUNTIF(Catalog!$B$2:$B$501,Catalog!B64)&gt;1),"Duplicate Accession; ",""))</f>
        <v/>
      </c>
    </row>
    <row r="90" spans="1:3" x14ac:dyDescent="0.25">
      <c r="A90" s="16" t="str">
        <f>Catalog!A65</f>
        <v/>
      </c>
      <c r="B90" s="16">
        <f>Catalog!D65</f>
        <v>0</v>
      </c>
      <c r="C90" s="17" t="str">
        <f>IF(Catalog!D65="","",IF(ISBLANK(Catalog!F65),"Missing Creator; ","")&amp;IF(ISBLANK(Catalog!K65),"Missing Type; ","")&amp;IF(ISBLANK(Catalog!L65),"Missing Genre; ","")&amp;IF(ISBLANK(Catalog!W65),"Missing Location Type; ","")&amp;IF(ISBLANK(Catalog!X65),"Missing Location Identifier; ","")&amp;IF(AND(Catalog!S65&lt;&gt;"",COUNTIF(Catalog!$S$2:$S$501,Catalog!S65)&gt;1),"Duplicate ISBN; ","")&amp;IF(AND(Catalog!B65&lt;&gt;"",COUNTIF(Catalog!$B$2:$B$501,Catalog!B65)&gt;1),"Duplicate Accession; ",""))</f>
        <v/>
      </c>
    </row>
    <row r="91" spans="1:3" x14ac:dyDescent="0.25">
      <c r="A91" s="16" t="str">
        <f>Catalog!A66</f>
        <v/>
      </c>
      <c r="B91" s="16">
        <f>Catalog!D66</f>
        <v>0</v>
      </c>
      <c r="C91" s="17" t="str">
        <f>IF(Catalog!D66="","",IF(ISBLANK(Catalog!F66),"Missing Creator; ","")&amp;IF(ISBLANK(Catalog!K66),"Missing Type; ","")&amp;IF(ISBLANK(Catalog!L66),"Missing Genre; ","")&amp;IF(ISBLANK(Catalog!W66),"Missing Location Type; ","")&amp;IF(ISBLANK(Catalog!X66),"Missing Location Identifier; ","")&amp;IF(AND(Catalog!S66&lt;&gt;"",COUNTIF(Catalog!$S$2:$S$501,Catalog!S66)&gt;1),"Duplicate ISBN; ","")&amp;IF(AND(Catalog!B66&lt;&gt;"",COUNTIF(Catalog!$B$2:$B$501,Catalog!B66)&gt;1),"Duplicate Accession; ",""))</f>
        <v/>
      </c>
    </row>
    <row r="92" spans="1:3" x14ac:dyDescent="0.25">
      <c r="A92" s="16" t="str">
        <f>Catalog!A67</f>
        <v/>
      </c>
      <c r="B92" s="16">
        <f>Catalog!D67</f>
        <v>0</v>
      </c>
      <c r="C92" s="17" t="str">
        <f>IF(Catalog!D67="","",IF(ISBLANK(Catalog!F67),"Missing Creator; ","")&amp;IF(ISBLANK(Catalog!K67),"Missing Type; ","")&amp;IF(ISBLANK(Catalog!L67),"Missing Genre; ","")&amp;IF(ISBLANK(Catalog!W67),"Missing Location Type; ","")&amp;IF(ISBLANK(Catalog!X67),"Missing Location Identifier; ","")&amp;IF(AND(Catalog!S67&lt;&gt;"",COUNTIF(Catalog!$S$2:$S$501,Catalog!S67)&gt;1),"Duplicate ISBN; ","")&amp;IF(AND(Catalog!B67&lt;&gt;"",COUNTIF(Catalog!$B$2:$B$501,Catalog!B67)&gt;1),"Duplicate Accession; ",""))</f>
        <v/>
      </c>
    </row>
    <row r="93" spans="1:3" x14ac:dyDescent="0.25">
      <c r="A93" s="16" t="str">
        <f>Catalog!A68</f>
        <v/>
      </c>
      <c r="B93" s="16">
        <f>Catalog!D68</f>
        <v>0</v>
      </c>
      <c r="C93" s="17" t="str">
        <f>IF(Catalog!D68="","",IF(ISBLANK(Catalog!F68),"Missing Creator; ","")&amp;IF(ISBLANK(Catalog!K68),"Missing Type; ","")&amp;IF(ISBLANK(Catalog!L68),"Missing Genre; ","")&amp;IF(ISBLANK(Catalog!W68),"Missing Location Type; ","")&amp;IF(ISBLANK(Catalog!X68),"Missing Location Identifier; ","")&amp;IF(AND(Catalog!S68&lt;&gt;"",COUNTIF(Catalog!$S$2:$S$501,Catalog!S68)&gt;1),"Duplicate ISBN; ","")&amp;IF(AND(Catalog!B68&lt;&gt;"",COUNTIF(Catalog!$B$2:$B$501,Catalog!B68)&gt;1),"Duplicate Accession; ",""))</f>
        <v/>
      </c>
    </row>
    <row r="94" spans="1:3" x14ac:dyDescent="0.25">
      <c r="A94" s="16" t="str">
        <f>Catalog!A69</f>
        <v/>
      </c>
      <c r="B94" s="16">
        <f>Catalog!D69</f>
        <v>0</v>
      </c>
      <c r="C94" s="17" t="str">
        <f>IF(Catalog!D69="","",IF(ISBLANK(Catalog!F69),"Missing Creator; ","")&amp;IF(ISBLANK(Catalog!K69),"Missing Type; ","")&amp;IF(ISBLANK(Catalog!L69),"Missing Genre; ","")&amp;IF(ISBLANK(Catalog!W69),"Missing Location Type; ","")&amp;IF(ISBLANK(Catalog!X69),"Missing Location Identifier; ","")&amp;IF(AND(Catalog!S69&lt;&gt;"",COUNTIF(Catalog!$S$2:$S$501,Catalog!S69)&gt;1),"Duplicate ISBN; ","")&amp;IF(AND(Catalog!B69&lt;&gt;"",COUNTIF(Catalog!$B$2:$B$501,Catalog!B69)&gt;1),"Duplicate Accession; ",""))</f>
        <v/>
      </c>
    </row>
    <row r="95" spans="1:3" x14ac:dyDescent="0.25">
      <c r="A95" s="16" t="str">
        <f>Catalog!A70</f>
        <v/>
      </c>
      <c r="B95" s="16">
        <f>Catalog!D70</f>
        <v>0</v>
      </c>
      <c r="C95" s="17" t="str">
        <f>IF(Catalog!D70="","",IF(ISBLANK(Catalog!F70),"Missing Creator; ","")&amp;IF(ISBLANK(Catalog!K70),"Missing Type; ","")&amp;IF(ISBLANK(Catalog!L70),"Missing Genre; ","")&amp;IF(ISBLANK(Catalog!W70),"Missing Location Type; ","")&amp;IF(ISBLANK(Catalog!X70),"Missing Location Identifier; ","")&amp;IF(AND(Catalog!S70&lt;&gt;"",COUNTIF(Catalog!$S$2:$S$501,Catalog!S70)&gt;1),"Duplicate ISBN; ","")&amp;IF(AND(Catalog!B70&lt;&gt;"",COUNTIF(Catalog!$B$2:$B$501,Catalog!B70)&gt;1),"Duplicate Accession; ",""))</f>
        <v/>
      </c>
    </row>
    <row r="96" spans="1:3" x14ac:dyDescent="0.25">
      <c r="A96" s="16" t="str">
        <f>Catalog!A71</f>
        <v/>
      </c>
      <c r="B96" s="16">
        <f>Catalog!D71</f>
        <v>0</v>
      </c>
      <c r="C96" s="17" t="str">
        <f>IF(Catalog!D71="","",IF(ISBLANK(Catalog!F71),"Missing Creator; ","")&amp;IF(ISBLANK(Catalog!K71),"Missing Type; ","")&amp;IF(ISBLANK(Catalog!L71),"Missing Genre; ","")&amp;IF(ISBLANK(Catalog!W71),"Missing Location Type; ","")&amp;IF(ISBLANK(Catalog!X71),"Missing Location Identifier; ","")&amp;IF(AND(Catalog!S71&lt;&gt;"",COUNTIF(Catalog!$S$2:$S$501,Catalog!S71)&gt;1),"Duplicate ISBN; ","")&amp;IF(AND(Catalog!B71&lt;&gt;"",COUNTIF(Catalog!$B$2:$B$501,Catalog!B71)&gt;1),"Duplicate Accession; ",""))</f>
        <v/>
      </c>
    </row>
    <row r="97" spans="1:3" x14ac:dyDescent="0.25">
      <c r="A97" s="16" t="str">
        <f>Catalog!A72</f>
        <v/>
      </c>
      <c r="B97" s="16">
        <f>Catalog!D72</f>
        <v>0</v>
      </c>
      <c r="C97" s="17" t="str">
        <f>IF(Catalog!D72="","",IF(ISBLANK(Catalog!F72),"Missing Creator; ","")&amp;IF(ISBLANK(Catalog!K72),"Missing Type; ","")&amp;IF(ISBLANK(Catalog!L72),"Missing Genre; ","")&amp;IF(ISBLANK(Catalog!W72),"Missing Location Type; ","")&amp;IF(ISBLANK(Catalog!X72),"Missing Location Identifier; ","")&amp;IF(AND(Catalog!S72&lt;&gt;"",COUNTIF(Catalog!$S$2:$S$501,Catalog!S72)&gt;1),"Duplicate ISBN; ","")&amp;IF(AND(Catalog!B72&lt;&gt;"",COUNTIF(Catalog!$B$2:$B$501,Catalog!B72)&gt;1),"Duplicate Accession; ",""))</f>
        <v/>
      </c>
    </row>
    <row r="98" spans="1:3" x14ac:dyDescent="0.25">
      <c r="A98" s="16" t="str">
        <f>Catalog!A73</f>
        <v/>
      </c>
      <c r="B98" s="16">
        <f>Catalog!D73</f>
        <v>0</v>
      </c>
      <c r="C98" s="17" t="str">
        <f>IF(Catalog!D73="","",IF(ISBLANK(Catalog!F73),"Missing Creator; ","")&amp;IF(ISBLANK(Catalog!K73),"Missing Type; ","")&amp;IF(ISBLANK(Catalog!L73),"Missing Genre; ","")&amp;IF(ISBLANK(Catalog!W73),"Missing Location Type; ","")&amp;IF(ISBLANK(Catalog!X73),"Missing Location Identifier; ","")&amp;IF(AND(Catalog!S73&lt;&gt;"",COUNTIF(Catalog!$S$2:$S$501,Catalog!S73)&gt;1),"Duplicate ISBN; ","")&amp;IF(AND(Catalog!B73&lt;&gt;"",COUNTIF(Catalog!$B$2:$B$501,Catalog!B73)&gt;1),"Duplicate Accession; ",""))</f>
        <v/>
      </c>
    </row>
    <row r="99" spans="1:3" x14ac:dyDescent="0.25">
      <c r="A99" s="16" t="str">
        <f>Catalog!A74</f>
        <v/>
      </c>
      <c r="B99" s="16">
        <f>Catalog!D74</f>
        <v>0</v>
      </c>
      <c r="C99" s="17" t="str">
        <f>IF(Catalog!D74="","",IF(ISBLANK(Catalog!F74),"Missing Creator; ","")&amp;IF(ISBLANK(Catalog!K74),"Missing Type; ","")&amp;IF(ISBLANK(Catalog!L74),"Missing Genre; ","")&amp;IF(ISBLANK(Catalog!W74),"Missing Location Type; ","")&amp;IF(ISBLANK(Catalog!X74),"Missing Location Identifier; ","")&amp;IF(AND(Catalog!S74&lt;&gt;"",COUNTIF(Catalog!$S$2:$S$501,Catalog!S74)&gt;1),"Duplicate ISBN; ","")&amp;IF(AND(Catalog!B74&lt;&gt;"",COUNTIF(Catalog!$B$2:$B$501,Catalog!B74)&gt;1),"Duplicate Accession; ",""))</f>
        <v/>
      </c>
    </row>
    <row r="100" spans="1:3" x14ac:dyDescent="0.25">
      <c r="A100" s="16" t="str">
        <f>Catalog!A75</f>
        <v/>
      </c>
      <c r="B100" s="16">
        <f>Catalog!D75</f>
        <v>0</v>
      </c>
      <c r="C100" s="17" t="str">
        <f>IF(Catalog!D75="","",IF(ISBLANK(Catalog!F75),"Missing Creator; ","")&amp;IF(ISBLANK(Catalog!K75),"Missing Type; ","")&amp;IF(ISBLANK(Catalog!L75),"Missing Genre; ","")&amp;IF(ISBLANK(Catalog!W75),"Missing Location Type; ","")&amp;IF(ISBLANK(Catalog!X75),"Missing Location Identifier; ","")&amp;IF(AND(Catalog!S75&lt;&gt;"",COUNTIF(Catalog!$S$2:$S$501,Catalog!S75)&gt;1),"Duplicate ISBN; ","")&amp;IF(AND(Catalog!B75&lt;&gt;"",COUNTIF(Catalog!$B$2:$B$501,Catalog!B75)&gt;1),"Duplicate Accession; ",""))</f>
        <v/>
      </c>
    </row>
    <row r="101" spans="1:3" x14ac:dyDescent="0.25">
      <c r="A101" s="16" t="str">
        <f>Catalog!A76</f>
        <v/>
      </c>
      <c r="B101" s="16">
        <f>Catalog!D76</f>
        <v>0</v>
      </c>
      <c r="C101" s="17" t="str">
        <f>IF(Catalog!D76="","",IF(ISBLANK(Catalog!F76),"Missing Creator; ","")&amp;IF(ISBLANK(Catalog!K76),"Missing Type; ","")&amp;IF(ISBLANK(Catalog!L76),"Missing Genre; ","")&amp;IF(ISBLANK(Catalog!W76),"Missing Location Type; ","")&amp;IF(ISBLANK(Catalog!X76),"Missing Location Identifier; ","")&amp;IF(AND(Catalog!S76&lt;&gt;"",COUNTIF(Catalog!$S$2:$S$501,Catalog!S76)&gt;1),"Duplicate ISBN; ","")&amp;IF(AND(Catalog!B76&lt;&gt;"",COUNTIF(Catalog!$B$2:$B$501,Catalog!B76)&gt;1),"Duplicate Accession; ",""))</f>
        <v/>
      </c>
    </row>
    <row r="102" spans="1:3" x14ac:dyDescent="0.25">
      <c r="A102" s="16" t="str">
        <f>Catalog!A77</f>
        <v/>
      </c>
      <c r="B102" s="16">
        <f>Catalog!D77</f>
        <v>0</v>
      </c>
      <c r="C102" s="17" t="str">
        <f>IF(Catalog!D77="","",IF(ISBLANK(Catalog!F77),"Missing Creator; ","")&amp;IF(ISBLANK(Catalog!K77),"Missing Type; ","")&amp;IF(ISBLANK(Catalog!L77),"Missing Genre; ","")&amp;IF(ISBLANK(Catalog!W77),"Missing Location Type; ","")&amp;IF(ISBLANK(Catalog!X77),"Missing Location Identifier; ","")&amp;IF(AND(Catalog!S77&lt;&gt;"",COUNTIF(Catalog!$S$2:$S$501,Catalog!S77)&gt;1),"Duplicate ISBN; ","")&amp;IF(AND(Catalog!B77&lt;&gt;"",COUNTIF(Catalog!$B$2:$B$501,Catalog!B77)&gt;1),"Duplicate Accession; ",""))</f>
        <v/>
      </c>
    </row>
    <row r="103" spans="1:3" x14ac:dyDescent="0.25">
      <c r="A103" s="16" t="str">
        <f>Catalog!A78</f>
        <v/>
      </c>
      <c r="B103" s="16">
        <f>Catalog!D78</f>
        <v>0</v>
      </c>
      <c r="C103" s="17" t="str">
        <f>IF(Catalog!D78="","",IF(ISBLANK(Catalog!F78),"Missing Creator; ","")&amp;IF(ISBLANK(Catalog!K78),"Missing Type; ","")&amp;IF(ISBLANK(Catalog!L78),"Missing Genre; ","")&amp;IF(ISBLANK(Catalog!W78),"Missing Location Type; ","")&amp;IF(ISBLANK(Catalog!X78),"Missing Location Identifier; ","")&amp;IF(AND(Catalog!S78&lt;&gt;"",COUNTIF(Catalog!$S$2:$S$501,Catalog!S78)&gt;1),"Duplicate ISBN; ","")&amp;IF(AND(Catalog!B78&lt;&gt;"",COUNTIF(Catalog!$B$2:$B$501,Catalog!B78)&gt;1),"Duplicate Accession; ",""))</f>
        <v/>
      </c>
    </row>
    <row r="104" spans="1:3" x14ac:dyDescent="0.25">
      <c r="A104" s="16" t="str">
        <f>Catalog!A79</f>
        <v/>
      </c>
      <c r="B104" s="16">
        <f>Catalog!D79</f>
        <v>0</v>
      </c>
      <c r="C104" s="17" t="str">
        <f>IF(Catalog!D79="","",IF(ISBLANK(Catalog!F79),"Missing Creator; ","")&amp;IF(ISBLANK(Catalog!K79),"Missing Type; ","")&amp;IF(ISBLANK(Catalog!L79),"Missing Genre; ","")&amp;IF(ISBLANK(Catalog!W79),"Missing Location Type; ","")&amp;IF(ISBLANK(Catalog!X79),"Missing Location Identifier; ","")&amp;IF(AND(Catalog!S79&lt;&gt;"",COUNTIF(Catalog!$S$2:$S$501,Catalog!S79)&gt;1),"Duplicate ISBN; ","")&amp;IF(AND(Catalog!B79&lt;&gt;"",COUNTIF(Catalog!$B$2:$B$501,Catalog!B79)&gt;1),"Duplicate Accession; ",""))</f>
        <v/>
      </c>
    </row>
    <row r="105" spans="1:3" x14ac:dyDescent="0.25">
      <c r="A105" s="16" t="str">
        <f>Catalog!A80</f>
        <v/>
      </c>
      <c r="B105" s="16">
        <f>Catalog!D80</f>
        <v>0</v>
      </c>
      <c r="C105" s="17" t="str">
        <f>IF(Catalog!D80="","",IF(ISBLANK(Catalog!F80),"Missing Creator; ","")&amp;IF(ISBLANK(Catalog!K80),"Missing Type; ","")&amp;IF(ISBLANK(Catalog!L80),"Missing Genre; ","")&amp;IF(ISBLANK(Catalog!W80),"Missing Location Type; ","")&amp;IF(ISBLANK(Catalog!X80),"Missing Location Identifier; ","")&amp;IF(AND(Catalog!S80&lt;&gt;"",COUNTIF(Catalog!$S$2:$S$501,Catalog!S80)&gt;1),"Duplicate ISBN; ","")&amp;IF(AND(Catalog!B80&lt;&gt;"",COUNTIF(Catalog!$B$2:$B$501,Catalog!B80)&gt;1),"Duplicate Accession; ",""))</f>
        <v/>
      </c>
    </row>
    <row r="106" spans="1:3" x14ac:dyDescent="0.25">
      <c r="A106" s="16" t="str">
        <f>Catalog!A81</f>
        <v/>
      </c>
      <c r="B106" s="16">
        <f>Catalog!D81</f>
        <v>0</v>
      </c>
      <c r="C106" s="17" t="str">
        <f>IF(Catalog!D81="","",IF(ISBLANK(Catalog!F81),"Missing Creator; ","")&amp;IF(ISBLANK(Catalog!K81),"Missing Type; ","")&amp;IF(ISBLANK(Catalog!L81),"Missing Genre; ","")&amp;IF(ISBLANK(Catalog!W81),"Missing Location Type; ","")&amp;IF(ISBLANK(Catalog!X81),"Missing Location Identifier; ","")&amp;IF(AND(Catalog!S81&lt;&gt;"",COUNTIF(Catalog!$S$2:$S$501,Catalog!S81)&gt;1),"Duplicate ISBN; ","")&amp;IF(AND(Catalog!B81&lt;&gt;"",COUNTIF(Catalog!$B$2:$B$501,Catalog!B81)&gt;1),"Duplicate Accession; ",""))</f>
        <v/>
      </c>
    </row>
    <row r="107" spans="1:3" x14ac:dyDescent="0.25">
      <c r="A107" s="16" t="str">
        <f>Catalog!A82</f>
        <v/>
      </c>
      <c r="B107" s="16">
        <f>Catalog!D82</f>
        <v>0</v>
      </c>
      <c r="C107" s="17" t="str">
        <f>IF(Catalog!D82="","",IF(ISBLANK(Catalog!F82),"Missing Creator; ","")&amp;IF(ISBLANK(Catalog!K82),"Missing Type; ","")&amp;IF(ISBLANK(Catalog!L82),"Missing Genre; ","")&amp;IF(ISBLANK(Catalog!W82),"Missing Location Type; ","")&amp;IF(ISBLANK(Catalog!X82),"Missing Location Identifier; ","")&amp;IF(AND(Catalog!S82&lt;&gt;"",COUNTIF(Catalog!$S$2:$S$501,Catalog!S82)&gt;1),"Duplicate ISBN; ","")&amp;IF(AND(Catalog!B82&lt;&gt;"",COUNTIF(Catalog!$B$2:$B$501,Catalog!B82)&gt;1),"Duplicate Accession; ",""))</f>
        <v/>
      </c>
    </row>
    <row r="108" spans="1:3" x14ac:dyDescent="0.25">
      <c r="A108" s="16" t="str">
        <f>Catalog!A83</f>
        <v/>
      </c>
      <c r="B108" s="16">
        <f>Catalog!D83</f>
        <v>0</v>
      </c>
      <c r="C108" s="17" t="str">
        <f>IF(Catalog!D83="","",IF(ISBLANK(Catalog!F83),"Missing Creator; ","")&amp;IF(ISBLANK(Catalog!K83),"Missing Type; ","")&amp;IF(ISBLANK(Catalog!L83),"Missing Genre; ","")&amp;IF(ISBLANK(Catalog!W83),"Missing Location Type; ","")&amp;IF(ISBLANK(Catalog!X83),"Missing Location Identifier; ","")&amp;IF(AND(Catalog!S83&lt;&gt;"",COUNTIF(Catalog!$S$2:$S$501,Catalog!S83)&gt;1),"Duplicate ISBN; ","")&amp;IF(AND(Catalog!B83&lt;&gt;"",COUNTIF(Catalog!$B$2:$B$501,Catalog!B83)&gt;1),"Duplicate Accession; ",""))</f>
        <v/>
      </c>
    </row>
    <row r="109" spans="1:3" x14ac:dyDescent="0.25">
      <c r="A109" s="16" t="str">
        <f>Catalog!A84</f>
        <v/>
      </c>
      <c r="B109" s="16">
        <f>Catalog!D84</f>
        <v>0</v>
      </c>
      <c r="C109" s="17" t="str">
        <f>IF(Catalog!D84="","",IF(ISBLANK(Catalog!F84),"Missing Creator; ","")&amp;IF(ISBLANK(Catalog!K84),"Missing Type; ","")&amp;IF(ISBLANK(Catalog!L84),"Missing Genre; ","")&amp;IF(ISBLANK(Catalog!W84),"Missing Location Type; ","")&amp;IF(ISBLANK(Catalog!X84),"Missing Location Identifier; ","")&amp;IF(AND(Catalog!S84&lt;&gt;"",COUNTIF(Catalog!$S$2:$S$501,Catalog!S84)&gt;1),"Duplicate ISBN; ","")&amp;IF(AND(Catalog!B84&lt;&gt;"",COUNTIF(Catalog!$B$2:$B$501,Catalog!B84)&gt;1),"Duplicate Accession; ",""))</f>
        <v/>
      </c>
    </row>
    <row r="110" spans="1:3" x14ac:dyDescent="0.25">
      <c r="A110" s="16" t="str">
        <f>Catalog!A85</f>
        <v/>
      </c>
      <c r="B110" s="16">
        <f>Catalog!D85</f>
        <v>0</v>
      </c>
      <c r="C110" s="17" t="str">
        <f>IF(Catalog!D85="","",IF(ISBLANK(Catalog!F85),"Missing Creator; ","")&amp;IF(ISBLANK(Catalog!K85),"Missing Type; ","")&amp;IF(ISBLANK(Catalog!L85),"Missing Genre; ","")&amp;IF(ISBLANK(Catalog!W85),"Missing Location Type; ","")&amp;IF(ISBLANK(Catalog!X85),"Missing Location Identifier; ","")&amp;IF(AND(Catalog!S85&lt;&gt;"",COUNTIF(Catalog!$S$2:$S$501,Catalog!S85)&gt;1),"Duplicate ISBN; ","")&amp;IF(AND(Catalog!B85&lt;&gt;"",COUNTIF(Catalog!$B$2:$B$501,Catalog!B85)&gt;1),"Duplicate Accession; ",""))</f>
        <v/>
      </c>
    </row>
    <row r="111" spans="1:3" x14ac:dyDescent="0.25">
      <c r="A111" s="16" t="str">
        <f>Catalog!A86</f>
        <v/>
      </c>
      <c r="B111" s="16">
        <f>Catalog!D86</f>
        <v>0</v>
      </c>
      <c r="C111" s="17" t="str">
        <f>IF(Catalog!D86="","",IF(ISBLANK(Catalog!F86),"Missing Creator; ","")&amp;IF(ISBLANK(Catalog!K86),"Missing Type; ","")&amp;IF(ISBLANK(Catalog!L86),"Missing Genre; ","")&amp;IF(ISBLANK(Catalog!W86),"Missing Location Type; ","")&amp;IF(ISBLANK(Catalog!X86),"Missing Location Identifier; ","")&amp;IF(AND(Catalog!S86&lt;&gt;"",COUNTIF(Catalog!$S$2:$S$501,Catalog!S86)&gt;1),"Duplicate ISBN; ","")&amp;IF(AND(Catalog!B86&lt;&gt;"",COUNTIF(Catalog!$B$2:$B$501,Catalog!B86)&gt;1),"Duplicate Accession; ",""))</f>
        <v/>
      </c>
    </row>
    <row r="112" spans="1:3" x14ac:dyDescent="0.25">
      <c r="A112" s="16" t="str">
        <f>Catalog!A87</f>
        <v/>
      </c>
      <c r="B112" s="16">
        <f>Catalog!D87</f>
        <v>0</v>
      </c>
      <c r="C112" s="17" t="str">
        <f>IF(Catalog!D87="","",IF(ISBLANK(Catalog!F87),"Missing Creator; ","")&amp;IF(ISBLANK(Catalog!K87),"Missing Type; ","")&amp;IF(ISBLANK(Catalog!L87),"Missing Genre; ","")&amp;IF(ISBLANK(Catalog!W87),"Missing Location Type; ","")&amp;IF(ISBLANK(Catalog!X87),"Missing Location Identifier; ","")&amp;IF(AND(Catalog!S87&lt;&gt;"",COUNTIF(Catalog!$S$2:$S$501,Catalog!S87)&gt;1),"Duplicate ISBN; ","")&amp;IF(AND(Catalog!B87&lt;&gt;"",COUNTIF(Catalog!$B$2:$B$501,Catalog!B87)&gt;1),"Duplicate Accession; ",""))</f>
        <v/>
      </c>
    </row>
    <row r="113" spans="1:3" x14ac:dyDescent="0.25">
      <c r="A113" s="16" t="str">
        <f>Catalog!A88</f>
        <v/>
      </c>
      <c r="B113" s="16">
        <f>Catalog!D88</f>
        <v>0</v>
      </c>
      <c r="C113" s="17" t="str">
        <f>IF(Catalog!D88="","",IF(ISBLANK(Catalog!F88),"Missing Creator; ","")&amp;IF(ISBLANK(Catalog!K88),"Missing Type; ","")&amp;IF(ISBLANK(Catalog!L88),"Missing Genre; ","")&amp;IF(ISBLANK(Catalog!W88),"Missing Location Type; ","")&amp;IF(ISBLANK(Catalog!X88),"Missing Location Identifier; ","")&amp;IF(AND(Catalog!S88&lt;&gt;"",COUNTIF(Catalog!$S$2:$S$501,Catalog!S88)&gt;1),"Duplicate ISBN; ","")&amp;IF(AND(Catalog!B88&lt;&gt;"",COUNTIF(Catalog!$B$2:$B$501,Catalog!B88)&gt;1),"Duplicate Accession; ",""))</f>
        <v/>
      </c>
    </row>
    <row r="114" spans="1:3" x14ac:dyDescent="0.25">
      <c r="A114" s="16" t="str">
        <f>Catalog!A89</f>
        <v/>
      </c>
      <c r="B114" s="16">
        <f>Catalog!D89</f>
        <v>0</v>
      </c>
      <c r="C114" s="17" t="str">
        <f>IF(Catalog!D89="","",IF(ISBLANK(Catalog!F89),"Missing Creator; ","")&amp;IF(ISBLANK(Catalog!K89),"Missing Type; ","")&amp;IF(ISBLANK(Catalog!L89),"Missing Genre; ","")&amp;IF(ISBLANK(Catalog!W89),"Missing Location Type; ","")&amp;IF(ISBLANK(Catalog!X89),"Missing Location Identifier; ","")&amp;IF(AND(Catalog!S89&lt;&gt;"",COUNTIF(Catalog!$S$2:$S$501,Catalog!S89)&gt;1),"Duplicate ISBN; ","")&amp;IF(AND(Catalog!B89&lt;&gt;"",COUNTIF(Catalog!$B$2:$B$501,Catalog!B89)&gt;1),"Duplicate Accession; ",""))</f>
        <v/>
      </c>
    </row>
    <row r="115" spans="1:3" x14ac:dyDescent="0.25">
      <c r="A115" s="16" t="str">
        <f>Catalog!A90</f>
        <v/>
      </c>
      <c r="B115" s="16">
        <f>Catalog!D90</f>
        <v>0</v>
      </c>
      <c r="C115" s="17" t="str">
        <f>IF(Catalog!D90="","",IF(ISBLANK(Catalog!F90),"Missing Creator; ","")&amp;IF(ISBLANK(Catalog!K90),"Missing Type; ","")&amp;IF(ISBLANK(Catalog!L90),"Missing Genre; ","")&amp;IF(ISBLANK(Catalog!W90),"Missing Location Type; ","")&amp;IF(ISBLANK(Catalog!X90),"Missing Location Identifier; ","")&amp;IF(AND(Catalog!S90&lt;&gt;"",COUNTIF(Catalog!$S$2:$S$501,Catalog!S90)&gt;1),"Duplicate ISBN; ","")&amp;IF(AND(Catalog!B90&lt;&gt;"",COUNTIF(Catalog!$B$2:$B$501,Catalog!B90)&gt;1),"Duplicate Accession; ",""))</f>
        <v/>
      </c>
    </row>
    <row r="116" spans="1:3" x14ac:dyDescent="0.25">
      <c r="A116" s="16" t="str">
        <f>Catalog!A91</f>
        <v/>
      </c>
      <c r="B116" s="16">
        <f>Catalog!D91</f>
        <v>0</v>
      </c>
      <c r="C116" s="17" t="str">
        <f>IF(Catalog!D91="","",IF(ISBLANK(Catalog!F91),"Missing Creator; ","")&amp;IF(ISBLANK(Catalog!K91),"Missing Type; ","")&amp;IF(ISBLANK(Catalog!L91),"Missing Genre; ","")&amp;IF(ISBLANK(Catalog!W91),"Missing Location Type; ","")&amp;IF(ISBLANK(Catalog!X91),"Missing Location Identifier; ","")&amp;IF(AND(Catalog!S91&lt;&gt;"",COUNTIF(Catalog!$S$2:$S$501,Catalog!S91)&gt;1),"Duplicate ISBN; ","")&amp;IF(AND(Catalog!B91&lt;&gt;"",COUNTIF(Catalog!$B$2:$B$501,Catalog!B91)&gt;1),"Duplicate Accession; ",""))</f>
        <v/>
      </c>
    </row>
    <row r="117" spans="1:3" x14ac:dyDescent="0.25">
      <c r="A117" s="16" t="str">
        <f>Catalog!A92</f>
        <v/>
      </c>
      <c r="B117" s="16">
        <f>Catalog!D92</f>
        <v>0</v>
      </c>
      <c r="C117" s="17" t="str">
        <f>IF(Catalog!D92="","",IF(ISBLANK(Catalog!F92),"Missing Creator; ","")&amp;IF(ISBLANK(Catalog!K92),"Missing Type; ","")&amp;IF(ISBLANK(Catalog!L92),"Missing Genre; ","")&amp;IF(ISBLANK(Catalog!W92),"Missing Location Type; ","")&amp;IF(ISBLANK(Catalog!X92),"Missing Location Identifier; ","")&amp;IF(AND(Catalog!S92&lt;&gt;"",COUNTIF(Catalog!$S$2:$S$501,Catalog!S92)&gt;1),"Duplicate ISBN; ","")&amp;IF(AND(Catalog!B92&lt;&gt;"",COUNTIF(Catalog!$B$2:$B$501,Catalog!B92)&gt;1),"Duplicate Accession; ",""))</f>
        <v/>
      </c>
    </row>
    <row r="118" spans="1:3" x14ac:dyDescent="0.25">
      <c r="A118" s="16" t="str">
        <f>Catalog!A93</f>
        <v/>
      </c>
      <c r="B118" s="16">
        <f>Catalog!D93</f>
        <v>0</v>
      </c>
      <c r="C118" s="17" t="str">
        <f>IF(Catalog!D93="","",IF(ISBLANK(Catalog!F93),"Missing Creator; ","")&amp;IF(ISBLANK(Catalog!K93),"Missing Type; ","")&amp;IF(ISBLANK(Catalog!L93),"Missing Genre; ","")&amp;IF(ISBLANK(Catalog!W93),"Missing Location Type; ","")&amp;IF(ISBLANK(Catalog!X93),"Missing Location Identifier; ","")&amp;IF(AND(Catalog!S93&lt;&gt;"",COUNTIF(Catalog!$S$2:$S$501,Catalog!S93)&gt;1),"Duplicate ISBN; ","")&amp;IF(AND(Catalog!B93&lt;&gt;"",COUNTIF(Catalog!$B$2:$B$501,Catalog!B93)&gt;1),"Duplicate Accession; ",""))</f>
        <v/>
      </c>
    </row>
    <row r="119" spans="1:3" x14ac:dyDescent="0.25">
      <c r="A119" s="16" t="str">
        <f>Catalog!A94</f>
        <v/>
      </c>
      <c r="B119" s="16">
        <f>Catalog!D94</f>
        <v>0</v>
      </c>
      <c r="C119" s="17" t="str">
        <f>IF(Catalog!D94="","",IF(ISBLANK(Catalog!F94),"Missing Creator; ","")&amp;IF(ISBLANK(Catalog!K94),"Missing Type; ","")&amp;IF(ISBLANK(Catalog!L94),"Missing Genre; ","")&amp;IF(ISBLANK(Catalog!W94),"Missing Location Type; ","")&amp;IF(ISBLANK(Catalog!X94),"Missing Location Identifier; ","")&amp;IF(AND(Catalog!S94&lt;&gt;"",COUNTIF(Catalog!$S$2:$S$501,Catalog!S94)&gt;1),"Duplicate ISBN; ","")&amp;IF(AND(Catalog!B94&lt;&gt;"",COUNTIF(Catalog!$B$2:$B$501,Catalog!B94)&gt;1),"Duplicate Accession; ",""))</f>
        <v/>
      </c>
    </row>
    <row r="120" spans="1:3" x14ac:dyDescent="0.25">
      <c r="A120" s="16" t="str">
        <f>Catalog!A95</f>
        <v/>
      </c>
      <c r="B120" s="16">
        <f>Catalog!D95</f>
        <v>0</v>
      </c>
      <c r="C120" s="17" t="str">
        <f>IF(Catalog!D95="","",IF(ISBLANK(Catalog!F95),"Missing Creator; ","")&amp;IF(ISBLANK(Catalog!K95),"Missing Type; ","")&amp;IF(ISBLANK(Catalog!L95),"Missing Genre; ","")&amp;IF(ISBLANK(Catalog!W95),"Missing Location Type; ","")&amp;IF(ISBLANK(Catalog!X95),"Missing Location Identifier; ","")&amp;IF(AND(Catalog!S95&lt;&gt;"",COUNTIF(Catalog!$S$2:$S$501,Catalog!S95)&gt;1),"Duplicate ISBN; ","")&amp;IF(AND(Catalog!B95&lt;&gt;"",COUNTIF(Catalog!$B$2:$B$501,Catalog!B95)&gt;1),"Duplicate Accession; ",""))</f>
        <v/>
      </c>
    </row>
    <row r="121" spans="1:3" x14ac:dyDescent="0.25">
      <c r="A121" s="16" t="str">
        <f>Catalog!A96</f>
        <v/>
      </c>
      <c r="B121" s="16">
        <f>Catalog!D96</f>
        <v>0</v>
      </c>
      <c r="C121" s="17" t="str">
        <f>IF(Catalog!D96="","",IF(ISBLANK(Catalog!F96),"Missing Creator; ","")&amp;IF(ISBLANK(Catalog!K96),"Missing Type; ","")&amp;IF(ISBLANK(Catalog!L96),"Missing Genre; ","")&amp;IF(ISBLANK(Catalog!W96),"Missing Location Type; ","")&amp;IF(ISBLANK(Catalog!X96),"Missing Location Identifier; ","")&amp;IF(AND(Catalog!S96&lt;&gt;"",COUNTIF(Catalog!$S$2:$S$501,Catalog!S96)&gt;1),"Duplicate ISBN; ","")&amp;IF(AND(Catalog!B96&lt;&gt;"",COUNTIF(Catalog!$B$2:$B$501,Catalog!B96)&gt;1),"Duplicate Accession; ",""))</f>
        <v/>
      </c>
    </row>
    <row r="122" spans="1:3" x14ac:dyDescent="0.25">
      <c r="A122" s="16" t="str">
        <f>Catalog!A97</f>
        <v/>
      </c>
      <c r="B122" s="16">
        <f>Catalog!D97</f>
        <v>0</v>
      </c>
      <c r="C122" s="17" t="str">
        <f>IF(Catalog!D97="","",IF(ISBLANK(Catalog!F97),"Missing Creator; ","")&amp;IF(ISBLANK(Catalog!K97),"Missing Type; ","")&amp;IF(ISBLANK(Catalog!L97),"Missing Genre; ","")&amp;IF(ISBLANK(Catalog!W97),"Missing Location Type; ","")&amp;IF(ISBLANK(Catalog!X97),"Missing Location Identifier; ","")&amp;IF(AND(Catalog!S97&lt;&gt;"",COUNTIF(Catalog!$S$2:$S$501,Catalog!S97)&gt;1),"Duplicate ISBN; ","")&amp;IF(AND(Catalog!B97&lt;&gt;"",COUNTIF(Catalog!$B$2:$B$501,Catalog!B97)&gt;1),"Duplicate Accession; ",""))</f>
        <v/>
      </c>
    </row>
    <row r="123" spans="1:3" x14ac:dyDescent="0.25">
      <c r="A123" s="16" t="str">
        <f>Catalog!A98</f>
        <v/>
      </c>
      <c r="B123" s="16">
        <f>Catalog!D98</f>
        <v>0</v>
      </c>
      <c r="C123" s="17" t="str">
        <f>IF(Catalog!D98="","",IF(ISBLANK(Catalog!F98),"Missing Creator; ","")&amp;IF(ISBLANK(Catalog!K98),"Missing Type; ","")&amp;IF(ISBLANK(Catalog!L98),"Missing Genre; ","")&amp;IF(ISBLANK(Catalog!W98),"Missing Location Type; ","")&amp;IF(ISBLANK(Catalog!X98),"Missing Location Identifier; ","")&amp;IF(AND(Catalog!S98&lt;&gt;"",COUNTIF(Catalog!$S$2:$S$501,Catalog!S98)&gt;1),"Duplicate ISBN; ","")&amp;IF(AND(Catalog!B98&lt;&gt;"",COUNTIF(Catalog!$B$2:$B$501,Catalog!B98)&gt;1),"Duplicate Accession; ",""))</f>
        <v/>
      </c>
    </row>
    <row r="124" spans="1:3" x14ac:dyDescent="0.25">
      <c r="A124" s="16" t="str">
        <f>Catalog!A99</f>
        <v/>
      </c>
      <c r="B124" s="16">
        <f>Catalog!D99</f>
        <v>0</v>
      </c>
      <c r="C124" s="17" t="str">
        <f>IF(Catalog!D99="","",IF(ISBLANK(Catalog!F99),"Missing Creator; ","")&amp;IF(ISBLANK(Catalog!K99),"Missing Type; ","")&amp;IF(ISBLANK(Catalog!L99),"Missing Genre; ","")&amp;IF(ISBLANK(Catalog!W99),"Missing Location Type; ","")&amp;IF(ISBLANK(Catalog!X99),"Missing Location Identifier; ","")&amp;IF(AND(Catalog!S99&lt;&gt;"",COUNTIF(Catalog!$S$2:$S$501,Catalog!S99)&gt;1),"Duplicate ISBN; ","")&amp;IF(AND(Catalog!B99&lt;&gt;"",COUNTIF(Catalog!$B$2:$B$501,Catalog!B99)&gt;1),"Duplicate Accession; ",""))</f>
        <v/>
      </c>
    </row>
    <row r="125" spans="1:3" x14ac:dyDescent="0.25">
      <c r="A125" s="16" t="str">
        <f>Catalog!A100</f>
        <v/>
      </c>
      <c r="B125" s="16">
        <f>Catalog!D100</f>
        <v>0</v>
      </c>
      <c r="C125" s="17" t="str">
        <f>IF(Catalog!D100="","",IF(ISBLANK(Catalog!F100),"Missing Creator; ","")&amp;IF(ISBLANK(Catalog!K100),"Missing Type; ","")&amp;IF(ISBLANK(Catalog!L100),"Missing Genre; ","")&amp;IF(ISBLANK(Catalog!W100),"Missing Location Type; ","")&amp;IF(ISBLANK(Catalog!X100),"Missing Location Identifier; ","")&amp;IF(AND(Catalog!S100&lt;&gt;"",COUNTIF(Catalog!$S$2:$S$501,Catalog!S100)&gt;1),"Duplicate ISBN; ","")&amp;IF(AND(Catalog!B100&lt;&gt;"",COUNTIF(Catalog!$B$2:$B$501,Catalog!B100)&gt;1),"Duplicate Accession; ",""))</f>
        <v/>
      </c>
    </row>
    <row r="126" spans="1:3" x14ac:dyDescent="0.25">
      <c r="A126" s="16" t="str">
        <f>Catalog!A101</f>
        <v/>
      </c>
      <c r="B126" s="16">
        <f>Catalog!D101</f>
        <v>0</v>
      </c>
      <c r="C126" s="17" t="str">
        <f>IF(Catalog!D101="","",IF(ISBLANK(Catalog!F101),"Missing Creator; ","")&amp;IF(ISBLANK(Catalog!K101),"Missing Type; ","")&amp;IF(ISBLANK(Catalog!L101),"Missing Genre; ","")&amp;IF(ISBLANK(Catalog!W101),"Missing Location Type; ","")&amp;IF(ISBLANK(Catalog!X101),"Missing Location Identifier; ","")&amp;IF(AND(Catalog!S101&lt;&gt;"",COUNTIF(Catalog!$S$2:$S$501,Catalog!S101)&gt;1),"Duplicate ISBN; ","")&amp;IF(AND(Catalog!B101&lt;&gt;"",COUNTIF(Catalog!$B$2:$B$501,Catalog!B101)&gt;1),"Duplicate Accession; ",""))</f>
        <v/>
      </c>
    </row>
    <row r="127" spans="1:3" x14ac:dyDescent="0.25">
      <c r="A127" s="16" t="str">
        <f>Catalog!A102</f>
        <v/>
      </c>
      <c r="B127" s="16">
        <f>Catalog!D102</f>
        <v>0</v>
      </c>
      <c r="C127" s="17" t="str">
        <f>IF(Catalog!D102="","",IF(ISBLANK(Catalog!F102),"Missing Creator; ","")&amp;IF(ISBLANK(Catalog!K102),"Missing Type; ","")&amp;IF(ISBLANK(Catalog!L102),"Missing Genre; ","")&amp;IF(ISBLANK(Catalog!W102),"Missing Location Type; ","")&amp;IF(ISBLANK(Catalog!X102),"Missing Location Identifier; ","")&amp;IF(AND(Catalog!S102&lt;&gt;"",COUNTIF(Catalog!$S$2:$S$501,Catalog!S102)&gt;1),"Duplicate ISBN; ","")&amp;IF(AND(Catalog!B102&lt;&gt;"",COUNTIF(Catalog!$B$2:$B$501,Catalog!B102)&gt;1),"Duplicate Accession; ",""))</f>
        <v/>
      </c>
    </row>
    <row r="128" spans="1:3" x14ac:dyDescent="0.25">
      <c r="A128" s="16" t="str">
        <f>Catalog!A103</f>
        <v/>
      </c>
      <c r="B128" s="16">
        <f>Catalog!D103</f>
        <v>0</v>
      </c>
      <c r="C128" s="17" t="str">
        <f>IF(Catalog!D103="","",IF(ISBLANK(Catalog!F103),"Missing Creator; ","")&amp;IF(ISBLANK(Catalog!K103),"Missing Type; ","")&amp;IF(ISBLANK(Catalog!L103),"Missing Genre; ","")&amp;IF(ISBLANK(Catalog!W103),"Missing Location Type; ","")&amp;IF(ISBLANK(Catalog!X103),"Missing Location Identifier; ","")&amp;IF(AND(Catalog!S103&lt;&gt;"",COUNTIF(Catalog!$S$2:$S$501,Catalog!S103)&gt;1),"Duplicate ISBN; ","")&amp;IF(AND(Catalog!B103&lt;&gt;"",COUNTIF(Catalog!$B$2:$B$501,Catalog!B103)&gt;1),"Duplicate Accession; ",""))</f>
        <v/>
      </c>
    </row>
    <row r="129" spans="1:3" x14ac:dyDescent="0.25">
      <c r="A129" s="16" t="str">
        <f>Catalog!A104</f>
        <v/>
      </c>
      <c r="B129" s="16">
        <f>Catalog!D104</f>
        <v>0</v>
      </c>
      <c r="C129" s="17" t="str">
        <f>IF(Catalog!D104="","",IF(ISBLANK(Catalog!F104),"Missing Creator; ","")&amp;IF(ISBLANK(Catalog!K104),"Missing Type; ","")&amp;IF(ISBLANK(Catalog!L104),"Missing Genre; ","")&amp;IF(ISBLANK(Catalog!W104),"Missing Location Type; ","")&amp;IF(ISBLANK(Catalog!X104),"Missing Location Identifier; ","")&amp;IF(AND(Catalog!S104&lt;&gt;"",COUNTIF(Catalog!$S$2:$S$501,Catalog!S104)&gt;1),"Duplicate ISBN; ","")&amp;IF(AND(Catalog!B104&lt;&gt;"",COUNTIF(Catalog!$B$2:$B$501,Catalog!B104)&gt;1),"Duplicate Accession; ",""))</f>
        <v/>
      </c>
    </row>
    <row r="130" spans="1:3" x14ac:dyDescent="0.25">
      <c r="A130" s="16" t="str">
        <f>Catalog!A105</f>
        <v/>
      </c>
      <c r="B130" s="16">
        <f>Catalog!D105</f>
        <v>0</v>
      </c>
      <c r="C130" s="17" t="str">
        <f>IF(Catalog!D105="","",IF(ISBLANK(Catalog!F105),"Missing Creator; ","")&amp;IF(ISBLANK(Catalog!K105),"Missing Type; ","")&amp;IF(ISBLANK(Catalog!L105),"Missing Genre; ","")&amp;IF(ISBLANK(Catalog!W105),"Missing Location Type; ","")&amp;IF(ISBLANK(Catalog!X105),"Missing Location Identifier; ","")&amp;IF(AND(Catalog!S105&lt;&gt;"",COUNTIF(Catalog!$S$2:$S$501,Catalog!S105)&gt;1),"Duplicate ISBN; ","")&amp;IF(AND(Catalog!B105&lt;&gt;"",COUNTIF(Catalog!$B$2:$B$501,Catalog!B105)&gt;1),"Duplicate Accession; ",""))</f>
        <v/>
      </c>
    </row>
    <row r="131" spans="1:3" x14ac:dyDescent="0.25">
      <c r="A131" s="16" t="str">
        <f>Catalog!A106</f>
        <v/>
      </c>
      <c r="B131" s="16">
        <f>Catalog!D106</f>
        <v>0</v>
      </c>
      <c r="C131" s="17" t="str">
        <f>IF(Catalog!D106="","",IF(ISBLANK(Catalog!F106),"Missing Creator; ","")&amp;IF(ISBLANK(Catalog!K106),"Missing Type; ","")&amp;IF(ISBLANK(Catalog!L106),"Missing Genre; ","")&amp;IF(ISBLANK(Catalog!W106),"Missing Location Type; ","")&amp;IF(ISBLANK(Catalog!X106),"Missing Location Identifier; ","")&amp;IF(AND(Catalog!S106&lt;&gt;"",COUNTIF(Catalog!$S$2:$S$501,Catalog!S106)&gt;1),"Duplicate ISBN; ","")&amp;IF(AND(Catalog!B106&lt;&gt;"",COUNTIF(Catalog!$B$2:$B$501,Catalog!B106)&gt;1),"Duplicate Accession; ",""))</f>
        <v/>
      </c>
    </row>
    <row r="132" spans="1:3" x14ac:dyDescent="0.25">
      <c r="A132" s="16" t="str">
        <f>Catalog!A107</f>
        <v/>
      </c>
      <c r="B132" s="16">
        <f>Catalog!D107</f>
        <v>0</v>
      </c>
      <c r="C132" s="17" t="str">
        <f>IF(Catalog!D107="","",IF(ISBLANK(Catalog!F107),"Missing Creator; ","")&amp;IF(ISBLANK(Catalog!K107),"Missing Type; ","")&amp;IF(ISBLANK(Catalog!L107),"Missing Genre; ","")&amp;IF(ISBLANK(Catalog!W107),"Missing Location Type; ","")&amp;IF(ISBLANK(Catalog!X107),"Missing Location Identifier; ","")&amp;IF(AND(Catalog!S107&lt;&gt;"",COUNTIF(Catalog!$S$2:$S$501,Catalog!S107)&gt;1),"Duplicate ISBN; ","")&amp;IF(AND(Catalog!B107&lt;&gt;"",COUNTIF(Catalog!$B$2:$B$501,Catalog!B107)&gt;1),"Duplicate Accession; ",""))</f>
        <v/>
      </c>
    </row>
    <row r="133" spans="1:3" x14ac:dyDescent="0.25">
      <c r="A133" s="16" t="str">
        <f>Catalog!A108</f>
        <v/>
      </c>
      <c r="B133" s="16">
        <f>Catalog!D108</f>
        <v>0</v>
      </c>
      <c r="C133" s="17" t="str">
        <f>IF(Catalog!D108="","",IF(ISBLANK(Catalog!F108),"Missing Creator; ","")&amp;IF(ISBLANK(Catalog!K108),"Missing Type; ","")&amp;IF(ISBLANK(Catalog!L108),"Missing Genre; ","")&amp;IF(ISBLANK(Catalog!W108),"Missing Location Type; ","")&amp;IF(ISBLANK(Catalog!X108),"Missing Location Identifier; ","")&amp;IF(AND(Catalog!S108&lt;&gt;"",COUNTIF(Catalog!$S$2:$S$501,Catalog!S108)&gt;1),"Duplicate ISBN; ","")&amp;IF(AND(Catalog!B108&lt;&gt;"",COUNTIF(Catalog!$B$2:$B$501,Catalog!B108)&gt;1),"Duplicate Accession; ",""))</f>
        <v/>
      </c>
    </row>
    <row r="134" spans="1:3" x14ac:dyDescent="0.25">
      <c r="A134" s="16" t="str">
        <f>Catalog!A109</f>
        <v/>
      </c>
      <c r="B134" s="16">
        <f>Catalog!D109</f>
        <v>0</v>
      </c>
      <c r="C134" s="17" t="str">
        <f>IF(Catalog!D109="","",IF(ISBLANK(Catalog!F109),"Missing Creator; ","")&amp;IF(ISBLANK(Catalog!K109),"Missing Type; ","")&amp;IF(ISBLANK(Catalog!L109),"Missing Genre; ","")&amp;IF(ISBLANK(Catalog!W109),"Missing Location Type; ","")&amp;IF(ISBLANK(Catalog!X109),"Missing Location Identifier; ","")&amp;IF(AND(Catalog!S109&lt;&gt;"",COUNTIF(Catalog!$S$2:$S$501,Catalog!S109)&gt;1),"Duplicate ISBN; ","")&amp;IF(AND(Catalog!B109&lt;&gt;"",COUNTIF(Catalog!$B$2:$B$501,Catalog!B109)&gt;1),"Duplicate Accession; ",""))</f>
        <v/>
      </c>
    </row>
    <row r="135" spans="1:3" x14ac:dyDescent="0.25">
      <c r="A135" s="16" t="str">
        <f>Catalog!A110</f>
        <v/>
      </c>
      <c r="B135" s="16">
        <f>Catalog!D110</f>
        <v>0</v>
      </c>
      <c r="C135" s="17" t="str">
        <f>IF(Catalog!D110="","",IF(ISBLANK(Catalog!F110),"Missing Creator; ","")&amp;IF(ISBLANK(Catalog!K110),"Missing Type; ","")&amp;IF(ISBLANK(Catalog!L110),"Missing Genre; ","")&amp;IF(ISBLANK(Catalog!W110),"Missing Location Type; ","")&amp;IF(ISBLANK(Catalog!X110),"Missing Location Identifier; ","")&amp;IF(AND(Catalog!S110&lt;&gt;"",COUNTIF(Catalog!$S$2:$S$501,Catalog!S110)&gt;1),"Duplicate ISBN; ","")&amp;IF(AND(Catalog!B110&lt;&gt;"",COUNTIF(Catalog!$B$2:$B$501,Catalog!B110)&gt;1),"Duplicate Accession; ",""))</f>
        <v/>
      </c>
    </row>
    <row r="136" spans="1:3" x14ac:dyDescent="0.25">
      <c r="A136" s="16" t="str">
        <f>Catalog!A111</f>
        <v/>
      </c>
      <c r="B136" s="16">
        <f>Catalog!D111</f>
        <v>0</v>
      </c>
      <c r="C136" s="17" t="str">
        <f>IF(Catalog!D111="","",IF(ISBLANK(Catalog!F111),"Missing Creator; ","")&amp;IF(ISBLANK(Catalog!K111),"Missing Type; ","")&amp;IF(ISBLANK(Catalog!L111),"Missing Genre; ","")&amp;IF(ISBLANK(Catalog!W111),"Missing Location Type; ","")&amp;IF(ISBLANK(Catalog!X111),"Missing Location Identifier; ","")&amp;IF(AND(Catalog!S111&lt;&gt;"",COUNTIF(Catalog!$S$2:$S$501,Catalog!S111)&gt;1),"Duplicate ISBN; ","")&amp;IF(AND(Catalog!B111&lt;&gt;"",COUNTIF(Catalog!$B$2:$B$501,Catalog!B111)&gt;1),"Duplicate Accession; ",""))</f>
        <v/>
      </c>
    </row>
    <row r="137" spans="1:3" x14ac:dyDescent="0.25">
      <c r="A137" s="16" t="str">
        <f>Catalog!A112</f>
        <v/>
      </c>
      <c r="B137" s="16">
        <f>Catalog!D112</f>
        <v>0</v>
      </c>
      <c r="C137" s="17" t="str">
        <f>IF(Catalog!D112="","",IF(ISBLANK(Catalog!F112),"Missing Creator; ","")&amp;IF(ISBLANK(Catalog!K112),"Missing Type; ","")&amp;IF(ISBLANK(Catalog!L112),"Missing Genre; ","")&amp;IF(ISBLANK(Catalog!W112),"Missing Location Type; ","")&amp;IF(ISBLANK(Catalog!X112),"Missing Location Identifier; ","")&amp;IF(AND(Catalog!S112&lt;&gt;"",COUNTIF(Catalog!$S$2:$S$501,Catalog!S112)&gt;1),"Duplicate ISBN; ","")&amp;IF(AND(Catalog!B112&lt;&gt;"",COUNTIF(Catalog!$B$2:$B$501,Catalog!B112)&gt;1),"Duplicate Accession; ",""))</f>
        <v/>
      </c>
    </row>
    <row r="138" spans="1:3" x14ac:dyDescent="0.25">
      <c r="A138" s="16" t="str">
        <f>Catalog!A113</f>
        <v/>
      </c>
      <c r="B138" s="16">
        <f>Catalog!D113</f>
        <v>0</v>
      </c>
      <c r="C138" s="17" t="str">
        <f>IF(Catalog!D113="","",IF(ISBLANK(Catalog!F113),"Missing Creator; ","")&amp;IF(ISBLANK(Catalog!K113),"Missing Type; ","")&amp;IF(ISBLANK(Catalog!L113),"Missing Genre; ","")&amp;IF(ISBLANK(Catalog!W113),"Missing Location Type; ","")&amp;IF(ISBLANK(Catalog!X113),"Missing Location Identifier; ","")&amp;IF(AND(Catalog!S113&lt;&gt;"",COUNTIF(Catalog!$S$2:$S$501,Catalog!S113)&gt;1),"Duplicate ISBN; ","")&amp;IF(AND(Catalog!B113&lt;&gt;"",COUNTIF(Catalog!$B$2:$B$501,Catalog!B113)&gt;1),"Duplicate Accession; ",""))</f>
        <v/>
      </c>
    </row>
    <row r="139" spans="1:3" x14ac:dyDescent="0.25">
      <c r="A139" s="16" t="str">
        <f>Catalog!A114</f>
        <v/>
      </c>
      <c r="B139" s="16">
        <f>Catalog!D114</f>
        <v>0</v>
      </c>
      <c r="C139" s="17" t="str">
        <f>IF(Catalog!D114="","",IF(ISBLANK(Catalog!F114),"Missing Creator; ","")&amp;IF(ISBLANK(Catalog!K114),"Missing Type; ","")&amp;IF(ISBLANK(Catalog!L114),"Missing Genre; ","")&amp;IF(ISBLANK(Catalog!W114),"Missing Location Type; ","")&amp;IF(ISBLANK(Catalog!X114),"Missing Location Identifier; ","")&amp;IF(AND(Catalog!S114&lt;&gt;"",COUNTIF(Catalog!$S$2:$S$501,Catalog!S114)&gt;1),"Duplicate ISBN; ","")&amp;IF(AND(Catalog!B114&lt;&gt;"",COUNTIF(Catalog!$B$2:$B$501,Catalog!B114)&gt;1),"Duplicate Accession; ",""))</f>
        <v/>
      </c>
    </row>
    <row r="140" spans="1:3" x14ac:dyDescent="0.25">
      <c r="A140" s="16" t="str">
        <f>Catalog!A115</f>
        <v/>
      </c>
      <c r="B140" s="16">
        <f>Catalog!D115</f>
        <v>0</v>
      </c>
      <c r="C140" s="17" t="str">
        <f>IF(Catalog!D115="","",IF(ISBLANK(Catalog!F115),"Missing Creator; ","")&amp;IF(ISBLANK(Catalog!K115),"Missing Type; ","")&amp;IF(ISBLANK(Catalog!L115),"Missing Genre; ","")&amp;IF(ISBLANK(Catalog!W115),"Missing Location Type; ","")&amp;IF(ISBLANK(Catalog!X115),"Missing Location Identifier; ","")&amp;IF(AND(Catalog!S115&lt;&gt;"",COUNTIF(Catalog!$S$2:$S$501,Catalog!S115)&gt;1),"Duplicate ISBN; ","")&amp;IF(AND(Catalog!B115&lt;&gt;"",COUNTIF(Catalog!$B$2:$B$501,Catalog!B115)&gt;1),"Duplicate Accession; ",""))</f>
        <v/>
      </c>
    </row>
    <row r="141" spans="1:3" x14ac:dyDescent="0.25">
      <c r="A141" s="16" t="str">
        <f>Catalog!A116</f>
        <v/>
      </c>
      <c r="B141" s="16">
        <f>Catalog!D116</f>
        <v>0</v>
      </c>
      <c r="C141" s="17" t="str">
        <f>IF(Catalog!D116="","",IF(ISBLANK(Catalog!F116),"Missing Creator; ","")&amp;IF(ISBLANK(Catalog!K116),"Missing Type; ","")&amp;IF(ISBLANK(Catalog!L116),"Missing Genre; ","")&amp;IF(ISBLANK(Catalog!W116),"Missing Location Type; ","")&amp;IF(ISBLANK(Catalog!X116),"Missing Location Identifier; ","")&amp;IF(AND(Catalog!S116&lt;&gt;"",COUNTIF(Catalog!$S$2:$S$501,Catalog!S116)&gt;1),"Duplicate ISBN; ","")&amp;IF(AND(Catalog!B116&lt;&gt;"",COUNTIF(Catalog!$B$2:$B$501,Catalog!B116)&gt;1),"Duplicate Accession; ",""))</f>
        <v/>
      </c>
    </row>
    <row r="142" spans="1:3" x14ac:dyDescent="0.25">
      <c r="A142" s="16" t="str">
        <f>Catalog!A117</f>
        <v/>
      </c>
      <c r="B142" s="16">
        <f>Catalog!D117</f>
        <v>0</v>
      </c>
      <c r="C142" s="17" t="str">
        <f>IF(Catalog!D117="","",IF(ISBLANK(Catalog!F117),"Missing Creator; ","")&amp;IF(ISBLANK(Catalog!K117),"Missing Type; ","")&amp;IF(ISBLANK(Catalog!L117),"Missing Genre; ","")&amp;IF(ISBLANK(Catalog!W117),"Missing Location Type; ","")&amp;IF(ISBLANK(Catalog!X117),"Missing Location Identifier; ","")&amp;IF(AND(Catalog!S117&lt;&gt;"",COUNTIF(Catalog!$S$2:$S$501,Catalog!S117)&gt;1),"Duplicate ISBN; ","")&amp;IF(AND(Catalog!B117&lt;&gt;"",COUNTIF(Catalog!$B$2:$B$501,Catalog!B117)&gt;1),"Duplicate Accession; ",""))</f>
        <v/>
      </c>
    </row>
    <row r="143" spans="1:3" x14ac:dyDescent="0.25">
      <c r="A143" s="16" t="str">
        <f>Catalog!A118</f>
        <v/>
      </c>
      <c r="B143" s="16">
        <f>Catalog!D118</f>
        <v>0</v>
      </c>
      <c r="C143" s="17" t="str">
        <f>IF(Catalog!D118="","",IF(ISBLANK(Catalog!F118),"Missing Creator; ","")&amp;IF(ISBLANK(Catalog!K118),"Missing Type; ","")&amp;IF(ISBLANK(Catalog!L118),"Missing Genre; ","")&amp;IF(ISBLANK(Catalog!W118),"Missing Location Type; ","")&amp;IF(ISBLANK(Catalog!X118),"Missing Location Identifier; ","")&amp;IF(AND(Catalog!S118&lt;&gt;"",COUNTIF(Catalog!$S$2:$S$501,Catalog!S118)&gt;1),"Duplicate ISBN; ","")&amp;IF(AND(Catalog!B118&lt;&gt;"",COUNTIF(Catalog!$B$2:$B$501,Catalog!B118)&gt;1),"Duplicate Accession; ",""))</f>
        <v/>
      </c>
    </row>
    <row r="144" spans="1:3" x14ac:dyDescent="0.25">
      <c r="A144" s="16" t="str">
        <f>Catalog!A119</f>
        <v/>
      </c>
      <c r="B144" s="16">
        <f>Catalog!D119</f>
        <v>0</v>
      </c>
      <c r="C144" s="17" t="str">
        <f>IF(Catalog!D119="","",IF(ISBLANK(Catalog!F119),"Missing Creator; ","")&amp;IF(ISBLANK(Catalog!K119),"Missing Type; ","")&amp;IF(ISBLANK(Catalog!L119),"Missing Genre; ","")&amp;IF(ISBLANK(Catalog!W119),"Missing Location Type; ","")&amp;IF(ISBLANK(Catalog!X119),"Missing Location Identifier; ","")&amp;IF(AND(Catalog!S119&lt;&gt;"",COUNTIF(Catalog!$S$2:$S$501,Catalog!S119)&gt;1),"Duplicate ISBN; ","")&amp;IF(AND(Catalog!B119&lt;&gt;"",COUNTIF(Catalog!$B$2:$B$501,Catalog!B119)&gt;1),"Duplicate Accession; ",""))</f>
        <v/>
      </c>
    </row>
    <row r="145" spans="1:3" x14ac:dyDescent="0.25">
      <c r="A145" s="16" t="str">
        <f>Catalog!A120</f>
        <v/>
      </c>
      <c r="B145" s="16">
        <f>Catalog!D120</f>
        <v>0</v>
      </c>
      <c r="C145" s="17" t="str">
        <f>IF(Catalog!D120="","",IF(ISBLANK(Catalog!F120),"Missing Creator; ","")&amp;IF(ISBLANK(Catalog!K120),"Missing Type; ","")&amp;IF(ISBLANK(Catalog!L120),"Missing Genre; ","")&amp;IF(ISBLANK(Catalog!W120),"Missing Location Type; ","")&amp;IF(ISBLANK(Catalog!X120),"Missing Location Identifier; ","")&amp;IF(AND(Catalog!S120&lt;&gt;"",COUNTIF(Catalog!$S$2:$S$501,Catalog!S120)&gt;1),"Duplicate ISBN; ","")&amp;IF(AND(Catalog!B120&lt;&gt;"",COUNTIF(Catalog!$B$2:$B$501,Catalog!B120)&gt;1),"Duplicate Accession; ",""))</f>
        <v/>
      </c>
    </row>
    <row r="146" spans="1:3" x14ac:dyDescent="0.25">
      <c r="A146" s="16" t="str">
        <f>Catalog!A121</f>
        <v/>
      </c>
      <c r="B146" s="16">
        <f>Catalog!D121</f>
        <v>0</v>
      </c>
      <c r="C146" s="17" t="str">
        <f>IF(Catalog!D121="","",IF(ISBLANK(Catalog!F121),"Missing Creator; ","")&amp;IF(ISBLANK(Catalog!K121),"Missing Type; ","")&amp;IF(ISBLANK(Catalog!L121),"Missing Genre; ","")&amp;IF(ISBLANK(Catalog!W121),"Missing Location Type; ","")&amp;IF(ISBLANK(Catalog!X121),"Missing Location Identifier; ","")&amp;IF(AND(Catalog!S121&lt;&gt;"",COUNTIF(Catalog!$S$2:$S$501,Catalog!S121)&gt;1),"Duplicate ISBN; ","")&amp;IF(AND(Catalog!B121&lt;&gt;"",COUNTIF(Catalog!$B$2:$B$501,Catalog!B121)&gt;1),"Duplicate Accession; ",""))</f>
        <v/>
      </c>
    </row>
    <row r="147" spans="1:3" x14ac:dyDescent="0.25">
      <c r="A147" s="16" t="str">
        <f>Catalog!A122</f>
        <v/>
      </c>
      <c r="B147" s="16">
        <f>Catalog!D122</f>
        <v>0</v>
      </c>
      <c r="C147" s="17" t="str">
        <f>IF(Catalog!D122="","",IF(ISBLANK(Catalog!F122),"Missing Creator; ","")&amp;IF(ISBLANK(Catalog!K122),"Missing Type; ","")&amp;IF(ISBLANK(Catalog!L122),"Missing Genre; ","")&amp;IF(ISBLANK(Catalog!W122),"Missing Location Type; ","")&amp;IF(ISBLANK(Catalog!X122),"Missing Location Identifier; ","")&amp;IF(AND(Catalog!S122&lt;&gt;"",COUNTIF(Catalog!$S$2:$S$501,Catalog!S122)&gt;1),"Duplicate ISBN; ","")&amp;IF(AND(Catalog!B122&lt;&gt;"",COUNTIF(Catalog!$B$2:$B$501,Catalog!B122)&gt;1),"Duplicate Accession; ",""))</f>
        <v/>
      </c>
    </row>
    <row r="148" spans="1:3" x14ac:dyDescent="0.25">
      <c r="A148" s="16" t="str">
        <f>Catalog!A123</f>
        <v/>
      </c>
      <c r="B148" s="16">
        <f>Catalog!D123</f>
        <v>0</v>
      </c>
      <c r="C148" s="17" t="str">
        <f>IF(Catalog!D123="","",IF(ISBLANK(Catalog!F123),"Missing Creator; ","")&amp;IF(ISBLANK(Catalog!K123),"Missing Type; ","")&amp;IF(ISBLANK(Catalog!L123),"Missing Genre; ","")&amp;IF(ISBLANK(Catalog!W123),"Missing Location Type; ","")&amp;IF(ISBLANK(Catalog!X123),"Missing Location Identifier; ","")&amp;IF(AND(Catalog!S123&lt;&gt;"",COUNTIF(Catalog!$S$2:$S$501,Catalog!S123)&gt;1),"Duplicate ISBN; ","")&amp;IF(AND(Catalog!B123&lt;&gt;"",COUNTIF(Catalog!$B$2:$B$501,Catalog!B123)&gt;1),"Duplicate Accession; ",""))</f>
        <v/>
      </c>
    </row>
    <row r="149" spans="1:3" x14ac:dyDescent="0.25">
      <c r="A149" s="16" t="str">
        <f>Catalog!A124</f>
        <v/>
      </c>
      <c r="B149" s="16">
        <f>Catalog!D124</f>
        <v>0</v>
      </c>
      <c r="C149" s="17" t="str">
        <f>IF(Catalog!D124="","",IF(ISBLANK(Catalog!F124),"Missing Creator; ","")&amp;IF(ISBLANK(Catalog!K124),"Missing Type; ","")&amp;IF(ISBLANK(Catalog!L124),"Missing Genre; ","")&amp;IF(ISBLANK(Catalog!W124),"Missing Location Type; ","")&amp;IF(ISBLANK(Catalog!X124),"Missing Location Identifier; ","")&amp;IF(AND(Catalog!S124&lt;&gt;"",COUNTIF(Catalog!$S$2:$S$501,Catalog!S124)&gt;1),"Duplicate ISBN; ","")&amp;IF(AND(Catalog!B124&lt;&gt;"",COUNTIF(Catalog!$B$2:$B$501,Catalog!B124)&gt;1),"Duplicate Accession; ",""))</f>
        <v/>
      </c>
    </row>
    <row r="150" spans="1:3" x14ac:dyDescent="0.25">
      <c r="A150" s="16" t="str">
        <f>Catalog!A125</f>
        <v/>
      </c>
      <c r="B150" s="16">
        <f>Catalog!D125</f>
        <v>0</v>
      </c>
      <c r="C150" s="17" t="str">
        <f>IF(Catalog!D125="","",IF(ISBLANK(Catalog!F125),"Missing Creator; ","")&amp;IF(ISBLANK(Catalog!K125),"Missing Type; ","")&amp;IF(ISBLANK(Catalog!L125),"Missing Genre; ","")&amp;IF(ISBLANK(Catalog!W125),"Missing Location Type; ","")&amp;IF(ISBLANK(Catalog!X125),"Missing Location Identifier; ","")&amp;IF(AND(Catalog!S125&lt;&gt;"",COUNTIF(Catalog!$S$2:$S$501,Catalog!S125)&gt;1),"Duplicate ISBN; ","")&amp;IF(AND(Catalog!B125&lt;&gt;"",COUNTIF(Catalog!$B$2:$B$501,Catalog!B125)&gt;1),"Duplicate Accession; ",""))</f>
        <v/>
      </c>
    </row>
    <row r="151" spans="1:3" x14ac:dyDescent="0.25">
      <c r="A151" s="16" t="str">
        <f>Catalog!A126</f>
        <v/>
      </c>
      <c r="B151" s="16">
        <f>Catalog!D126</f>
        <v>0</v>
      </c>
      <c r="C151" s="17" t="str">
        <f>IF(Catalog!D126="","",IF(ISBLANK(Catalog!F126),"Missing Creator; ","")&amp;IF(ISBLANK(Catalog!K126),"Missing Type; ","")&amp;IF(ISBLANK(Catalog!L126),"Missing Genre; ","")&amp;IF(ISBLANK(Catalog!W126),"Missing Location Type; ","")&amp;IF(ISBLANK(Catalog!X126),"Missing Location Identifier; ","")&amp;IF(AND(Catalog!S126&lt;&gt;"",COUNTIF(Catalog!$S$2:$S$501,Catalog!S126)&gt;1),"Duplicate ISBN; ","")&amp;IF(AND(Catalog!B126&lt;&gt;"",COUNTIF(Catalog!$B$2:$B$501,Catalog!B126)&gt;1),"Duplicate Accession; ",""))</f>
        <v/>
      </c>
    </row>
    <row r="152" spans="1:3" x14ac:dyDescent="0.25">
      <c r="A152" s="16" t="str">
        <f>Catalog!A127</f>
        <v/>
      </c>
      <c r="B152" s="16">
        <f>Catalog!D127</f>
        <v>0</v>
      </c>
      <c r="C152" s="17" t="str">
        <f>IF(Catalog!D127="","",IF(ISBLANK(Catalog!F127),"Missing Creator; ","")&amp;IF(ISBLANK(Catalog!K127),"Missing Type; ","")&amp;IF(ISBLANK(Catalog!L127),"Missing Genre; ","")&amp;IF(ISBLANK(Catalog!W127),"Missing Location Type; ","")&amp;IF(ISBLANK(Catalog!X127),"Missing Location Identifier; ","")&amp;IF(AND(Catalog!S127&lt;&gt;"",COUNTIF(Catalog!$S$2:$S$501,Catalog!S127)&gt;1),"Duplicate ISBN; ","")&amp;IF(AND(Catalog!B127&lt;&gt;"",COUNTIF(Catalog!$B$2:$B$501,Catalog!B127)&gt;1),"Duplicate Accession; ",""))</f>
        <v/>
      </c>
    </row>
    <row r="153" spans="1:3" x14ac:dyDescent="0.25">
      <c r="A153" s="16" t="str">
        <f>Catalog!A128</f>
        <v/>
      </c>
      <c r="B153" s="16">
        <f>Catalog!D128</f>
        <v>0</v>
      </c>
      <c r="C153" s="17" t="str">
        <f>IF(Catalog!D128="","",IF(ISBLANK(Catalog!F128),"Missing Creator; ","")&amp;IF(ISBLANK(Catalog!K128),"Missing Type; ","")&amp;IF(ISBLANK(Catalog!L128),"Missing Genre; ","")&amp;IF(ISBLANK(Catalog!W128),"Missing Location Type; ","")&amp;IF(ISBLANK(Catalog!X128),"Missing Location Identifier; ","")&amp;IF(AND(Catalog!S128&lt;&gt;"",COUNTIF(Catalog!$S$2:$S$501,Catalog!S128)&gt;1),"Duplicate ISBN; ","")&amp;IF(AND(Catalog!B128&lt;&gt;"",COUNTIF(Catalog!$B$2:$B$501,Catalog!B128)&gt;1),"Duplicate Accession; ",""))</f>
        <v/>
      </c>
    </row>
    <row r="154" spans="1:3" x14ac:dyDescent="0.25">
      <c r="A154" s="16" t="str">
        <f>Catalog!A129</f>
        <v/>
      </c>
      <c r="B154" s="16">
        <f>Catalog!D129</f>
        <v>0</v>
      </c>
      <c r="C154" s="17" t="str">
        <f>IF(Catalog!D129="","",IF(ISBLANK(Catalog!F129),"Missing Creator; ","")&amp;IF(ISBLANK(Catalog!K129),"Missing Type; ","")&amp;IF(ISBLANK(Catalog!L129),"Missing Genre; ","")&amp;IF(ISBLANK(Catalog!W129),"Missing Location Type; ","")&amp;IF(ISBLANK(Catalog!X129),"Missing Location Identifier; ","")&amp;IF(AND(Catalog!S129&lt;&gt;"",COUNTIF(Catalog!$S$2:$S$501,Catalog!S129)&gt;1),"Duplicate ISBN; ","")&amp;IF(AND(Catalog!B129&lt;&gt;"",COUNTIF(Catalog!$B$2:$B$501,Catalog!B129)&gt;1),"Duplicate Accession; ",""))</f>
        <v/>
      </c>
    </row>
    <row r="155" spans="1:3" x14ac:dyDescent="0.25">
      <c r="A155" s="16" t="str">
        <f>Catalog!A130</f>
        <v/>
      </c>
      <c r="B155" s="16">
        <f>Catalog!D130</f>
        <v>0</v>
      </c>
      <c r="C155" s="17" t="str">
        <f>IF(Catalog!D130="","",IF(ISBLANK(Catalog!F130),"Missing Creator; ","")&amp;IF(ISBLANK(Catalog!K130),"Missing Type; ","")&amp;IF(ISBLANK(Catalog!L130),"Missing Genre; ","")&amp;IF(ISBLANK(Catalog!W130),"Missing Location Type; ","")&amp;IF(ISBLANK(Catalog!X130),"Missing Location Identifier; ","")&amp;IF(AND(Catalog!S130&lt;&gt;"",COUNTIF(Catalog!$S$2:$S$501,Catalog!S130)&gt;1),"Duplicate ISBN; ","")&amp;IF(AND(Catalog!B130&lt;&gt;"",COUNTIF(Catalog!$B$2:$B$501,Catalog!B130)&gt;1),"Duplicate Accession; ",""))</f>
        <v/>
      </c>
    </row>
    <row r="156" spans="1:3" x14ac:dyDescent="0.25">
      <c r="A156" s="16" t="str">
        <f>Catalog!A131</f>
        <v/>
      </c>
      <c r="B156" s="16">
        <f>Catalog!D131</f>
        <v>0</v>
      </c>
      <c r="C156" s="17" t="str">
        <f>IF(Catalog!D131="","",IF(ISBLANK(Catalog!F131),"Missing Creator; ","")&amp;IF(ISBLANK(Catalog!K131),"Missing Type; ","")&amp;IF(ISBLANK(Catalog!L131),"Missing Genre; ","")&amp;IF(ISBLANK(Catalog!W131),"Missing Location Type; ","")&amp;IF(ISBLANK(Catalog!X131),"Missing Location Identifier; ","")&amp;IF(AND(Catalog!S131&lt;&gt;"",COUNTIF(Catalog!$S$2:$S$501,Catalog!S131)&gt;1),"Duplicate ISBN; ","")&amp;IF(AND(Catalog!B131&lt;&gt;"",COUNTIF(Catalog!$B$2:$B$501,Catalog!B131)&gt;1),"Duplicate Accession; ",""))</f>
        <v/>
      </c>
    </row>
    <row r="157" spans="1:3" x14ac:dyDescent="0.25">
      <c r="A157" s="16" t="str">
        <f>Catalog!A132</f>
        <v/>
      </c>
      <c r="B157" s="16">
        <f>Catalog!D132</f>
        <v>0</v>
      </c>
      <c r="C157" s="17" t="str">
        <f>IF(Catalog!D132="","",IF(ISBLANK(Catalog!F132),"Missing Creator; ","")&amp;IF(ISBLANK(Catalog!K132),"Missing Type; ","")&amp;IF(ISBLANK(Catalog!L132),"Missing Genre; ","")&amp;IF(ISBLANK(Catalog!W132),"Missing Location Type; ","")&amp;IF(ISBLANK(Catalog!X132),"Missing Location Identifier; ","")&amp;IF(AND(Catalog!S132&lt;&gt;"",COUNTIF(Catalog!$S$2:$S$501,Catalog!S132)&gt;1),"Duplicate ISBN; ","")&amp;IF(AND(Catalog!B132&lt;&gt;"",COUNTIF(Catalog!$B$2:$B$501,Catalog!B132)&gt;1),"Duplicate Accession; ",""))</f>
        <v/>
      </c>
    </row>
    <row r="158" spans="1:3" x14ac:dyDescent="0.25">
      <c r="A158" s="16" t="str">
        <f>Catalog!A133</f>
        <v/>
      </c>
      <c r="B158" s="16">
        <f>Catalog!D133</f>
        <v>0</v>
      </c>
      <c r="C158" s="17" t="str">
        <f>IF(Catalog!D133="","",IF(ISBLANK(Catalog!F133),"Missing Creator; ","")&amp;IF(ISBLANK(Catalog!K133),"Missing Type; ","")&amp;IF(ISBLANK(Catalog!L133),"Missing Genre; ","")&amp;IF(ISBLANK(Catalog!W133),"Missing Location Type; ","")&amp;IF(ISBLANK(Catalog!X133),"Missing Location Identifier; ","")&amp;IF(AND(Catalog!S133&lt;&gt;"",COUNTIF(Catalog!$S$2:$S$501,Catalog!S133)&gt;1),"Duplicate ISBN; ","")&amp;IF(AND(Catalog!B133&lt;&gt;"",COUNTIF(Catalog!$B$2:$B$501,Catalog!B133)&gt;1),"Duplicate Accession; ",""))</f>
        <v/>
      </c>
    </row>
    <row r="159" spans="1:3" x14ac:dyDescent="0.25">
      <c r="A159" s="16" t="str">
        <f>Catalog!A134</f>
        <v/>
      </c>
      <c r="B159" s="16">
        <f>Catalog!D134</f>
        <v>0</v>
      </c>
      <c r="C159" s="17" t="str">
        <f>IF(Catalog!D134="","",IF(ISBLANK(Catalog!F134),"Missing Creator; ","")&amp;IF(ISBLANK(Catalog!K134),"Missing Type; ","")&amp;IF(ISBLANK(Catalog!L134),"Missing Genre; ","")&amp;IF(ISBLANK(Catalog!W134),"Missing Location Type; ","")&amp;IF(ISBLANK(Catalog!X134),"Missing Location Identifier; ","")&amp;IF(AND(Catalog!S134&lt;&gt;"",COUNTIF(Catalog!$S$2:$S$501,Catalog!S134)&gt;1),"Duplicate ISBN; ","")&amp;IF(AND(Catalog!B134&lt;&gt;"",COUNTIF(Catalog!$B$2:$B$501,Catalog!B134)&gt;1),"Duplicate Accession; ",""))</f>
        <v/>
      </c>
    </row>
    <row r="160" spans="1:3" x14ac:dyDescent="0.25">
      <c r="A160" s="16" t="str">
        <f>Catalog!A135</f>
        <v/>
      </c>
      <c r="B160" s="16">
        <f>Catalog!D135</f>
        <v>0</v>
      </c>
      <c r="C160" s="17" t="str">
        <f>IF(Catalog!D135="","",IF(ISBLANK(Catalog!F135),"Missing Creator; ","")&amp;IF(ISBLANK(Catalog!K135),"Missing Type; ","")&amp;IF(ISBLANK(Catalog!L135),"Missing Genre; ","")&amp;IF(ISBLANK(Catalog!W135),"Missing Location Type; ","")&amp;IF(ISBLANK(Catalog!X135),"Missing Location Identifier; ","")&amp;IF(AND(Catalog!S135&lt;&gt;"",COUNTIF(Catalog!$S$2:$S$501,Catalog!S135)&gt;1),"Duplicate ISBN; ","")&amp;IF(AND(Catalog!B135&lt;&gt;"",COUNTIF(Catalog!$B$2:$B$501,Catalog!B135)&gt;1),"Duplicate Accession; ",""))</f>
        <v/>
      </c>
    </row>
    <row r="161" spans="1:3" x14ac:dyDescent="0.25">
      <c r="A161" s="16" t="str">
        <f>Catalog!A136</f>
        <v/>
      </c>
      <c r="B161" s="16">
        <f>Catalog!D136</f>
        <v>0</v>
      </c>
      <c r="C161" s="17" t="str">
        <f>IF(Catalog!D136="","",IF(ISBLANK(Catalog!F136),"Missing Creator; ","")&amp;IF(ISBLANK(Catalog!K136),"Missing Type; ","")&amp;IF(ISBLANK(Catalog!L136),"Missing Genre; ","")&amp;IF(ISBLANK(Catalog!W136),"Missing Location Type; ","")&amp;IF(ISBLANK(Catalog!X136),"Missing Location Identifier; ","")&amp;IF(AND(Catalog!S136&lt;&gt;"",COUNTIF(Catalog!$S$2:$S$501,Catalog!S136)&gt;1),"Duplicate ISBN; ","")&amp;IF(AND(Catalog!B136&lt;&gt;"",COUNTIF(Catalog!$B$2:$B$501,Catalog!B136)&gt;1),"Duplicate Accession; ",""))</f>
        <v/>
      </c>
    </row>
    <row r="162" spans="1:3" x14ac:dyDescent="0.25">
      <c r="A162" s="16" t="str">
        <f>Catalog!A137</f>
        <v/>
      </c>
      <c r="B162" s="16">
        <f>Catalog!D137</f>
        <v>0</v>
      </c>
      <c r="C162" s="17" t="str">
        <f>IF(Catalog!D137="","",IF(ISBLANK(Catalog!F137),"Missing Creator; ","")&amp;IF(ISBLANK(Catalog!K137),"Missing Type; ","")&amp;IF(ISBLANK(Catalog!L137),"Missing Genre; ","")&amp;IF(ISBLANK(Catalog!W137),"Missing Location Type; ","")&amp;IF(ISBLANK(Catalog!X137),"Missing Location Identifier; ","")&amp;IF(AND(Catalog!S137&lt;&gt;"",COUNTIF(Catalog!$S$2:$S$501,Catalog!S137)&gt;1),"Duplicate ISBN; ","")&amp;IF(AND(Catalog!B137&lt;&gt;"",COUNTIF(Catalog!$B$2:$B$501,Catalog!B137)&gt;1),"Duplicate Accession; ",""))</f>
        <v/>
      </c>
    </row>
    <row r="163" spans="1:3" x14ac:dyDescent="0.25">
      <c r="A163" s="16" t="str">
        <f>Catalog!A138</f>
        <v/>
      </c>
      <c r="B163" s="16">
        <f>Catalog!D138</f>
        <v>0</v>
      </c>
      <c r="C163" s="17" t="str">
        <f>IF(Catalog!D138="","",IF(ISBLANK(Catalog!F138),"Missing Creator; ","")&amp;IF(ISBLANK(Catalog!K138),"Missing Type; ","")&amp;IF(ISBLANK(Catalog!L138),"Missing Genre; ","")&amp;IF(ISBLANK(Catalog!W138),"Missing Location Type; ","")&amp;IF(ISBLANK(Catalog!X138),"Missing Location Identifier; ","")&amp;IF(AND(Catalog!S138&lt;&gt;"",COUNTIF(Catalog!$S$2:$S$501,Catalog!S138)&gt;1),"Duplicate ISBN; ","")&amp;IF(AND(Catalog!B138&lt;&gt;"",COUNTIF(Catalog!$B$2:$B$501,Catalog!B138)&gt;1),"Duplicate Accession; ",""))</f>
        <v/>
      </c>
    </row>
    <row r="164" spans="1:3" x14ac:dyDescent="0.25">
      <c r="A164" s="16" t="str">
        <f>Catalog!A139</f>
        <v/>
      </c>
      <c r="B164" s="16">
        <f>Catalog!D139</f>
        <v>0</v>
      </c>
      <c r="C164" s="17" t="str">
        <f>IF(Catalog!D139="","",IF(ISBLANK(Catalog!F139),"Missing Creator; ","")&amp;IF(ISBLANK(Catalog!K139),"Missing Type; ","")&amp;IF(ISBLANK(Catalog!L139),"Missing Genre; ","")&amp;IF(ISBLANK(Catalog!W139),"Missing Location Type; ","")&amp;IF(ISBLANK(Catalog!X139),"Missing Location Identifier; ","")&amp;IF(AND(Catalog!S139&lt;&gt;"",COUNTIF(Catalog!$S$2:$S$501,Catalog!S139)&gt;1),"Duplicate ISBN; ","")&amp;IF(AND(Catalog!B139&lt;&gt;"",COUNTIF(Catalog!$B$2:$B$501,Catalog!B139)&gt;1),"Duplicate Accession; ",""))</f>
        <v/>
      </c>
    </row>
    <row r="165" spans="1:3" x14ac:dyDescent="0.25">
      <c r="A165" s="16" t="str">
        <f>Catalog!A140</f>
        <v/>
      </c>
      <c r="B165" s="16">
        <f>Catalog!D140</f>
        <v>0</v>
      </c>
      <c r="C165" s="17" t="str">
        <f>IF(Catalog!D140="","",IF(ISBLANK(Catalog!F140),"Missing Creator; ","")&amp;IF(ISBLANK(Catalog!K140),"Missing Type; ","")&amp;IF(ISBLANK(Catalog!L140),"Missing Genre; ","")&amp;IF(ISBLANK(Catalog!W140),"Missing Location Type; ","")&amp;IF(ISBLANK(Catalog!X140),"Missing Location Identifier; ","")&amp;IF(AND(Catalog!S140&lt;&gt;"",COUNTIF(Catalog!$S$2:$S$501,Catalog!S140)&gt;1),"Duplicate ISBN; ","")&amp;IF(AND(Catalog!B140&lt;&gt;"",COUNTIF(Catalog!$B$2:$B$501,Catalog!B140)&gt;1),"Duplicate Accession; ",""))</f>
        <v/>
      </c>
    </row>
    <row r="166" spans="1:3" x14ac:dyDescent="0.25">
      <c r="A166" s="16" t="str">
        <f>Catalog!A141</f>
        <v/>
      </c>
      <c r="B166" s="16">
        <f>Catalog!D141</f>
        <v>0</v>
      </c>
      <c r="C166" s="17" t="str">
        <f>IF(Catalog!D141="","",IF(ISBLANK(Catalog!F141),"Missing Creator; ","")&amp;IF(ISBLANK(Catalog!K141),"Missing Type; ","")&amp;IF(ISBLANK(Catalog!L141),"Missing Genre; ","")&amp;IF(ISBLANK(Catalog!W141),"Missing Location Type; ","")&amp;IF(ISBLANK(Catalog!X141),"Missing Location Identifier; ","")&amp;IF(AND(Catalog!S141&lt;&gt;"",COUNTIF(Catalog!$S$2:$S$501,Catalog!S141)&gt;1),"Duplicate ISBN; ","")&amp;IF(AND(Catalog!B141&lt;&gt;"",COUNTIF(Catalog!$B$2:$B$501,Catalog!B141)&gt;1),"Duplicate Accession; ",""))</f>
        <v/>
      </c>
    </row>
    <row r="167" spans="1:3" x14ac:dyDescent="0.25">
      <c r="A167" s="16" t="str">
        <f>Catalog!A142</f>
        <v/>
      </c>
      <c r="B167" s="16">
        <f>Catalog!D142</f>
        <v>0</v>
      </c>
      <c r="C167" s="17" t="str">
        <f>IF(Catalog!D142="","",IF(ISBLANK(Catalog!F142),"Missing Creator; ","")&amp;IF(ISBLANK(Catalog!K142),"Missing Type; ","")&amp;IF(ISBLANK(Catalog!L142),"Missing Genre; ","")&amp;IF(ISBLANK(Catalog!W142),"Missing Location Type; ","")&amp;IF(ISBLANK(Catalog!X142),"Missing Location Identifier; ","")&amp;IF(AND(Catalog!S142&lt;&gt;"",COUNTIF(Catalog!$S$2:$S$501,Catalog!S142)&gt;1),"Duplicate ISBN; ","")&amp;IF(AND(Catalog!B142&lt;&gt;"",COUNTIF(Catalog!$B$2:$B$501,Catalog!B142)&gt;1),"Duplicate Accession; ",""))</f>
        <v/>
      </c>
    </row>
    <row r="168" spans="1:3" x14ac:dyDescent="0.25">
      <c r="A168" s="16" t="str">
        <f>Catalog!A143</f>
        <v/>
      </c>
      <c r="B168" s="16">
        <f>Catalog!D143</f>
        <v>0</v>
      </c>
      <c r="C168" s="17" t="str">
        <f>IF(Catalog!D143="","",IF(ISBLANK(Catalog!F143),"Missing Creator; ","")&amp;IF(ISBLANK(Catalog!K143),"Missing Type; ","")&amp;IF(ISBLANK(Catalog!L143),"Missing Genre; ","")&amp;IF(ISBLANK(Catalog!W143),"Missing Location Type; ","")&amp;IF(ISBLANK(Catalog!X143),"Missing Location Identifier; ","")&amp;IF(AND(Catalog!S143&lt;&gt;"",COUNTIF(Catalog!$S$2:$S$501,Catalog!S143)&gt;1),"Duplicate ISBN; ","")&amp;IF(AND(Catalog!B143&lt;&gt;"",COUNTIF(Catalog!$B$2:$B$501,Catalog!B143)&gt;1),"Duplicate Accession; ",""))</f>
        <v/>
      </c>
    </row>
    <row r="169" spans="1:3" x14ac:dyDescent="0.25">
      <c r="A169" s="16" t="str">
        <f>Catalog!A144</f>
        <v/>
      </c>
      <c r="B169" s="16">
        <f>Catalog!D144</f>
        <v>0</v>
      </c>
      <c r="C169" s="17" t="str">
        <f>IF(Catalog!D144="","",IF(ISBLANK(Catalog!F144),"Missing Creator; ","")&amp;IF(ISBLANK(Catalog!K144),"Missing Type; ","")&amp;IF(ISBLANK(Catalog!L144),"Missing Genre; ","")&amp;IF(ISBLANK(Catalog!W144),"Missing Location Type; ","")&amp;IF(ISBLANK(Catalog!X144),"Missing Location Identifier; ","")&amp;IF(AND(Catalog!S144&lt;&gt;"",COUNTIF(Catalog!$S$2:$S$501,Catalog!S144)&gt;1),"Duplicate ISBN; ","")&amp;IF(AND(Catalog!B144&lt;&gt;"",COUNTIF(Catalog!$B$2:$B$501,Catalog!B144)&gt;1),"Duplicate Accession; ",""))</f>
        <v/>
      </c>
    </row>
    <row r="170" spans="1:3" x14ac:dyDescent="0.25">
      <c r="A170" s="16" t="str">
        <f>Catalog!A145</f>
        <v/>
      </c>
      <c r="B170" s="16">
        <f>Catalog!D145</f>
        <v>0</v>
      </c>
      <c r="C170" s="17" t="str">
        <f>IF(Catalog!D145="","",IF(ISBLANK(Catalog!F145),"Missing Creator; ","")&amp;IF(ISBLANK(Catalog!K145),"Missing Type; ","")&amp;IF(ISBLANK(Catalog!L145),"Missing Genre; ","")&amp;IF(ISBLANK(Catalog!W145),"Missing Location Type; ","")&amp;IF(ISBLANK(Catalog!X145),"Missing Location Identifier; ","")&amp;IF(AND(Catalog!S145&lt;&gt;"",COUNTIF(Catalog!$S$2:$S$501,Catalog!S145)&gt;1),"Duplicate ISBN; ","")&amp;IF(AND(Catalog!B145&lt;&gt;"",COUNTIF(Catalog!$B$2:$B$501,Catalog!B145)&gt;1),"Duplicate Accession; ",""))</f>
        <v/>
      </c>
    </row>
    <row r="171" spans="1:3" x14ac:dyDescent="0.25">
      <c r="A171" s="16" t="str">
        <f>Catalog!A146</f>
        <v/>
      </c>
      <c r="B171" s="16">
        <f>Catalog!D146</f>
        <v>0</v>
      </c>
      <c r="C171" s="17" t="str">
        <f>IF(Catalog!D146="","",IF(ISBLANK(Catalog!F146),"Missing Creator; ","")&amp;IF(ISBLANK(Catalog!K146),"Missing Type; ","")&amp;IF(ISBLANK(Catalog!L146),"Missing Genre; ","")&amp;IF(ISBLANK(Catalog!W146),"Missing Location Type; ","")&amp;IF(ISBLANK(Catalog!X146),"Missing Location Identifier; ","")&amp;IF(AND(Catalog!S146&lt;&gt;"",COUNTIF(Catalog!$S$2:$S$501,Catalog!S146)&gt;1),"Duplicate ISBN; ","")&amp;IF(AND(Catalog!B146&lt;&gt;"",COUNTIF(Catalog!$B$2:$B$501,Catalog!B146)&gt;1),"Duplicate Accession; ",""))</f>
        <v/>
      </c>
    </row>
    <row r="172" spans="1:3" x14ac:dyDescent="0.25">
      <c r="A172" s="16" t="str">
        <f>Catalog!A147</f>
        <v/>
      </c>
      <c r="B172" s="16">
        <f>Catalog!D147</f>
        <v>0</v>
      </c>
      <c r="C172" s="17" t="str">
        <f>IF(Catalog!D147="","",IF(ISBLANK(Catalog!F147),"Missing Creator; ","")&amp;IF(ISBLANK(Catalog!K147),"Missing Type; ","")&amp;IF(ISBLANK(Catalog!L147),"Missing Genre; ","")&amp;IF(ISBLANK(Catalog!W147),"Missing Location Type; ","")&amp;IF(ISBLANK(Catalog!X147),"Missing Location Identifier; ","")&amp;IF(AND(Catalog!S147&lt;&gt;"",COUNTIF(Catalog!$S$2:$S$501,Catalog!S147)&gt;1),"Duplicate ISBN; ","")&amp;IF(AND(Catalog!B147&lt;&gt;"",COUNTIF(Catalog!$B$2:$B$501,Catalog!B147)&gt;1),"Duplicate Accession; ",""))</f>
        <v/>
      </c>
    </row>
    <row r="173" spans="1:3" x14ac:dyDescent="0.25">
      <c r="A173" s="16" t="str">
        <f>Catalog!A148</f>
        <v/>
      </c>
      <c r="B173" s="16">
        <f>Catalog!D148</f>
        <v>0</v>
      </c>
      <c r="C173" s="17" t="str">
        <f>IF(Catalog!D148="","",IF(ISBLANK(Catalog!F148),"Missing Creator; ","")&amp;IF(ISBLANK(Catalog!K148),"Missing Type; ","")&amp;IF(ISBLANK(Catalog!L148),"Missing Genre; ","")&amp;IF(ISBLANK(Catalog!W148),"Missing Location Type; ","")&amp;IF(ISBLANK(Catalog!X148),"Missing Location Identifier; ","")&amp;IF(AND(Catalog!S148&lt;&gt;"",COUNTIF(Catalog!$S$2:$S$501,Catalog!S148)&gt;1),"Duplicate ISBN; ","")&amp;IF(AND(Catalog!B148&lt;&gt;"",COUNTIF(Catalog!$B$2:$B$501,Catalog!B148)&gt;1),"Duplicate Accession; ",""))</f>
        <v/>
      </c>
    </row>
    <row r="174" spans="1:3" x14ac:dyDescent="0.25">
      <c r="A174" s="16" t="str">
        <f>Catalog!A149</f>
        <v/>
      </c>
      <c r="B174" s="16">
        <f>Catalog!D149</f>
        <v>0</v>
      </c>
      <c r="C174" s="17" t="str">
        <f>IF(Catalog!D149="","",IF(ISBLANK(Catalog!F149),"Missing Creator; ","")&amp;IF(ISBLANK(Catalog!K149),"Missing Type; ","")&amp;IF(ISBLANK(Catalog!L149),"Missing Genre; ","")&amp;IF(ISBLANK(Catalog!W149),"Missing Location Type; ","")&amp;IF(ISBLANK(Catalog!X149),"Missing Location Identifier; ","")&amp;IF(AND(Catalog!S149&lt;&gt;"",COUNTIF(Catalog!$S$2:$S$501,Catalog!S149)&gt;1),"Duplicate ISBN; ","")&amp;IF(AND(Catalog!B149&lt;&gt;"",COUNTIF(Catalog!$B$2:$B$501,Catalog!B149)&gt;1),"Duplicate Accession; ",""))</f>
        <v/>
      </c>
    </row>
    <row r="175" spans="1:3" x14ac:dyDescent="0.25">
      <c r="A175" s="16" t="str">
        <f>Catalog!A150</f>
        <v/>
      </c>
      <c r="B175" s="16">
        <f>Catalog!D150</f>
        <v>0</v>
      </c>
      <c r="C175" s="17" t="str">
        <f>IF(Catalog!D150="","",IF(ISBLANK(Catalog!F150),"Missing Creator; ","")&amp;IF(ISBLANK(Catalog!K150),"Missing Type; ","")&amp;IF(ISBLANK(Catalog!L150),"Missing Genre; ","")&amp;IF(ISBLANK(Catalog!W150),"Missing Location Type; ","")&amp;IF(ISBLANK(Catalog!X150),"Missing Location Identifier; ","")&amp;IF(AND(Catalog!S150&lt;&gt;"",COUNTIF(Catalog!$S$2:$S$501,Catalog!S150)&gt;1),"Duplicate ISBN; ","")&amp;IF(AND(Catalog!B150&lt;&gt;"",COUNTIF(Catalog!$B$2:$B$501,Catalog!B150)&gt;1),"Duplicate Accession; ",""))</f>
        <v/>
      </c>
    </row>
    <row r="176" spans="1:3" x14ac:dyDescent="0.25">
      <c r="A176" s="16" t="str">
        <f>Catalog!A151</f>
        <v/>
      </c>
      <c r="B176" s="16">
        <f>Catalog!D151</f>
        <v>0</v>
      </c>
      <c r="C176" s="17" t="str">
        <f>IF(Catalog!D151="","",IF(ISBLANK(Catalog!F151),"Missing Creator; ","")&amp;IF(ISBLANK(Catalog!K151),"Missing Type; ","")&amp;IF(ISBLANK(Catalog!L151),"Missing Genre; ","")&amp;IF(ISBLANK(Catalog!W151),"Missing Location Type; ","")&amp;IF(ISBLANK(Catalog!X151),"Missing Location Identifier; ","")&amp;IF(AND(Catalog!S151&lt;&gt;"",COUNTIF(Catalog!$S$2:$S$501,Catalog!S151)&gt;1),"Duplicate ISBN; ","")&amp;IF(AND(Catalog!B151&lt;&gt;"",COUNTIF(Catalog!$B$2:$B$501,Catalog!B151)&gt;1),"Duplicate Accession; ",""))</f>
        <v/>
      </c>
    </row>
    <row r="177" spans="1:3" x14ac:dyDescent="0.25">
      <c r="A177" s="16" t="str">
        <f>Catalog!A152</f>
        <v/>
      </c>
      <c r="B177" s="16">
        <f>Catalog!D152</f>
        <v>0</v>
      </c>
      <c r="C177" s="17" t="str">
        <f>IF(Catalog!D152="","",IF(ISBLANK(Catalog!F152),"Missing Creator; ","")&amp;IF(ISBLANK(Catalog!K152),"Missing Type; ","")&amp;IF(ISBLANK(Catalog!L152),"Missing Genre; ","")&amp;IF(ISBLANK(Catalog!W152),"Missing Location Type; ","")&amp;IF(ISBLANK(Catalog!X152),"Missing Location Identifier; ","")&amp;IF(AND(Catalog!S152&lt;&gt;"",COUNTIF(Catalog!$S$2:$S$501,Catalog!S152)&gt;1),"Duplicate ISBN; ","")&amp;IF(AND(Catalog!B152&lt;&gt;"",COUNTIF(Catalog!$B$2:$B$501,Catalog!B152)&gt;1),"Duplicate Accession; ",""))</f>
        <v/>
      </c>
    </row>
    <row r="178" spans="1:3" x14ac:dyDescent="0.25">
      <c r="A178" s="16" t="str">
        <f>Catalog!A153</f>
        <v/>
      </c>
      <c r="B178" s="16">
        <f>Catalog!D153</f>
        <v>0</v>
      </c>
      <c r="C178" s="17" t="str">
        <f>IF(Catalog!D153="","",IF(ISBLANK(Catalog!F153),"Missing Creator; ","")&amp;IF(ISBLANK(Catalog!K153),"Missing Type; ","")&amp;IF(ISBLANK(Catalog!L153),"Missing Genre; ","")&amp;IF(ISBLANK(Catalog!W153),"Missing Location Type; ","")&amp;IF(ISBLANK(Catalog!X153),"Missing Location Identifier; ","")&amp;IF(AND(Catalog!S153&lt;&gt;"",COUNTIF(Catalog!$S$2:$S$501,Catalog!S153)&gt;1),"Duplicate ISBN; ","")&amp;IF(AND(Catalog!B153&lt;&gt;"",COUNTIF(Catalog!$B$2:$B$501,Catalog!B153)&gt;1),"Duplicate Accession; ",""))</f>
        <v/>
      </c>
    </row>
    <row r="179" spans="1:3" x14ac:dyDescent="0.25">
      <c r="A179" s="16" t="str">
        <f>Catalog!A154</f>
        <v/>
      </c>
      <c r="B179" s="16">
        <f>Catalog!D154</f>
        <v>0</v>
      </c>
      <c r="C179" s="17" t="str">
        <f>IF(Catalog!D154="","",IF(ISBLANK(Catalog!F154),"Missing Creator; ","")&amp;IF(ISBLANK(Catalog!K154),"Missing Type; ","")&amp;IF(ISBLANK(Catalog!L154),"Missing Genre; ","")&amp;IF(ISBLANK(Catalog!W154),"Missing Location Type; ","")&amp;IF(ISBLANK(Catalog!X154),"Missing Location Identifier; ","")&amp;IF(AND(Catalog!S154&lt;&gt;"",COUNTIF(Catalog!$S$2:$S$501,Catalog!S154)&gt;1),"Duplicate ISBN; ","")&amp;IF(AND(Catalog!B154&lt;&gt;"",COUNTIF(Catalog!$B$2:$B$501,Catalog!B154)&gt;1),"Duplicate Accession; ",""))</f>
        <v/>
      </c>
    </row>
    <row r="180" spans="1:3" x14ac:dyDescent="0.25">
      <c r="A180" s="16" t="str">
        <f>Catalog!A155</f>
        <v/>
      </c>
      <c r="B180" s="16">
        <f>Catalog!D155</f>
        <v>0</v>
      </c>
      <c r="C180" s="17" t="str">
        <f>IF(Catalog!D155="","",IF(ISBLANK(Catalog!F155),"Missing Creator; ","")&amp;IF(ISBLANK(Catalog!K155),"Missing Type; ","")&amp;IF(ISBLANK(Catalog!L155),"Missing Genre; ","")&amp;IF(ISBLANK(Catalog!W155),"Missing Location Type; ","")&amp;IF(ISBLANK(Catalog!X155),"Missing Location Identifier; ","")&amp;IF(AND(Catalog!S155&lt;&gt;"",COUNTIF(Catalog!$S$2:$S$501,Catalog!S155)&gt;1),"Duplicate ISBN; ","")&amp;IF(AND(Catalog!B155&lt;&gt;"",COUNTIF(Catalog!$B$2:$B$501,Catalog!B155)&gt;1),"Duplicate Accession; ",""))</f>
        <v/>
      </c>
    </row>
    <row r="181" spans="1:3" x14ac:dyDescent="0.25">
      <c r="A181" s="16" t="str">
        <f>Catalog!A156</f>
        <v/>
      </c>
      <c r="B181" s="16">
        <f>Catalog!D156</f>
        <v>0</v>
      </c>
      <c r="C181" s="17" t="str">
        <f>IF(Catalog!D156="","",IF(ISBLANK(Catalog!F156),"Missing Creator; ","")&amp;IF(ISBLANK(Catalog!K156),"Missing Type; ","")&amp;IF(ISBLANK(Catalog!L156),"Missing Genre; ","")&amp;IF(ISBLANK(Catalog!W156),"Missing Location Type; ","")&amp;IF(ISBLANK(Catalog!X156),"Missing Location Identifier; ","")&amp;IF(AND(Catalog!S156&lt;&gt;"",COUNTIF(Catalog!$S$2:$S$501,Catalog!S156)&gt;1),"Duplicate ISBN; ","")&amp;IF(AND(Catalog!B156&lt;&gt;"",COUNTIF(Catalog!$B$2:$B$501,Catalog!B156)&gt;1),"Duplicate Accession; ",""))</f>
        <v/>
      </c>
    </row>
    <row r="182" spans="1:3" x14ac:dyDescent="0.25">
      <c r="A182" s="16" t="str">
        <f>Catalog!A157</f>
        <v/>
      </c>
      <c r="B182" s="16">
        <f>Catalog!D157</f>
        <v>0</v>
      </c>
      <c r="C182" s="17" t="str">
        <f>IF(Catalog!D157="","",IF(ISBLANK(Catalog!F157),"Missing Creator; ","")&amp;IF(ISBLANK(Catalog!K157),"Missing Type; ","")&amp;IF(ISBLANK(Catalog!L157),"Missing Genre; ","")&amp;IF(ISBLANK(Catalog!W157),"Missing Location Type; ","")&amp;IF(ISBLANK(Catalog!X157),"Missing Location Identifier; ","")&amp;IF(AND(Catalog!S157&lt;&gt;"",COUNTIF(Catalog!$S$2:$S$501,Catalog!S157)&gt;1),"Duplicate ISBN; ","")&amp;IF(AND(Catalog!B157&lt;&gt;"",COUNTIF(Catalog!$B$2:$B$501,Catalog!B157)&gt;1),"Duplicate Accession; ",""))</f>
        <v/>
      </c>
    </row>
    <row r="183" spans="1:3" x14ac:dyDescent="0.25">
      <c r="A183" s="16" t="str">
        <f>Catalog!A158</f>
        <v/>
      </c>
      <c r="B183" s="16">
        <f>Catalog!D158</f>
        <v>0</v>
      </c>
      <c r="C183" s="17" t="str">
        <f>IF(Catalog!D158="","",IF(ISBLANK(Catalog!F158),"Missing Creator; ","")&amp;IF(ISBLANK(Catalog!K158),"Missing Type; ","")&amp;IF(ISBLANK(Catalog!L158),"Missing Genre; ","")&amp;IF(ISBLANK(Catalog!W158),"Missing Location Type; ","")&amp;IF(ISBLANK(Catalog!X158),"Missing Location Identifier; ","")&amp;IF(AND(Catalog!S158&lt;&gt;"",COUNTIF(Catalog!$S$2:$S$501,Catalog!S158)&gt;1),"Duplicate ISBN; ","")&amp;IF(AND(Catalog!B158&lt;&gt;"",COUNTIF(Catalog!$B$2:$B$501,Catalog!B158)&gt;1),"Duplicate Accession; ",""))</f>
        <v/>
      </c>
    </row>
    <row r="184" spans="1:3" x14ac:dyDescent="0.25">
      <c r="A184" s="16" t="str">
        <f>Catalog!A159</f>
        <v/>
      </c>
      <c r="B184" s="16">
        <f>Catalog!D159</f>
        <v>0</v>
      </c>
      <c r="C184" s="17" t="str">
        <f>IF(Catalog!D159="","",IF(ISBLANK(Catalog!F159),"Missing Creator; ","")&amp;IF(ISBLANK(Catalog!K159),"Missing Type; ","")&amp;IF(ISBLANK(Catalog!L159),"Missing Genre; ","")&amp;IF(ISBLANK(Catalog!W159),"Missing Location Type; ","")&amp;IF(ISBLANK(Catalog!X159),"Missing Location Identifier; ","")&amp;IF(AND(Catalog!S159&lt;&gt;"",COUNTIF(Catalog!$S$2:$S$501,Catalog!S159)&gt;1),"Duplicate ISBN; ","")&amp;IF(AND(Catalog!B159&lt;&gt;"",COUNTIF(Catalog!$B$2:$B$501,Catalog!B159)&gt;1),"Duplicate Accession; ",""))</f>
        <v/>
      </c>
    </row>
    <row r="185" spans="1:3" x14ac:dyDescent="0.25">
      <c r="A185" s="16" t="str">
        <f>Catalog!A160</f>
        <v/>
      </c>
      <c r="B185" s="16">
        <f>Catalog!D160</f>
        <v>0</v>
      </c>
      <c r="C185" s="17" t="str">
        <f>IF(Catalog!D160="","",IF(ISBLANK(Catalog!F160),"Missing Creator; ","")&amp;IF(ISBLANK(Catalog!K160),"Missing Type; ","")&amp;IF(ISBLANK(Catalog!L160),"Missing Genre; ","")&amp;IF(ISBLANK(Catalog!W160),"Missing Location Type; ","")&amp;IF(ISBLANK(Catalog!X160),"Missing Location Identifier; ","")&amp;IF(AND(Catalog!S160&lt;&gt;"",COUNTIF(Catalog!$S$2:$S$501,Catalog!S160)&gt;1),"Duplicate ISBN; ","")&amp;IF(AND(Catalog!B160&lt;&gt;"",COUNTIF(Catalog!$B$2:$B$501,Catalog!B160)&gt;1),"Duplicate Accession; ",""))</f>
        <v/>
      </c>
    </row>
    <row r="186" spans="1:3" x14ac:dyDescent="0.25">
      <c r="A186" s="16" t="str">
        <f>Catalog!A161</f>
        <v/>
      </c>
      <c r="B186" s="16">
        <f>Catalog!D161</f>
        <v>0</v>
      </c>
      <c r="C186" s="17" t="str">
        <f>IF(Catalog!D161="","",IF(ISBLANK(Catalog!F161),"Missing Creator; ","")&amp;IF(ISBLANK(Catalog!K161),"Missing Type; ","")&amp;IF(ISBLANK(Catalog!L161),"Missing Genre; ","")&amp;IF(ISBLANK(Catalog!W161),"Missing Location Type; ","")&amp;IF(ISBLANK(Catalog!X161),"Missing Location Identifier; ","")&amp;IF(AND(Catalog!S161&lt;&gt;"",COUNTIF(Catalog!$S$2:$S$501,Catalog!S161)&gt;1),"Duplicate ISBN; ","")&amp;IF(AND(Catalog!B161&lt;&gt;"",COUNTIF(Catalog!$B$2:$B$501,Catalog!B161)&gt;1),"Duplicate Accession; ",""))</f>
        <v/>
      </c>
    </row>
    <row r="187" spans="1:3" x14ac:dyDescent="0.25">
      <c r="A187" s="16" t="str">
        <f>Catalog!A162</f>
        <v/>
      </c>
      <c r="B187" s="16">
        <f>Catalog!D162</f>
        <v>0</v>
      </c>
      <c r="C187" s="17" t="str">
        <f>IF(Catalog!D162="","",IF(ISBLANK(Catalog!F162),"Missing Creator; ","")&amp;IF(ISBLANK(Catalog!K162),"Missing Type; ","")&amp;IF(ISBLANK(Catalog!L162),"Missing Genre; ","")&amp;IF(ISBLANK(Catalog!W162),"Missing Location Type; ","")&amp;IF(ISBLANK(Catalog!X162),"Missing Location Identifier; ","")&amp;IF(AND(Catalog!S162&lt;&gt;"",COUNTIF(Catalog!$S$2:$S$501,Catalog!S162)&gt;1),"Duplicate ISBN; ","")&amp;IF(AND(Catalog!B162&lt;&gt;"",COUNTIF(Catalog!$B$2:$B$501,Catalog!B162)&gt;1),"Duplicate Accession; ",""))</f>
        <v/>
      </c>
    </row>
    <row r="188" spans="1:3" x14ac:dyDescent="0.25">
      <c r="A188" s="16" t="str">
        <f>Catalog!A163</f>
        <v/>
      </c>
      <c r="B188" s="16">
        <f>Catalog!D163</f>
        <v>0</v>
      </c>
      <c r="C188" s="17" t="str">
        <f>IF(Catalog!D163="","",IF(ISBLANK(Catalog!F163),"Missing Creator; ","")&amp;IF(ISBLANK(Catalog!K163),"Missing Type; ","")&amp;IF(ISBLANK(Catalog!L163),"Missing Genre; ","")&amp;IF(ISBLANK(Catalog!W163),"Missing Location Type; ","")&amp;IF(ISBLANK(Catalog!X163),"Missing Location Identifier; ","")&amp;IF(AND(Catalog!S163&lt;&gt;"",COUNTIF(Catalog!$S$2:$S$501,Catalog!S163)&gt;1),"Duplicate ISBN; ","")&amp;IF(AND(Catalog!B163&lt;&gt;"",COUNTIF(Catalog!$B$2:$B$501,Catalog!B163)&gt;1),"Duplicate Accession; ",""))</f>
        <v/>
      </c>
    </row>
    <row r="189" spans="1:3" x14ac:dyDescent="0.25">
      <c r="A189" s="16" t="str">
        <f>Catalog!A164</f>
        <v/>
      </c>
      <c r="B189" s="16">
        <f>Catalog!D164</f>
        <v>0</v>
      </c>
      <c r="C189" s="17" t="str">
        <f>IF(Catalog!D164="","",IF(ISBLANK(Catalog!F164),"Missing Creator; ","")&amp;IF(ISBLANK(Catalog!K164),"Missing Type; ","")&amp;IF(ISBLANK(Catalog!L164),"Missing Genre; ","")&amp;IF(ISBLANK(Catalog!W164),"Missing Location Type; ","")&amp;IF(ISBLANK(Catalog!X164),"Missing Location Identifier; ","")&amp;IF(AND(Catalog!S164&lt;&gt;"",COUNTIF(Catalog!$S$2:$S$501,Catalog!S164)&gt;1),"Duplicate ISBN; ","")&amp;IF(AND(Catalog!B164&lt;&gt;"",COUNTIF(Catalog!$B$2:$B$501,Catalog!B164)&gt;1),"Duplicate Accession; ",""))</f>
        <v/>
      </c>
    </row>
    <row r="190" spans="1:3" x14ac:dyDescent="0.25">
      <c r="A190" s="16" t="str">
        <f>Catalog!A165</f>
        <v/>
      </c>
      <c r="B190" s="16">
        <f>Catalog!D165</f>
        <v>0</v>
      </c>
      <c r="C190" s="17" t="str">
        <f>IF(Catalog!D165="","",IF(ISBLANK(Catalog!F165),"Missing Creator; ","")&amp;IF(ISBLANK(Catalog!K165),"Missing Type; ","")&amp;IF(ISBLANK(Catalog!L165),"Missing Genre; ","")&amp;IF(ISBLANK(Catalog!W165),"Missing Location Type; ","")&amp;IF(ISBLANK(Catalog!X165),"Missing Location Identifier; ","")&amp;IF(AND(Catalog!S165&lt;&gt;"",COUNTIF(Catalog!$S$2:$S$501,Catalog!S165)&gt;1),"Duplicate ISBN; ","")&amp;IF(AND(Catalog!B165&lt;&gt;"",COUNTIF(Catalog!$B$2:$B$501,Catalog!B165)&gt;1),"Duplicate Accession; ",""))</f>
        <v/>
      </c>
    </row>
    <row r="191" spans="1:3" x14ac:dyDescent="0.25">
      <c r="A191" s="16" t="str">
        <f>Catalog!A166</f>
        <v/>
      </c>
      <c r="B191" s="16">
        <f>Catalog!D166</f>
        <v>0</v>
      </c>
      <c r="C191" s="17" t="str">
        <f>IF(Catalog!D166="","",IF(ISBLANK(Catalog!F166),"Missing Creator; ","")&amp;IF(ISBLANK(Catalog!K166),"Missing Type; ","")&amp;IF(ISBLANK(Catalog!L166),"Missing Genre; ","")&amp;IF(ISBLANK(Catalog!W166),"Missing Location Type; ","")&amp;IF(ISBLANK(Catalog!X166),"Missing Location Identifier; ","")&amp;IF(AND(Catalog!S166&lt;&gt;"",COUNTIF(Catalog!$S$2:$S$501,Catalog!S166)&gt;1),"Duplicate ISBN; ","")&amp;IF(AND(Catalog!B166&lt;&gt;"",COUNTIF(Catalog!$B$2:$B$501,Catalog!B166)&gt;1),"Duplicate Accession; ",""))</f>
        <v/>
      </c>
    </row>
    <row r="192" spans="1:3" x14ac:dyDescent="0.25">
      <c r="A192" s="16" t="str">
        <f>Catalog!A167</f>
        <v/>
      </c>
      <c r="B192" s="16">
        <f>Catalog!D167</f>
        <v>0</v>
      </c>
      <c r="C192" s="17" t="str">
        <f>IF(Catalog!D167="","",IF(ISBLANK(Catalog!F167),"Missing Creator; ","")&amp;IF(ISBLANK(Catalog!K167),"Missing Type; ","")&amp;IF(ISBLANK(Catalog!L167),"Missing Genre; ","")&amp;IF(ISBLANK(Catalog!W167),"Missing Location Type; ","")&amp;IF(ISBLANK(Catalog!X167),"Missing Location Identifier; ","")&amp;IF(AND(Catalog!S167&lt;&gt;"",COUNTIF(Catalog!$S$2:$S$501,Catalog!S167)&gt;1),"Duplicate ISBN; ","")&amp;IF(AND(Catalog!B167&lt;&gt;"",COUNTIF(Catalog!$B$2:$B$501,Catalog!B167)&gt;1),"Duplicate Accession; ",""))</f>
        <v/>
      </c>
    </row>
    <row r="193" spans="1:3" x14ac:dyDescent="0.25">
      <c r="A193" s="16" t="str">
        <f>Catalog!A168</f>
        <v/>
      </c>
      <c r="B193" s="16">
        <f>Catalog!D168</f>
        <v>0</v>
      </c>
      <c r="C193" s="17" t="str">
        <f>IF(Catalog!D168="","",IF(ISBLANK(Catalog!F168),"Missing Creator; ","")&amp;IF(ISBLANK(Catalog!K168),"Missing Type; ","")&amp;IF(ISBLANK(Catalog!L168),"Missing Genre; ","")&amp;IF(ISBLANK(Catalog!W168),"Missing Location Type; ","")&amp;IF(ISBLANK(Catalog!X168),"Missing Location Identifier; ","")&amp;IF(AND(Catalog!S168&lt;&gt;"",COUNTIF(Catalog!$S$2:$S$501,Catalog!S168)&gt;1),"Duplicate ISBN; ","")&amp;IF(AND(Catalog!B168&lt;&gt;"",COUNTIF(Catalog!$B$2:$B$501,Catalog!B168)&gt;1),"Duplicate Accession; ",""))</f>
        <v/>
      </c>
    </row>
    <row r="194" spans="1:3" x14ac:dyDescent="0.25">
      <c r="A194" s="16" t="str">
        <f>Catalog!A169</f>
        <v/>
      </c>
      <c r="B194" s="16">
        <f>Catalog!D169</f>
        <v>0</v>
      </c>
      <c r="C194" s="17" t="str">
        <f>IF(Catalog!D169="","",IF(ISBLANK(Catalog!F169),"Missing Creator; ","")&amp;IF(ISBLANK(Catalog!K169),"Missing Type; ","")&amp;IF(ISBLANK(Catalog!L169),"Missing Genre; ","")&amp;IF(ISBLANK(Catalog!W169),"Missing Location Type; ","")&amp;IF(ISBLANK(Catalog!X169),"Missing Location Identifier; ","")&amp;IF(AND(Catalog!S169&lt;&gt;"",COUNTIF(Catalog!$S$2:$S$501,Catalog!S169)&gt;1),"Duplicate ISBN; ","")&amp;IF(AND(Catalog!B169&lt;&gt;"",COUNTIF(Catalog!$B$2:$B$501,Catalog!B169)&gt;1),"Duplicate Accession; ",""))</f>
        <v/>
      </c>
    </row>
    <row r="195" spans="1:3" x14ac:dyDescent="0.25">
      <c r="A195" s="16" t="str">
        <f>Catalog!A170</f>
        <v/>
      </c>
      <c r="B195" s="16">
        <f>Catalog!D170</f>
        <v>0</v>
      </c>
      <c r="C195" s="17" t="str">
        <f>IF(Catalog!D170="","",IF(ISBLANK(Catalog!F170),"Missing Creator; ","")&amp;IF(ISBLANK(Catalog!K170),"Missing Type; ","")&amp;IF(ISBLANK(Catalog!L170),"Missing Genre; ","")&amp;IF(ISBLANK(Catalog!W170),"Missing Location Type; ","")&amp;IF(ISBLANK(Catalog!X170),"Missing Location Identifier; ","")&amp;IF(AND(Catalog!S170&lt;&gt;"",COUNTIF(Catalog!$S$2:$S$501,Catalog!S170)&gt;1),"Duplicate ISBN; ","")&amp;IF(AND(Catalog!B170&lt;&gt;"",COUNTIF(Catalog!$B$2:$B$501,Catalog!B170)&gt;1),"Duplicate Accession; ",""))</f>
        <v/>
      </c>
    </row>
    <row r="196" spans="1:3" x14ac:dyDescent="0.25">
      <c r="A196" s="16" t="str">
        <f>Catalog!A171</f>
        <v/>
      </c>
      <c r="B196" s="16">
        <f>Catalog!D171</f>
        <v>0</v>
      </c>
      <c r="C196" s="17" t="str">
        <f>IF(Catalog!D171="","",IF(ISBLANK(Catalog!F171),"Missing Creator; ","")&amp;IF(ISBLANK(Catalog!K171),"Missing Type; ","")&amp;IF(ISBLANK(Catalog!L171),"Missing Genre; ","")&amp;IF(ISBLANK(Catalog!W171),"Missing Location Type; ","")&amp;IF(ISBLANK(Catalog!X171),"Missing Location Identifier; ","")&amp;IF(AND(Catalog!S171&lt;&gt;"",COUNTIF(Catalog!$S$2:$S$501,Catalog!S171)&gt;1),"Duplicate ISBN; ","")&amp;IF(AND(Catalog!B171&lt;&gt;"",COUNTIF(Catalog!$B$2:$B$501,Catalog!B171)&gt;1),"Duplicate Accession; ",""))</f>
        <v/>
      </c>
    </row>
    <row r="197" spans="1:3" x14ac:dyDescent="0.25">
      <c r="A197" s="16" t="str">
        <f>Catalog!A172</f>
        <v/>
      </c>
      <c r="B197" s="16">
        <f>Catalog!D172</f>
        <v>0</v>
      </c>
      <c r="C197" s="17" t="str">
        <f>IF(Catalog!D172="","",IF(ISBLANK(Catalog!F172),"Missing Creator; ","")&amp;IF(ISBLANK(Catalog!K172),"Missing Type; ","")&amp;IF(ISBLANK(Catalog!L172),"Missing Genre; ","")&amp;IF(ISBLANK(Catalog!W172),"Missing Location Type; ","")&amp;IF(ISBLANK(Catalog!X172),"Missing Location Identifier; ","")&amp;IF(AND(Catalog!S172&lt;&gt;"",COUNTIF(Catalog!$S$2:$S$501,Catalog!S172)&gt;1),"Duplicate ISBN; ","")&amp;IF(AND(Catalog!B172&lt;&gt;"",COUNTIF(Catalog!$B$2:$B$501,Catalog!B172)&gt;1),"Duplicate Accession; ",""))</f>
        <v/>
      </c>
    </row>
    <row r="198" spans="1:3" x14ac:dyDescent="0.25">
      <c r="A198" s="16" t="str">
        <f>Catalog!A173</f>
        <v/>
      </c>
      <c r="B198" s="16">
        <f>Catalog!D173</f>
        <v>0</v>
      </c>
      <c r="C198" s="17" t="str">
        <f>IF(Catalog!D173="","",IF(ISBLANK(Catalog!F173),"Missing Creator; ","")&amp;IF(ISBLANK(Catalog!K173),"Missing Type; ","")&amp;IF(ISBLANK(Catalog!L173),"Missing Genre; ","")&amp;IF(ISBLANK(Catalog!W173),"Missing Location Type; ","")&amp;IF(ISBLANK(Catalog!X173),"Missing Location Identifier; ","")&amp;IF(AND(Catalog!S173&lt;&gt;"",COUNTIF(Catalog!$S$2:$S$501,Catalog!S173)&gt;1),"Duplicate ISBN; ","")&amp;IF(AND(Catalog!B173&lt;&gt;"",COUNTIF(Catalog!$B$2:$B$501,Catalog!B173)&gt;1),"Duplicate Accession; ",""))</f>
        <v/>
      </c>
    </row>
    <row r="199" spans="1:3" x14ac:dyDescent="0.25">
      <c r="A199" s="16" t="str">
        <f>Catalog!A174</f>
        <v/>
      </c>
      <c r="B199" s="16">
        <f>Catalog!D174</f>
        <v>0</v>
      </c>
      <c r="C199" s="17" t="str">
        <f>IF(Catalog!D174="","",IF(ISBLANK(Catalog!F174),"Missing Creator; ","")&amp;IF(ISBLANK(Catalog!K174),"Missing Type; ","")&amp;IF(ISBLANK(Catalog!L174),"Missing Genre; ","")&amp;IF(ISBLANK(Catalog!W174),"Missing Location Type; ","")&amp;IF(ISBLANK(Catalog!X174),"Missing Location Identifier; ","")&amp;IF(AND(Catalog!S174&lt;&gt;"",COUNTIF(Catalog!$S$2:$S$501,Catalog!S174)&gt;1),"Duplicate ISBN; ","")&amp;IF(AND(Catalog!B174&lt;&gt;"",COUNTIF(Catalog!$B$2:$B$501,Catalog!B174)&gt;1),"Duplicate Accession; ",""))</f>
        <v/>
      </c>
    </row>
    <row r="200" spans="1:3" x14ac:dyDescent="0.25">
      <c r="A200" s="16" t="str">
        <f>Catalog!A175</f>
        <v/>
      </c>
      <c r="B200" s="16">
        <f>Catalog!D175</f>
        <v>0</v>
      </c>
      <c r="C200" s="17" t="str">
        <f>IF(Catalog!D175="","",IF(ISBLANK(Catalog!F175),"Missing Creator; ","")&amp;IF(ISBLANK(Catalog!K175),"Missing Type; ","")&amp;IF(ISBLANK(Catalog!L175),"Missing Genre; ","")&amp;IF(ISBLANK(Catalog!W175),"Missing Location Type; ","")&amp;IF(ISBLANK(Catalog!X175),"Missing Location Identifier; ","")&amp;IF(AND(Catalog!S175&lt;&gt;"",COUNTIF(Catalog!$S$2:$S$501,Catalog!S175)&gt;1),"Duplicate ISBN; ","")&amp;IF(AND(Catalog!B175&lt;&gt;"",COUNTIF(Catalog!$B$2:$B$501,Catalog!B175)&gt;1),"Duplicate Accession; ",""))</f>
        <v/>
      </c>
    </row>
    <row r="201" spans="1:3" x14ac:dyDescent="0.25">
      <c r="A201" s="16" t="str">
        <f>Catalog!A176</f>
        <v/>
      </c>
      <c r="B201" s="16">
        <f>Catalog!D176</f>
        <v>0</v>
      </c>
      <c r="C201" s="17" t="str">
        <f>IF(Catalog!D176="","",IF(ISBLANK(Catalog!F176),"Missing Creator; ","")&amp;IF(ISBLANK(Catalog!K176),"Missing Type; ","")&amp;IF(ISBLANK(Catalog!L176),"Missing Genre; ","")&amp;IF(ISBLANK(Catalog!W176),"Missing Location Type; ","")&amp;IF(ISBLANK(Catalog!X176),"Missing Location Identifier; ","")&amp;IF(AND(Catalog!S176&lt;&gt;"",COUNTIF(Catalog!$S$2:$S$501,Catalog!S176)&gt;1),"Duplicate ISBN; ","")&amp;IF(AND(Catalog!B176&lt;&gt;"",COUNTIF(Catalog!$B$2:$B$501,Catalog!B176)&gt;1),"Duplicate Accession; ",""))</f>
        <v/>
      </c>
    </row>
    <row r="202" spans="1:3" x14ac:dyDescent="0.25">
      <c r="A202" s="16" t="str">
        <f>Catalog!A177</f>
        <v/>
      </c>
      <c r="B202" s="16">
        <f>Catalog!D177</f>
        <v>0</v>
      </c>
      <c r="C202" s="17" t="str">
        <f>IF(Catalog!D177="","",IF(ISBLANK(Catalog!F177),"Missing Creator; ","")&amp;IF(ISBLANK(Catalog!K177),"Missing Type; ","")&amp;IF(ISBLANK(Catalog!L177),"Missing Genre; ","")&amp;IF(ISBLANK(Catalog!W177),"Missing Location Type; ","")&amp;IF(ISBLANK(Catalog!X177),"Missing Location Identifier; ","")&amp;IF(AND(Catalog!S177&lt;&gt;"",COUNTIF(Catalog!$S$2:$S$501,Catalog!S177)&gt;1),"Duplicate ISBN; ","")&amp;IF(AND(Catalog!B177&lt;&gt;"",COUNTIF(Catalog!$B$2:$B$501,Catalog!B177)&gt;1),"Duplicate Accession; ",""))</f>
        <v/>
      </c>
    </row>
    <row r="203" spans="1:3" x14ac:dyDescent="0.25">
      <c r="A203" s="16" t="str">
        <f>Catalog!A178</f>
        <v/>
      </c>
      <c r="B203" s="16">
        <f>Catalog!D178</f>
        <v>0</v>
      </c>
      <c r="C203" s="17" t="str">
        <f>IF(Catalog!D178="","",IF(ISBLANK(Catalog!F178),"Missing Creator; ","")&amp;IF(ISBLANK(Catalog!K178),"Missing Type; ","")&amp;IF(ISBLANK(Catalog!L178),"Missing Genre; ","")&amp;IF(ISBLANK(Catalog!W178),"Missing Location Type; ","")&amp;IF(ISBLANK(Catalog!X178),"Missing Location Identifier; ","")&amp;IF(AND(Catalog!S178&lt;&gt;"",COUNTIF(Catalog!$S$2:$S$501,Catalog!S178)&gt;1),"Duplicate ISBN; ","")&amp;IF(AND(Catalog!B178&lt;&gt;"",COUNTIF(Catalog!$B$2:$B$501,Catalog!B178)&gt;1),"Duplicate Accession; ",""))</f>
        <v/>
      </c>
    </row>
    <row r="204" spans="1:3" x14ac:dyDescent="0.25">
      <c r="A204" s="16" t="str">
        <f>Catalog!A179</f>
        <v/>
      </c>
      <c r="B204" s="16">
        <f>Catalog!D179</f>
        <v>0</v>
      </c>
      <c r="C204" s="17" t="str">
        <f>IF(Catalog!D179="","",IF(ISBLANK(Catalog!F179),"Missing Creator; ","")&amp;IF(ISBLANK(Catalog!K179),"Missing Type; ","")&amp;IF(ISBLANK(Catalog!L179),"Missing Genre; ","")&amp;IF(ISBLANK(Catalog!W179),"Missing Location Type; ","")&amp;IF(ISBLANK(Catalog!X179),"Missing Location Identifier; ","")&amp;IF(AND(Catalog!S179&lt;&gt;"",COUNTIF(Catalog!$S$2:$S$501,Catalog!S179)&gt;1),"Duplicate ISBN; ","")&amp;IF(AND(Catalog!B179&lt;&gt;"",COUNTIF(Catalog!$B$2:$B$501,Catalog!B179)&gt;1),"Duplicate Accession; ",""))</f>
        <v/>
      </c>
    </row>
    <row r="205" spans="1:3" x14ac:dyDescent="0.25">
      <c r="A205" s="16" t="str">
        <f>Catalog!A180</f>
        <v/>
      </c>
      <c r="B205" s="16">
        <f>Catalog!D180</f>
        <v>0</v>
      </c>
      <c r="C205" s="17" t="str">
        <f>IF(Catalog!D180="","",IF(ISBLANK(Catalog!F180),"Missing Creator; ","")&amp;IF(ISBLANK(Catalog!K180),"Missing Type; ","")&amp;IF(ISBLANK(Catalog!L180),"Missing Genre; ","")&amp;IF(ISBLANK(Catalog!W180),"Missing Location Type; ","")&amp;IF(ISBLANK(Catalog!X180),"Missing Location Identifier; ","")&amp;IF(AND(Catalog!S180&lt;&gt;"",COUNTIF(Catalog!$S$2:$S$501,Catalog!S180)&gt;1),"Duplicate ISBN; ","")&amp;IF(AND(Catalog!B180&lt;&gt;"",COUNTIF(Catalog!$B$2:$B$501,Catalog!B180)&gt;1),"Duplicate Accession; ",""))</f>
        <v/>
      </c>
    </row>
    <row r="206" spans="1:3" x14ac:dyDescent="0.25">
      <c r="A206" s="16" t="str">
        <f>Catalog!A181</f>
        <v/>
      </c>
      <c r="B206" s="16">
        <f>Catalog!D181</f>
        <v>0</v>
      </c>
      <c r="C206" s="17" t="str">
        <f>IF(Catalog!D181="","",IF(ISBLANK(Catalog!F181),"Missing Creator; ","")&amp;IF(ISBLANK(Catalog!K181),"Missing Type; ","")&amp;IF(ISBLANK(Catalog!L181),"Missing Genre; ","")&amp;IF(ISBLANK(Catalog!W181),"Missing Location Type; ","")&amp;IF(ISBLANK(Catalog!X181),"Missing Location Identifier; ","")&amp;IF(AND(Catalog!S181&lt;&gt;"",COUNTIF(Catalog!$S$2:$S$501,Catalog!S181)&gt;1),"Duplicate ISBN; ","")&amp;IF(AND(Catalog!B181&lt;&gt;"",COUNTIF(Catalog!$B$2:$B$501,Catalog!B181)&gt;1),"Duplicate Accession; ",""))</f>
        <v/>
      </c>
    </row>
    <row r="207" spans="1:3" x14ac:dyDescent="0.25">
      <c r="A207" s="16" t="str">
        <f>Catalog!A182</f>
        <v/>
      </c>
      <c r="B207" s="16">
        <f>Catalog!D182</f>
        <v>0</v>
      </c>
      <c r="C207" s="17" t="str">
        <f>IF(Catalog!D182="","",IF(ISBLANK(Catalog!F182),"Missing Creator; ","")&amp;IF(ISBLANK(Catalog!K182),"Missing Type; ","")&amp;IF(ISBLANK(Catalog!L182),"Missing Genre; ","")&amp;IF(ISBLANK(Catalog!W182),"Missing Location Type; ","")&amp;IF(ISBLANK(Catalog!X182),"Missing Location Identifier; ","")&amp;IF(AND(Catalog!S182&lt;&gt;"",COUNTIF(Catalog!$S$2:$S$501,Catalog!S182)&gt;1),"Duplicate ISBN; ","")&amp;IF(AND(Catalog!B182&lt;&gt;"",COUNTIF(Catalog!$B$2:$B$501,Catalog!B182)&gt;1),"Duplicate Accession; ",""))</f>
        <v/>
      </c>
    </row>
    <row r="208" spans="1:3" x14ac:dyDescent="0.25">
      <c r="A208" s="16" t="str">
        <f>Catalog!A183</f>
        <v/>
      </c>
      <c r="B208" s="16">
        <f>Catalog!D183</f>
        <v>0</v>
      </c>
      <c r="C208" s="17" t="str">
        <f>IF(Catalog!D183="","",IF(ISBLANK(Catalog!F183),"Missing Creator; ","")&amp;IF(ISBLANK(Catalog!K183),"Missing Type; ","")&amp;IF(ISBLANK(Catalog!L183),"Missing Genre; ","")&amp;IF(ISBLANK(Catalog!W183),"Missing Location Type; ","")&amp;IF(ISBLANK(Catalog!X183),"Missing Location Identifier; ","")&amp;IF(AND(Catalog!S183&lt;&gt;"",COUNTIF(Catalog!$S$2:$S$501,Catalog!S183)&gt;1),"Duplicate ISBN; ","")&amp;IF(AND(Catalog!B183&lt;&gt;"",COUNTIF(Catalog!$B$2:$B$501,Catalog!B183)&gt;1),"Duplicate Accession; ",""))</f>
        <v/>
      </c>
    </row>
    <row r="209" spans="1:3" x14ac:dyDescent="0.25">
      <c r="A209" s="16" t="str">
        <f>Catalog!A184</f>
        <v/>
      </c>
      <c r="B209" s="16">
        <f>Catalog!D184</f>
        <v>0</v>
      </c>
      <c r="C209" s="17" t="str">
        <f>IF(Catalog!D184="","",IF(ISBLANK(Catalog!F184),"Missing Creator; ","")&amp;IF(ISBLANK(Catalog!K184),"Missing Type; ","")&amp;IF(ISBLANK(Catalog!L184),"Missing Genre; ","")&amp;IF(ISBLANK(Catalog!W184),"Missing Location Type; ","")&amp;IF(ISBLANK(Catalog!X184),"Missing Location Identifier; ","")&amp;IF(AND(Catalog!S184&lt;&gt;"",COUNTIF(Catalog!$S$2:$S$501,Catalog!S184)&gt;1),"Duplicate ISBN; ","")&amp;IF(AND(Catalog!B184&lt;&gt;"",COUNTIF(Catalog!$B$2:$B$501,Catalog!B184)&gt;1),"Duplicate Accession; ",""))</f>
        <v/>
      </c>
    </row>
    <row r="210" spans="1:3" x14ac:dyDescent="0.25">
      <c r="A210" s="16" t="str">
        <f>Catalog!A185</f>
        <v/>
      </c>
      <c r="B210" s="16">
        <f>Catalog!D185</f>
        <v>0</v>
      </c>
      <c r="C210" s="17" t="str">
        <f>IF(Catalog!D185="","",IF(ISBLANK(Catalog!F185),"Missing Creator; ","")&amp;IF(ISBLANK(Catalog!K185),"Missing Type; ","")&amp;IF(ISBLANK(Catalog!L185),"Missing Genre; ","")&amp;IF(ISBLANK(Catalog!W185),"Missing Location Type; ","")&amp;IF(ISBLANK(Catalog!X185),"Missing Location Identifier; ","")&amp;IF(AND(Catalog!S185&lt;&gt;"",COUNTIF(Catalog!$S$2:$S$501,Catalog!S185)&gt;1),"Duplicate ISBN; ","")&amp;IF(AND(Catalog!B185&lt;&gt;"",COUNTIF(Catalog!$B$2:$B$501,Catalog!B185)&gt;1),"Duplicate Accession; ",""))</f>
        <v/>
      </c>
    </row>
    <row r="211" spans="1:3" x14ac:dyDescent="0.25">
      <c r="A211" s="16" t="str">
        <f>Catalog!A186</f>
        <v/>
      </c>
      <c r="B211" s="16">
        <f>Catalog!D186</f>
        <v>0</v>
      </c>
      <c r="C211" s="17" t="str">
        <f>IF(Catalog!D186="","",IF(ISBLANK(Catalog!F186),"Missing Creator; ","")&amp;IF(ISBLANK(Catalog!K186),"Missing Type; ","")&amp;IF(ISBLANK(Catalog!L186),"Missing Genre; ","")&amp;IF(ISBLANK(Catalog!W186),"Missing Location Type; ","")&amp;IF(ISBLANK(Catalog!X186),"Missing Location Identifier; ","")&amp;IF(AND(Catalog!S186&lt;&gt;"",COUNTIF(Catalog!$S$2:$S$501,Catalog!S186)&gt;1),"Duplicate ISBN; ","")&amp;IF(AND(Catalog!B186&lt;&gt;"",COUNTIF(Catalog!$B$2:$B$501,Catalog!B186)&gt;1),"Duplicate Accession; ",""))</f>
        <v/>
      </c>
    </row>
    <row r="212" spans="1:3" x14ac:dyDescent="0.25">
      <c r="A212" s="16" t="str">
        <f>Catalog!A187</f>
        <v/>
      </c>
      <c r="B212" s="16">
        <f>Catalog!D187</f>
        <v>0</v>
      </c>
      <c r="C212" s="17" t="str">
        <f>IF(Catalog!D187="","",IF(ISBLANK(Catalog!F187),"Missing Creator; ","")&amp;IF(ISBLANK(Catalog!K187),"Missing Type; ","")&amp;IF(ISBLANK(Catalog!L187),"Missing Genre; ","")&amp;IF(ISBLANK(Catalog!W187),"Missing Location Type; ","")&amp;IF(ISBLANK(Catalog!X187),"Missing Location Identifier; ","")&amp;IF(AND(Catalog!S187&lt;&gt;"",COUNTIF(Catalog!$S$2:$S$501,Catalog!S187)&gt;1),"Duplicate ISBN; ","")&amp;IF(AND(Catalog!B187&lt;&gt;"",COUNTIF(Catalog!$B$2:$B$501,Catalog!B187)&gt;1),"Duplicate Accession; ",""))</f>
        <v/>
      </c>
    </row>
    <row r="213" spans="1:3" x14ac:dyDescent="0.25">
      <c r="A213" s="16" t="str">
        <f>Catalog!A188</f>
        <v/>
      </c>
      <c r="B213" s="16">
        <f>Catalog!D188</f>
        <v>0</v>
      </c>
      <c r="C213" s="17" t="str">
        <f>IF(Catalog!D188="","",IF(ISBLANK(Catalog!F188),"Missing Creator; ","")&amp;IF(ISBLANK(Catalog!K188),"Missing Type; ","")&amp;IF(ISBLANK(Catalog!L188),"Missing Genre; ","")&amp;IF(ISBLANK(Catalog!W188),"Missing Location Type; ","")&amp;IF(ISBLANK(Catalog!X188),"Missing Location Identifier; ","")&amp;IF(AND(Catalog!S188&lt;&gt;"",COUNTIF(Catalog!$S$2:$S$501,Catalog!S188)&gt;1),"Duplicate ISBN; ","")&amp;IF(AND(Catalog!B188&lt;&gt;"",COUNTIF(Catalog!$B$2:$B$501,Catalog!B188)&gt;1),"Duplicate Accession; ",""))</f>
        <v/>
      </c>
    </row>
    <row r="214" spans="1:3" x14ac:dyDescent="0.25">
      <c r="A214" s="16" t="str">
        <f>Catalog!A189</f>
        <v/>
      </c>
      <c r="B214" s="16">
        <f>Catalog!D189</f>
        <v>0</v>
      </c>
      <c r="C214" s="17" t="str">
        <f>IF(Catalog!D189="","",IF(ISBLANK(Catalog!F189),"Missing Creator; ","")&amp;IF(ISBLANK(Catalog!K189),"Missing Type; ","")&amp;IF(ISBLANK(Catalog!L189),"Missing Genre; ","")&amp;IF(ISBLANK(Catalog!W189),"Missing Location Type; ","")&amp;IF(ISBLANK(Catalog!X189),"Missing Location Identifier; ","")&amp;IF(AND(Catalog!S189&lt;&gt;"",COUNTIF(Catalog!$S$2:$S$501,Catalog!S189)&gt;1),"Duplicate ISBN; ","")&amp;IF(AND(Catalog!B189&lt;&gt;"",COUNTIF(Catalog!$B$2:$B$501,Catalog!B189)&gt;1),"Duplicate Accession; ",""))</f>
        <v/>
      </c>
    </row>
    <row r="215" spans="1:3" x14ac:dyDescent="0.25">
      <c r="A215" s="16" t="str">
        <f>Catalog!A190</f>
        <v/>
      </c>
      <c r="B215" s="16">
        <f>Catalog!D190</f>
        <v>0</v>
      </c>
      <c r="C215" s="17" t="str">
        <f>IF(Catalog!D190="","",IF(ISBLANK(Catalog!F190),"Missing Creator; ","")&amp;IF(ISBLANK(Catalog!K190),"Missing Type; ","")&amp;IF(ISBLANK(Catalog!L190),"Missing Genre; ","")&amp;IF(ISBLANK(Catalog!W190),"Missing Location Type; ","")&amp;IF(ISBLANK(Catalog!X190),"Missing Location Identifier; ","")&amp;IF(AND(Catalog!S190&lt;&gt;"",COUNTIF(Catalog!$S$2:$S$501,Catalog!S190)&gt;1),"Duplicate ISBN; ","")&amp;IF(AND(Catalog!B190&lt;&gt;"",COUNTIF(Catalog!$B$2:$B$501,Catalog!B190)&gt;1),"Duplicate Accession; ",""))</f>
        <v/>
      </c>
    </row>
    <row r="216" spans="1:3" x14ac:dyDescent="0.25">
      <c r="A216" s="16" t="str">
        <f>Catalog!A191</f>
        <v/>
      </c>
      <c r="B216" s="16">
        <f>Catalog!D191</f>
        <v>0</v>
      </c>
      <c r="C216" s="17" t="str">
        <f>IF(Catalog!D191="","",IF(ISBLANK(Catalog!F191),"Missing Creator; ","")&amp;IF(ISBLANK(Catalog!K191),"Missing Type; ","")&amp;IF(ISBLANK(Catalog!L191),"Missing Genre; ","")&amp;IF(ISBLANK(Catalog!W191),"Missing Location Type; ","")&amp;IF(ISBLANK(Catalog!X191),"Missing Location Identifier; ","")&amp;IF(AND(Catalog!S191&lt;&gt;"",COUNTIF(Catalog!$S$2:$S$501,Catalog!S191)&gt;1),"Duplicate ISBN; ","")&amp;IF(AND(Catalog!B191&lt;&gt;"",COUNTIF(Catalog!$B$2:$B$501,Catalog!B191)&gt;1),"Duplicate Accession; ",""))</f>
        <v/>
      </c>
    </row>
    <row r="217" spans="1:3" x14ac:dyDescent="0.25">
      <c r="A217" s="16" t="str">
        <f>Catalog!A192</f>
        <v/>
      </c>
      <c r="B217" s="16">
        <f>Catalog!D192</f>
        <v>0</v>
      </c>
      <c r="C217" s="17" t="str">
        <f>IF(Catalog!D192="","",IF(ISBLANK(Catalog!F192),"Missing Creator; ","")&amp;IF(ISBLANK(Catalog!K192),"Missing Type; ","")&amp;IF(ISBLANK(Catalog!L192),"Missing Genre; ","")&amp;IF(ISBLANK(Catalog!W192),"Missing Location Type; ","")&amp;IF(ISBLANK(Catalog!X192),"Missing Location Identifier; ","")&amp;IF(AND(Catalog!S192&lt;&gt;"",COUNTIF(Catalog!$S$2:$S$501,Catalog!S192)&gt;1),"Duplicate ISBN; ","")&amp;IF(AND(Catalog!B192&lt;&gt;"",COUNTIF(Catalog!$B$2:$B$501,Catalog!B192)&gt;1),"Duplicate Accession; ",""))</f>
        <v/>
      </c>
    </row>
    <row r="218" spans="1:3" x14ac:dyDescent="0.25">
      <c r="A218" s="16" t="str">
        <f>Catalog!A193</f>
        <v/>
      </c>
      <c r="B218" s="16">
        <f>Catalog!D193</f>
        <v>0</v>
      </c>
      <c r="C218" s="17" t="str">
        <f>IF(Catalog!D193="","",IF(ISBLANK(Catalog!F193),"Missing Creator; ","")&amp;IF(ISBLANK(Catalog!K193),"Missing Type; ","")&amp;IF(ISBLANK(Catalog!L193),"Missing Genre; ","")&amp;IF(ISBLANK(Catalog!W193),"Missing Location Type; ","")&amp;IF(ISBLANK(Catalog!X193),"Missing Location Identifier; ","")&amp;IF(AND(Catalog!S193&lt;&gt;"",COUNTIF(Catalog!$S$2:$S$501,Catalog!S193)&gt;1),"Duplicate ISBN; ","")&amp;IF(AND(Catalog!B193&lt;&gt;"",COUNTIF(Catalog!$B$2:$B$501,Catalog!B193)&gt;1),"Duplicate Accession; ",""))</f>
        <v/>
      </c>
    </row>
    <row r="219" spans="1:3" x14ac:dyDescent="0.25">
      <c r="A219" s="16" t="str">
        <f>Catalog!A194</f>
        <v/>
      </c>
      <c r="B219" s="16">
        <f>Catalog!D194</f>
        <v>0</v>
      </c>
      <c r="C219" s="17" t="str">
        <f>IF(Catalog!D194="","",IF(ISBLANK(Catalog!F194),"Missing Creator; ","")&amp;IF(ISBLANK(Catalog!K194),"Missing Type; ","")&amp;IF(ISBLANK(Catalog!L194),"Missing Genre; ","")&amp;IF(ISBLANK(Catalog!W194),"Missing Location Type; ","")&amp;IF(ISBLANK(Catalog!X194),"Missing Location Identifier; ","")&amp;IF(AND(Catalog!S194&lt;&gt;"",COUNTIF(Catalog!$S$2:$S$501,Catalog!S194)&gt;1),"Duplicate ISBN; ","")&amp;IF(AND(Catalog!B194&lt;&gt;"",COUNTIF(Catalog!$B$2:$B$501,Catalog!B194)&gt;1),"Duplicate Accession; ",""))</f>
        <v/>
      </c>
    </row>
    <row r="220" spans="1:3" x14ac:dyDescent="0.25">
      <c r="A220" s="16" t="str">
        <f>Catalog!A195</f>
        <v/>
      </c>
      <c r="B220" s="16">
        <f>Catalog!D195</f>
        <v>0</v>
      </c>
      <c r="C220" s="17" t="str">
        <f>IF(Catalog!D195="","",IF(ISBLANK(Catalog!F195),"Missing Creator; ","")&amp;IF(ISBLANK(Catalog!K195),"Missing Type; ","")&amp;IF(ISBLANK(Catalog!L195),"Missing Genre; ","")&amp;IF(ISBLANK(Catalog!W195),"Missing Location Type; ","")&amp;IF(ISBLANK(Catalog!X195),"Missing Location Identifier; ","")&amp;IF(AND(Catalog!S195&lt;&gt;"",COUNTIF(Catalog!$S$2:$S$501,Catalog!S195)&gt;1),"Duplicate ISBN; ","")&amp;IF(AND(Catalog!B195&lt;&gt;"",COUNTIF(Catalog!$B$2:$B$501,Catalog!B195)&gt;1),"Duplicate Accession; ",""))</f>
        <v/>
      </c>
    </row>
    <row r="221" spans="1:3" x14ac:dyDescent="0.25">
      <c r="A221" s="16" t="str">
        <f>Catalog!A196</f>
        <v/>
      </c>
      <c r="B221" s="16">
        <f>Catalog!D196</f>
        <v>0</v>
      </c>
      <c r="C221" s="17" t="str">
        <f>IF(Catalog!D196="","",IF(ISBLANK(Catalog!F196),"Missing Creator; ","")&amp;IF(ISBLANK(Catalog!K196),"Missing Type; ","")&amp;IF(ISBLANK(Catalog!L196),"Missing Genre; ","")&amp;IF(ISBLANK(Catalog!W196),"Missing Location Type; ","")&amp;IF(ISBLANK(Catalog!X196),"Missing Location Identifier; ","")&amp;IF(AND(Catalog!S196&lt;&gt;"",COUNTIF(Catalog!$S$2:$S$501,Catalog!S196)&gt;1),"Duplicate ISBN; ","")&amp;IF(AND(Catalog!B196&lt;&gt;"",COUNTIF(Catalog!$B$2:$B$501,Catalog!B196)&gt;1),"Duplicate Accession; ",""))</f>
        <v/>
      </c>
    </row>
    <row r="222" spans="1:3" x14ac:dyDescent="0.25">
      <c r="A222" s="16" t="str">
        <f>Catalog!A197</f>
        <v/>
      </c>
      <c r="B222" s="16">
        <f>Catalog!D197</f>
        <v>0</v>
      </c>
      <c r="C222" s="17" t="str">
        <f>IF(Catalog!D197="","",IF(ISBLANK(Catalog!F197),"Missing Creator; ","")&amp;IF(ISBLANK(Catalog!K197),"Missing Type; ","")&amp;IF(ISBLANK(Catalog!L197),"Missing Genre; ","")&amp;IF(ISBLANK(Catalog!W197),"Missing Location Type; ","")&amp;IF(ISBLANK(Catalog!X197),"Missing Location Identifier; ","")&amp;IF(AND(Catalog!S197&lt;&gt;"",COUNTIF(Catalog!$S$2:$S$501,Catalog!S197)&gt;1),"Duplicate ISBN; ","")&amp;IF(AND(Catalog!B197&lt;&gt;"",COUNTIF(Catalog!$B$2:$B$501,Catalog!B197)&gt;1),"Duplicate Accession; ",""))</f>
        <v/>
      </c>
    </row>
    <row r="223" spans="1:3" x14ac:dyDescent="0.25">
      <c r="A223" s="16" t="str">
        <f>Catalog!A198</f>
        <v/>
      </c>
      <c r="B223" s="16">
        <f>Catalog!D198</f>
        <v>0</v>
      </c>
      <c r="C223" s="17" t="str">
        <f>IF(Catalog!D198="","",IF(ISBLANK(Catalog!F198),"Missing Creator; ","")&amp;IF(ISBLANK(Catalog!K198),"Missing Type; ","")&amp;IF(ISBLANK(Catalog!L198),"Missing Genre; ","")&amp;IF(ISBLANK(Catalog!W198),"Missing Location Type; ","")&amp;IF(ISBLANK(Catalog!X198),"Missing Location Identifier; ","")&amp;IF(AND(Catalog!S198&lt;&gt;"",COUNTIF(Catalog!$S$2:$S$501,Catalog!S198)&gt;1),"Duplicate ISBN; ","")&amp;IF(AND(Catalog!B198&lt;&gt;"",COUNTIF(Catalog!$B$2:$B$501,Catalog!B198)&gt;1),"Duplicate Accession; ",""))</f>
        <v/>
      </c>
    </row>
    <row r="224" spans="1:3" x14ac:dyDescent="0.25">
      <c r="A224" s="16" t="str">
        <f>Catalog!A199</f>
        <v/>
      </c>
      <c r="B224" s="16">
        <f>Catalog!D199</f>
        <v>0</v>
      </c>
      <c r="C224" s="17" t="str">
        <f>IF(Catalog!D199="","",IF(ISBLANK(Catalog!F199),"Missing Creator; ","")&amp;IF(ISBLANK(Catalog!K199),"Missing Type; ","")&amp;IF(ISBLANK(Catalog!L199),"Missing Genre; ","")&amp;IF(ISBLANK(Catalog!W199),"Missing Location Type; ","")&amp;IF(ISBLANK(Catalog!X199),"Missing Location Identifier; ","")&amp;IF(AND(Catalog!S199&lt;&gt;"",COUNTIF(Catalog!$S$2:$S$501,Catalog!S199)&gt;1),"Duplicate ISBN; ","")&amp;IF(AND(Catalog!B199&lt;&gt;"",COUNTIF(Catalog!$B$2:$B$501,Catalog!B199)&gt;1),"Duplicate Accession; ",""))</f>
        <v/>
      </c>
    </row>
    <row r="225" spans="1:3" x14ac:dyDescent="0.25">
      <c r="A225" s="16" t="str">
        <f>Catalog!A200</f>
        <v/>
      </c>
      <c r="B225" s="16">
        <f>Catalog!D200</f>
        <v>0</v>
      </c>
      <c r="C225" s="17" t="str">
        <f>IF(Catalog!D200="","",IF(ISBLANK(Catalog!F200),"Missing Creator; ","")&amp;IF(ISBLANK(Catalog!K200),"Missing Type; ","")&amp;IF(ISBLANK(Catalog!L200),"Missing Genre; ","")&amp;IF(ISBLANK(Catalog!W200),"Missing Location Type; ","")&amp;IF(ISBLANK(Catalog!X200),"Missing Location Identifier; ","")&amp;IF(AND(Catalog!S200&lt;&gt;"",COUNTIF(Catalog!$S$2:$S$501,Catalog!S200)&gt;1),"Duplicate ISBN; ","")&amp;IF(AND(Catalog!B200&lt;&gt;"",COUNTIF(Catalog!$B$2:$B$501,Catalog!B200)&gt;1),"Duplicate Accession; ",""))</f>
        <v/>
      </c>
    </row>
    <row r="226" spans="1:3" x14ac:dyDescent="0.25">
      <c r="A226" s="16" t="str">
        <f>Catalog!A201</f>
        <v/>
      </c>
      <c r="B226" s="16">
        <f>Catalog!D201</f>
        <v>0</v>
      </c>
      <c r="C226" s="17" t="str">
        <f>IF(Catalog!D201="","",IF(ISBLANK(Catalog!F201),"Missing Creator; ","")&amp;IF(ISBLANK(Catalog!K201),"Missing Type; ","")&amp;IF(ISBLANK(Catalog!L201),"Missing Genre; ","")&amp;IF(ISBLANK(Catalog!W201),"Missing Location Type; ","")&amp;IF(ISBLANK(Catalog!X201),"Missing Location Identifier; ","")&amp;IF(AND(Catalog!S201&lt;&gt;"",COUNTIF(Catalog!$S$2:$S$501,Catalog!S201)&gt;1),"Duplicate ISBN; ","")&amp;IF(AND(Catalog!B201&lt;&gt;"",COUNTIF(Catalog!$B$2:$B$501,Catalog!B201)&gt;1),"Duplicate Accession; ",""))</f>
        <v/>
      </c>
    </row>
    <row r="227" spans="1:3" x14ac:dyDescent="0.25">
      <c r="A227" s="16" t="str">
        <f>Catalog!A202</f>
        <v/>
      </c>
      <c r="B227" s="16">
        <f>Catalog!D202</f>
        <v>0</v>
      </c>
      <c r="C227" s="17" t="str">
        <f>IF(Catalog!D202="","",IF(ISBLANK(Catalog!F202),"Missing Creator; ","")&amp;IF(ISBLANK(Catalog!K202),"Missing Type; ","")&amp;IF(ISBLANK(Catalog!L202),"Missing Genre; ","")&amp;IF(ISBLANK(Catalog!W202),"Missing Location Type; ","")&amp;IF(ISBLANK(Catalog!X202),"Missing Location Identifier; ","")&amp;IF(AND(Catalog!S202&lt;&gt;"",COUNTIF(Catalog!$S$2:$S$501,Catalog!S202)&gt;1),"Duplicate ISBN; ","")&amp;IF(AND(Catalog!B202&lt;&gt;"",COUNTIF(Catalog!$B$2:$B$501,Catalog!B202)&gt;1),"Duplicate Accession; ",""))</f>
        <v/>
      </c>
    </row>
    <row r="228" spans="1:3" x14ac:dyDescent="0.25">
      <c r="A228" s="16" t="str">
        <f>Catalog!A203</f>
        <v/>
      </c>
      <c r="B228" s="16">
        <f>Catalog!D203</f>
        <v>0</v>
      </c>
      <c r="C228" s="17" t="str">
        <f>IF(Catalog!D203="","",IF(ISBLANK(Catalog!F203),"Missing Creator; ","")&amp;IF(ISBLANK(Catalog!K203),"Missing Type; ","")&amp;IF(ISBLANK(Catalog!L203),"Missing Genre; ","")&amp;IF(ISBLANK(Catalog!W203),"Missing Location Type; ","")&amp;IF(ISBLANK(Catalog!X203),"Missing Location Identifier; ","")&amp;IF(AND(Catalog!S203&lt;&gt;"",COUNTIF(Catalog!$S$2:$S$501,Catalog!S203)&gt;1),"Duplicate ISBN; ","")&amp;IF(AND(Catalog!B203&lt;&gt;"",COUNTIF(Catalog!$B$2:$B$501,Catalog!B203)&gt;1),"Duplicate Accession; ",""))</f>
        <v/>
      </c>
    </row>
    <row r="229" spans="1:3" x14ac:dyDescent="0.25">
      <c r="A229" s="16" t="str">
        <f>Catalog!A204</f>
        <v/>
      </c>
      <c r="B229" s="16">
        <f>Catalog!D204</f>
        <v>0</v>
      </c>
      <c r="C229" s="17" t="str">
        <f>IF(Catalog!D204="","",IF(ISBLANK(Catalog!F204),"Missing Creator; ","")&amp;IF(ISBLANK(Catalog!K204),"Missing Type; ","")&amp;IF(ISBLANK(Catalog!L204),"Missing Genre; ","")&amp;IF(ISBLANK(Catalog!W204),"Missing Location Type; ","")&amp;IF(ISBLANK(Catalog!X204),"Missing Location Identifier; ","")&amp;IF(AND(Catalog!S204&lt;&gt;"",COUNTIF(Catalog!$S$2:$S$501,Catalog!S204)&gt;1),"Duplicate ISBN; ","")&amp;IF(AND(Catalog!B204&lt;&gt;"",COUNTIF(Catalog!$B$2:$B$501,Catalog!B204)&gt;1),"Duplicate Accession; ",""))</f>
        <v/>
      </c>
    </row>
    <row r="230" spans="1:3" x14ac:dyDescent="0.25">
      <c r="A230" s="16" t="str">
        <f>Catalog!A205</f>
        <v/>
      </c>
      <c r="B230" s="16">
        <f>Catalog!D205</f>
        <v>0</v>
      </c>
      <c r="C230" s="17" t="str">
        <f>IF(Catalog!D205="","",IF(ISBLANK(Catalog!F205),"Missing Creator; ","")&amp;IF(ISBLANK(Catalog!K205),"Missing Type; ","")&amp;IF(ISBLANK(Catalog!L205),"Missing Genre; ","")&amp;IF(ISBLANK(Catalog!W205),"Missing Location Type; ","")&amp;IF(ISBLANK(Catalog!X205),"Missing Location Identifier; ","")&amp;IF(AND(Catalog!S205&lt;&gt;"",COUNTIF(Catalog!$S$2:$S$501,Catalog!S205)&gt;1),"Duplicate ISBN; ","")&amp;IF(AND(Catalog!B205&lt;&gt;"",COUNTIF(Catalog!$B$2:$B$501,Catalog!B205)&gt;1),"Duplicate Accession; ",""))</f>
        <v/>
      </c>
    </row>
    <row r="231" spans="1:3" x14ac:dyDescent="0.25">
      <c r="A231" s="16" t="str">
        <f>Catalog!A206</f>
        <v/>
      </c>
      <c r="B231" s="16">
        <f>Catalog!D206</f>
        <v>0</v>
      </c>
      <c r="C231" s="17" t="str">
        <f>IF(Catalog!D206="","",IF(ISBLANK(Catalog!F206),"Missing Creator; ","")&amp;IF(ISBLANK(Catalog!K206),"Missing Type; ","")&amp;IF(ISBLANK(Catalog!L206),"Missing Genre; ","")&amp;IF(ISBLANK(Catalog!W206),"Missing Location Type; ","")&amp;IF(ISBLANK(Catalog!X206),"Missing Location Identifier; ","")&amp;IF(AND(Catalog!S206&lt;&gt;"",COUNTIF(Catalog!$S$2:$S$501,Catalog!S206)&gt;1),"Duplicate ISBN; ","")&amp;IF(AND(Catalog!B206&lt;&gt;"",COUNTIF(Catalog!$B$2:$B$501,Catalog!B206)&gt;1),"Duplicate Accession; ",""))</f>
        <v/>
      </c>
    </row>
    <row r="232" spans="1:3" x14ac:dyDescent="0.25">
      <c r="A232" s="16" t="str">
        <f>Catalog!A207</f>
        <v/>
      </c>
      <c r="B232" s="16">
        <f>Catalog!D207</f>
        <v>0</v>
      </c>
      <c r="C232" s="17" t="str">
        <f>IF(Catalog!D207="","",IF(ISBLANK(Catalog!F207),"Missing Creator; ","")&amp;IF(ISBLANK(Catalog!K207),"Missing Type; ","")&amp;IF(ISBLANK(Catalog!L207),"Missing Genre; ","")&amp;IF(ISBLANK(Catalog!W207),"Missing Location Type; ","")&amp;IF(ISBLANK(Catalog!X207),"Missing Location Identifier; ","")&amp;IF(AND(Catalog!S207&lt;&gt;"",COUNTIF(Catalog!$S$2:$S$501,Catalog!S207)&gt;1),"Duplicate ISBN; ","")&amp;IF(AND(Catalog!B207&lt;&gt;"",COUNTIF(Catalog!$B$2:$B$501,Catalog!B207)&gt;1),"Duplicate Accession; ",""))</f>
        <v/>
      </c>
    </row>
    <row r="233" spans="1:3" x14ac:dyDescent="0.25">
      <c r="A233" s="16" t="str">
        <f>Catalog!A208</f>
        <v/>
      </c>
      <c r="B233" s="16">
        <f>Catalog!D208</f>
        <v>0</v>
      </c>
      <c r="C233" s="17" t="str">
        <f>IF(Catalog!D208="","",IF(ISBLANK(Catalog!F208),"Missing Creator; ","")&amp;IF(ISBLANK(Catalog!K208),"Missing Type; ","")&amp;IF(ISBLANK(Catalog!L208),"Missing Genre; ","")&amp;IF(ISBLANK(Catalog!W208),"Missing Location Type; ","")&amp;IF(ISBLANK(Catalog!X208),"Missing Location Identifier; ","")&amp;IF(AND(Catalog!S208&lt;&gt;"",COUNTIF(Catalog!$S$2:$S$501,Catalog!S208)&gt;1),"Duplicate ISBN; ","")&amp;IF(AND(Catalog!B208&lt;&gt;"",COUNTIF(Catalog!$B$2:$B$501,Catalog!B208)&gt;1),"Duplicate Accession; ",""))</f>
        <v/>
      </c>
    </row>
    <row r="234" spans="1:3" x14ac:dyDescent="0.25">
      <c r="A234" s="16" t="str">
        <f>Catalog!A209</f>
        <v/>
      </c>
      <c r="B234" s="16">
        <f>Catalog!D209</f>
        <v>0</v>
      </c>
      <c r="C234" s="17" t="str">
        <f>IF(Catalog!D209="","",IF(ISBLANK(Catalog!F209),"Missing Creator; ","")&amp;IF(ISBLANK(Catalog!K209),"Missing Type; ","")&amp;IF(ISBLANK(Catalog!L209),"Missing Genre; ","")&amp;IF(ISBLANK(Catalog!W209),"Missing Location Type; ","")&amp;IF(ISBLANK(Catalog!X209),"Missing Location Identifier; ","")&amp;IF(AND(Catalog!S209&lt;&gt;"",COUNTIF(Catalog!$S$2:$S$501,Catalog!S209)&gt;1),"Duplicate ISBN; ","")&amp;IF(AND(Catalog!B209&lt;&gt;"",COUNTIF(Catalog!$B$2:$B$501,Catalog!B209)&gt;1),"Duplicate Accession; ",""))</f>
        <v/>
      </c>
    </row>
    <row r="235" spans="1:3" x14ac:dyDescent="0.25">
      <c r="A235" s="16" t="str">
        <f>Catalog!A210</f>
        <v/>
      </c>
      <c r="B235" s="16">
        <f>Catalog!D210</f>
        <v>0</v>
      </c>
      <c r="C235" s="17" t="str">
        <f>IF(Catalog!D210="","",IF(ISBLANK(Catalog!F210),"Missing Creator; ","")&amp;IF(ISBLANK(Catalog!K210),"Missing Type; ","")&amp;IF(ISBLANK(Catalog!L210),"Missing Genre; ","")&amp;IF(ISBLANK(Catalog!W210),"Missing Location Type; ","")&amp;IF(ISBLANK(Catalog!X210),"Missing Location Identifier; ","")&amp;IF(AND(Catalog!S210&lt;&gt;"",COUNTIF(Catalog!$S$2:$S$501,Catalog!S210)&gt;1),"Duplicate ISBN; ","")&amp;IF(AND(Catalog!B210&lt;&gt;"",COUNTIF(Catalog!$B$2:$B$501,Catalog!B210)&gt;1),"Duplicate Accession; ",""))</f>
        <v/>
      </c>
    </row>
    <row r="236" spans="1:3" x14ac:dyDescent="0.25">
      <c r="A236" s="16" t="str">
        <f>Catalog!A211</f>
        <v/>
      </c>
      <c r="B236" s="16">
        <f>Catalog!D211</f>
        <v>0</v>
      </c>
      <c r="C236" s="17" t="str">
        <f>IF(Catalog!D211="","",IF(ISBLANK(Catalog!F211),"Missing Creator; ","")&amp;IF(ISBLANK(Catalog!K211),"Missing Type; ","")&amp;IF(ISBLANK(Catalog!L211),"Missing Genre; ","")&amp;IF(ISBLANK(Catalog!W211),"Missing Location Type; ","")&amp;IF(ISBLANK(Catalog!X211),"Missing Location Identifier; ","")&amp;IF(AND(Catalog!S211&lt;&gt;"",COUNTIF(Catalog!$S$2:$S$501,Catalog!S211)&gt;1),"Duplicate ISBN; ","")&amp;IF(AND(Catalog!B211&lt;&gt;"",COUNTIF(Catalog!$B$2:$B$501,Catalog!B211)&gt;1),"Duplicate Accession; ",""))</f>
        <v/>
      </c>
    </row>
    <row r="237" spans="1:3" x14ac:dyDescent="0.25">
      <c r="A237" s="16" t="str">
        <f>Catalog!A212</f>
        <v/>
      </c>
      <c r="B237" s="16">
        <f>Catalog!D212</f>
        <v>0</v>
      </c>
      <c r="C237" s="17" t="str">
        <f>IF(Catalog!D212="","",IF(ISBLANK(Catalog!F212),"Missing Creator; ","")&amp;IF(ISBLANK(Catalog!K212),"Missing Type; ","")&amp;IF(ISBLANK(Catalog!L212),"Missing Genre; ","")&amp;IF(ISBLANK(Catalog!W212),"Missing Location Type; ","")&amp;IF(ISBLANK(Catalog!X212),"Missing Location Identifier; ","")&amp;IF(AND(Catalog!S212&lt;&gt;"",COUNTIF(Catalog!$S$2:$S$501,Catalog!S212)&gt;1),"Duplicate ISBN; ","")&amp;IF(AND(Catalog!B212&lt;&gt;"",COUNTIF(Catalog!$B$2:$B$501,Catalog!B212)&gt;1),"Duplicate Accession; ",""))</f>
        <v/>
      </c>
    </row>
    <row r="238" spans="1:3" x14ac:dyDescent="0.25">
      <c r="A238" s="16" t="str">
        <f>Catalog!A213</f>
        <v/>
      </c>
      <c r="B238" s="16">
        <f>Catalog!D213</f>
        <v>0</v>
      </c>
      <c r="C238" s="17" t="str">
        <f>IF(Catalog!D213="","",IF(ISBLANK(Catalog!F213),"Missing Creator; ","")&amp;IF(ISBLANK(Catalog!K213),"Missing Type; ","")&amp;IF(ISBLANK(Catalog!L213),"Missing Genre; ","")&amp;IF(ISBLANK(Catalog!W213),"Missing Location Type; ","")&amp;IF(ISBLANK(Catalog!X213),"Missing Location Identifier; ","")&amp;IF(AND(Catalog!S213&lt;&gt;"",COUNTIF(Catalog!$S$2:$S$501,Catalog!S213)&gt;1),"Duplicate ISBN; ","")&amp;IF(AND(Catalog!B213&lt;&gt;"",COUNTIF(Catalog!$B$2:$B$501,Catalog!B213)&gt;1),"Duplicate Accession; ",""))</f>
        <v/>
      </c>
    </row>
    <row r="239" spans="1:3" x14ac:dyDescent="0.25">
      <c r="A239" s="16" t="str">
        <f>Catalog!A214</f>
        <v/>
      </c>
      <c r="B239" s="16">
        <f>Catalog!D214</f>
        <v>0</v>
      </c>
      <c r="C239" s="17" t="str">
        <f>IF(Catalog!D214="","",IF(ISBLANK(Catalog!F214),"Missing Creator; ","")&amp;IF(ISBLANK(Catalog!K214),"Missing Type; ","")&amp;IF(ISBLANK(Catalog!L214),"Missing Genre; ","")&amp;IF(ISBLANK(Catalog!W214),"Missing Location Type; ","")&amp;IF(ISBLANK(Catalog!X214),"Missing Location Identifier; ","")&amp;IF(AND(Catalog!S214&lt;&gt;"",COUNTIF(Catalog!$S$2:$S$501,Catalog!S214)&gt;1),"Duplicate ISBN; ","")&amp;IF(AND(Catalog!B214&lt;&gt;"",COUNTIF(Catalog!$B$2:$B$501,Catalog!B214)&gt;1),"Duplicate Accession; ",""))</f>
        <v/>
      </c>
    </row>
    <row r="240" spans="1:3" x14ac:dyDescent="0.25">
      <c r="A240" s="16" t="str">
        <f>Catalog!A215</f>
        <v/>
      </c>
      <c r="B240" s="16">
        <f>Catalog!D215</f>
        <v>0</v>
      </c>
      <c r="C240" s="17" t="str">
        <f>IF(Catalog!D215="","",IF(ISBLANK(Catalog!F215),"Missing Creator; ","")&amp;IF(ISBLANK(Catalog!K215),"Missing Type; ","")&amp;IF(ISBLANK(Catalog!L215),"Missing Genre; ","")&amp;IF(ISBLANK(Catalog!W215),"Missing Location Type; ","")&amp;IF(ISBLANK(Catalog!X215),"Missing Location Identifier; ","")&amp;IF(AND(Catalog!S215&lt;&gt;"",COUNTIF(Catalog!$S$2:$S$501,Catalog!S215)&gt;1),"Duplicate ISBN; ","")&amp;IF(AND(Catalog!B215&lt;&gt;"",COUNTIF(Catalog!$B$2:$B$501,Catalog!B215)&gt;1),"Duplicate Accession; ",""))</f>
        <v/>
      </c>
    </row>
    <row r="241" spans="1:3" x14ac:dyDescent="0.25">
      <c r="A241" s="16" t="str">
        <f>Catalog!A216</f>
        <v/>
      </c>
      <c r="B241" s="16">
        <f>Catalog!D216</f>
        <v>0</v>
      </c>
      <c r="C241" s="17" t="str">
        <f>IF(Catalog!D216="","",IF(ISBLANK(Catalog!F216),"Missing Creator; ","")&amp;IF(ISBLANK(Catalog!K216),"Missing Type; ","")&amp;IF(ISBLANK(Catalog!L216),"Missing Genre; ","")&amp;IF(ISBLANK(Catalog!W216),"Missing Location Type; ","")&amp;IF(ISBLANK(Catalog!X216),"Missing Location Identifier; ","")&amp;IF(AND(Catalog!S216&lt;&gt;"",COUNTIF(Catalog!$S$2:$S$501,Catalog!S216)&gt;1),"Duplicate ISBN; ","")&amp;IF(AND(Catalog!B216&lt;&gt;"",COUNTIF(Catalog!$B$2:$B$501,Catalog!B216)&gt;1),"Duplicate Accession; ",""))</f>
        <v/>
      </c>
    </row>
    <row r="242" spans="1:3" x14ac:dyDescent="0.25">
      <c r="A242" s="16" t="str">
        <f>Catalog!A217</f>
        <v/>
      </c>
      <c r="B242" s="16">
        <f>Catalog!D217</f>
        <v>0</v>
      </c>
      <c r="C242" s="17" t="str">
        <f>IF(Catalog!D217="","",IF(ISBLANK(Catalog!F217),"Missing Creator; ","")&amp;IF(ISBLANK(Catalog!K217),"Missing Type; ","")&amp;IF(ISBLANK(Catalog!L217),"Missing Genre; ","")&amp;IF(ISBLANK(Catalog!W217),"Missing Location Type; ","")&amp;IF(ISBLANK(Catalog!X217),"Missing Location Identifier; ","")&amp;IF(AND(Catalog!S217&lt;&gt;"",COUNTIF(Catalog!$S$2:$S$501,Catalog!S217)&gt;1),"Duplicate ISBN; ","")&amp;IF(AND(Catalog!B217&lt;&gt;"",COUNTIF(Catalog!$B$2:$B$501,Catalog!B217)&gt;1),"Duplicate Accession; ",""))</f>
        <v/>
      </c>
    </row>
    <row r="243" spans="1:3" x14ac:dyDescent="0.25">
      <c r="A243" s="16" t="str">
        <f>Catalog!A218</f>
        <v/>
      </c>
      <c r="B243" s="16">
        <f>Catalog!D218</f>
        <v>0</v>
      </c>
      <c r="C243" s="17" t="str">
        <f>IF(Catalog!D218="","",IF(ISBLANK(Catalog!F218),"Missing Creator; ","")&amp;IF(ISBLANK(Catalog!K218),"Missing Type; ","")&amp;IF(ISBLANK(Catalog!L218),"Missing Genre; ","")&amp;IF(ISBLANK(Catalog!W218),"Missing Location Type; ","")&amp;IF(ISBLANK(Catalog!X218),"Missing Location Identifier; ","")&amp;IF(AND(Catalog!S218&lt;&gt;"",COUNTIF(Catalog!$S$2:$S$501,Catalog!S218)&gt;1),"Duplicate ISBN; ","")&amp;IF(AND(Catalog!B218&lt;&gt;"",COUNTIF(Catalog!$B$2:$B$501,Catalog!B218)&gt;1),"Duplicate Accession; ",""))</f>
        <v/>
      </c>
    </row>
    <row r="244" spans="1:3" x14ac:dyDescent="0.25">
      <c r="A244" s="16" t="str">
        <f>Catalog!A219</f>
        <v/>
      </c>
      <c r="B244" s="16">
        <f>Catalog!D219</f>
        <v>0</v>
      </c>
      <c r="C244" s="17" t="str">
        <f>IF(Catalog!D219="","",IF(ISBLANK(Catalog!F219),"Missing Creator; ","")&amp;IF(ISBLANK(Catalog!K219),"Missing Type; ","")&amp;IF(ISBLANK(Catalog!L219),"Missing Genre; ","")&amp;IF(ISBLANK(Catalog!W219),"Missing Location Type; ","")&amp;IF(ISBLANK(Catalog!X219),"Missing Location Identifier; ","")&amp;IF(AND(Catalog!S219&lt;&gt;"",COUNTIF(Catalog!$S$2:$S$501,Catalog!S219)&gt;1),"Duplicate ISBN; ","")&amp;IF(AND(Catalog!B219&lt;&gt;"",COUNTIF(Catalog!$B$2:$B$501,Catalog!B219)&gt;1),"Duplicate Accession; ",""))</f>
        <v/>
      </c>
    </row>
    <row r="245" spans="1:3" x14ac:dyDescent="0.25">
      <c r="A245" s="16" t="str">
        <f>Catalog!A220</f>
        <v/>
      </c>
      <c r="B245" s="16">
        <f>Catalog!D220</f>
        <v>0</v>
      </c>
      <c r="C245" s="17" t="str">
        <f>IF(Catalog!D220="","",IF(ISBLANK(Catalog!F220),"Missing Creator; ","")&amp;IF(ISBLANK(Catalog!K220),"Missing Type; ","")&amp;IF(ISBLANK(Catalog!L220),"Missing Genre; ","")&amp;IF(ISBLANK(Catalog!W220),"Missing Location Type; ","")&amp;IF(ISBLANK(Catalog!X220),"Missing Location Identifier; ","")&amp;IF(AND(Catalog!S220&lt;&gt;"",COUNTIF(Catalog!$S$2:$S$501,Catalog!S220)&gt;1),"Duplicate ISBN; ","")&amp;IF(AND(Catalog!B220&lt;&gt;"",COUNTIF(Catalog!$B$2:$B$501,Catalog!B220)&gt;1),"Duplicate Accession; ",""))</f>
        <v/>
      </c>
    </row>
    <row r="246" spans="1:3" x14ac:dyDescent="0.25">
      <c r="A246" s="16" t="str">
        <f>Catalog!A221</f>
        <v/>
      </c>
      <c r="B246" s="16">
        <f>Catalog!D221</f>
        <v>0</v>
      </c>
      <c r="C246" s="17" t="str">
        <f>IF(Catalog!D221="","",IF(ISBLANK(Catalog!F221),"Missing Creator; ","")&amp;IF(ISBLANK(Catalog!K221),"Missing Type; ","")&amp;IF(ISBLANK(Catalog!L221),"Missing Genre; ","")&amp;IF(ISBLANK(Catalog!W221),"Missing Location Type; ","")&amp;IF(ISBLANK(Catalog!X221),"Missing Location Identifier; ","")&amp;IF(AND(Catalog!S221&lt;&gt;"",COUNTIF(Catalog!$S$2:$S$501,Catalog!S221)&gt;1),"Duplicate ISBN; ","")&amp;IF(AND(Catalog!B221&lt;&gt;"",COUNTIF(Catalog!$B$2:$B$501,Catalog!B221)&gt;1),"Duplicate Accession; ",""))</f>
        <v/>
      </c>
    </row>
    <row r="247" spans="1:3" x14ac:dyDescent="0.25">
      <c r="A247" s="16" t="str">
        <f>Catalog!A222</f>
        <v/>
      </c>
      <c r="B247" s="16">
        <f>Catalog!D222</f>
        <v>0</v>
      </c>
      <c r="C247" s="17" t="str">
        <f>IF(Catalog!D222="","",IF(ISBLANK(Catalog!F222),"Missing Creator; ","")&amp;IF(ISBLANK(Catalog!K222),"Missing Type; ","")&amp;IF(ISBLANK(Catalog!L222),"Missing Genre; ","")&amp;IF(ISBLANK(Catalog!W222),"Missing Location Type; ","")&amp;IF(ISBLANK(Catalog!X222),"Missing Location Identifier; ","")&amp;IF(AND(Catalog!S222&lt;&gt;"",COUNTIF(Catalog!$S$2:$S$501,Catalog!S222)&gt;1),"Duplicate ISBN; ","")&amp;IF(AND(Catalog!B222&lt;&gt;"",COUNTIF(Catalog!$B$2:$B$501,Catalog!B222)&gt;1),"Duplicate Accession; ",""))</f>
        <v/>
      </c>
    </row>
    <row r="248" spans="1:3" x14ac:dyDescent="0.25">
      <c r="A248" s="16" t="str">
        <f>Catalog!A223</f>
        <v/>
      </c>
      <c r="B248" s="16">
        <f>Catalog!D223</f>
        <v>0</v>
      </c>
      <c r="C248" s="17" t="str">
        <f>IF(Catalog!D223="","",IF(ISBLANK(Catalog!F223),"Missing Creator; ","")&amp;IF(ISBLANK(Catalog!K223),"Missing Type; ","")&amp;IF(ISBLANK(Catalog!L223),"Missing Genre; ","")&amp;IF(ISBLANK(Catalog!W223),"Missing Location Type; ","")&amp;IF(ISBLANK(Catalog!X223),"Missing Location Identifier; ","")&amp;IF(AND(Catalog!S223&lt;&gt;"",COUNTIF(Catalog!$S$2:$S$501,Catalog!S223)&gt;1),"Duplicate ISBN; ","")&amp;IF(AND(Catalog!B223&lt;&gt;"",COUNTIF(Catalog!$B$2:$B$501,Catalog!B223)&gt;1),"Duplicate Accession; ",""))</f>
        <v/>
      </c>
    </row>
    <row r="249" spans="1:3" x14ac:dyDescent="0.25">
      <c r="A249" s="16" t="str">
        <f>Catalog!A224</f>
        <v/>
      </c>
      <c r="B249" s="16">
        <f>Catalog!D224</f>
        <v>0</v>
      </c>
      <c r="C249" s="17" t="str">
        <f>IF(Catalog!D224="","",IF(ISBLANK(Catalog!F224),"Missing Creator; ","")&amp;IF(ISBLANK(Catalog!K224),"Missing Type; ","")&amp;IF(ISBLANK(Catalog!L224),"Missing Genre; ","")&amp;IF(ISBLANK(Catalog!W224),"Missing Location Type; ","")&amp;IF(ISBLANK(Catalog!X224),"Missing Location Identifier; ","")&amp;IF(AND(Catalog!S224&lt;&gt;"",COUNTIF(Catalog!$S$2:$S$501,Catalog!S224)&gt;1),"Duplicate ISBN; ","")&amp;IF(AND(Catalog!B224&lt;&gt;"",COUNTIF(Catalog!$B$2:$B$501,Catalog!B224)&gt;1),"Duplicate Accession; ",""))</f>
        <v/>
      </c>
    </row>
    <row r="250" spans="1:3" x14ac:dyDescent="0.25">
      <c r="A250" s="16" t="str">
        <f>Catalog!A225</f>
        <v/>
      </c>
      <c r="B250" s="16">
        <f>Catalog!D225</f>
        <v>0</v>
      </c>
      <c r="C250" s="17" t="str">
        <f>IF(Catalog!D225="","",IF(ISBLANK(Catalog!F225),"Missing Creator; ","")&amp;IF(ISBLANK(Catalog!K225),"Missing Type; ","")&amp;IF(ISBLANK(Catalog!L225),"Missing Genre; ","")&amp;IF(ISBLANK(Catalog!W225),"Missing Location Type; ","")&amp;IF(ISBLANK(Catalog!X225),"Missing Location Identifier; ","")&amp;IF(AND(Catalog!S225&lt;&gt;"",COUNTIF(Catalog!$S$2:$S$501,Catalog!S225)&gt;1),"Duplicate ISBN; ","")&amp;IF(AND(Catalog!B225&lt;&gt;"",COUNTIF(Catalog!$B$2:$B$501,Catalog!B225)&gt;1),"Duplicate Accession; ",""))</f>
        <v/>
      </c>
    </row>
    <row r="251" spans="1:3" x14ac:dyDescent="0.25">
      <c r="A251" s="16" t="str">
        <f>Catalog!A226</f>
        <v/>
      </c>
      <c r="B251" s="16">
        <f>Catalog!D226</f>
        <v>0</v>
      </c>
      <c r="C251" s="17" t="str">
        <f>IF(Catalog!D226="","",IF(ISBLANK(Catalog!F226),"Missing Creator; ","")&amp;IF(ISBLANK(Catalog!K226),"Missing Type; ","")&amp;IF(ISBLANK(Catalog!L226),"Missing Genre; ","")&amp;IF(ISBLANK(Catalog!W226),"Missing Location Type; ","")&amp;IF(ISBLANK(Catalog!X226),"Missing Location Identifier; ","")&amp;IF(AND(Catalog!S226&lt;&gt;"",COUNTIF(Catalog!$S$2:$S$501,Catalog!S226)&gt;1),"Duplicate ISBN; ","")&amp;IF(AND(Catalog!B226&lt;&gt;"",COUNTIF(Catalog!$B$2:$B$501,Catalog!B226)&gt;1),"Duplicate Accession; ",""))</f>
        <v/>
      </c>
    </row>
    <row r="252" spans="1:3" x14ac:dyDescent="0.25">
      <c r="A252" s="16" t="str">
        <f>Catalog!A227</f>
        <v/>
      </c>
      <c r="B252" s="16">
        <f>Catalog!D227</f>
        <v>0</v>
      </c>
      <c r="C252" s="17" t="str">
        <f>IF(Catalog!D227="","",IF(ISBLANK(Catalog!F227),"Missing Creator; ","")&amp;IF(ISBLANK(Catalog!K227),"Missing Type; ","")&amp;IF(ISBLANK(Catalog!L227),"Missing Genre; ","")&amp;IF(ISBLANK(Catalog!W227),"Missing Location Type; ","")&amp;IF(ISBLANK(Catalog!X227),"Missing Location Identifier; ","")&amp;IF(AND(Catalog!S227&lt;&gt;"",COUNTIF(Catalog!$S$2:$S$501,Catalog!S227)&gt;1),"Duplicate ISBN; ","")&amp;IF(AND(Catalog!B227&lt;&gt;"",COUNTIF(Catalog!$B$2:$B$501,Catalog!B227)&gt;1),"Duplicate Accession; ",""))</f>
        <v/>
      </c>
    </row>
    <row r="253" spans="1:3" x14ac:dyDescent="0.25">
      <c r="A253" s="16" t="str">
        <f>Catalog!A228</f>
        <v/>
      </c>
      <c r="B253" s="16">
        <f>Catalog!D228</f>
        <v>0</v>
      </c>
      <c r="C253" s="17" t="str">
        <f>IF(Catalog!D228="","",IF(ISBLANK(Catalog!F228),"Missing Creator; ","")&amp;IF(ISBLANK(Catalog!K228),"Missing Type; ","")&amp;IF(ISBLANK(Catalog!L228),"Missing Genre; ","")&amp;IF(ISBLANK(Catalog!W228),"Missing Location Type; ","")&amp;IF(ISBLANK(Catalog!X228),"Missing Location Identifier; ","")&amp;IF(AND(Catalog!S228&lt;&gt;"",COUNTIF(Catalog!$S$2:$S$501,Catalog!S228)&gt;1),"Duplicate ISBN; ","")&amp;IF(AND(Catalog!B228&lt;&gt;"",COUNTIF(Catalog!$B$2:$B$501,Catalog!B228)&gt;1),"Duplicate Accession; ",""))</f>
        <v/>
      </c>
    </row>
    <row r="254" spans="1:3" x14ac:dyDescent="0.25">
      <c r="A254" s="16" t="str">
        <f>Catalog!A229</f>
        <v/>
      </c>
      <c r="B254" s="16">
        <f>Catalog!D229</f>
        <v>0</v>
      </c>
      <c r="C254" s="17" t="str">
        <f>IF(Catalog!D229="","",IF(ISBLANK(Catalog!F229),"Missing Creator; ","")&amp;IF(ISBLANK(Catalog!K229),"Missing Type; ","")&amp;IF(ISBLANK(Catalog!L229),"Missing Genre; ","")&amp;IF(ISBLANK(Catalog!W229),"Missing Location Type; ","")&amp;IF(ISBLANK(Catalog!X229),"Missing Location Identifier; ","")&amp;IF(AND(Catalog!S229&lt;&gt;"",COUNTIF(Catalog!$S$2:$S$501,Catalog!S229)&gt;1),"Duplicate ISBN; ","")&amp;IF(AND(Catalog!B229&lt;&gt;"",COUNTIF(Catalog!$B$2:$B$501,Catalog!B229)&gt;1),"Duplicate Accession; ",""))</f>
        <v/>
      </c>
    </row>
    <row r="255" spans="1:3" x14ac:dyDescent="0.25">
      <c r="A255" s="16" t="str">
        <f>Catalog!A230</f>
        <v/>
      </c>
      <c r="B255" s="16">
        <f>Catalog!D230</f>
        <v>0</v>
      </c>
      <c r="C255" s="17" t="str">
        <f>IF(Catalog!D230="","",IF(ISBLANK(Catalog!F230),"Missing Creator; ","")&amp;IF(ISBLANK(Catalog!K230),"Missing Type; ","")&amp;IF(ISBLANK(Catalog!L230),"Missing Genre; ","")&amp;IF(ISBLANK(Catalog!W230),"Missing Location Type; ","")&amp;IF(ISBLANK(Catalog!X230),"Missing Location Identifier; ","")&amp;IF(AND(Catalog!S230&lt;&gt;"",COUNTIF(Catalog!$S$2:$S$501,Catalog!S230)&gt;1),"Duplicate ISBN; ","")&amp;IF(AND(Catalog!B230&lt;&gt;"",COUNTIF(Catalog!$B$2:$B$501,Catalog!B230)&gt;1),"Duplicate Accession; ",""))</f>
        <v/>
      </c>
    </row>
    <row r="256" spans="1:3" x14ac:dyDescent="0.25">
      <c r="A256" s="16" t="str">
        <f>Catalog!A231</f>
        <v/>
      </c>
      <c r="B256" s="16">
        <f>Catalog!D231</f>
        <v>0</v>
      </c>
      <c r="C256" s="17" t="str">
        <f>IF(Catalog!D231="","",IF(ISBLANK(Catalog!F231),"Missing Creator; ","")&amp;IF(ISBLANK(Catalog!K231),"Missing Type; ","")&amp;IF(ISBLANK(Catalog!L231),"Missing Genre; ","")&amp;IF(ISBLANK(Catalog!W231),"Missing Location Type; ","")&amp;IF(ISBLANK(Catalog!X231),"Missing Location Identifier; ","")&amp;IF(AND(Catalog!S231&lt;&gt;"",COUNTIF(Catalog!$S$2:$S$501,Catalog!S231)&gt;1),"Duplicate ISBN; ","")&amp;IF(AND(Catalog!B231&lt;&gt;"",COUNTIF(Catalog!$B$2:$B$501,Catalog!B231)&gt;1),"Duplicate Accession; ",""))</f>
        <v/>
      </c>
    </row>
    <row r="257" spans="1:3" x14ac:dyDescent="0.25">
      <c r="A257" s="16" t="str">
        <f>Catalog!A232</f>
        <v/>
      </c>
      <c r="B257" s="16">
        <f>Catalog!D232</f>
        <v>0</v>
      </c>
      <c r="C257" s="17" t="str">
        <f>IF(Catalog!D232="","",IF(ISBLANK(Catalog!F232),"Missing Creator; ","")&amp;IF(ISBLANK(Catalog!K232),"Missing Type; ","")&amp;IF(ISBLANK(Catalog!L232),"Missing Genre; ","")&amp;IF(ISBLANK(Catalog!W232),"Missing Location Type; ","")&amp;IF(ISBLANK(Catalog!X232),"Missing Location Identifier; ","")&amp;IF(AND(Catalog!S232&lt;&gt;"",COUNTIF(Catalog!$S$2:$S$501,Catalog!S232)&gt;1),"Duplicate ISBN; ","")&amp;IF(AND(Catalog!B232&lt;&gt;"",COUNTIF(Catalog!$B$2:$B$501,Catalog!B232)&gt;1),"Duplicate Accession; ",""))</f>
        <v/>
      </c>
    </row>
    <row r="258" spans="1:3" x14ac:dyDescent="0.25">
      <c r="A258" s="16" t="str">
        <f>Catalog!A233</f>
        <v/>
      </c>
      <c r="B258" s="16">
        <f>Catalog!D233</f>
        <v>0</v>
      </c>
      <c r="C258" s="17" t="str">
        <f>IF(Catalog!D233="","",IF(ISBLANK(Catalog!F233),"Missing Creator; ","")&amp;IF(ISBLANK(Catalog!K233),"Missing Type; ","")&amp;IF(ISBLANK(Catalog!L233),"Missing Genre; ","")&amp;IF(ISBLANK(Catalog!W233),"Missing Location Type; ","")&amp;IF(ISBLANK(Catalog!X233),"Missing Location Identifier; ","")&amp;IF(AND(Catalog!S233&lt;&gt;"",COUNTIF(Catalog!$S$2:$S$501,Catalog!S233)&gt;1),"Duplicate ISBN; ","")&amp;IF(AND(Catalog!B233&lt;&gt;"",COUNTIF(Catalog!$B$2:$B$501,Catalog!B233)&gt;1),"Duplicate Accession; ",""))</f>
        <v/>
      </c>
    </row>
    <row r="259" spans="1:3" x14ac:dyDescent="0.25">
      <c r="A259" s="16" t="str">
        <f>Catalog!A234</f>
        <v/>
      </c>
      <c r="B259" s="16">
        <f>Catalog!D234</f>
        <v>0</v>
      </c>
      <c r="C259" s="17" t="str">
        <f>IF(Catalog!D234="","",IF(ISBLANK(Catalog!F234),"Missing Creator; ","")&amp;IF(ISBLANK(Catalog!K234),"Missing Type; ","")&amp;IF(ISBLANK(Catalog!L234),"Missing Genre; ","")&amp;IF(ISBLANK(Catalog!W234),"Missing Location Type; ","")&amp;IF(ISBLANK(Catalog!X234),"Missing Location Identifier; ","")&amp;IF(AND(Catalog!S234&lt;&gt;"",COUNTIF(Catalog!$S$2:$S$501,Catalog!S234)&gt;1),"Duplicate ISBN; ","")&amp;IF(AND(Catalog!B234&lt;&gt;"",COUNTIF(Catalog!$B$2:$B$501,Catalog!B234)&gt;1),"Duplicate Accession; ",""))</f>
        <v/>
      </c>
    </row>
    <row r="260" spans="1:3" x14ac:dyDescent="0.25">
      <c r="A260" s="16" t="str">
        <f>Catalog!A235</f>
        <v/>
      </c>
      <c r="B260" s="16">
        <f>Catalog!D235</f>
        <v>0</v>
      </c>
      <c r="C260" s="17" t="str">
        <f>IF(Catalog!D235="","",IF(ISBLANK(Catalog!F235),"Missing Creator; ","")&amp;IF(ISBLANK(Catalog!K235),"Missing Type; ","")&amp;IF(ISBLANK(Catalog!L235),"Missing Genre; ","")&amp;IF(ISBLANK(Catalog!W235),"Missing Location Type; ","")&amp;IF(ISBLANK(Catalog!X235),"Missing Location Identifier; ","")&amp;IF(AND(Catalog!S235&lt;&gt;"",COUNTIF(Catalog!$S$2:$S$501,Catalog!S235)&gt;1),"Duplicate ISBN; ","")&amp;IF(AND(Catalog!B235&lt;&gt;"",COUNTIF(Catalog!$B$2:$B$501,Catalog!B235)&gt;1),"Duplicate Accession; ",""))</f>
        <v/>
      </c>
    </row>
    <row r="261" spans="1:3" x14ac:dyDescent="0.25">
      <c r="A261" s="16" t="str">
        <f>Catalog!A236</f>
        <v/>
      </c>
      <c r="B261" s="16">
        <f>Catalog!D236</f>
        <v>0</v>
      </c>
      <c r="C261" s="17" t="str">
        <f>IF(Catalog!D236="","",IF(ISBLANK(Catalog!F236),"Missing Creator; ","")&amp;IF(ISBLANK(Catalog!K236),"Missing Type; ","")&amp;IF(ISBLANK(Catalog!L236),"Missing Genre; ","")&amp;IF(ISBLANK(Catalog!W236),"Missing Location Type; ","")&amp;IF(ISBLANK(Catalog!X236),"Missing Location Identifier; ","")&amp;IF(AND(Catalog!S236&lt;&gt;"",COUNTIF(Catalog!$S$2:$S$501,Catalog!S236)&gt;1),"Duplicate ISBN; ","")&amp;IF(AND(Catalog!B236&lt;&gt;"",COUNTIF(Catalog!$B$2:$B$501,Catalog!B236)&gt;1),"Duplicate Accession; ",""))</f>
        <v/>
      </c>
    </row>
    <row r="262" spans="1:3" x14ac:dyDescent="0.25">
      <c r="A262" s="16" t="str">
        <f>Catalog!A237</f>
        <v/>
      </c>
      <c r="B262" s="16">
        <f>Catalog!D237</f>
        <v>0</v>
      </c>
      <c r="C262" s="17" t="str">
        <f>IF(Catalog!D237="","",IF(ISBLANK(Catalog!F237),"Missing Creator; ","")&amp;IF(ISBLANK(Catalog!K237),"Missing Type; ","")&amp;IF(ISBLANK(Catalog!L237),"Missing Genre; ","")&amp;IF(ISBLANK(Catalog!W237),"Missing Location Type; ","")&amp;IF(ISBLANK(Catalog!X237),"Missing Location Identifier; ","")&amp;IF(AND(Catalog!S237&lt;&gt;"",COUNTIF(Catalog!$S$2:$S$501,Catalog!S237)&gt;1),"Duplicate ISBN; ","")&amp;IF(AND(Catalog!B237&lt;&gt;"",COUNTIF(Catalog!$B$2:$B$501,Catalog!B237)&gt;1),"Duplicate Accession; ",""))</f>
        <v/>
      </c>
    </row>
    <row r="263" spans="1:3" x14ac:dyDescent="0.25">
      <c r="A263" s="16" t="str">
        <f>Catalog!A238</f>
        <v/>
      </c>
      <c r="B263" s="16">
        <f>Catalog!D238</f>
        <v>0</v>
      </c>
      <c r="C263" s="17" t="str">
        <f>IF(Catalog!D238="","",IF(ISBLANK(Catalog!F238),"Missing Creator; ","")&amp;IF(ISBLANK(Catalog!K238),"Missing Type; ","")&amp;IF(ISBLANK(Catalog!L238),"Missing Genre; ","")&amp;IF(ISBLANK(Catalog!W238),"Missing Location Type; ","")&amp;IF(ISBLANK(Catalog!X238),"Missing Location Identifier; ","")&amp;IF(AND(Catalog!S238&lt;&gt;"",COUNTIF(Catalog!$S$2:$S$501,Catalog!S238)&gt;1),"Duplicate ISBN; ","")&amp;IF(AND(Catalog!B238&lt;&gt;"",COUNTIF(Catalog!$B$2:$B$501,Catalog!B238)&gt;1),"Duplicate Accession; ",""))</f>
        <v/>
      </c>
    </row>
    <row r="264" spans="1:3" x14ac:dyDescent="0.25">
      <c r="A264" s="16" t="str">
        <f>Catalog!A239</f>
        <v/>
      </c>
      <c r="B264" s="16">
        <f>Catalog!D239</f>
        <v>0</v>
      </c>
      <c r="C264" s="17" t="str">
        <f>IF(Catalog!D239="","",IF(ISBLANK(Catalog!F239),"Missing Creator; ","")&amp;IF(ISBLANK(Catalog!K239),"Missing Type; ","")&amp;IF(ISBLANK(Catalog!L239),"Missing Genre; ","")&amp;IF(ISBLANK(Catalog!W239),"Missing Location Type; ","")&amp;IF(ISBLANK(Catalog!X239),"Missing Location Identifier; ","")&amp;IF(AND(Catalog!S239&lt;&gt;"",COUNTIF(Catalog!$S$2:$S$501,Catalog!S239)&gt;1),"Duplicate ISBN; ","")&amp;IF(AND(Catalog!B239&lt;&gt;"",COUNTIF(Catalog!$B$2:$B$501,Catalog!B239)&gt;1),"Duplicate Accession; ",""))</f>
        <v/>
      </c>
    </row>
    <row r="265" spans="1:3" x14ac:dyDescent="0.25">
      <c r="A265" s="16" t="str">
        <f>Catalog!A240</f>
        <v/>
      </c>
      <c r="B265" s="16">
        <f>Catalog!D240</f>
        <v>0</v>
      </c>
      <c r="C265" s="17" t="str">
        <f>IF(Catalog!D240="","",IF(ISBLANK(Catalog!F240),"Missing Creator; ","")&amp;IF(ISBLANK(Catalog!K240),"Missing Type; ","")&amp;IF(ISBLANK(Catalog!L240),"Missing Genre; ","")&amp;IF(ISBLANK(Catalog!W240),"Missing Location Type; ","")&amp;IF(ISBLANK(Catalog!X240),"Missing Location Identifier; ","")&amp;IF(AND(Catalog!S240&lt;&gt;"",COUNTIF(Catalog!$S$2:$S$501,Catalog!S240)&gt;1),"Duplicate ISBN; ","")&amp;IF(AND(Catalog!B240&lt;&gt;"",COUNTIF(Catalog!$B$2:$B$501,Catalog!B240)&gt;1),"Duplicate Accession; ",""))</f>
        <v/>
      </c>
    </row>
    <row r="266" spans="1:3" x14ac:dyDescent="0.25">
      <c r="A266" s="16" t="str">
        <f>Catalog!A241</f>
        <v/>
      </c>
      <c r="B266" s="16">
        <f>Catalog!D241</f>
        <v>0</v>
      </c>
      <c r="C266" s="17" t="str">
        <f>IF(Catalog!D241="","",IF(ISBLANK(Catalog!F241),"Missing Creator; ","")&amp;IF(ISBLANK(Catalog!K241),"Missing Type; ","")&amp;IF(ISBLANK(Catalog!L241),"Missing Genre; ","")&amp;IF(ISBLANK(Catalog!W241),"Missing Location Type; ","")&amp;IF(ISBLANK(Catalog!X241),"Missing Location Identifier; ","")&amp;IF(AND(Catalog!S241&lt;&gt;"",COUNTIF(Catalog!$S$2:$S$501,Catalog!S241)&gt;1),"Duplicate ISBN; ","")&amp;IF(AND(Catalog!B241&lt;&gt;"",COUNTIF(Catalog!$B$2:$B$501,Catalog!B241)&gt;1),"Duplicate Accession; ",""))</f>
        <v/>
      </c>
    </row>
    <row r="267" spans="1:3" x14ac:dyDescent="0.25">
      <c r="A267" s="16" t="str">
        <f>Catalog!A242</f>
        <v/>
      </c>
      <c r="B267" s="16">
        <f>Catalog!D242</f>
        <v>0</v>
      </c>
      <c r="C267" s="17" t="str">
        <f>IF(Catalog!D242="","",IF(ISBLANK(Catalog!F242),"Missing Creator; ","")&amp;IF(ISBLANK(Catalog!K242),"Missing Type; ","")&amp;IF(ISBLANK(Catalog!L242),"Missing Genre; ","")&amp;IF(ISBLANK(Catalog!W242),"Missing Location Type; ","")&amp;IF(ISBLANK(Catalog!X242),"Missing Location Identifier; ","")&amp;IF(AND(Catalog!S242&lt;&gt;"",COUNTIF(Catalog!$S$2:$S$501,Catalog!S242)&gt;1),"Duplicate ISBN; ","")&amp;IF(AND(Catalog!B242&lt;&gt;"",COUNTIF(Catalog!$B$2:$B$501,Catalog!B242)&gt;1),"Duplicate Accession; ",""))</f>
        <v/>
      </c>
    </row>
    <row r="268" spans="1:3" x14ac:dyDescent="0.25">
      <c r="A268" s="16" t="str">
        <f>Catalog!A243</f>
        <v/>
      </c>
      <c r="B268" s="16">
        <f>Catalog!D243</f>
        <v>0</v>
      </c>
      <c r="C268" s="17" t="str">
        <f>IF(Catalog!D243="","",IF(ISBLANK(Catalog!F243),"Missing Creator; ","")&amp;IF(ISBLANK(Catalog!K243),"Missing Type; ","")&amp;IF(ISBLANK(Catalog!L243),"Missing Genre; ","")&amp;IF(ISBLANK(Catalog!W243),"Missing Location Type; ","")&amp;IF(ISBLANK(Catalog!X243),"Missing Location Identifier; ","")&amp;IF(AND(Catalog!S243&lt;&gt;"",COUNTIF(Catalog!$S$2:$S$501,Catalog!S243)&gt;1),"Duplicate ISBN; ","")&amp;IF(AND(Catalog!B243&lt;&gt;"",COUNTIF(Catalog!$B$2:$B$501,Catalog!B243)&gt;1),"Duplicate Accession; ",""))</f>
        <v/>
      </c>
    </row>
    <row r="269" spans="1:3" x14ac:dyDescent="0.25">
      <c r="A269" s="16" t="str">
        <f>Catalog!A244</f>
        <v/>
      </c>
      <c r="B269" s="16">
        <f>Catalog!D244</f>
        <v>0</v>
      </c>
      <c r="C269" s="17" t="str">
        <f>IF(Catalog!D244="","",IF(ISBLANK(Catalog!F244),"Missing Creator; ","")&amp;IF(ISBLANK(Catalog!K244),"Missing Type; ","")&amp;IF(ISBLANK(Catalog!L244),"Missing Genre; ","")&amp;IF(ISBLANK(Catalog!W244),"Missing Location Type; ","")&amp;IF(ISBLANK(Catalog!X244),"Missing Location Identifier; ","")&amp;IF(AND(Catalog!S244&lt;&gt;"",COUNTIF(Catalog!$S$2:$S$501,Catalog!S244)&gt;1),"Duplicate ISBN; ","")&amp;IF(AND(Catalog!B244&lt;&gt;"",COUNTIF(Catalog!$B$2:$B$501,Catalog!B244)&gt;1),"Duplicate Accession; ",""))</f>
        <v/>
      </c>
    </row>
    <row r="270" spans="1:3" x14ac:dyDescent="0.25">
      <c r="A270" s="16" t="str">
        <f>Catalog!A245</f>
        <v/>
      </c>
      <c r="B270" s="16">
        <f>Catalog!D245</f>
        <v>0</v>
      </c>
      <c r="C270" s="17" t="str">
        <f>IF(Catalog!D245="","",IF(ISBLANK(Catalog!F245),"Missing Creator; ","")&amp;IF(ISBLANK(Catalog!K245),"Missing Type; ","")&amp;IF(ISBLANK(Catalog!L245),"Missing Genre; ","")&amp;IF(ISBLANK(Catalog!W245),"Missing Location Type; ","")&amp;IF(ISBLANK(Catalog!X245),"Missing Location Identifier; ","")&amp;IF(AND(Catalog!S245&lt;&gt;"",COUNTIF(Catalog!$S$2:$S$501,Catalog!S245)&gt;1),"Duplicate ISBN; ","")&amp;IF(AND(Catalog!B245&lt;&gt;"",COUNTIF(Catalog!$B$2:$B$501,Catalog!B245)&gt;1),"Duplicate Accession; ",""))</f>
        <v/>
      </c>
    </row>
    <row r="271" spans="1:3" x14ac:dyDescent="0.25">
      <c r="A271" s="16" t="str">
        <f>Catalog!A246</f>
        <v/>
      </c>
      <c r="B271" s="16">
        <f>Catalog!D246</f>
        <v>0</v>
      </c>
      <c r="C271" s="17" t="str">
        <f>IF(Catalog!D246="","",IF(ISBLANK(Catalog!F246),"Missing Creator; ","")&amp;IF(ISBLANK(Catalog!K246),"Missing Type; ","")&amp;IF(ISBLANK(Catalog!L246),"Missing Genre; ","")&amp;IF(ISBLANK(Catalog!W246),"Missing Location Type; ","")&amp;IF(ISBLANK(Catalog!X246),"Missing Location Identifier; ","")&amp;IF(AND(Catalog!S246&lt;&gt;"",COUNTIF(Catalog!$S$2:$S$501,Catalog!S246)&gt;1),"Duplicate ISBN; ","")&amp;IF(AND(Catalog!B246&lt;&gt;"",COUNTIF(Catalog!$B$2:$B$501,Catalog!B246)&gt;1),"Duplicate Accession; ",""))</f>
        <v/>
      </c>
    </row>
    <row r="272" spans="1:3" x14ac:dyDescent="0.25">
      <c r="A272" s="16" t="str">
        <f>Catalog!A247</f>
        <v/>
      </c>
      <c r="B272" s="16">
        <f>Catalog!D247</f>
        <v>0</v>
      </c>
      <c r="C272" s="17" t="str">
        <f>IF(Catalog!D247="","",IF(ISBLANK(Catalog!F247),"Missing Creator; ","")&amp;IF(ISBLANK(Catalog!K247),"Missing Type; ","")&amp;IF(ISBLANK(Catalog!L247),"Missing Genre; ","")&amp;IF(ISBLANK(Catalog!W247),"Missing Location Type; ","")&amp;IF(ISBLANK(Catalog!X247),"Missing Location Identifier; ","")&amp;IF(AND(Catalog!S247&lt;&gt;"",COUNTIF(Catalog!$S$2:$S$501,Catalog!S247)&gt;1),"Duplicate ISBN; ","")&amp;IF(AND(Catalog!B247&lt;&gt;"",COUNTIF(Catalog!$B$2:$B$501,Catalog!B247)&gt;1),"Duplicate Accession; ",""))</f>
        <v/>
      </c>
    </row>
    <row r="273" spans="1:3" x14ac:dyDescent="0.25">
      <c r="A273" s="16" t="str">
        <f>Catalog!A248</f>
        <v/>
      </c>
      <c r="B273" s="16">
        <f>Catalog!D248</f>
        <v>0</v>
      </c>
      <c r="C273" s="17" t="str">
        <f>IF(Catalog!D248="","",IF(ISBLANK(Catalog!F248),"Missing Creator; ","")&amp;IF(ISBLANK(Catalog!K248),"Missing Type; ","")&amp;IF(ISBLANK(Catalog!L248),"Missing Genre; ","")&amp;IF(ISBLANK(Catalog!W248),"Missing Location Type; ","")&amp;IF(ISBLANK(Catalog!X248),"Missing Location Identifier; ","")&amp;IF(AND(Catalog!S248&lt;&gt;"",COUNTIF(Catalog!$S$2:$S$501,Catalog!S248)&gt;1),"Duplicate ISBN; ","")&amp;IF(AND(Catalog!B248&lt;&gt;"",COUNTIF(Catalog!$B$2:$B$501,Catalog!B248)&gt;1),"Duplicate Accession; ",""))</f>
        <v/>
      </c>
    </row>
    <row r="274" spans="1:3" x14ac:dyDescent="0.25">
      <c r="A274" s="16" t="str">
        <f>Catalog!A249</f>
        <v/>
      </c>
      <c r="B274" s="16">
        <f>Catalog!D249</f>
        <v>0</v>
      </c>
      <c r="C274" s="17" t="str">
        <f>IF(Catalog!D249="","",IF(ISBLANK(Catalog!F249),"Missing Creator; ","")&amp;IF(ISBLANK(Catalog!K249),"Missing Type; ","")&amp;IF(ISBLANK(Catalog!L249),"Missing Genre; ","")&amp;IF(ISBLANK(Catalog!W249),"Missing Location Type; ","")&amp;IF(ISBLANK(Catalog!X249),"Missing Location Identifier; ","")&amp;IF(AND(Catalog!S249&lt;&gt;"",COUNTIF(Catalog!$S$2:$S$501,Catalog!S249)&gt;1),"Duplicate ISBN; ","")&amp;IF(AND(Catalog!B249&lt;&gt;"",COUNTIF(Catalog!$B$2:$B$501,Catalog!B249)&gt;1),"Duplicate Accession; ",""))</f>
        <v/>
      </c>
    </row>
    <row r="275" spans="1:3" x14ac:dyDescent="0.25">
      <c r="A275" s="16" t="str">
        <f>Catalog!A250</f>
        <v/>
      </c>
      <c r="B275" s="16">
        <f>Catalog!D250</f>
        <v>0</v>
      </c>
      <c r="C275" s="17" t="str">
        <f>IF(Catalog!D250="","",IF(ISBLANK(Catalog!F250),"Missing Creator; ","")&amp;IF(ISBLANK(Catalog!K250),"Missing Type; ","")&amp;IF(ISBLANK(Catalog!L250),"Missing Genre; ","")&amp;IF(ISBLANK(Catalog!W250),"Missing Location Type; ","")&amp;IF(ISBLANK(Catalog!X250),"Missing Location Identifier; ","")&amp;IF(AND(Catalog!S250&lt;&gt;"",COUNTIF(Catalog!$S$2:$S$501,Catalog!S250)&gt;1),"Duplicate ISBN; ","")&amp;IF(AND(Catalog!B250&lt;&gt;"",COUNTIF(Catalog!$B$2:$B$501,Catalog!B250)&gt;1),"Duplicate Accession; ",""))</f>
        <v/>
      </c>
    </row>
    <row r="276" spans="1:3" x14ac:dyDescent="0.25">
      <c r="A276" s="16" t="str">
        <f>Catalog!A251</f>
        <v/>
      </c>
      <c r="B276" s="16">
        <f>Catalog!D251</f>
        <v>0</v>
      </c>
      <c r="C276" s="17" t="str">
        <f>IF(Catalog!D251="","",IF(ISBLANK(Catalog!F251),"Missing Creator; ","")&amp;IF(ISBLANK(Catalog!K251),"Missing Type; ","")&amp;IF(ISBLANK(Catalog!L251),"Missing Genre; ","")&amp;IF(ISBLANK(Catalog!W251),"Missing Location Type; ","")&amp;IF(ISBLANK(Catalog!X251),"Missing Location Identifier; ","")&amp;IF(AND(Catalog!S251&lt;&gt;"",COUNTIF(Catalog!$S$2:$S$501,Catalog!S251)&gt;1),"Duplicate ISBN; ","")&amp;IF(AND(Catalog!B251&lt;&gt;"",COUNTIF(Catalog!$B$2:$B$501,Catalog!B251)&gt;1),"Duplicate Accession; ",""))</f>
        <v/>
      </c>
    </row>
    <row r="277" spans="1:3" x14ac:dyDescent="0.25">
      <c r="A277" s="16" t="str">
        <f>Catalog!A252</f>
        <v/>
      </c>
      <c r="B277" s="16">
        <f>Catalog!D252</f>
        <v>0</v>
      </c>
      <c r="C277" s="17" t="str">
        <f>IF(Catalog!D252="","",IF(ISBLANK(Catalog!F252),"Missing Creator; ","")&amp;IF(ISBLANK(Catalog!K252),"Missing Type; ","")&amp;IF(ISBLANK(Catalog!L252),"Missing Genre; ","")&amp;IF(ISBLANK(Catalog!W252),"Missing Location Type; ","")&amp;IF(ISBLANK(Catalog!X252),"Missing Location Identifier; ","")&amp;IF(AND(Catalog!S252&lt;&gt;"",COUNTIF(Catalog!$S$2:$S$501,Catalog!S252)&gt;1),"Duplicate ISBN; ","")&amp;IF(AND(Catalog!B252&lt;&gt;"",COUNTIF(Catalog!$B$2:$B$501,Catalog!B252)&gt;1),"Duplicate Accession; ",""))</f>
        <v/>
      </c>
    </row>
    <row r="278" spans="1:3" x14ac:dyDescent="0.25">
      <c r="A278" s="16" t="str">
        <f>Catalog!A253</f>
        <v/>
      </c>
      <c r="B278" s="16">
        <f>Catalog!D253</f>
        <v>0</v>
      </c>
      <c r="C278" s="17" t="str">
        <f>IF(Catalog!D253="","",IF(ISBLANK(Catalog!F253),"Missing Creator; ","")&amp;IF(ISBLANK(Catalog!K253),"Missing Type; ","")&amp;IF(ISBLANK(Catalog!L253),"Missing Genre; ","")&amp;IF(ISBLANK(Catalog!W253),"Missing Location Type; ","")&amp;IF(ISBLANK(Catalog!X253),"Missing Location Identifier; ","")&amp;IF(AND(Catalog!S253&lt;&gt;"",COUNTIF(Catalog!$S$2:$S$501,Catalog!S253)&gt;1),"Duplicate ISBN; ","")&amp;IF(AND(Catalog!B253&lt;&gt;"",COUNTIF(Catalog!$B$2:$B$501,Catalog!B253)&gt;1),"Duplicate Accession; ",""))</f>
        <v/>
      </c>
    </row>
    <row r="279" spans="1:3" x14ac:dyDescent="0.25">
      <c r="A279" s="16" t="str">
        <f>Catalog!A254</f>
        <v/>
      </c>
      <c r="B279" s="16">
        <f>Catalog!D254</f>
        <v>0</v>
      </c>
      <c r="C279" s="17" t="str">
        <f>IF(Catalog!D254="","",IF(ISBLANK(Catalog!F254),"Missing Creator; ","")&amp;IF(ISBLANK(Catalog!K254),"Missing Type; ","")&amp;IF(ISBLANK(Catalog!L254),"Missing Genre; ","")&amp;IF(ISBLANK(Catalog!W254),"Missing Location Type; ","")&amp;IF(ISBLANK(Catalog!X254),"Missing Location Identifier; ","")&amp;IF(AND(Catalog!S254&lt;&gt;"",COUNTIF(Catalog!$S$2:$S$501,Catalog!S254)&gt;1),"Duplicate ISBN; ","")&amp;IF(AND(Catalog!B254&lt;&gt;"",COUNTIF(Catalog!$B$2:$B$501,Catalog!B254)&gt;1),"Duplicate Accession; ",""))</f>
        <v/>
      </c>
    </row>
    <row r="280" spans="1:3" x14ac:dyDescent="0.25">
      <c r="A280" s="16" t="str">
        <f>Catalog!A255</f>
        <v/>
      </c>
      <c r="B280" s="16">
        <f>Catalog!D255</f>
        <v>0</v>
      </c>
      <c r="C280" s="17" t="str">
        <f>IF(Catalog!D255="","",IF(ISBLANK(Catalog!F255),"Missing Creator; ","")&amp;IF(ISBLANK(Catalog!K255),"Missing Type; ","")&amp;IF(ISBLANK(Catalog!L255),"Missing Genre; ","")&amp;IF(ISBLANK(Catalog!W255),"Missing Location Type; ","")&amp;IF(ISBLANK(Catalog!X255),"Missing Location Identifier; ","")&amp;IF(AND(Catalog!S255&lt;&gt;"",COUNTIF(Catalog!$S$2:$S$501,Catalog!S255)&gt;1),"Duplicate ISBN; ","")&amp;IF(AND(Catalog!B255&lt;&gt;"",COUNTIF(Catalog!$B$2:$B$501,Catalog!B255)&gt;1),"Duplicate Accession; ",""))</f>
        <v/>
      </c>
    </row>
    <row r="281" spans="1:3" x14ac:dyDescent="0.25">
      <c r="A281" s="16" t="str">
        <f>Catalog!A256</f>
        <v/>
      </c>
      <c r="B281" s="16">
        <f>Catalog!D256</f>
        <v>0</v>
      </c>
      <c r="C281" s="17" t="str">
        <f>IF(Catalog!D256="","",IF(ISBLANK(Catalog!F256),"Missing Creator; ","")&amp;IF(ISBLANK(Catalog!K256),"Missing Type; ","")&amp;IF(ISBLANK(Catalog!L256),"Missing Genre; ","")&amp;IF(ISBLANK(Catalog!W256),"Missing Location Type; ","")&amp;IF(ISBLANK(Catalog!X256),"Missing Location Identifier; ","")&amp;IF(AND(Catalog!S256&lt;&gt;"",COUNTIF(Catalog!$S$2:$S$501,Catalog!S256)&gt;1),"Duplicate ISBN; ","")&amp;IF(AND(Catalog!B256&lt;&gt;"",COUNTIF(Catalog!$B$2:$B$501,Catalog!B256)&gt;1),"Duplicate Accession; ",""))</f>
        <v/>
      </c>
    </row>
    <row r="282" spans="1:3" x14ac:dyDescent="0.25">
      <c r="A282" s="16" t="str">
        <f>Catalog!A257</f>
        <v/>
      </c>
      <c r="B282" s="16">
        <f>Catalog!D257</f>
        <v>0</v>
      </c>
      <c r="C282" s="17" t="str">
        <f>IF(Catalog!D257="","",IF(ISBLANK(Catalog!F257),"Missing Creator; ","")&amp;IF(ISBLANK(Catalog!K257),"Missing Type; ","")&amp;IF(ISBLANK(Catalog!L257),"Missing Genre; ","")&amp;IF(ISBLANK(Catalog!W257),"Missing Location Type; ","")&amp;IF(ISBLANK(Catalog!X257),"Missing Location Identifier; ","")&amp;IF(AND(Catalog!S257&lt;&gt;"",COUNTIF(Catalog!$S$2:$S$501,Catalog!S257)&gt;1),"Duplicate ISBN; ","")&amp;IF(AND(Catalog!B257&lt;&gt;"",COUNTIF(Catalog!$B$2:$B$501,Catalog!B257)&gt;1),"Duplicate Accession; ",""))</f>
        <v/>
      </c>
    </row>
    <row r="283" spans="1:3" x14ac:dyDescent="0.25">
      <c r="A283" s="16" t="str">
        <f>Catalog!A258</f>
        <v/>
      </c>
      <c r="B283" s="16">
        <f>Catalog!D258</f>
        <v>0</v>
      </c>
      <c r="C283" s="17" t="str">
        <f>IF(Catalog!D258="","",IF(ISBLANK(Catalog!F258),"Missing Creator; ","")&amp;IF(ISBLANK(Catalog!K258),"Missing Type; ","")&amp;IF(ISBLANK(Catalog!L258),"Missing Genre; ","")&amp;IF(ISBLANK(Catalog!W258),"Missing Location Type; ","")&amp;IF(ISBLANK(Catalog!X258),"Missing Location Identifier; ","")&amp;IF(AND(Catalog!S258&lt;&gt;"",COUNTIF(Catalog!$S$2:$S$501,Catalog!S258)&gt;1),"Duplicate ISBN; ","")&amp;IF(AND(Catalog!B258&lt;&gt;"",COUNTIF(Catalog!$B$2:$B$501,Catalog!B258)&gt;1),"Duplicate Accession; ",""))</f>
        <v/>
      </c>
    </row>
    <row r="284" spans="1:3" x14ac:dyDescent="0.25">
      <c r="A284" s="16" t="str">
        <f>Catalog!A259</f>
        <v/>
      </c>
      <c r="B284" s="16">
        <f>Catalog!D259</f>
        <v>0</v>
      </c>
      <c r="C284" s="17" t="str">
        <f>IF(Catalog!D259="","",IF(ISBLANK(Catalog!F259),"Missing Creator; ","")&amp;IF(ISBLANK(Catalog!K259),"Missing Type; ","")&amp;IF(ISBLANK(Catalog!L259),"Missing Genre; ","")&amp;IF(ISBLANK(Catalog!W259),"Missing Location Type; ","")&amp;IF(ISBLANK(Catalog!X259),"Missing Location Identifier; ","")&amp;IF(AND(Catalog!S259&lt;&gt;"",COUNTIF(Catalog!$S$2:$S$501,Catalog!S259)&gt;1),"Duplicate ISBN; ","")&amp;IF(AND(Catalog!B259&lt;&gt;"",COUNTIF(Catalog!$B$2:$B$501,Catalog!B259)&gt;1),"Duplicate Accession; ",""))</f>
        <v/>
      </c>
    </row>
    <row r="285" spans="1:3" x14ac:dyDescent="0.25">
      <c r="A285" s="16" t="str">
        <f>Catalog!A260</f>
        <v/>
      </c>
      <c r="B285" s="16">
        <f>Catalog!D260</f>
        <v>0</v>
      </c>
      <c r="C285" s="17" t="str">
        <f>IF(Catalog!D260="","",IF(ISBLANK(Catalog!F260),"Missing Creator; ","")&amp;IF(ISBLANK(Catalog!K260),"Missing Type; ","")&amp;IF(ISBLANK(Catalog!L260),"Missing Genre; ","")&amp;IF(ISBLANK(Catalog!W260),"Missing Location Type; ","")&amp;IF(ISBLANK(Catalog!X260),"Missing Location Identifier; ","")&amp;IF(AND(Catalog!S260&lt;&gt;"",COUNTIF(Catalog!$S$2:$S$501,Catalog!S260)&gt;1),"Duplicate ISBN; ","")&amp;IF(AND(Catalog!B260&lt;&gt;"",COUNTIF(Catalog!$B$2:$B$501,Catalog!B260)&gt;1),"Duplicate Accession; ",""))</f>
        <v/>
      </c>
    </row>
    <row r="286" spans="1:3" x14ac:dyDescent="0.25">
      <c r="A286" s="16" t="str">
        <f>Catalog!A261</f>
        <v/>
      </c>
      <c r="B286" s="16">
        <f>Catalog!D261</f>
        <v>0</v>
      </c>
      <c r="C286" s="17" t="str">
        <f>IF(Catalog!D261="","",IF(ISBLANK(Catalog!F261),"Missing Creator; ","")&amp;IF(ISBLANK(Catalog!K261),"Missing Type; ","")&amp;IF(ISBLANK(Catalog!L261),"Missing Genre; ","")&amp;IF(ISBLANK(Catalog!W261),"Missing Location Type; ","")&amp;IF(ISBLANK(Catalog!X261),"Missing Location Identifier; ","")&amp;IF(AND(Catalog!S261&lt;&gt;"",COUNTIF(Catalog!$S$2:$S$501,Catalog!S261)&gt;1),"Duplicate ISBN; ","")&amp;IF(AND(Catalog!B261&lt;&gt;"",COUNTIF(Catalog!$B$2:$B$501,Catalog!B261)&gt;1),"Duplicate Accession; ",""))</f>
        <v/>
      </c>
    </row>
    <row r="287" spans="1:3" x14ac:dyDescent="0.25">
      <c r="A287" s="16" t="str">
        <f>Catalog!A262</f>
        <v/>
      </c>
      <c r="B287" s="16">
        <f>Catalog!D262</f>
        <v>0</v>
      </c>
      <c r="C287" s="17" t="str">
        <f>IF(Catalog!D262="","",IF(ISBLANK(Catalog!F262),"Missing Creator; ","")&amp;IF(ISBLANK(Catalog!K262),"Missing Type; ","")&amp;IF(ISBLANK(Catalog!L262),"Missing Genre; ","")&amp;IF(ISBLANK(Catalog!W262),"Missing Location Type; ","")&amp;IF(ISBLANK(Catalog!X262),"Missing Location Identifier; ","")&amp;IF(AND(Catalog!S262&lt;&gt;"",COUNTIF(Catalog!$S$2:$S$501,Catalog!S262)&gt;1),"Duplicate ISBN; ","")&amp;IF(AND(Catalog!B262&lt;&gt;"",COUNTIF(Catalog!$B$2:$B$501,Catalog!B262)&gt;1),"Duplicate Accession; ",""))</f>
        <v/>
      </c>
    </row>
    <row r="288" spans="1:3" x14ac:dyDescent="0.25">
      <c r="A288" s="16" t="str">
        <f>Catalog!A263</f>
        <v/>
      </c>
      <c r="B288" s="16">
        <f>Catalog!D263</f>
        <v>0</v>
      </c>
      <c r="C288" s="17" t="str">
        <f>IF(Catalog!D263="","",IF(ISBLANK(Catalog!F263),"Missing Creator; ","")&amp;IF(ISBLANK(Catalog!K263),"Missing Type; ","")&amp;IF(ISBLANK(Catalog!L263),"Missing Genre; ","")&amp;IF(ISBLANK(Catalog!W263),"Missing Location Type; ","")&amp;IF(ISBLANK(Catalog!X263),"Missing Location Identifier; ","")&amp;IF(AND(Catalog!S263&lt;&gt;"",COUNTIF(Catalog!$S$2:$S$501,Catalog!S263)&gt;1),"Duplicate ISBN; ","")&amp;IF(AND(Catalog!B263&lt;&gt;"",COUNTIF(Catalog!$B$2:$B$501,Catalog!B263)&gt;1),"Duplicate Accession; ",""))</f>
        <v/>
      </c>
    </row>
    <row r="289" spans="1:3" x14ac:dyDescent="0.25">
      <c r="A289" s="16" t="str">
        <f>Catalog!A264</f>
        <v/>
      </c>
      <c r="B289" s="16">
        <f>Catalog!D264</f>
        <v>0</v>
      </c>
      <c r="C289" s="17" t="str">
        <f>IF(Catalog!D264="","",IF(ISBLANK(Catalog!F264),"Missing Creator; ","")&amp;IF(ISBLANK(Catalog!K264),"Missing Type; ","")&amp;IF(ISBLANK(Catalog!L264),"Missing Genre; ","")&amp;IF(ISBLANK(Catalog!W264),"Missing Location Type; ","")&amp;IF(ISBLANK(Catalog!X264),"Missing Location Identifier; ","")&amp;IF(AND(Catalog!S264&lt;&gt;"",COUNTIF(Catalog!$S$2:$S$501,Catalog!S264)&gt;1),"Duplicate ISBN; ","")&amp;IF(AND(Catalog!B264&lt;&gt;"",COUNTIF(Catalog!$B$2:$B$501,Catalog!B264)&gt;1),"Duplicate Accession; ",""))</f>
        <v/>
      </c>
    </row>
    <row r="290" spans="1:3" x14ac:dyDescent="0.25">
      <c r="A290" s="16" t="str">
        <f>Catalog!A265</f>
        <v/>
      </c>
      <c r="B290" s="16">
        <f>Catalog!D265</f>
        <v>0</v>
      </c>
      <c r="C290" s="17" t="str">
        <f>IF(Catalog!D265="","",IF(ISBLANK(Catalog!F265),"Missing Creator; ","")&amp;IF(ISBLANK(Catalog!K265),"Missing Type; ","")&amp;IF(ISBLANK(Catalog!L265),"Missing Genre; ","")&amp;IF(ISBLANK(Catalog!W265),"Missing Location Type; ","")&amp;IF(ISBLANK(Catalog!X265),"Missing Location Identifier; ","")&amp;IF(AND(Catalog!S265&lt;&gt;"",COUNTIF(Catalog!$S$2:$S$501,Catalog!S265)&gt;1),"Duplicate ISBN; ","")&amp;IF(AND(Catalog!B265&lt;&gt;"",COUNTIF(Catalog!$B$2:$B$501,Catalog!B265)&gt;1),"Duplicate Accession; ",""))</f>
        <v/>
      </c>
    </row>
    <row r="291" spans="1:3" x14ac:dyDescent="0.25">
      <c r="A291" s="16" t="str">
        <f>Catalog!A266</f>
        <v/>
      </c>
      <c r="B291" s="16">
        <f>Catalog!D266</f>
        <v>0</v>
      </c>
      <c r="C291" s="17" t="str">
        <f>IF(Catalog!D266="","",IF(ISBLANK(Catalog!F266),"Missing Creator; ","")&amp;IF(ISBLANK(Catalog!K266),"Missing Type; ","")&amp;IF(ISBLANK(Catalog!L266),"Missing Genre; ","")&amp;IF(ISBLANK(Catalog!W266),"Missing Location Type; ","")&amp;IF(ISBLANK(Catalog!X266),"Missing Location Identifier; ","")&amp;IF(AND(Catalog!S266&lt;&gt;"",COUNTIF(Catalog!$S$2:$S$501,Catalog!S266)&gt;1),"Duplicate ISBN; ","")&amp;IF(AND(Catalog!B266&lt;&gt;"",COUNTIF(Catalog!$B$2:$B$501,Catalog!B266)&gt;1),"Duplicate Accession; ",""))</f>
        <v/>
      </c>
    </row>
    <row r="292" spans="1:3" x14ac:dyDescent="0.25">
      <c r="A292" s="16" t="str">
        <f>Catalog!A267</f>
        <v/>
      </c>
      <c r="B292" s="16">
        <f>Catalog!D267</f>
        <v>0</v>
      </c>
      <c r="C292" s="17" t="str">
        <f>IF(Catalog!D267="","",IF(ISBLANK(Catalog!F267),"Missing Creator; ","")&amp;IF(ISBLANK(Catalog!K267),"Missing Type; ","")&amp;IF(ISBLANK(Catalog!L267),"Missing Genre; ","")&amp;IF(ISBLANK(Catalog!W267),"Missing Location Type; ","")&amp;IF(ISBLANK(Catalog!X267),"Missing Location Identifier; ","")&amp;IF(AND(Catalog!S267&lt;&gt;"",COUNTIF(Catalog!$S$2:$S$501,Catalog!S267)&gt;1),"Duplicate ISBN; ","")&amp;IF(AND(Catalog!B267&lt;&gt;"",COUNTIF(Catalog!$B$2:$B$501,Catalog!B267)&gt;1),"Duplicate Accession; ",""))</f>
        <v/>
      </c>
    </row>
    <row r="293" spans="1:3" x14ac:dyDescent="0.25">
      <c r="A293" s="16" t="str">
        <f>Catalog!A268</f>
        <v/>
      </c>
      <c r="B293" s="16">
        <f>Catalog!D268</f>
        <v>0</v>
      </c>
      <c r="C293" s="17" t="str">
        <f>IF(Catalog!D268="","",IF(ISBLANK(Catalog!F268),"Missing Creator; ","")&amp;IF(ISBLANK(Catalog!K268),"Missing Type; ","")&amp;IF(ISBLANK(Catalog!L268),"Missing Genre; ","")&amp;IF(ISBLANK(Catalog!W268),"Missing Location Type; ","")&amp;IF(ISBLANK(Catalog!X268),"Missing Location Identifier; ","")&amp;IF(AND(Catalog!S268&lt;&gt;"",COUNTIF(Catalog!$S$2:$S$501,Catalog!S268)&gt;1),"Duplicate ISBN; ","")&amp;IF(AND(Catalog!B268&lt;&gt;"",COUNTIF(Catalog!$B$2:$B$501,Catalog!B268)&gt;1),"Duplicate Accession; ",""))</f>
        <v/>
      </c>
    </row>
    <row r="294" spans="1:3" x14ac:dyDescent="0.25">
      <c r="A294" s="16" t="str">
        <f>Catalog!A269</f>
        <v/>
      </c>
      <c r="B294" s="16">
        <f>Catalog!D269</f>
        <v>0</v>
      </c>
      <c r="C294" s="17" t="str">
        <f>IF(Catalog!D269="","",IF(ISBLANK(Catalog!F269),"Missing Creator; ","")&amp;IF(ISBLANK(Catalog!K269),"Missing Type; ","")&amp;IF(ISBLANK(Catalog!L269),"Missing Genre; ","")&amp;IF(ISBLANK(Catalog!W269),"Missing Location Type; ","")&amp;IF(ISBLANK(Catalog!X269),"Missing Location Identifier; ","")&amp;IF(AND(Catalog!S269&lt;&gt;"",COUNTIF(Catalog!$S$2:$S$501,Catalog!S269)&gt;1),"Duplicate ISBN; ","")&amp;IF(AND(Catalog!B269&lt;&gt;"",COUNTIF(Catalog!$B$2:$B$501,Catalog!B269)&gt;1),"Duplicate Accession; ",""))</f>
        <v/>
      </c>
    </row>
    <row r="295" spans="1:3" x14ac:dyDescent="0.25">
      <c r="A295" s="16" t="str">
        <f>Catalog!A270</f>
        <v/>
      </c>
      <c r="B295" s="16">
        <f>Catalog!D270</f>
        <v>0</v>
      </c>
      <c r="C295" s="17" t="str">
        <f>IF(Catalog!D270="","",IF(ISBLANK(Catalog!F270),"Missing Creator; ","")&amp;IF(ISBLANK(Catalog!K270),"Missing Type; ","")&amp;IF(ISBLANK(Catalog!L270),"Missing Genre; ","")&amp;IF(ISBLANK(Catalog!W270),"Missing Location Type; ","")&amp;IF(ISBLANK(Catalog!X270),"Missing Location Identifier; ","")&amp;IF(AND(Catalog!S270&lt;&gt;"",COUNTIF(Catalog!$S$2:$S$501,Catalog!S270)&gt;1),"Duplicate ISBN; ","")&amp;IF(AND(Catalog!B270&lt;&gt;"",COUNTIF(Catalog!$B$2:$B$501,Catalog!B270)&gt;1),"Duplicate Accession; ",""))</f>
        <v/>
      </c>
    </row>
    <row r="296" spans="1:3" x14ac:dyDescent="0.25">
      <c r="A296" s="16" t="str">
        <f>Catalog!A271</f>
        <v/>
      </c>
      <c r="B296" s="16">
        <f>Catalog!D271</f>
        <v>0</v>
      </c>
      <c r="C296" s="17" t="str">
        <f>IF(Catalog!D271="","",IF(ISBLANK(Catalog!F271),"Missing Creator; ","")&amp;IF(ISBLANK(Catalog!K271),"Missing Type; ","")&amp;IF(ISBLANK(Catalog!L271),"Missing Genre; ","")&amp;IF(ISBLANK(Catalog!W271),"Missing Location Type; ","")&amp;IF(ISBLANK(Catalog!X271),"Missing Location Identifier; ","")&amp;IF(AND(Catalog!S271&lt;&gt;"",COUNTIF(Catalog!$S$2:$S$501,Catalog!S271)&gt;1),"Duplicate ISBN; ","")&amp;IF(AND(Catalog!B271&lt;&gt;"",COUNTIF(Catalog!$B$2:$B$501,Catalog!B271)&gt;1),"Duplicate Accession; ",""))</f>
        <v/>
      </c>
    </row>
    <row r="297" spans="1:3" x14ac:dyDescent="0.25">
      <c r="A297" s="16" t="str">
        <f>Catalog!A272</f>
        <v/>
      </c>
      <c r="B297" s="16">
        <f>Catalog!D272</f>
        <v>0</v>
      </c>
      <c r="C297" s="17" t="str">
        <f>IF(Catalog!D272="","",IF(ISBLANK(Catalog!F272),"Missing Creator; ","")&amp;IF(ISBLANK(Catalog!K272),"Missing Type; ","")&amp;IF(ISBLANK(Catalog!L272),"Missing Genre; ","")&amp;IF(ISBLANK(Catalog!W272),"Missing Location Type; ","")&amp;IF(ISBLANK(Catalog!X272),"Missing Location Identifier; ","")&amp;IF(AND(Catalog!S272&lt;&gt;"",COUNTIF(Catalog!$S$2:$S$501,Catalog!S272)&gt;1),"Duplicate ISBN; ","")&amp;IF(AND(Catalog!B272&lt;&gt;"",COUNTIF(Catalog!$B$2:$B$501,Catalog!B272)&gt;1),"Duplicate Accession; ",""))</f>
        <v/>
      </c>
    </row>
    <row r="298" spans="1:3" x14ac:dyDescent="0.25">
      <c r="A298" s="16" t="str">
        <f>Catalog!A273</f>
        <v/>
      </c>
      <c r="B298" s="16">
        <f>Catalog!D273</f>
        <v>0</v>
      </c>
      <c r="C298" s="17" t="str">
        <f>IF(Catalog!D273="","",IF(ISBLANK(Catalog!F273),"Missing Creator; ","")&amp;IF(ISBLANK(Catalog!K273),"Missing Type; ","")&amp;IF(ISBLANK(Catalog!L273),"Missing Genre; ","")&amp;IF(ISBLANK(Catalog!W273),"Missing Location Type; ","")&amp;IF(ISBLANK(Catalog!X273),"Missing Location Identifier; ","")&amp;IF(AND(Catalog!S273&lt;&gt;"",COUNTIF(Catalog!$S$2:$S$501,Catalog!S273)&gt;1),"Duplicate ISBN; ","")&amp;IF(AND(Catalog!B273&lt;&gt;"",COUNTIF(Catalog!$B$2:$B$501,Catalog!B273)&gt;1),"Duplicate Accession; ",""))</f>
        <v/>
      </c>
    </row>
    <row r="299" spans="1:3" x14ac:dyDescent="0.25">
      <c r="A299" s="16" t="str">
        <f>Catalog!A274</f>
        <v/>
      </c>
      <c r="B299" s="16">
        <f>Catalog!D274</f>
        <v>0</v>
      </c>
      <c r="C299" s="17" t="str">
        <f>IF(Catalog!D274="","",IF(ISBLANK(Catalog!F274),"Missing Creator; ","")&amp;IF(ISBLANK(Catalog!K274),"Missing Type; ","")&amp;IF(ISBLANK(Catalog!L274),"Missing Genre; ","")&amp;IF(ISBLANK(Catalog!W274),"Missing Location Type; ","")&amp;IF(ISBLANK(Catalog!X274),"Missing Location Identifier; ","")&amp;IF(AND(Catalog!S274&lt;&gt;"",COUNTIF(Catalog!$S$2:$S$501,Catalog!S274)&gt;1),"Duplicate ISBN; ","")&amp;IF(AND(Catalog!B274&lt;&gt;"",COUNTIF(Catalog!$B$2:$B$501,Catalog!B274)&gt;1),"Duplicate Accession; ",""))</f>
        <v/>
      </c>
    </row>
    <row r="300" spans="1:3" x14ac:dyDescent="0.25">
      <c r="A300" s="16" t="str">
        <f>Catalog!A275</f>
        <v/>
      </c>
      <c r="B300" s="16">
        <f>Catalog!D275</f>
        <v>0</v>
      </c>
      <c r="C300" s="17" t="str">
        <f>IF(Catalog!D275="","",IF(ISBLANK(Catalog!F275),"Missing Creator; ","")&amp;IF(ISBLANK(Catalog!K275),"Missing Type; ","")&amp;IF(ISBLANK(Catalog!L275),"Missing Genre; ","")&amp;IF(ISBLANK(Catalog!W275),"Missing Location Type; ","")&amp;IF(ISBLANK(Catalog!X275),"Missing Location Identifier; ","")&amp;IF(AND(Catalog!S275&lt;&gt;"",COUNTIF(Catalog!$S$2:$S$501,Catalog!S275)&gt;1),"Duplicate ISBN; ","")&amp;IF(AND(Catalog!B275&lt;&gt;"",COUNTIF(Catalog!$B$2:$B$501,Catalog!B275)&gt;1),"Duplicate Accession; ",""))</f>
        <v/>
      </c>
    </row>
    <row r="301" spans="1:3" x14ac:dyDescent="0.25">
      <c r="A301" s="16" t="str">
        <f>Catalog!A276</f>
        <v/>
      </c>
      <c r="B301" s="16">
        <f>Catalog!D276</f>
        <v>0</v>
      </c>
      <c r="C301" s="17" t="str">
        <f>IF(Catalog!D276="","",IF(ISBLANK(Catalog!F276),"Missing Creator; ","")&amp;IF(ISBLANK(Catalog!K276),"Missing Type; ","")&amp;IF(ISBLANK(Catalog!L276),"Missing Genre; ","")&amp;IF(ISBLANK(Catalog!W276),"Missing Location Type; ","")&amp;IF(ISBLANK(Catalog!X276),"Missing Location Identifier; ","")&amp;IF(AND(Catalog!S276&lt;&gt;"",COUNTIF(Catalog!$S$2:$S$501,Catalog!S276)&gt;1),"Duplicate ISBN; ","")&amp;IF(AND(Catalog!B276&lt;&gt;"",COUNTIF(Catalog!$B$2:$B$501,Catalog!B276)&gt;1),"Duplicate Accession; ",""))</f>
        <v/>
      </c>
    </row>
    <row r="302" spans="1:3" x14ac:dyDescent="0.25">
      <c r="A302" s="16" t="str">
        <f>Catalog!A277</f>
        <v/>
      </c>
      <c r="B302" s="16">
        <f>Catalog!D277</f>
        <v>0</v>
      </c>
      <c r="C302" s="17" t="str">
        <f>IF(Catalog!D277="","",IF(ISBLANK(Catalog!F277),"Missing Creator; ","")&amp;IF(ISBLANK(Catalog!K277),"Missing Type; ","")&amp;IF(ISBLANK(Catalog!L277),"Missing Genre; ","")&amp;IF(ISBLANK(Catalog!W277),"Missing Location Type; ","")&amp;IF(ISBLANK(Catalog!X277),"Missing Location Identifier; ","")&amp;IF(AND(Catalog!S277&lt;&gt;"",COUNTIF(Catalog!$S$2:$S$501,Catalog!S277)&gt;1),"Duplicate ISBN; ","")&amp;IF(AND(Catalog!B277&lt;&gt;"",COUNTIF(Catalog!$B$2:$B$501,Catalog!B277)&gt;1),"Duplicate Accession; ",""))</f>
        <v/>
      </c>
    </row>
    <row r="303" spans="1:3" x14ac:dyDescent="0.25">
      <c r="A303" s="16" t="str">
        <f>Catalog!A278</f>
        <v/>
      </c>
      <c r="B303" s="16">
        <f>Catalog!D278</f>
        <v>0</v>
      </c>
      <c r="C303" s="17" t="str">
        <f>IF(Catalog!D278="","",IF(ISBLANK(Catalog!F278),"Missing Creator; ","")&amp;IF(ISBLANK(Catalog!K278),"Missing Type; ","")&amp;IF(ISBLANK(Catalog!L278),"Missing Genre; ","")&amp;IF(ISBLANK(Catalog!W278),"Missing Location Type; ","")&amp;IF(ISBLANK(Catalog!X278),"Missing Location Identifier; ","")&amp;IF(AND(Catalog!S278&lt;&gt;"",COUNTIF(Catalog!$S$2:$S$501,Catalog!S278)&gt;1),"Duplicate ISBN; ","")&amp;IF(AND(Catalog!B278&lt;&gt;"",COUNTIF(Catalog!$B$2:$B$501,Catalog!B278)&gt;1),"Duplicate Accession; ",""))</f>
        <v/>
      </c>
    </row>
    <row r="304" spans="1:3" x14ac:dyDescent="0.25">
      <c r="A304" s="16" t="str">
        <f>Catalog!A279</f>
        <v/>
      </c>
      <c r="B304" s="16">
        <f>Catalog!D279</f>
        <v>0</v>
      </c>
      <c r="C304" s="17" t="str">
        <f>IF(Catalog!D279="","",IF(ISBLANK(Catalog!F279),"Missing Creator; ","")&amp;IF(ISBLANK(Catalog!K279),"Missing Type; ","")&amp;IF(ISBLANK(Catalog!L279),"Missing Genre; ","")&amp;IF(ISBLANK(Catalog!W279),"Missing Location Type; ","")&amp;IF(ISBLANK(Catalog!X279),"Missing Location Identifier; ","")&amp;IF(AND(Catalog!S279&lt;&gt;"",COUNTIF(Catalog!$S$2:$S$501,Catalog!S279)&gt;1),"Duplicate ISBN; ","")&amp;IF(AND(Catalog!B279&lt;&gt;"",COUNTIF(Catalog!$B$2:$B$501,Catalog!B279)&gt;1),"Duplicate Accession; ",""))</f>
        <v/>
      </c>
    </row>
    <row r="305" spans="1:3" x14ac:dyDescent="0.25">
      <c r="A305" s="16" t="str">
        <f>Catalog!A280</f>
        <v/>
      </c>
      <c r="B305" s="16">
        <f>Catalog!D280</f>
        <v>0</v>
      </c>
      <c r="C305" s="17" t="str">
        <f>IF(Catalog!D280="","",IF(ISBLANK(Catalog!F280),"Missing Creator; ","")&amp;IF(ISBLANK(Catalog!K280),"Missing Type; ","")&amp;IF(ISBLANK(Catalog!L280),"Missing Genre; ","")&amp;IF(ISBLANK(Catalog!W280),"Missing Location Type; ","")&amp;IF(ISBLANK(Catalog!X280),"Missing Location Identifier; ","")&amp;IF(AND(Catalog!S280&lt;&gt;"",COUNTIF(Catalog!$S$2:$S$501,Catalog!S280)&gt;1),"Duplicate ISBN; ","")&amp;IF(AND(Catalog!B280&lt;&gt;"",COUNTIF(Catalog!$B$2:$B$501,Catalog!B280)&gt;1),"Duplicate Accession; ",""))</f>
        <v/>
      </c>
    </row>
    <row r="306" spans="1:3" x14ac:dyDescent="0.25">
      <c r="A306" s="16" t="str">
        <f>Catalog!A281</f>
        <v/>
      </c>
      <c r="B306" s="16">
        <f>Catalog!D281</f>
        <v>0</v>
      </c>
      <c r="C306" s="17" t="str">
        <f>IF(Catalog!D281="","",IF(ISBLANK(Catalog!F281),"Missing Creator; ","")&amp;IF(ISBLANK(Catalog!K281),"Missing Type; ","")&amp;IF(ISBLANK(Catalog!L281),"Missing Genre; ","")&amp;IF(ISBLANK(Catalog!W281),"Missing Location Type; ","")&amp;IF(ISBLANK(Catalog!X281),"Missing Location Identifier; ","")&amp;IF(AND(Catalog!S281&lt;&gt;"",COUNTIF(Catalog!$S$2:$S$501,Catalog!S281)&gt;1),"Duplicate ISBN; ","")&amp;IF(AND(Catalog!B281&lt;&gt;"",COUNTIF(Catalog!$B$2:$B$501,Catalog!B281)&gt;1),"Duplicate Accession; ",""))</f>
        <v/>
      </c>
    </row>
    <row r="307" spans="1:3" x14ac:dyDescent="0.25">
      <c r="A307" s="16" t="str">
        <f>Catalog!A282</f>
        <v/>
      </c>
      <c r="B307" s="16">
        <f>Catalog!D282</f>
        <v>0</v>
      </c>
      <c r="C307" s="17" t="str">
        <f>IF(Catalog!D282="","",IF(ISBLANK(Catalog!F282),"Missing Creator; ","")&amp;IF(ISBLANK(Catalog!K282),"Missing Type; ","")&amp;IF(ISBLANK(Catalog!L282),"Missing Genre; ","")&amp;IF(ISBLANK(Catalog!W282),"Missing Location Type; ","")&amp;IF(ISBLANK(Catalog!X282),"Missing Location Identifier; ","")&amp;IF(AND(Catalog!S282&lt;&gt;"",COUNTIF(Catalog!$S$2:$S$501,Catalog!S282)&gt;1),"Duplicate ISBN; ","")&amp;IF(AND(Catalog!B282&lt;&gt;"",COUNTIF(Catalog!$B$2:$B$501,Catalog!B282)&gt;1),"Duplicate Accession; ",""))</f>
        <v/>
      </c>
    </row>
    <row r="308" spans="1:3" x14ac:dyDescent="0.25">
      <c r="A308" s="16" t="str">
        <f>Catalog!A283</f>
        <v/>
      </c>
      <c r="B308" s="16">
        <f>Catalog!D283</f>
        <v>0</v>
      </c>
      <c r="C308" s="17" t="str">
        <f>IF(Catalog!D283="","",IF(ISBLANK(Catalog!F283),"Missing Creator; ","")&amp;IF(ISBLANK(Catalog!K283),"Missing Type; ","")&amp;IF(ISBLANK(Catalog!L283),"Missing Genre; ","")&amp;IF(ISBLANK(Catalog!W283),"Missing Location Type; ","")&amp;IF(ISBLANK(Catalog!X283),"Missing Location Identifier; ","")&amp;IF(AND(Catalog!S283&lt;&gt;"",COUNTIF(Catalog!$S$2:$S$501,Catalog!S283)&gt;1),"Duplicate ISBN; ","")&amp;IF(AND(Catalog!B283&lt;&gt;"",COUNTIF(Catalog!$B$2:$B$501,Catalog!B283)&gt;1),"Duplicate Accession; ",""))</f>
        <v/>
      </c>
    </row>
    <row r="309" spans="1:3" x14ac:dyDescent="0.25">
      <c r="A309" s="16" t="str">
        <f>Catalog!A284</f>
        <v/>
      </c>
      <c r="B309" s="16">
        <f>Catalog!D284</f>
        <v>0</v>
      </c>
      <c r="C309" s="17" t="str">
        <f>IF(Catalog!D284="","",IF(ISBLANK(Catalog!F284),"Missing Creator; ","")&amp;IF(ISBLANK(Catalog!K284),"Missing Type; ","")&amp;IF(ISBLANK(Catalog!L284),"Missing Genre; ","")&amp;IF(ISBLANK(Catalog!W284),"Missing Location Type; ","")&amp;IF(ISBLANK(Catalog!X284),"Missing Location Identifier; ","")&amp;IF(AND(Catalog!S284&lt;&gt;"",COUNTIF(Catalog!$S$2:$S$501,Catalog!S284)&gt;1),"Duplicate ISBN; ","")&amp;IF(AND(Catalog!B284&lt;&gt;"",COUNTIF(Catalog!$B$2:$B$501,Catalog!B284)&gt;1),"Duplicate Accession; ",""))</f>
        <v/>
      </c>
    </row>
    <row r="310" spans="1:3" x14ac:dyDescent="0.25">
      <c r="A310" s="16" t="str">
        <f>Catalog!A285</f>
        <v/>
      </c>
      <c r="B310" s="16">
        <f>Catalog!D285</f>
        <v>0</v>
      </c>
      <c r="C310" s="17" t="str">
        <f>IF(Catalog!D285="","",IF(ISBLANK(Catalog!F285),"Missing Creator; ","")&amp;IF(ISBLANK(Catalog!K285),"Missing Type; ","")&amp;IF(ISBLANK(Catalog!L285),"Missing Genre; ","")&amp;IF(ISBLANK(Catalog!W285),"Missing Location Type; ","")&amp;IF(ISBLANK(Catalog!X285),"Missing Location Identifier; ","")&amp;IF(AND(Catalog!S285&lt;&gt;"",COUNTIF(Catalog!$S$2:$S$501,Catalog!S285)&gt;1),"Duplicate ISBN; ","")&amp;IF(AND(Catalog!B285&lt;&gt;"",COUNTIF(Catalog!$B$2:$B$501,Catalog!B285)&gt;1),"Duplicate Accession; ",""))</f>
        <v/>
      </c>
    </row>
    <row r="311" spans="1:3" x14ac:dyDescent="0.25">
      <c r="A311" s="16" t="str">
        <f>Catalog!A286</f>
        <v/>
      </c>
      <c r="B311" s="16">
        <f>Catalog!D286</f>
        <v>0</v>
      </c>
      <c r="C311" s="17" t="str">
        <f>IF(Catalog!D286="","",IF(ISBLANK(Catalog!F286),"Missing Creator; ","")&amp;IF(ISBLANK(Catalog!K286),"Missing Type; ","")&amp;IF(ISBLANK(Catalog!L286),"Missing Genre; ","")&amp;IF(ISBLANK(Catalog!W286),"Missing Location Type; ","")&amp;IF(ISBLANK(Catalog!X286),"Missing Location Identifier; ","")&amp;IF(AND(Catalog!S286&lt;&gt;"",COUNTIF(Catalog!$S$2:$S$501,Catalog!S286)&gt;1),"Duplicate ISBN; ","")&amp;IF(AND(Catalog!B286&lt;&gt;"",COUNTIF(Catalog!$B$2:$B$501,Catalog!B286)&gt;1),"Duplicate Accession; ",""))</f>
        <v/>
      </c>
    </row>
    <row r="312" spans="1:3" x14ac:dyDescent="0.25">
      <c r="A312" s="16" t="str">
        <f>Catalog!A287</f>
        <v/>
      </c>
      <c r="B312" s="16">
        <f>Catalog!D287</f>
        <v>0</v>
      </c>
      <c r="C312" s="17" t="str">
        <f>IF(Catalog!D287="","",IF(ISBLANK(Catalog!F287),"Missing Creator; ","")&amp;IF(ISBLANK(Catalog!K287),"Missing Type; ","")&amp;IF(ISBLANK(Catalog!L287),"Missing Genre; ","")&amp;IF(ISBLANK(Catalog!W287),"Missing Location Type; ","")&amp;IF(ISBLANK(Catalog!X287),"Missing Location Identifier; ","")&amp;IF(AND(Catalog!S287&lt;&gt;"",COUNTIF(Catalog!$S$2:$S$501,Catalog!S287)&gt;1),"Duplicate ISBN; ","")&amp;IF(AND(Catalog!B287&lt;&gt;"",COUNTIF(Catalog!$B$2:$B$501,Catalog!B287)&gt;1),"Duplicate Accession; ",""))</f>
        <v/>
      </c>
    </row>
    <row r="313" spans="1:3" x14ac:dyDescent="0.25">
      <c r="A313" s="16" t="str">
        <f>Catalog!A288</f>
        <v/>
      </c>
      <c r="B313" s="16">
        <f>Catalog!D288</f>
        <v>0</v>
      </c>
      <c r="C313" s="17" t="str">
        <f>IF(Catalog!D288="","",IF(ISBLANK(Catalog!F288),"Missing Creator; ","")&amp;IF(ISBLANK(Catalog!K288),"Missing Type; ","")&amp;IF(ISBLANK(Catalog!L288),"Missing Genre; ","")&amp;IF(ISBLANK(Catalog!W288),"Missing Location Type; ","")&amp;IF(ISBLANK(Catalog!X288),"Missing Location Identifier; ","")&amp;IF(AND(Catalog!S288&lt;&gt;"",COUNTIF(Catalog!$S$2:$S$501,Catalog!S288)&gt;1),"Duplicate ISBN; ","")&amp;IF(AND(Catalog!B288&lt;&gt;"",COUNTIF(Catalog!$B$2:$B$501,Catalog!B288)&gt;1),"Duplicate Accession; ",""))</f>
        <v/>
      </c>
    </row>
    <row r="314" spans="1:3" x14ac:dyDescent="0.25">
      <c r="A314" s="16" t="str">
        <f>Catalog!A289</f>
        <v/>
      </c>
      <c r="B314" s="16">
        <f>Catalog!D289</f>
        <v>0</v>
      </c>
      <c r="C314" s="17" t="str">
        <f>IF(Catalog!D289="","",IF(ISBLANK(Catalog!F289),"Missing Creator; ","")&amp;IF(ISBLANK(Catalog!K289),"Missing Type; ","")&amp;IF(ISBLANK(Catalog!L289),"Missing Genre; ","")&amp;IF(ISBLANK(Catalog!W289),"Missing Location Type; ","")&amp;IF(ISBLANK(Catalog!X289),"Missing Location Identifier; ","")&amp;IF(AND(Catalog!S289&lt;&gt;"",COUNTIF(Catalog!$S$2:$S$501,Catalog!S289)&gt;1),"Duplicate ISBN; ","")&amp;IF(AND(Catalog!B289&lt;&gt;"",COUNTIF(Catalog!$B$2:$B$501,Catalog!B289)&gt;1),"Duplicate Accession; ",""))</f>
        <v/>
      </c>
    </row>
    <row r="315" spans="1:3" x14ac:dyDescent="0.25">
      <c r="A315" s="16" t="str">
        <f>Catalog!A290</f>
        <v/>
      </c>
      <c r="B315" s="16">
        <f>Catalog!D290</f>
        <v>0</v>
      </c>
      <c r="C315" s="17" t="str">
        <f>IF(Catalog!D290="","",IF(ISBLANK(Catalog!F290),"Missing Creator; ","")&amp;IF(ISBLANK(Catalog!K290),"Missing Type; ","")&amp;IF(ISBLANK(Catalog!L290),"Missing Genre; ","")&amp;IF(ISBLANK(Catalog!W290),"Missing Location Type; ","")&amp;IF(ISBLANK(Catalog!X290),"Missing Location Identifier; ","")&amp;IF(AND(Catalog!S290&lt;&gt;"",COUNTIF(Catalog!$S$2:$S$501,Catalog!S290)&gt;1),"Duplicate ISBN; ","")&amp;IF(AND(Catalog!B290&lt;&gt;"",COUNTIF(Catalog!$B$2:$B$501,Catalog!B290)&gt;1),"Duplicate Accession; ",""))</f>
        <v/>
      </c>
    </row>
    <row r="316" spans="1:3" x14ac:dyDescent="0.25">
      <c r="A316" s="16" t="str">
        <f>Catalog!A291</f>
        <v/>
      </c>
      <c r="B316" s="16">
        <f>Catalog!D291</f>
        <v>0</v>
      </c>
      <c r="C316" s="17" t="str">
        <f>IF(Catalog!D291="","",IF(ISBLANK(Catalog!F291),"Missing Creator; ","")&amp;IF(ISBLANK(Catalog!K291),"Missing Type; ","")&amp;IF(ISBLANK(Catalog!L291),"Missing Genre; ","")&amp;IF(ISBLANK(Catalog!W291),"Missing Location Type; ","")&amp;IF(ISBLANK(Catalog!X291),"Missing Location Identifier; ","")&amp;IF(AND(Catalog!S291&lt;&gt;"",COUNTIF(Catalog!$S$2:$S$501,Catalog!S291)&gt;1),"Duplicate ISBN; ","")&amp;IF(AND(Catalog!B291&lt;&gt;"",COUNTIF(Catalog!$B$2:$B$501,Catalog!B291)&gt;1),"Duplicate Accession; ",""))</f>
        <v/>
      </c>
    </row>
    <row r="317" spans="1:3" x14ac:dyDescent="0.25">
      <c r="A317" s="16" t="str">
        <f>Catalog!A292</f>
        <v/>
      </c>
      <c r="B317" s="16">
        <f>Catalog!D292</f>
        <v>0</v>
      </c>
      <c r="C317" s="17" t="str">
        <f>IF(Catalog!D292="","",IF(ISBLANK(Catalog!F292),"Missing Creator; ","")&amp;IF(ISBLANK(Catalog!K292),"Missing Type; ","")&amp;IF(ISBLANK(Catalog!L292),"Missing Genre; ","")&amp;IF(ISBLANK(Catalog!W292),"Missing Location Type; ","")&amp;IF(ISBLANK(Catalog!X292),"Missing Location Identifier; ","")&amp;IF(AND(Catalog!S292&lt;&gt;"",COUNTIF(Catalog!$S$2:$S$501,Catalog!S292)&gt;1),"Duplicate ISBN; ","")&amp;IF(AND(Catalog!B292&lt;&gt;"",COUNTIF(Catalog!$B$2:$B$501,Catalog!B292)&gt;1),"Duplicate Accession; ",""))</f>
        <v/>
      </c>
    </row>
    <row r="318" spans="1:3" x14ac:dyDescent="0.25">
      <c r="A318" s="16" t="str">
        <f>Catalog!A293</f>
        <v/>
      </c>
      <c r="B318" s="16">
        <f>Catalog!D293</f>
        <v>0</v>
      </c>
      <c r="C318" s="17" t="str">
        <f>IF(Catalog!D293="","",IF(ISBLANK(Catalog!F293),"Missing Creator; ","")&amp;IF(ISBLANK(Catalog!K293),"Missing Type; ","")&amp;IF(ISBLANK(Catalog!L293),"Missing Genre; ","")&amp;IF(ISBLANK(Catalog!W293),"Missing Location Type; ","")&amp;IF(ISBLANK(Catalog!X293),"Missing Location Identifier; ","")&amp;IF(AND(Catalog!S293&lt;&gt;"",COUNTIF(Catalog!$S$2:$S$501,Catalog!S293)&gt;1),"Duplicate ISBN; ","")&amp;IF(AND(Catalog!B293&lt;&gt;"",COUNTIF(Catalog!$B$2:$B$501,Catalog!B293)&gt;1),"Duplicate Accession; ",""))</f>
        <v/>
      </c>
    </row>
    <row r="319" spans="1:3" x14ac:dyDescent="0.25">
      <c r="A319" s="16" t="str">
        <f>Catalog!A294</f>
        <v/>
      </c>
      <c r="B319" s="16">
        <f>Catalog!D294</f>
        <v>0</v>
      </c>
      <c r="C319" s="17" t="str">
        <f>IF(Catalog!D294="","",IF(ISBLANK(Catalog!F294),"Missing Creator; ","")&amp;IF(ISBLANK(Catalog!K294),"Missing Type; ","")&amp;IF(ISBLANK(Catalog!L294),"Missing Genre; ","")&amp;IF(ISBLANK(Catalog!W294),"Missing Location Type; ","")&amp;IF(ISBLANK(Catalog!X294),"Missing Location Identifier; ","")&amp;IF(AND(Catalog!S294&lt;&gt;"",COUNTIF(Catalog!$S$2:$S$501,Catalog!S294)&gt;1),"Duplicate ISBN; ","")&amp;IF(AND(Catalog!B294&lt;&gt;"",COUNTIF(Catalog!$B$2:$B$501,Catalog!B294)&gt;1),"Duplicate Accession; ",""))</f>
        <v/>
      </c>
    </row>
    <row r="320" spans="1:3" x14ac:dyDescent="0.25">
      <c r="A320" s="16" t="str">
        <f>Catalog!A295</f>
        <v/>
      </c>
      <c r="B320" s="16">
        <f>Catalog!D295</f>
        <v>0</v>
      </c>
      <c r="C320" s="17" t="str">
        <f>IF(Catalog!D295="","",IF(ISBLANK(Catalog!F295),"Missing Creator; ","")&amp;IF(ISBLANK(Catalog!K295),"Missing Type; ","")&amp;IF(ISBLANK(Catalog!L295),"Missing Genre; ","")&amp;IF(ISBLANK(Catalog!W295),"Missing Location Type; ","")&amp;IF(ISBLANK(Catalog!X295),"Missing Location Identifier; ","")&amp;IF(AND(Catalog!S295&lt;&gt;"",COUNTIF(Catalog!$S$2:$S$501,Catalog!S295)&gt;1),"Duplicate ISBN; ","")&amp;IF(AND(Catalog!B295&lt;&gt;"",COUNTIF(Catalog!$B$2:$B$501,Catalog!B295)&gt;1),"Duplicate Accession; ",""))</f>
        <v/>
      </c>
    </row>
    <row r="321" spans="1:3" x14ac:dyDescent="0.25">
      <c r="A321" s="16" t="str">
        <f>Catalog!A296</f>
        <v/>
      </c>
      <c r="B321" s="16">
        <f>Catalog!D296</f>
        <v>0</v>
      </c>
      <c r="C321" s="17" t="str">
        <f>IF(Catalog!D296="","",IF(ISBLANK(Catalog!F296),"Missing Creator; ","")&amp;IF(ISBLANK(Catalog!K296),"Missing Type; ","")&amp;IF(ISBLANK(Catalog!L296),"Missing Genre; ","")&amp;IF(ISBLANK(Catalog!W296),"Missing Location Type; ","")&amp;IF(ISBLANK(Catalog!X296),"Missing Location Identifier; ","")&amp;IF(AND(Catalog!S296&lt;&gt;"",COUNTIF(Catalog!$S$2:$S$501,Catalog!S296)&gt;1),"Duplicate ISBN; ","")&amp;IF(AND(Catalog!B296&lt;&gt;"",COUNTIF(Catalog!$B$2:$B$501,Catalog!B296)&gt;1),"Duplicate Accession; ",""))</f>
        <v/>
      </c>
    </row>
    <row r="322" spans="1:3" x14ac:dyDescent="0.25">
      <c r="A322" s="16" t="str">
        <f>Catalog!A297</f>
        <v/>
      </c>
      <c r="B322" s="16">
        <f>Catalog!D297</f>
        <v>0</v>
      </c>
      <c r="C322" s="17" t="str">
        <f>IF(Catalog!D297="","",IF(ISBLANK(Catalog!F297),"Missing Creator; ","")&amp;IF(ISBLANK(Catalog!K297),"Missing Type; ","")&amp;IF(ISBLANK(Catalog!L297),"Missing Genre; ","")&amp;IF(ISBLANK(Catalog!W297),"Missing Location Type; ","")&amp;IF(ISBLANK(Catalog!X297),"Missing Location Identifier; ","")&amp;IF(AND(Catalog!S297&lt;&gt;"",COUNTIF(Catalog!$S$2:$S$501,Catalog!S297)&gt;1),"Duplicate ISBN; ","")&amp;IF(AND(Catalog!B297&lt;&gt;"",COUNTIF(Catalog!$B$2:$B$501,Catalog!B297)&gt;1),"Duplicate Accession; ",""))</f>
        <v/>
      </c>
    </row>
    <row r="323" spans="1:3" x14ac:dyDescent="0.25">
      <c r="A323" s="16" t="str">
        <f>Catalog!A298</f>
        <v/>
      </c>
      <c r="B323" s="16">
        <f>Catalog!D298</f>
        <v>0</v>
      </c>
      <c r="C323" s="17" t="str">
        <f>IF(Catalog!D298="","",IF(ISBLANK(Catalog!F298),"Missing Creator; ","")&amp;IF(ISBLANK(Catalog!K298),"Missing Type; ","")&amp;IF(ISBLANK(Catalog!L298),"Missing Genre; ","")&amp;IF(ISBLANK(Catalog!W298),"Missing Location Type; ","")&amp;IF(ISBLANK(Catalog!X298),"Missing Location Identifier; ","")&amp;IF(AND(Catalog!S298&lt;&gt;"",COUNTIF(Catalog!$S$2:$S$501,Catalog!S298)&gt;1),"Duplicate ISBN; ","")&amp;IF(AND(Catalog!B298&lt;&gt;"",COUNTIF(Catalog!$B$2:$B$501,Catalog!B298)&gt;1),"Duplicate Accession; ",""))</f>
        <v/>
      </c>
    </row>
    <row r="324" spans="1:3" x14ac:dyDescent="0.25">
      <c r="A324" s="16" t="str">
        <f>Catalog!A299</f>
        <v/>
      </c>
      <c r="B324" s="16">
        <f>Catalog!D299</f>
        <v>0</v>
      </c>
      <c r="C324" s="17" t="str">
        <f>IF(Catalog!D299="","",IF(ISBLANK(Catalog!F299),"Missing Creator; ","")&amp;IF(ISBLANK(Catalog!K299),"Missing Type; ","")&amp;IF(ISBLANK(Catalog!L299),"Missing Genre; ","")&amp;IF(ISBLANK(Catalog!W299),"Missing Location Type; ","")&amp;IF(ISBLANK(Catalog!X299),"Missing Location Identifier; ","")&amp;IF(AND(Catalog!S299&lt;&gt;"",COUNTIF(Catalog!$S$2:$S$501,Catalog!S299)&gt;1),"Duplicate ISBN; ","")&amp;IF(AND(Catalog!B299&lt;&gt;"",COUNTIF(Catalog!$B$2:$B$501,Catalog!B299)&gt;1),"Duplicate Accession; ",""))</f>
        <v/>
      </c>
    </row>
    <row r="325" spans="1:3" x14ac:dyDescent="0.25">
      <c r="A325" s="16" t="str">
        <f>Catalog!A300</f>
        <v/>
      </c>
      <c r="B325" s="16">
        <f>Catalog!D300</f>
        <v>0</v>
      </c>
      <c r="C325" s="17" t="str">
        <f>IF(Catalog!D300="","",IF(ISBLANK(Catalog!F300),"Missing Creator; ","")&amp;IF(ISBLANK(Catalog!K300),"Missing Type; ","")&amp;IF(ISBLANK(Catalog!L300),"Missing Genre; ","")&amp;IF(ISBLANK(Catalog!W300),"Missing Location Type; ","")&amp;IF(ISBLANK(Catalog!X300),"Missing Location Identifier; ","")&amp;IF(AND(Catalog!S300&lt;&gt;"",COUNTIF(Catalog!$S$2:$S$501,Catalog!S300)&gt;1),"Duplicate ISBN; ","")&amp;IF(AND(Catalog!B300&lt;&gt;"",COUNTIF(Catalog!$B$2:$B$501,Catalog!B300)&gt;1),"Duplicate Accession; ",""))</f>
        <v/>
      </c>
    </row>
    <row r="326" spans="1:3" x14ac:dyDescent="0.25">
      <c r="A326" s="16" t="str">
        <f>Catalog!A301</f>
        <v/>
      </c>
      <c r="B326" s="16">
        <f>Catalog!D301</f>
        <v>0</v>
      </c>
      <c r="C326" s="17" t="str">
        <f>IF(Catalog!D301="","",IF(ISBLANK(Catalog!F301),"Missing Creator; ","")&amp;IF(ISBLANK(Catalog!K301),"Missing Type; ","")&amp;IF(ISBLANK(Catalog!L301),"Missing Genre; ","")&amp;IF(ISBLANK(Catalog!W301),"Missing Location Type; ","")&amp;IF(ISBLANK(Catalog!X301),"Missing Location Identifier; ","")&amp;IF(AND(Catalog!S301&lt;&gt;"",COUNTIF(Catalog!$S$2:$S$501,Catalog!S301)&gt;1),"Duplicate ISBN; ","")&amp;IF(AND(Catalog!B301&lt;&gt;"",COUNTIF(Catalog!$B$2:$B$501,Catalog!B301)&gt;1),"Duplicate Accession; ",""))</f>
        <v/>
      </c>
    </row>
    <row r="327" spans="1:3" x14ac:dyDescent="0.25">
      <c r="A327" s="16" t="str">
        <f>Catalog!A302</f>
        <v/>
      </c>
      <c r="B327" s="16">
        <f>Catalog!D302</f>
        <v>0</v>
      </c>
      <c r="C327" s="17" t="str">
        <f>IF(Catalog!D302="","",IF(ISBLANK(Catalog!F302),"Missing Creator; ","")&amp;IF(ISBLANK(Catalog!K302),"Missing Type; ","")&amp;IF(ISBLANK(Catalog!L302),"Missing Genre; ","")&amp;IF(ISBLANK(Catalog!W302),"Missing Location Type; ","")&amp;IF(ISBLANK(Catalog!X302),"Missing Location Identifier; ","")&amp;IF(AND(Catalog!S302&lt;&gt;"",COUNTIF(Catalog!$S$2:$S$501,Catalog!S302)&gt;1),"Duplicate ISBN; ","")&amp;IF(AND(Catalog!B302&lt;&gt;"",COUNTIF(Catalog!$B$2:$B$501,Catalog!B302)&gt;1),"Duplicate Accession; ",""))</f>
        <v/>
      </c>
    </row>
    <row r="328" spans="1:3" x14ac:dyDescent="0.25">
      <c r="A328" s="16" t="str">
        <f>Catalog!A303</f>
        <v/>
      </c>
      <c r="B328" s="16">
        <f>Catalog!D303</f>
        <v>0</v>
      </c>
      <c r="C328" s="17" t="str">
        <f>IF(Catalog!D303="","",IF(ISBLANK(Catalog!F303),"Missing Creator; ","")&amp;IF(ISBLANK(Catalog!K303),"Missing Type; ","")&amp;IF(ISBLANK(Catalog!L303),"Missing Genre; ","")&amp;IF(ISBLANK(Catalog!W303),"Missing Location Type; ","")&amp;IF(ISBLANK(Catalog!X303),"Missing Location Identifier; ","")&amp;IF(AND(Catalog!S303&lt;&gt;"",COUNTIF(Catalog!$S$2:$S$501,Catalog!S303)&gt;1),"Duplicate ISBN; ","")&amp;IF(AND(Catalog!B303&lt;&gt;"",COUNTIF(Catalog!$B$2:$B$501,Catalog!B303)&gt;1),"Duplicate Accession; ",""))</f>
        <v/>
      </c>
    </row>
    <row r="329" spans="1:3" x14ac:dyDescent="0.25">
      <c r="A329" s="16" t="str">
        <f>Catalog!A304</f>
        <v/>
      </c>
      <c r="B329" s="16">
        <f>Catalog!D304</f>
        <v>0</v>
      </c>
      <c r="C329" s="17" t="str">
        <f>IF(Catalog!D304="","",IF(ISBLANK(Catalog!F304),"Missing Creator; ","")&amp;IF(ISBLANK(Catalog!K304),"Missing Type; ","")&amp;IF(ISBLANK(Catalog!L304),"Missing Genre; ","")&amp;IF(ISBLANK(Catalog!W304),"Missing Location Type; ","")&amp;IF(ISBLANK(Catalog!X304),"Missing Location Identifier; ","")&amp;IF(AND(Catalog!S304&lt;&gt;"",COUNTIF(Catalog!$S$2:$S$501,Catalog!S304)&gt;1),"Duplicate ISBN; ","")&amp;IF(AND(Catalog!B304&lt;&gt;"",COUNTIF(Catalog!$B$2:$B$501,Catalog!B304)&gt;1),"Duplicate Accession; ",""))</f>
        <v/>
      </c>
    </row>
    <row r="330" spans="1:3" x14ac:dyDescent="0.25">
      <c r="A330" s="16" t="str">
        <f>Catalog!A305</f>
        <v/>
      </c>
      <c r="B330" s="16">
        <f>Catalog!D305</f>
        <v>0</v>
      </c>
      <c r="C330" s="17" t="str">
        <f>IF(Catalog!D305="","",IF(ISBLANK(Catalog!F305),"Missing Creator; ","")&amp;IF(ISBLANK(Catalog!K305),"Missing Type; ","")&amp;IF(ISBLANK(Catalog!L305),"Missing Genre; ","")&amp;IF(ISBLANK(Catalog!W305),"Missing Location Type; ","")&amp;IF(ISBLANK(Catalog!X305),"Missing Location Identifier; ","")&amp;IF(AND(Catalog!S305&lt;&gt;"",COUNTIF(Catalog!$S$2:$S$501,Catalog!S305)&gt;1),"Duplicate ISBN; ","")&amp;IF(AND(Catalog!B305&lt;&gt;"",COUNTIF(Catalog!$B$2:$B$501,Catalog!B305)&gt;1),"Duplicate Accession; ",""))</f>
        <v/>
      </c>
    </row>
    <row r="331" spans="1:3" x14ac:dyDescent="0.25">
      <c r="A331" s="16" t="str">
        <f>Catalog!A306</f>
        <v/>
      </c>
      <c r="B331" s="16">
        <f>Catalog!D306</f>
        <v>0</v>
      </c>
      <c r="C331" s="17" t="str">
        <f>IF(Catalog!D306="","",IF(ISBLANK(Catalog!F306),"Missing Creator; ","")&amp;IF(ISBLANK(Catalog!K306),"Missing Type; ","")&amp;IF(ISBLANK(Catalog!L306),"Missing Genre; ","")&amp;IF(ISBLANK(Catalog!W306),"Missing Location Type; ","")&amp;IF(ISBLANK(Catalog!X306),"Missing Location Identifier; ","")&amp;IF(AND(Catalog!S306&lt;&gt;"",COUNTIF(Catalog!$S$2:$S$501,Catalog!S306)&gt;1),"Duplicate ISBN; ","")&amp;IF(AND(Catalog!B306&lt;&gt;"",COUNTIF(Catalog!$B$2:$B$501,Catalog!B306)&gt;1),"Duplicate Accession; ",""))</f>
        <v/>
      </c>
    </row>
    <row r="332" spans="1:3" x14ac:dyDescent="0.25">
      <c r="A332" s="16" t="str">
        <f>Catalog!A307</f>
        <v/>
      </c>
      <c r="B332" s="16">
        <f>Catalog!D307</f>
        <v>0</v>
      </c>
      <c r="C332" s="17" t="str">
        <f>IF(Catalog!D307="","",IF(ISBLANK(Catalog!F307),"Missing Creator; ","")&amp;IF(ISBLANK(Catalog!K307),"Missing Type; ","")&amp;IF(ISBLANK(Catalog!L307),"Missing Genre; ","")&amp;IF(ISBLANK(Catalog!W307),"Missing Location Type; ","")&amp;IF(ISBLANK(Catalog!X307),"Missing Location Identifier; ","")&amp;IF(AND(Catalog!S307&lt;&gt;"",COUNTIF(Catalog!$S$2:$S$501,Catalog!S307)&gt;1),"Duplicate ISBN; ","")&amp;IF(AND(Catalog!B307&lt;&gt;"",COUNTIF(Catalog!$B$2:$B$501,Catalog!B307)&gt;1),"Duplicate Accession; ",""))</f>
        <v/>
      </c>
    </row>
    <row r="333" spans="1:3" x14ac:dyDescent="0.25">
      <c r="A333" s="16" t="str">
        <f>Catalog!A308</f>
        <v/>
      </c>
      <c r="B333" s="16">
        <f>Catalog!D308</f>
        <v>0</v>
      </c>
      <c r="C333" s="17" t="str">
        <f>IF(Catalog!D308="","",IF(ISBLANK(Catalog!F308),"Missing Creator; ","")&amp;IF(ISBLANK(Catalog!K308),"Missing Type; ","")&amp;IF(ISBLANK(Catalog!L308),"Missing Genre; ","")&amp;IF(ISBLANK(Catalog!W308),"Missing Location Type; ","")&amp;IF(ISBLANK(Catalog!X308),"Missing Location Identifier; ","")&amp;IF(AND(Catalog!S308&lt;&gt;"",COUNTIF(Catalog!$S$2:$S$501,Catalog!S308)&gt;1),"Duplicate ISBN; ","")&amp;IF(AND(Catalog!B308&lt;&gt;"",COUNTIF(Catalog!$B$2:$B$501,Catalog!B308)&gt;1),"Duplicate Accession; ",""))</f>
        <v/>
      </c>
    </row>
    <row r="334" spans="1:3" x14ac:dyDescent="0.25">
      <c r="A334" s="16" t="str">
        <f>Catalog!A309</f>
        <v/>
      </c>
      <c r="B334" s="16">
        <f>Catalog!D309</f>
        <v>0</v>
      </c>
      <c r="C334" s="17" t="str">
        <f>IF(Catalog!D309="","",IF(ISBLANK(Catalog!F309),"Missing Creator; ","")&amp;IF(ISBLANK(Catalog!K309),"Missing Type; ","")&amp;IF(ISBLANK(Catalog!L309),"Missing Genre; ","")&amp;IF(ISBLANK(Catalog!W309),"Missing Location Type; ","")&amp;IF(ISBLANK(Catalog!X309),"Missing Location Identifier; ","")&amp;IF(AND(Catalog!S309&lt;&gt;"",COUNTIF(Catalog!$S$2:$S$501,Catalog!S309)&gt;1),"Duplicate ISBN; ","")&amp;IF(AND(Catalog!B309&lt;&gt;"",COUNTIF(Catalog!$B$2:$B$501,Catalog!B309)&gt;1),"Duplicate Accession; ",""))</f>
        <v/>
      </c>
    </row>
    <row r="335" spans="1:3" x14ac:dyDescent="0.25">
      <c r="A335" s="16" t="str">
        <f>Catalog!A310</f>
        <v/>
      </c>
      <c r="B335" s="16">
        <f>Catalog!D310</f>
        <v>0</v>
      </c>
      <c r="C335" s="17" t="str">
        <f>IF(Catalog!D310="","",IF(ISBLANK(Catalog!F310),"Missing Creator; ","")&amp;IF(ISBLANK(Catalog!K310),"Missing Type; ","")&amp;IF(ISBLANK(Catalog!L310),"Missing Genre; ","")&amp;IF(ISBLANK(Catalog!W310),"Missing Location Type; ","")&amp;IF(ISBLANK(Catalog!X310),"Missing Location Identifier; ","")&amp;IF(AND(Catalog!S310&lt;&gt;"",COUNTIF(Catalog!$S$2:$S$501,Catalog!S310)&gt;1),"Duplicate ISBN; ","")&amp;IF(AND(Catalog!B310&lt;&gt;"",COUNTIF(Catalog!$B$2:$B$501,Catalog!B310)&gt;1),"Duplicate Accession; ",""))</f>
        <v/>
      </c>
    </row>
    <row r="336" spans="1:3" x14ac:dyDescent="0.25">
      <c r="A336" s="16" t="str">
        <f>Catalog!A311</f>
        <v/>
      </c>
      <c r="B336" s="16">
        <f>Catalog!D311</f>
        <v>0</v>
      </c>
      <c r="C336" s="17" t="str">
        <f>IF(Catalog!D311="","",IF(ISBLANK(Catalog!F311),"Missing Creator; ","")&amp;IF(ISBLANK(Catalog!K311),"Missing Type; ","")&amp;IF(ISBLANK(Catalog!L311),"Missing Genre; ","")&amp;IF(ISBLANK(Catalog!W311),"Missing Location Type; ","")&amp;IF(ISBLANK(Catalog!X311),"Missing Location Identifier; ","")&amp;IF(AND(Catalog!S311&lt;&gt;"",COUNTIF(Catalog!$S$2:$S$501,Catalog!S311)&gt;1),"Duplicate ISBN; ","")&amp;IF(AND(Catalog!B311&lt;&gt;"",COUNTIF(Catalog!$B$2:$B$501,Catalog!B311)&gt;1),"Duplicate Accession; ",""))</f>
        <v/>
      </c>
    </row>
    <row r="337" spans="1:3" x14ac:dyDescent="0.25">
      <c r="A337" s="16" t="str">
        <f>Catalog!A312</f>
        <v/>
      </c>
      <c r="B337" s="16">
        <f>Catalog!D312</f>
        <v>0</v>
      </c>
      <c r="C337" s="17" t="str">
        <f>IF(Catalog!D312="","",IF(ISBLANK(Catalog!F312),"Missing Creator; ","")&amp;IF(ISBLANK(Catalog!K312),"Missing Type; ","")&amp;IF(ISBLANK(Catalog!L312),"Missing Genre; ","")&amp;IF(ISBLANK(Catalog!W312),"Missing Location Type; ","")&amp;IF(ISBLANK(Catalog!X312),"Missing Location Identifier; ","")&amp;IF(AND(Catalog!S312&lt;&gt;"",COUNTIF(Catalog!$S$2:$S$501,Catalog!S312)&gt;1),"Duplicate ISBN; ","")&amp;IF(AND(Catalog!B312&lt;&gt;"",COUNTIF(Catalog!$B$2:$B$501,Catalog!B312)&gt;1),"Duplicate Accession; ",""))</f>
        <v/>
      </c>
    </row>
    <row r="338" spans="1:3" x14ac:dyDescent="0.25">
      <c r="A338" s="16" t="str">
        <f>Catalog!A313</f>
        <v/>
      </c>
      <c r="B338" s="16">
        <f>Catalog!D313</f>
        <v>0</v>
      </c>
      <c r="C338" s="17" t="str">
        <f>IF(Catalog!D313="","",IF(ISBLANK(Catalog!F313),"Missing Creator; ","")&amp;IF(ISBLANK(Catalog!K313),"Missing Type; ","")&amp;IF(ISBLANK(Catalog!L313),"Missing Genre; ","")&amp;IF(ISBLANK(Catalog!W313),"Missing Location Type; ","")&amp;IF(ISBLANK(Catalog!X313),"Missing Location Identifier; ","")&amp;IF(AND(Catalog!S313&lt;&gt;"",COUNTIF(Catalog!$S$2:$S$501,Catalog!S313)&gt;1),"Duplicate ISBN; ","")&amp;IF(AND(Catalog!B313&lt;&gt;"",COUNTIF(Catalog!$B$2:$B$501,Catalog!B313)&gt;1),"Duplicate Accession; ",""))</f>
        <v/>
      </c>
    </row>
    <row r="339" spans="1:3" x14ac:dyDescent="0.25">
      <c r="A339" s="16" t="str">
        <f>Catalog!A314</f>
        <v/>
      </c>
      <c r="B339" s="16">
        <f>Catalog!D314</f>
        <v>0</v>
      </c>
      <c r="C339" s="17" t="str">
        <f>IF(Catalog!D314="","",IF(ISBLANK(Catalog!F314),"Missing Creator; ","")&amp;IF(ISBLANK(Catalog!K314),"Missing Type; ","")&amp;IF(ISBLANK(Catalog!L314),"Missing Genre; ","")&amp;IF(ISBLANK(Catalog!W314),"Missing Location Type; ","")&amp;IF(ISBLANK(Catalog!X314),"Missing Location Identifier; ","")&amp;IF(AND(Catalog!S314&lt;&gt;"",COUNTIF(Catalog!$S$2:$S$501,Catalog!S314)&gt;1),"Duplicate ISBN; ","")&amp;IF(AND(Catalog!B314&lt;&gt;"",COUNTIF(Catalog!$B$2:$B$501,Catalog!B314)&gt;1),"Duplicate Accession; ",""))</f>
        <v/>
      </c>
    </row>
    <row r="340" spans="1:3" x14ac:dyDescent="0.25">
      <c r="A340" s="16" t="str">
        <f>Catalog!A315</f>
        <v/>
      </c>
      <c r="B340" s="16">
        <f>Catalog!D315</f>
        <v>0</v>
      </c>
      <c r="C340" s="17" t="str">
        <f>IF(Catalog!D315="","",IF(ISBLANK(Catalog!F315),"Missing Creator; ","")&amp;IF(ISBLANK(Catalog!K315),"Missing Type; ","")&amp;IF(ISBLANK(Catalog!L315),"Missing Genre; ","")&amp;IF(ISBLANK(Catalog!W315),"Missing Location Type; ","")&amp;IF(ISBLANK(Catalog!X315),"Missing Location Identifier; ","")&amp;IF(AND(Catalog!S315&lt;&gt;"",COUNTIF(Catalog!$S$2:$S$501,Catalog!S315)&gt;1),"Duplicate ISBN; ","")&amp;IF(AND(Catalog!B315&lt;&gt;"",COUNTIF(Catalog!$B$2:$B$501,Catalog!B315)&gt;1),"Duplicate Accession; ",""))</f>
        <v/>
      </c>
    </row>
    <row r="341" spans="1:3" x14ac:dyDescent="0.25">
      <c r="A341" s="16" t="str">
        <f>Catalog!A316</f>
        <v/>
      </c>
      <c r="B341" s="16">
        <f>Catalog!D316</f>
        <v>0</v>
      </c>
      <c r="C341" s="17" t="str">
        <f>IF(Catalog!D316="","",IF(ISBLANK(Catalog!F316),"Missing Creator; ","")&amp;IF(ISBLANK(Catalog!K316),"Missing Type; ","")&amp;IF(ISBLANK(Catalog!L316),"Missing Genre; ","")&amp;IF(ISBLANK(Catalog!W316),"Missing Location Type; ","")&amp;IF(ISBLANK(Catalog!X316),"Missing Location Identifier; ","")&amp;IF(AND(Catalog!S316&lt;&gt;"",COUNTIF(Catalog!$S$2:$S$501,Catalog!S316)&gt;1),"Duplicate ISBN; ","")&amp;IF(AND(Catalog!B316&lt;&gt;"",COUNTIF(Catalog!$B$2:$B$501,Catalog!B316)&gt;1),"Duplicate Accession; ",""))</f>
        <v/>
      </c>
    </row>
    <row r="342" spans="1:3" x14ac:dyDescent="0.25">
      <c r="A342" s="16" t="str">
        <f>Catalog!A317</f>
        <v/>
      </c>
      <c r="B342" s="16">
        <f>Catalog!D317</f>
        <v>0</v>
      </c>
      <c r="C342" s="17" t="str">
        <f>IF(Catalog!D317="","",IF(ISBLANK(Catalog!F317),"Missing Creator; ","")&amp;IF(ISBLANK(Catalog!K317),"Missing Type; ","")&amp;IF(ISBLANK(Catalog!L317),"Missing Genre; ","")&amp;IF(ISBLANK(Catalog!W317),"Missing Location Type; ","")&amp;IF(ISBLANK(Catalog!X317),"Missing Location Identifier; ","")&amp;IF(AND(Catalog!S317&lt;&gt;"",COUNTIF(Catalog!$S$2:$S$501,Catalog!S317)&gt;1),"Duplicate ISBN; ","")&amp;IF(AND(Catalog!B317&lt;&gt;"",COUNTIF(Catalog!$B$2:$B$501,Catalog!B317)&gt;1),"Duplicate Accession; ",""))</f>
        <v/>
      </c>
    </row>
    <row r="343" spans="1:3" x14ac:dyDescent="0.25">
      <c r="A343" s="16" t="str">
        <f>Catalog!A318</f>
        <v/>
      </c>
      <c r="B343" s="16">
        <f>Catalog!D318</f>
        <v>0</v>
      </c>
      <c r="C343" s="17" t="str">
        <f>IF(Catalog!D318="","",IF(ISBLANK(Catalog!F318),"Missing Creator; ","")&amp;IF(ISBLANK(Catalog!K318),"Missing Type; ","")&amp;IF(ISBLANK(Catalog!L318),"Missing Genre; ","")&amp;IF(ISBLANK(Catalog!W318),"Missing Location Type; ","")&amp;IF(ISBLANK(Catalog!X318),"Missing Location Identifier; ","")&amp;IF(AND(Catalog!S318&lt;&gt;"",COUNTIF(Catalog!$S$2:$S$501,Catalog!S318)&gt;1),"Duplicate ISBN; ","")&amp;IF(AND(Catalog!B318&lt;&gt;"",COUNTIF(Catalog!$B$2:$B$501,Catalog!B318)&gt;1),"Duplicate Accession; ",""))</f>
        <v/>
      </c>
    </row>
    <row r="344" spans="1:3" x14ac:dyDescent="0.25">
      <c r="A344" s="16" t="str">
        <f>Catalog!A319</f>
        <v/>
      </c>
      <c r="B344" s="16">
        <f>Catalog!D319</f>
        <v>0</v>
      </c>
      <c r="C344" s="17" t="str">
        <f>IF(Catalog!D319="","",IF(ISBLANK(Catalog!F319),"Missing Creator; ","")&amp;IF(ISBLANK(Catalog!K319),"Missing Type; ","")&amp;IF(ISBLANK(Catalog!L319),"Missing Genre; ","")&amp;IF(ISBLANK(Catalog!W319),"Missing Location Type; ","")&amp;IF(ISBLANK(Catalog!X319),"Missing Location Identifier; ","")&amp;IF(AND(Catalog!S319&lt;&gt;"",COUNTIF(Catalog!$S$2:$S$501,Catalog!S319)&gt;1),"Duplicate ISBN; ","")&amp;IF(AND(Catalog!B319&lt;&gt;"",COUNTIF(Catalog!$B$2:$B$501,Catalog!B319)&gt;1),"Duplicate Accession; ",""))</f>
        <v/>
      </c>
    </row>
    <row r="345" spans="1:3" x14ac:dyDescent="0.25">
      <c r="A345" s="16" t="str">
        <f>Catalog!A320</f>
        <v/>
      </c>
      <c r="B345" s="16">
        <f>Catalog!D320</f>
        <v>0</v>
      </c>
      <c r="C345" s="17" t="str">
        <f>IF(Catalog!D320="","",IF(ISBLANK(Catalog!F320),"Missing Creator; ","")&amp;IF(ISBLANK(Catalog!K320),"Missing Type; ","")&amp;IF(ISBLANK(Catalog!L320),"Missing Genre; ","")&amp;IF(ISBLANK(Catalog!W320),"Missing Location Type; ","")&amp;IF(ISBLANK(Catalog!X320),"Missing Location Identifier; ","")&amp;IF(AND(Catalog!S320&lt;&gt;"",COUNTIF(Catalog!$S$2:$S$501,Catalog!S320)&gt;1),"Duplicate ISBN; ","")&amp;IF(AND(Catalog!B320&lt;&gt;"",COUNTIF(Catalog!$B$2:$B$501,Catalog!B320)&gt;1),"Duplicate Accession; ",""))</f>
        <v/>
      </c>
    </row>
    <row r="346" spans="1:3" x14ac:dyDescent="0.25">
      <c r="A346" s="16" t="str">
        <f>Catalog!A321</f>
        <v/>
      </c>
      <c r="B346" s="16">
        <f>Catalog!D321</f>
        <v>0</v>
      </c>
      <c r="C346" s="17" t="str">
        <f>IF(Catalog!D321="","",IF(ISBLANK(Catalog!F321),"Missing Creator; ","")&amp;IF(ISBLANK(Catalog!K321),"Missing Type; ","")&amp;IF(ISBLANK(Catalog!L321),"Missing Genre; ","")&amp;IF(ISBLANK(Catalog!W321),"Missing Location Type; ","")&amp;IF(ISBLANK(Catalog!X321),"Missing Location Identifier; ","")&amp;IF(AND(Catalog!S321&lt;&gt;"",COUNTIF(Catalog!$S$2:$S$501,Catalog!S321)&gt;1),"Duplicate ISBN; ","")&amp;IF(AND(Catalog!B321&lt;&gt;"",COUNTIF(Catalog!$B$2:$B$501,Catalog!B321)&gt;1),"Duplicate Accession; ",""))</f>
        <v/>
      </c>
    </row>
    <row r="347" spans="1:3" x14ac:dyDescent="0.25">
      <c r="A347" s="16" t="str">
        <f>Catalog!A322</f>
        <v/>
      </c>
      <c r="B347" s="16">
        <f>Catalog!D322</f>
        <v>0</v>
      </c>
      <c r="C347" s="17" t="str">
        <f>IF(Catalog!D322="","",IF(ISBLANK(Catalog!F322),"Missing Creator; ","")&amp;IF(ISBLANK(Catalog!K322),"Missing Type; ","")&amp;IF(ISBLANK(Catalog!L322),"Missing Genre; ","")&amp;IF(ISBLANK(Catalog!W322),"Missing Location Type; ","")&amp;IF(ISBLANK(Catalog!X322),"Missing Location Identifier; ","")&amp;IF(AND(Catalog!S322&lt;&gt;"",COUNTIF(Catalog!$S$2:$S$501,Catalog!S322)&gt;1),"Duplicate ISBN; ","")&amp;IF(AND(Catalog!B322&lt;&gt;"",COUNTIF(Catalog!$B$2:$B$501,Catalog!B322)&gt;1),"Duplicate Accession; ",""))</f>
        <v/>
      </c>
    </row>
    <row r="348" spans="1:3" x14ac:dyDescent="0.25">
      <c r="A348" s="16" t="str">
        <f>Catalog!A323</f>
        <v/>
      </c>
      <c r="B348" s="16">
        <f>Catalog!D323</f>
        <v>0</v>
      </c>
      <c r="C348" s="17" t="str">
        <f>IF(Catalog!D323="","",IF(ISBLANK(Catalog!F323),"Missing Creator; ","")&amp;IF(ISBLANK(Catalog!K323),"Missing Type; ","")&amp;IF(ISBLANK(Catalog!L323),"Missing Genre; ","")&amp;IF(ISBLANK(Catalog!W323),"Missing Location Type; ","")&amp;IF(ISBLANK(Catalog!X323),"Missing Location Identifier; ","")&amp;IF(AND(Catalog!S323&lt;&gt;"",COUNTIF(Catalog!$S$2:$S$501,Catalog!S323)&gt;1),"Duplicate ISBN; ","")&amp;IF(AND(Catalog!B323&lt;&gt;"",COUNTIF(Catalog!$B$2:$B$501,Catalog!B323)&gt;1),"Duplicate Accession; ",""))</f>
        <v/>
      </c>
    </row>
    <row r="349" spans="1:3" x14ac:dyDescent="0.25">
      <c r="A349" s="16" t="str">
        <f>Catalog!A324</f>
        <v/>
      </c>
      <c r="B349" s="16">
        <f>Catalog!D324</f>
        <v>0</v>
      </c>
      <c r="C349" s="17" t="str">
        <f>IF(Catalog!D324="","",IF(ISBLANK(Catalog!F324),"Missing Creator; ","")&amp;IF(ISBLANK(Catalog!K324),"Missing Type; ","")&amp;IF(ISBLANK(Catalog!L324),"Missing Genre; ","")&amp;IF(ISBLANK(Catalog!W324),"Missing Location Type; ","")&amp;IF(ISBLANK(Catalog!X324),"Missing Location Identifier; ","")&amp;IF(AND(Catalog!S324&lt;&gt;"",COUNTIF(Catalog!$S$2:$S$501,Catalog!S324)&gt;1),"Duplicate ISBN; ","")&amp;IF(AND(Catalog!B324&lt;&gt;"",COUNTIF(Catalog!$B$2:$B$501,Catalog!B324)&gt;1),"Duplicate Accession; ",""))</f>
        <v/>
      </c>
    </row>
    <row r="350" spans="1:3" x14ac:dyDescent="0.25">
      <c r="A350" s="16" t="str">
        <f>Catalog!A325</f>
        <v/>
      </c>
      <c r="B350" s="16">
        <f>Catalog!D325</f>
        <v>0</v>
      </c>
      <c r="C350" s="17" t="str">
        <f>IF(Catalog!D325="","",IF(ISBLANK(Catalog!F325),"Missing Creator; ","")&amp;IF(ISBLANK(Catalog!K325),"Missing Type; ","")&amp;IF(ISBLANK(Catalog!L325),"Missing Genre; ","")&amp;IF(ISBLANK(Catalog!W325),"Missing Location Type; ","")&amp;IF(ISBLANK(Catalog!X325),"Missing Location Identifier; ","")&amp;IF(AND(Catalog!S325&lt;&gt;"",COUNTIF(Catalog!$S$2:$S$501,Catalog!S325)&gt;1),"Duplicate ISBN; ","")&amp;IF(AND(Catalog!B325&lt;&gt;"",COUNTIF(Catalog!$B$2:$B$501,Catalog!B325)&gt;1),"Duplicate Accession; ",""))</f>
        <v/>
      </c>
    </row>
    <row r="351" spans="1:3" x14ac:dyDescent="0.25">
      <c r="A351" s="16" t="str">
        <f>Catalog!A326</f>
        <v/>
      </c>
      <c r="B351" s="16">
        <f>Catalog!D326</f>
        <v>0</v>
      </c>
      <c r="C351" s="17" t="str">
        <f>IF(Catalog!D326="","",IF(ISBLANK(Catalog!F326),"Missing Creator; ","")&amp;IF(ISBLANK(Catalog!K326),"Missing Type; ","")&amp;IF(ISBLANK(Catalog!L326),"Missing Genre; ","")&amp;IF(ISBLANK(Catalog!W326),"Missing Location Type; ","")&amp;IF(ISBLANK(Catalog!X326),"Missing Location Identifier; ","")&amp;IF(AND(Catalog!S326&lt;&gt;"",COUNTIF(Catalog!$S$2:$S$501,Catalog!S326)&gt;1),"Duplicate ISBN; ","")&amp;IF(AND(Catalog!B326&lt;&gt;"",COUNTIF(Catalog!$B$2:$B$501,Catalog!B326)&gt;1),"Duplicate Accession; ",""))</f>
        <v/>
      </c>
    </row>
    <row r="352" spans="1:3" x14ac:dyDescent="0.25">
      <c r="A352" s="16" t="str">
        <f>Catalog!A327</f>
        <v/>
      </c>
      <c r="B352" s="16">
        <f>Catalog!D327</f>
        <v>0</v>
      </c>
      <c r="C352" s="17" t="str">
        <f>IF(Catalog!D327="","",IF(ISBLANK(Catalog!F327),"Missing Creator; ","")&amp;IF(ISBLANK(Catalog!K327),"Missing Type; ","")&amp;IF(ISBLANK(Catalog!L327),"Missing Genre; ","")&amp;IF(ISBLANK(Catalog!W327),"Missing Location Type; ","")&amp;IF(ISBLANK(Catalog!X327),"Missing Location Identifier; ","")&amp;IF(AND(Catalog!S327&lt;&gt;"",COUNTIF(Catalog!$S$2:$S$501,Catalog!S327)&gt;1),"Duplicate ISBN; ","")&amp;IF(AND(Catalog!B327&lt;&gt;"",COUNTIF(Catalog!$B$2:$B$501,Catalog!B327)&gt;1),"Duplicate Accession; ",""))</f>
        <v/>
      </c>
    </row>
    <row r="353" spans="1:3" x14ac:dyDescent="0.25">
      <c r="A353" s="16" t="str">
        <f>Catalog!A328</f>
        <v/>
      </c>
      <c r="B353" s="16">
        <f>Catalog!D328</f>
        <v>0</v>
      </c>
      <c r="C353" s="17" t="str">
        <f>IF(Catalog!D328="","",IF(ISBLANK(Catalog!F328),"Missing Creator; ","")&amp;IF(ISBLANK(Catalog!K328),"Missing Type; ","")&amp;IF(ISBLANK(Catalog!L328),"Missing Genre; ","")&amp;IF(ISBLANK(Catalog!W328),"Missing Location Type; ","")&amp;IF(ISBLANK(Catalog!X328),"Missing Location Identifier; ","")&amp;IF(AND(Catalog!S328&lt;&gt;"",COUNTIF(Catalog!$S$2:$S$501,Catalog!S328)&gt;1),"Duplicate ISBN; ","")&amp;IF(AND(Catalog!B328&lt;&gt;"",COUNTIF(Catalog!$B$2:$B$501,Catalog!B328)&gt;1),"Duplicate Accession; ",""))</f>
        <v/>
      </c>
    </row>
    <row r="354" spans="1:3" x14ac:dyDescent="0.25">
      <c r="A354" s="16" t="str">
        <f>Catalog!A329</f>
        <v/>
      </c>
      <c r="B354" s="16">
        <f>Catalog!D329</f>
        <v>0</v>
      </c>
      <c r="C354" s="17" t="str">
        <f>IF(Catalog!D329="","",IF(ISBLANK(Catalog!F329),"Missing Creator; ","")&amp;IF(ISBLANK(Catalog!K329),"Missing Type; ","")&amp;IF(ISBLANK(Catalog!L329),"Missing Genre; ","")&amp;IF(ISBLANK(Catalog!W329),"Missing Location Type; ","")&amp;IF(ISBLANK(Catalog!X329),"Missing Location Identifier; ","")&amp;IF(AND(Catalog!S329&lt;&gt;"",COUNTIF(Catalog!$S$2:$S$501,Catalog!S329)&gt;1),"Duplicate ISBN; ","")&amp;IF(AND(Catalog!B329&lt;&gt;"",COUNTIF(Catalog!$B$2:$B$501,Catalog!B329)&gt;1),"Duplicate Accession; ",""))</f>
        <v/>
      </c>
    </row>
    <row r="355" spans="1:3" x14ac:dyDescent="0.25">
      <c r="A355" s="16" t="str">
        <f>Catalog!A330</f>
        <v/>
      </c>
      <c r="B355" s="16">
        <f>Catalog!D330</f>
        <v>0</v>
      </c>
      <c r="C355" s="17" t="str">
        <f>IF(Catalog!D330="","",IF(ISBLANK(Catalog!F330),"Missing Creator; ","")&amp;IF(ISBLANK(Catalog!K330),"Missing Type; ","")&amp;IF(ISBLANK(Catalog!L330),"Missing Genre; ","")&amp;IF(ISBLANK(Catalog!W330),"Missing Location Type; ","")&amp;IF(ISBLANK(Catalog!X330),"Missing Location Identifier; ","")&amp;IF(AND(Catalog!S330&lt;&gt;"",COUNTIF(Catalog!$S$2:$S$501,Catalog!S330)&gt;1),"Duplicate ISBN; ","")&amp;IF(AND(Catalog!B330&lt;&gt;"",COUNTIF(Catalog!$B$2:$B$501,Catalog!B330)&gt;1),"Duplicate Accession; ",""))</f>
        <v/>
      </c>
    </row>
    <row r="356" spans="1:3" x14ac:dyDescent="0.25">
      <c r="A356" s="16" t="str">
        <f>Catalog!A331</f>
        <v/>
      </c>
      <c r="B356" s="16">
        <f>Catalog!D331</f>
        <v>0</v>
      </c>
      <c r="C356" s="17" t="str">
        <f>IF(Catalog!D331="","",IF(ISBLANK(Catalog!F331),"Missing Creator; ","")&amp;IF(ISBLANK(Catalog!K331),"Missing Type; ","")&amp;IF(ISBLANK(Catalog!L331),"Missing Genre; ","")&amp;IF(ISBLANK(Catalog!W331),"Missing Location Type; ","")&amp;IF(ISBLANK(Catalog!X331),"Missing Location Identifier; ","")&amp;IF(AND(Catalog!S331&lt;&gt;"",COUNTIF(Catalog!$S$2:$S$501,Catalog!S331)&gt;1),"Duplicate ISBN; ","")&amp;IF(AND(Catalog!B331&lt;&gt;"",COUNTIF(Catalog!$B$2:$B$501,Catalog!B331)&gt;1),"Duplicate Accession; ",""))</f>
        <v/>
      </c>
    </row>
    <row r="357" spans="1:3" x14ac:dyDescent="0.25">
      <c r="A357" s="16" t="str">
        <f>Catalog!A332</f>
        <v/>
      </c>
      <c r="B357" s="16">
        <f>Catalog!D332</f>
        <v>0</v>
      </c>
      <c r="C357" s="17" t="str">
        <f>IF(Catalog!D332="","",IF(ISBLANK(Catalog!F332),"Missing Creator; ","")&amp;IF(ISBLANK(Catalog!K332),"Missing Type; ","")&amp;IF(ISBLANK(Catalog!L332),"Missing Genre; ","")&amp;IF(ISBLANK(Catalog!W332),"Missing Location Type; ","")&amp;IF(ISBLANK(Catalog!X332),"Missing Location Identifier; ","")&amp;IF(AND(Catalog!S332&lt;&gt;"",COUNTIF(Catalog!$S$2:$S$501,Catalog!S332)&gt;1),"Duplicate ISBN; ","")&amp;IF(AND(Catalog!B332&lt;&gt;"",COUNTIF(Catalog!$B$2:$B$501,Catalog!B332)&gt;1),"Duplicate Accession; ",""))</f>
        <v/>
      </c>
    </row>
    <row r="358" spans="1:3" x14ac:dyDescent="0.25">
      <c r="A358" s="16" t="str">
        <f>Catalog!A333</f>
        <v/>
      </c>
      <c r="B358" s="16">
        <f>Catalog!D333</f>
        <v>0</v>
      </c>
      <c r="C358" s="17" t="str">
        <f>IF(Catalog!D333="","",IF(ISBLANK(Catalog!F333),"Missing Creator; ","")&amp;IF(ISBLANK(Catalog!K333),"Missing Type; ","")&amp;IF(ISBLANK(Catalog!L333),"Missing Genre; ","")&amp;IF(ISBLANK(Catalog!W333),"Missing Location Type; ","")&amp;IF(ISBLANK(Catalog!X333),"Missing Location Identifier; ","")&amp;IF(AND(Catalog!S333&lt;&gt;"",COUNTIF(Catalog!$S$2:$S$501,Catalog!S333)&gt;1),"Duplicate ISBN; ","")&amp;IF(AND(Catalog!B333&lt;&gt;"",COUNTIF(Catalog!$B$2:$B$501,Catalog!B333)&gt;1),"Duplicate Accession; ",""))</f>
        <v/>
      </c>
    </row>
    <row r="359" spans="1:3" x14ac:dyDescent="0.25">
      <c r="A359" s="16" t="str">
        <f>Catalog!A334</f>
        <v/>
      </c>
      <c r="B359" s="16">
        <f>Catalog!D334</f>
        <v>0</v>
      </c>
      <c r="C359" s="17" t="str">
        <f>IF(Catalog!D334="","",IF(ISBLANK(Catalog!F334),"Missing Creator; ","")&amp;IF(ISBLANK(Catalog!K334),"Missing Type; ","")&amp;IF(ISBLANK(Catalog!L334),"Missing Genre; ","")&amp;IF(ISBLANK(Catalog!W334),"Missing Location Type; ","")&amp;IF(ISBLANK(Catalog!X334),"Missing Location Identifier; ","")&amp;IF(AND(Catalog!S334&lt;&gt;"",COUNTIF(Catalog!$S$2:$S$501,Catalog!S334)&gt;1),"Duplicate ISBN; ","")&amp;IF(AND(Catalog!B334&lt;&gt;"",COUNTIF(Catalog!$B$2:$B$501,Catalog!B334)&gt;1),"Duplicate Accession; ",""))</f>
        <v/>
      </c>
    </row>
    <row r="360" spans="1:3" x14ac:dyDescent="0.25">
      <c r="A360" s="16" t="str">
        <f>Catalog!A335</f>
        <v/>
      </c>
      <c r="B360" s="16">
        <f>Catalog!D335</f>
        <v>0</v>
      </c>
      <c r="C360" s="17" t="str">
        <f>IF(Catalog!D335="","",IF(ISBLANK(Catalog!F335),"Missing Creator; ","")&amp;IF(ISBLANK(Catalog!K335),"Missing Type; ","")&amp;IF(ISBLANK(Catalog!L335),"Missing Genre; ","")&amp;IF(ISBLANK(Catalog!W335),"Missing Location Type; ","")&amp;IF(ISBLANK(Catalog!X335),"Missing Location Identifier; ","")&amp;IF(AND(Catalog!S335&lt;&gt;"",COUNTIF(Catalog!$S$2:$S$501,Catalog!S335)&gt;1),"Duplicate ISBN; ","")&amp;IF(AND(Catalog!B335&lt;&gt;"",COUNTIF(Catalog!$B$2:$B$501,Catalog!B335)&gt;1),"Duplicate Accession; ",""))</f>
        <v/>
      </c>
    </row>
    <row r="361" spans="1:3" x14ac:dyDescent="0.25">
      <c r="A361" s="16" t="str">
        <f>Catalog!A336</f>
        <v/>
      </c>
      <c r="B361" s="16">
        <f>Catalog!D336</f>
        <v>0</v>
      </c>
      <c r="C361" s="17" t="str">
        <f>IF(Catalog!D336="","",IF(ISBLANK(Catalog!F336),"Missing Creator; ","")&amp;IF(ISBLANK(Catalog!K336),"Missing Type; ","")&amp;IF(ISBLANK(Catalog!L336),"Missing Genre; ","")&amp;IF(ISBLANK(Catalog!W336),"Missing Location Type; ","")&amp;IF(ISBLANK(Catalog!X336),"Missing Location Identifier; ","")&amp;IF(AND(Catalog!S336&lt;&gt;"",COUNTIF(Catalog!$S$2:$S$501,Catalog!S336)&gt;1),"Duplicate ISBN; ","")&amp;IF(AND(Catalog!B336&lt;&gt;"",COUNTIF(Catalog!$B$2:$B$501,Catalog!B336)&gt;1),"Duplicate Accession; ",""))</f>
        <v/>
      </c>
    </row>
    <row r="362" spans="1:3" x14ac:dyDescent="0.25">
      <c r="A362" s="16" t="str">
        <f>Catalog!A337</f>
        <v/>
      </c>
      <c r="B362" s="16">
        <f>Catalog!D337</f>
        <v>0</v>
      </c>
      <c r="C362" s="17" t="str">
        <f>IF(Catalog!D337="","",IF(ISBLANK(Catalog!F337),"Missing Creator; ","")&amp;IF(ISBLANK(Catalog!K337),"Missing Type; ","")&amp;IF(ISBLANK(Catalog!L337),"Missing Genre; ","")&amp;IF(ISBLANK(Catalog!W337),"Missing Location Type; ","")&amp;IF(ISBLANK(Catalog!X337),"Missing Location Identifier; ","")&amp;IF(AND(Catalog!S337&lt;&gt;"",COUNTIF(Catalog!$S$2:$S$501,Catalog!S337)&gt;1),"Duplicate ISBN; ","")&amp;IF(AND(Catalog!B337&lt;&gt;"",COUNTIF(Catalog!$B$2:$B$501,Catalog!B337)&gt;1),"Duplicate Accession; ",""))</f>
        <v/>
      </c>
    </row>
    <row r="363" spans="1:3" x14ac:dyDescent="0.25">
      <c r="A363" s="16" t="str">
        <f>Catalog!A338</f>
        <v/>
      </c>
      <c r="B363" s="16">
        <f>Catalog!D338</f>
        <v>0</v>
      </c>
      <c r="C363" s="17" t="str">
        <f>IF(Catalog!D338="","",IF(ISBLANK(Catalog!F338),"Missing Creator; ","")&amp;IF(ISBLANK(Catalog!K338),"Missing Type; ","")&amp;IF(ISBLANK(Catalog!L338),"Missing Genre; ","")&amp;IF(ISBLANK(Catalog!W338),"Missing Location Type; ","")&amp;IF(ISBLANK(Catalog!X338),"Missing Location Identifier; ","")&amp;IF(AND(Catalog!S338&lt;&gt;"",COUNTIF(Catalog!$S$2:$S$501,Catalog!S338)&gt;1),"Duplicate ISBN; ","")&amp;IF(AND(Catalog!B338&lt;&gt;"",COUNTIF(Catalog!$B$2:$B$501,Catalog!B338)&gt;1),"Duplicate Accession; ",""))</f>
        <v/>
      </c>
    </row>
    <row r="364" spans="1:3" x14ac:dyDescent="0.25">
      <c r="A364" s="16" t="str">
        <f>Catalog!A339</f>
        <v/>
      </c>
      <c r="B364" s="16">
        <f>Catalog!D339</f>
        <v>0</v>
      </c>
      <c r="C364" s="17" t="str">
        <f>IF(Catalog!D339="","",IF(ISBLANK(Catalog!F339),"Missing Creator; ","")&amp;IF(ISBLANK(Catalog!K339),"Missing Type; ","")&amp;IF(ISBLANK(Catalog!L339),"Missing Genre; ","")&amp;IF(ISBLANK(Catalog!W339),"Missing Location Type; ","")&amp;IF(ISBLANK(Catalog!X339),"Missing Location Identifier; ","")&amp;IF(AND(Catalog!S339&lt;&gt;"",COUNTIF(Catalog!$S$2:$S$501,Catalog!S339)&gt;1),"Duplicate ISBN; ","")&amp;IF(AND(Catalog!B339&lt;&gt;"",COUNTIF(Catalog!$B$2:$B$501,Catalog!B339)&gt;1),"Duplicate Accession; ",""))</f>
        <v/>
      </c>
    </row>
    <row r="365" spans="1:3" x14ac:dyDescent="0.25">
      <c r="A365" s="16" t="str">
        <f>Catalog!A340</f>
        <v/>
      </c>
      <c r="B365" s="16">
        <f>Catalog!D340</f>
        <v>0</v>
      </c>
      <c r="C365" s="17" t="str">
        <f>IF(Catalog!D340="","",IF(ISBLANK(Catalog!F340),"Missing Creator; ","")&amp;IF(ISBLANK(Catalog!K340),"Missing Type; ","")&amp;IF(ISBLANK(Catalog!L340),"Missing Genre; ","")&amp;IF(ISBLANK(Catalog!W340),"Missing Location Type; ","")&amp;IF(ISBLANK(Catalog!X340),"Missing Location Identifier; ","")&amp;IF(AND(Catalog!S340&lt;&gt;"",COUNTIF(Catalog!$S$2:$S$501,Catalog!S340)&gt;1),"Duplicate ISBN; ","")&amp;IF(AND(Catalog!B340&lt;&gt;"",COUNTIF(Catalog!$B$2:$B$501,Catalog!B340)&gt;1),"Duplicate Accession; ",""))</f>
        <v/>
      </c>
    </row>
    <row r="366" spans="1:3" x14ac:dyDescent="0.25">
      <c r="A366" s="16" t="str">
        <f>Catalog!A341</f>
        <v/>
      </c>
      <c r="B366" s="16">
        <f>Catalog!D341</f>
        <v>0</v>
      </c>
      <c r="C366" s="17" t="str">
        <f>IF(Catalog!D341="","",IF(ISBLANK(Catalog!F341),"Missing Creator; ","")&amp;IF(ISBLANK(Catalog!K341),"Missing Type; ","")&amp;IF(ISBLANK(Catalog!L341),"Missing Genre; ","")&amp;IF(ISBLANK(Catalog!W341),"Missing Location Type; ","")&amp;IF(ISBLANK(Catalog!X341),"Missing Location Identifier; ","")&amp;IF(AND(Catalog!S341&lt;&gt;"",COUNTIF(Catalog!$S$2:$S$501,Catalog!S341)&gt;1),"Duplicate ISBN; ","")&amp;IF(AND(Catalog!B341&lt;&gt;"",COUNTIF(Catalog!$B$2:$B$501,Catalog!B341)&gt;1),"Duplicate Accession; ",""))</f>
        <v/>
      </c>
    </row>
    <row r="367" spans="1:3" x14ac:dyDescent="0.25">
      <c r="A367" s="16" t="str">
        <f>Catalog!A342</f>
        <v/>
      </c>
      <c r="B367" s="16">
        <f>Catalog!D342</f>
        <v>0</v>
      </c>
      <c r="C367" s="17" t="str">
        <f>IF(Catalog!D342="","",IF(ISBLANK(Catalog!F342),"Missing Creator; ","")&amp;IF(ISBLANK(Catalog!K342),"Missing Type; ","")&amp;IF(ISBLANK(Catalog!L342),"Missing Genre; ","")&amp;IF(ISBLANK(Catalog!W342),"Missing Location Type; ","")&amp;IF(ISBLANK(Catalog!X342),"Missing Location Identifier; ","")&amp;IF(AND(Catalog!S342&lt;&gt;"",COUNTIF(Catalog!$S$2:$S$501,Catalog!S342)&gt;1),"Duplicate ISBN; ","")&amp;IF(AND(Catalog!B342&lt;&gt;"",COUNTIF(Catalog!$B$2:$B$501,Catalog!B342)&gt;1),"Duplicate Accession; ",""))</f>
        <v/>
      </c>
    </row>
    <row r="368" spans="1:3" x14ac:dyDescent="0.25">
      <c r="A368" s="16" t="str">
        <f>Catalog!A343</f>
        <v/>
      </c>
      <c r="B368" s="16">
        <f>Catalog!D343</f>
        <v>0</v>
      </c>
      <c r="C368" s="17" t="str">
        <f>IF(Catalog!D343="","",IF(ISBLANK(Catalog!F343),"Missing Creator; ","")&amp;IF(ISBLANK(Catalog!K343),"Missing Type; ","")&amp;IF(ISBLANK(Catalog!L343),"Missing Genre; ","")&amp;IF(ISBLANK(Catalog!W343),"Missing Location Type; ","")&amp;IF(ISBLANK(Catalog!X343),"Missing Location Identifier; ","")&amp;IF(AND(Catalog!S343&lt;&gt;"",COUNTIF(Catalog!$S$2:$S$501,Catalog!S343)&gt;1),"Duplicate ISBN; ","")&amp;IF(AND(Catalog!B343&lt;&gt;"",COUNTIF(Catalog!$B$2:$B$501,Catalog!B343)&gt;1),"Duplicate Accession; ",""))</f>
        <v/>
      </c>
    </row>
    <row r="369" spans="1:3" x14ac:dyDescent="0.25">
      <c r="A369" s="16" t="str">
        <f>Catalog!A344</f>
        <v/>
      </c>
      <c r="B369" s="16">
        <f>Catalog!D344</f>
        <v>0</v>
      </c>
      <c r="C369" s="17" t="str">
        <f>IF(Catalog!D344="","",IF(ISBLANK(Catalog!F344),"Missing Creator; ","")&amp;IF(ISBLANK(Catalog!K344),"Missing Type; ","")&amp;IF(ISBLANK(Catalog!L344),"Missing Genre; ","")&amp;IF(ISBLANK(Catalog!W344),"Missing Location Type; ","")&amp;IF(ISBLANK(Catalog!X344),"Missing Location Identifier; ","")&amp;IF(AND(Catalog!S344&lt;&gt;"",COUNTIF(Catalog!$S$2:$S$501,Catalog!S344)&gt;1),"Duplicate ISBN; ","")&amp;IF(AND(Catalog!B344&lt;&gt;"",COUNTIF(Catalog!$B$2:$B$501,Catalog!B344)&gt;1),"Duplicate Accession; ",""))</f>
        <v/>
      </c>
    </row>
    <row r="370" spans="1:3" x14ac:dyDescent="0.25">
      <c r="A370" s="16" t="str">
        <f>Catalog!A345</f>
        <v/>
      </c>
      <c r="B370" s="16">
        <f>Catalog!D345</f>
        <v>0</v>
      </c>
      <c r="C370" s="17" t="str">
        <f>IF(Catalog!D345="","",IF(ISBLANK(Catalog!F345),"Missing Creator; ","")&amp;IF(ISBLANK(Catalog!K345),"Missing Type; ","")&amp;IF(ISBLANK(Catalog!L345),"Missing Genre; ","")&amp;IF(ISBLANK(Catalog!W345),"Missing Location Type; ","")&amp;IF(ISBLANK(Catalog!X345),"Missing Location Identifier; ","")&amp;IF(AND(Catalog!S345&lt;&gt;"",COUNTIF(Catalog!$S$2:$S$501,Catalog!S345)&gt;1),"Duplicate ISBN; ","")&amp;IF(AND(Catalog!B345&lt;&gt;"",COUNTIF(Catalog!$B$2:$B$501,Catalog!B345)&gt;1),"Duplicate Accession; ",""))</f>
        <v/>
      </c>
    </row>
    <row r="371" spans="1:3" x14ac:dyDescent="0.25">
      <c r="A371" s="16" t="str">
        <f>Catalog!A346</f>
        <v/>
      </c>
      <c r="B371" s="16">
        <f>Catalog!D346</f>
        <v>0</v>
      </c>
      <c r="C371" s="17" t="str">
        <f>IF(Catalog!D346="","",IF(ISBLANK(Catalog!F346),"Missing Creator; ","")&amp;IF(ISBLANK(Catalog!K346),"Missing Type; ","")&amp;IF(ISBLANK(Catalog!L346),"Missing Genre; ","")&amp;IF(ISBLANK(Catalog!W346),"Missing Location Type; ","")&amp;IF(ISBLANK(Catalog!X346),"Missing Location Identifier; ","")&amp;IF(AND(Catalog!S346&lt;&gt;"",COUNTIF(Catalog!$S$2:$S$501,Catalog!S346)&gt;1),"Duplicate ISBN; ","")&amp;IF(AND(Catalog!B346&lt;&gt;"",COUNTIF(Catalog!$B$2:$B$501,Catalog!B346)&gt;1),"Duplicate Accession; ",""))</f>
        <v/>
      </c>
    </row>
    <row r="372" spans="1:3" x14ac:dyDescent="0.25">
      <c r="A372" s="16" t="str">
        <f>Catalog!A347</f>
        <v/>
      </c>
      <c r="B372" s="16">
        <f>Catalog!D347</f>
        <v>0</v>
      </c>
      <c r="C372" s="17" t="str">
        <f>IF(Catalog!D347="","",IF(ISBLANK(Catalog!F347),"Missing Creator; ","")&amp;IF(ISBLANK(Catalog!K347),"Missing Type; ","")&amp;IF(ISBLANK(Catalog!L347),"Missing Genre; ","")&amp;IF(ISBLANK(Catalog!W347),"Missing Location Type; ","")&amp;IF(ISBLANK(Catalog!X347),"Missing Location Identifier; ","")&amp;IF(AND(Catalog!S347&lt;&gt;"",COUNTIF(Catalog!$S$2:$S$501,Catalog!S347)&gt;1),"Duplicate ISBN; ","")&amp;IF(AND(Catalog!B347&lt;&gt;"",COUNTIF(Catalog!$B$2:$B$501,Catalog!B347)&gt;1),"Duplicate Accession; ",""))</f>
        <v/>
      </c>
    </row>
    <row r="373" spans="1:3" x14ac:dyDescent="0.25">
      <c r="A373" s="16" t="str">
        <f>Catalog!A348</f>
        <v/>
      </c>
      <c r="B373" s="16">
        <f>Catalog!D348</f>
        <v>0</v>
      </c>
      <c r="C373" s="17" t="str">
        <f>IF(Catalog!D348="","",IF(ISBLANK(Catalog!F348),"Missing Creator; ","")&amp;IF(ISBLANK(Catalog!K348),"Missing Type; ","")&amp;IF(ISBLANK(Catalog!L348),"Missing Genre; ","")&amp;IF(ISBLANK(Catalog!W348),"Missing Location Type; ","")&amp;IF(ISBLANK(Catalog!X348),"Missing Location Identifier; ","")&amp;IF(AND(Catalog!S348&lt;&gt;"",COUNTIF(Catalog!$S$2:$S$501,Catalog!S348)&gt;1),"Duplicate ISBN; ","")&amp;IF(AND(Catalog!B348&lt;&gt;"",COUNTIF(Catalog!$B$2:$B$501,Catalog!B348)&gt;1),"Duplicate Accession; ",""))</f>
        <v/>
      </c>
    </row>
    <row r="374" spans="1:3" x14ac:dyDescent="0.25">
      <c r="A374" s="16" t="str">
        <f>Catalog!A349</f>
        <v/>
      </c>
      <c r="B374" s="16">
        <f>Catalog!D349</f>
        <v>0</v>
      </c>
      <c r="C374" s="17" t="str">
        <f>IF(Catalog!D349="","",IF(ISBLANK(Catalog!F349),"Missing Creator; ","")&amp;IF(ISBLANK(Catalog!K349),"Missing Type; ","")&amp;IF(ISBLANK(Catalog!L349),"Missing Genre; ","")&amp;IF(ISBLANK(Catalog!W349),"Missing Location Type; ","")&amp;IF(ISBLANK(Catalog!X349),"Missing Location Identifier; ","")&amp;IF(AND(Catalog!S349&lt;&gt;"",COUNTIF(Catalog!$S$2:$S$501,Catalog!S349)&gt;1),"Duplicate ISBN; ","")&amp;IF(AND(Catalog!B349&lt;&gt;"",COUNTIF(Catalog!$B$2:$B$501,Catalog!B349)&gt;1),"Duplicate Accession; ",""))</f>
        <v/>
      </c>
    </row>
    <row r="375" spans="1:3" x14ac:dyDescent="0.25">
      <c r="A375" s="16" t="str">
        <f>Catalog!A350</f>
        <v/>
      </c>
      <c r="B375" s="16">
        <f>Catalog!D350</f>
        <v>0</v>
      </c>
      <c r="C375" s="17" t="str">
        <f>IF(Catalog!D350="","",IF(ISBLANK(Catalog!F350),"Missing Creator; ","")&amp;IF(ISBLANK(Catalog!K350),"Missing Type; ","")&amp;IF(ISBLANK(Catalog!L350),"Missing Genre; ","")&amp;IF(ISBLANK(Catalog!W350),"Missing Location Type; ","")&amp;IF(ISBLANK(Catalog!X350),"Missing Location Identifier; ","")&amp;IF(AND(Catalog!S350&lt;&gt;"",COUNTIF(Catalog!$S$2:$S$501,Catalog!S350)&gt;1),"Duplicate ISBN; ","")&amp;IF(AND(Catalog!B350&lt;&gt;"",COUNTIF(Catalog!$B$2:$B$501,Catalog!B350)&gt;1),"Duplicate Accession; ",""))</f>
        <v/>
      </c>
    </row>
    <row r="376" spans="1:3" x14ac:dyDescent="0.25">
      <c r="A376" s="16" t="str">
        <f>Catalog!A351</f>
        <v/>
      </c>
      <c r="B376" s="16">
        <f>Catalog!D351</f>
        <v>0</v>
      </c>
      <c r="C376" s="17" t="str">
        <f>IF(Catalog!D351="","",IF(ISBLANK(Catalog!F351),"Missing Creator; ","")&amp;IF(ISBLANK(Catalog!K351),"Missing Type; ","")&amp;IF(ISBLANK(Catalog!L351),"Missing Genre; ","")&amp;IF(ISBLANK(Catalog!W351),"Missing Location Type; ","")&amp;IF(ISBLANK(Catalog!X351),"Missing Location Identifier; ","")&amp;IF(AND(Catalog!S351&lt;&gt;"",COUNTIF(Catalog!$S$2:$S$501,Catalog!S351)&gt;1),"Duplicate ISBN; ","")&amp;IF(AND(Catalog!B351&lt;&gt;"",COUNTIF(Catalog!$B$2:$B$501,Catalog!B351)&gt;1),"Duplicate Accession; ",""))</f>
        <v/>
      </c>
    </row>
    <row r="377" spans="1:3" x14ac:dyDescent="0.25">
      <c r="A377" s="16" t="str">
        <f>Catalog!A352</f>
        <v/>
      </c>
      <c r="B377" s="16">
        <f>Catalog!D352</f>
        <v>0</v>
      </c>
      <c r="C377" s="17" t="str">
        <f>IF(Catalog!D352="","",IF(ISBLANK(Catalog!F352),"Missing Creator; ","")&amp;IF(ISBLANK(Catalog!K352),"Missing Type; ","")&amp;IF(ISBLANK(Catalog!L352),"Missing Genre; ","")&amp;IF(ISBLANK(Catalog!W352),"Missing Location Type; ","")&amp;IF(ISBLANK(Catalog!X352),"Missing Location Identifier; ","")&amp;IF(AND(Catalog!S352&lt;&gt;"",COUNTIF(Catalog!$S$2:$S$501,Catalog!S352)&gt;1),"Duplicate ISBN; ","")&amp;IF(AND(Catalog!B352&lt;&gt;"",COUNTIF(Catalog!$B$2:$B$501,Catalog!B352)&gt;1),"Duplicate Accession; ",""))</f>
        <v/>
      </c>
    </row>
    <row r="378" spans="1:3" x14ac:dyDescent="0.25">
      <c r="A378" s="16" t="str">
        <f>Catalog!A353</f>
        <v/>
      </c>
      <c r="B378" s="16">
        <f>Catalog!D353</f>
        <v>0</v>
      </c>
      <c r="C378" s="17" t="str">
        <f>IF(Catalog!D353="","",IF(ISBLANK(Catalog!F353),"Missing Creator; ","")&amp;IF(ISBLANK(Catalog!K353),"Missing Type; ","")&amp;IF(ISBLANK(Catalog!L353),"Missing Genre; ","")&amp;IF(ISBLANK(Catalog!W353),"Missing Location Type; ","")&amp;IF(ISBLANK(Catalog!X353),"Missing Location Identifier; ","")&amp;IF(AND(Catalog!S353&lt;&gt;"",COUNTIF(Catalog!$S$2:$S$501,Catalog!S353)&gt;1),"Duplicate ISBN; ","")&amp;IF(AND(Catalog!B353&lt;&gt;"",COUNTIF(Catalog!$B$2:$B$501,Catalog!B353)&gt;1),"Duplicate Accession; ",""))</f>
        <v/>
      </c>
    </row>
    <row r="379" spans="1:3" x14ac:dyDescent="0.25">
      <c r="A379" s="16" t="str">
        <f>Catalog!A354</f>
        <v/>
      </c>
      <c r="B379" s="16">
        <f>Catalog!D354</f>
        <v>0</v>
      </c>
      <c r="C379" s="17" t="str">
        <f>IF(Catalog!D354="","",IF(ISBLANK(Catalog!F354),"Missing Creator; ","")&amp;IF(ISBLANK(Catalog!K354),"Missing Type; ","")&amp;IF(ISBLANK(Catalog!L354),"Missing Genre; ","")&amp;IF(ISBLANK(Catalog!W354),"Missing Location Type; ","")&amp;IF(ISBLANK(Catalog!X354),"Missing Location Identifier; ","")&amp;IF(AND(Catalog!S354&lt;&gt;"",COUNTIF(Catalog!$S$2:$S$501,Catalog!S354)&gt;1),"Duplicate ISBN; ","")&amp;IF(AND(Catalog!B354&lt;&gt;"",COUNTIF(Catalog!$B$2:$B$501,Catalog!B354)&gt;1),"Duplicate Accession; ",""))</f>
        <v/>
      </c>
    </row>
    <row r="380" spans="1:3" x14ac:dyDescent="0.25">
      <c r="A380" s="16" t="str">
        <f>Catalog!A355</f>
        <v/>
      </c>
      <c r="B380" s="16">
        <f>Catalog!D355</f>
        <v>0</v>
      </c>
      <c r="C380" s="17" t="str">
        <f>IF(Catalog!D355="","",IF(ISBLANK(Catalog!F355),"Missing Creator; ","")&amp;IF(ISBLANK(Catalog!K355),"Missing Type; ","")&amp;IF(ISBLANK(Catalog!L355),"Missing Genre; ","")&amp;IF(ISBLANK(Catalog!W355),"Missing Location Type; ","")&amp;IF(ISBLANK(Catalog!X355),"Missing Location Identifier; ","")&amp;IF(AND(Catalog!S355&lt;&gt;"",COUNTIF(Catalog!$S$2:$S$501,Catalog!S355)&gt;1),"Duplicate ISBN; ","")&amp;IF(AND(Catalog!B355&lt;&gt;"",COUNTIF(Catalog!$B$2:$B$501,Catalog!B355)&gt;1),"Duplicate Accession; ",""))</f>
        <v/>
      </c>
    </row>
    <row r="381" spans="1:3" x14ac:dyDescent="0.25">
      <c r="A381" s="16" t="str">
        <f>Catalog!A356</f>
        <v/>
      </c>
      <c r="B381" s="16">
        <f>Catalog!D356</f>
        <v>0</v>
      </c>
      <c r="C381" s="17" t="str">
        <f>IF(Catalog!D356="","",IF(ISBLANK(Catalog!F356),"Missing Creator; ","")&amp;IF(ISBLANK(Catalog!K356),"Missing Type; ","")&amp;IF(ISBLANK(Catalog!L356),"Missing Genre; ","")&amp;IF(ISBLANK(Catalog!W356),"Missing Location Type; ","")&amp;IF(ISBLANK(Catalog!X356),"Missing Location Identifier; ","")&amp;IF(AND(Catalog!S356&lt;&gt;"",COUNTIF(Catalog!$S$2:$S$501,Catalog!S356)&gt;1),"Duplicate ISBN; ","")&amp;IF(AND(Catalog!B356&lt;&gt;"",COUNTIF(Catalog!$B$2:$B$501,Catalog!B356)&gt;1),"Duplicate Accession; ",""))</f>
        <v/>
      </c>
    </row>
    <row r="382" spans="1:3" x14ac:dyDescent="0.25">
      <c r="A382" s="16" t="str">
        <f>Catalog!A357</f>
        <v/>
      </c>
      <c r="B382" s="16">
        <f>Catalog!D357</f>
        <v>0</v>
      </c>
      <c r="C382" s="17" t="str">
        <f>IF(Catalog!D357="","",IF(ISBLANK(Catalog!F357),"Missing Creator; ","")&amp;IF(ISBLANK(Catalog!K357),"Missing Type; ","")&amp;IF(ISBLANK(Catalog!L357),"Missing Genre; ","")&amp;IF(ISBLANK(Catalog!W357),"Missing Location Type; ","")&amp;IF(ISBLANK(Catalog!X357),"Missing Location Identifier; ","")&amp;IF(AND(Catalog!S357&lt;&gt;"",COUNTIF(Catalog!$S$2:$S$501,Catalog!S357)&gt;1),"Duplicate ISBN; ","")&amp;IF(AND(Catalog!B357&lt;&gt;"",COUNTIF(Catalog!$B$2:$B$501,Catalog!B357)&gt;1),"Duplicate Accession; ",""))</f>
        <v/>
      </c>
    </row>
    <row r="383" spans="1:3" x14ac:dyDescent="0.25">
      <c r="A383" s="16" t="str">
        <f>Catalog!A358</f>
        <v/>
      </c>
      <c r="B383" s="16">
        <f>Catalog!D358</f>
        <v>0</v>
      </c>
      <c r="C383" s="17" t="str">
        <f>IF(Catalog!D358="","",IF(ISBLANK(Catalog!F358),"Missing Creator; ","")&amp;IF(ISBLANK(Catalog!K358),"Missing Type; ","")&amp;IF(ISBLANK(Catalog!L358),"Missing Genre; ","")&amp;IF(ISBLANK(Catalog!W358),"Missing Location Type; ","")&amp;IF(ISBLANK(Catalog!X358),"Missing Location Identifier; ","")&amp;IF(AND(Catalog!S358&lt;&gt;"",COUNTIF(Catalog!$S$2:$S$501,Catalog!S358)&gt;1),"Duplicate ISBN; ","")&amp;IF(AND(Catalog!B358&lt;&gt;"",COUNTIF(Catalog!$B$2:$B$501,Catalog!B358)&gt;1),"Duplicate Accession; ",""))</f>
        <v/>
      </c>
    </row>
    <row r="384" spans="1:3" x14ac:dyDescent="0.25">
      <c r="A384" s="16" t="str">
        <f>Catalog!A359</f>
        <v/>
      </c>
      <c r="B384" s="16">
        <f>Catalog!D359</f>
        <v>0</v>
      </c>
      <c r="C384" s="17" t="str">
        <f>IF(Catalog!D359="","",IF(ISBLANK(Catalog!F359),"Missing Creator; ","")&amp;IF(ISBLANK(Catalog!K359),"Missing Type; ","")&amp;IF(ISBLANK(Catalog!L359),"Missing Genre; ","")&amp;IF(ISBLANK(Catalog!W359),"Missing Location Type; ","")&amp;IF(ISBLANK(Catalog!X359),"Missing Location Identifier; ","")&amp;IF(AND(Catalog!S359&lt;&gt;"",COUNTIF(Catalog!$S$2:$S$501,Catalog!S359)&gt;1),"Duplicate ISBN; ","")&amp;IF(AND(Catalog!B359&lt;&gt;"",COUNTIF(Catalog!$B$2:$B$501,Catalog!B359)&gt;1),"Duplicate Accession; ",""))</f>
        <v/>
      </c>
    </row>
    <row r="385" spans="1:3" x14ac:dyDescent="0.25">
      <c r="A385" s="16" t="str">
        <f>Catalog!A360</f>
        <v/>
      </c>
      <c r="B385" s="16">
        <f>Catalog!D360</f>
        <v>0</v>
      </c>
      <c r="C385" s="17" t="str">
        <f>IF(Catalog!D360="","",IF(ISBLANK(Catalog!F360),"Missing Creator; ","")&amp;IF(ISBLANK(Catalog!K360),"Missing Type; ","")&amp;IF(ISBLANK(Catalog!L360),"Missing Genre; ","")&amp;IF(ISBLANK(Catalog!W360),"Missing Location Type; ","")&amp;IF(ISBLANK(Catalog!X360),"Missing Location Identifier; ","")&amp;IF(AND(Catalog!S360&lt;&gt;"",COUNTIF(Catalog!$S$2:$S$501,Catalog!S360)&gt;1),"Duplicate ISBN; ","")&amp;IF(AND(Catalog!B360&lt;&gt;"",COUNTIF(Catalog!$B$2:$B$501,Catalog!B360)&gt;1),"Duplicate Accession; ",""))</f>
        <v/>
      </c>
    </row>
    <row r="386" spans="1:3" x14ac:dyDescent="0.25">
      <c r="A386" s="16" t="str">
        <f>Catalog!A361</f>
        <v/>
      </c>
      <c r="B386" s="16">
        <f>Catalog!D361</f>
        <v>0</v>
      </c>
      <c r="C386" s="17" t="str">
        <f>IF(Catalog!D361="","",IF(ISBLANK(Catalog!F361),"Missing Creator; ","")&amp;IF(ISBLANK(Catalog!K361),"Missing Type; ","")&amp;IF(ISBLANK(Catalog!L361),"Missing Genre; ","")&amp;IF(ISBLANK(Catalog!W361),"Missing Location Type; ","")&amp;IF(ISBLANK(Catalog!X361),"Missing Location Identifier; ","")&amp;IF(AND(Catalog!S361&lt;&gt;"",COUNTIF(Catalog!$S$2:$S$501,Catalog!S361)&gt;1),"Duplicate ISBN; ","")&amp;IF(AND(Catalog!B361&lt;&gt;"",COUNTIF(Catalog!$B$2:$B$501,Catalog!B361)&gt;1),"Duplicate Accession; ",""))</f>
        <v/>
      </c>
    </row>
    <row r="387" spans="1:3" x14ac:dyDescent="0.25">
      <c r="A387" s="16" t="str">
        <f>Catalog!A362</f>
        <v/>
      </c>
      <c r="B387" s="16">
        <f>Catalog!D362</f>
        <v>0</v>
      </c>
      <c r="C387" s="17" t="str">
        <f>IF(Catalog!D362="","",IF(ISBLANK(Catalog!F362),"Missing Creator; ","")&amp;IF(ISBLANK(Catalog!K362),"Missing Type; ","")&amp;IF(ISBLANK(Catalog!L362),"Missing Genre; ","")&amp;IF(ISBLANK(Catalog!W362),"Missing Location Type; ","")&amp;IF(ISBLANK(Catalog!X362),"Missing Location Identifier; ","")&amp;IF(AND(Catalog!S362&lt;&gt;"",COUNTIF(Catalog!$S$2:$S$501,Catalog!S362)&gt;1),"Duplicate ISBN; ","")&amp;IF(AND(Catalog!B362&lt;&gt;"",COUNTIF(Catalog!$B$2:$B$501,Catalog!B362)&gt;1),"Duplicate Accession; ",""))</f>
        <v/>
      </c>
    </row>
    <row r="388" spans="1:3" x14ac:dyDescent="0.25">
      <c r="A388" s="16" t="str">
        <f>Catalog!A363</f>
        <v/>
      </c>
      <c r="B388" s="16">
        <f>Catalog!D363</f>
        <v>0</v>
      </c>
      <c r="C388" s="17" t="str">
        <f>IF(Catalog!D363="","",IF(ISBLANK(Catalog!F363),"Missing Creator; ","")&amp;IF(ISBLANK(Catalog!K363),"Missing Type; ","")&amp;IF(ISBLANK(Catalog!L363),"Missing Genre; ","")&amp;IF(ISBLANK(Catalog!W363),"Missing Location Type; ","")&amp;IF(ISBLANK(Catalog!X363),"Missing Location Identifier; ","")&amp;IF(AND(Catalog!S363&lt;&gt;"",COUNTIF(Catalog!$S$2:$S$501,Catalog!S363)&gt;1),"Duplicate ISBN; ","")&amp;IF(AND(Catalog!B363&lt;&gt;"",COUNTIF(Catalog!$B$2:$B$501,Catalog!B363)&gt;1),"Duplicate Accession; ",""))</f>
        <v/>
      </c>
    </row>
    <row r="389" spans="1:3" x14ac:dyDescent="0.25">
      <c r="A389" s="16" t="str">
        <f>Catalog!A364</f>
        <v/>
      </c>
      <c r="B389" s="16">
        <f>Catalog!D364</f>
        <v>0</v>
      </c>
      <c r="C389" s="17" t="str">
        <f>IF(Catalog!D364="","",IF(ISBLANK(Catalog!F364),"Missing Creator; ","")&amp;IF(ISBLANK(Catalog!K364),"Missing Type; ","")&amp;IF(ISBLANK(Catalog!L364),"Missing Genre; ","")&amp;IF(ISBLANK(Catalog!W364),"Missing Location Type; ","")&amp;IF(ISBLANK(Catalog!X364),"Missing Location Identifier; ","")&amp;IF(AND(Catalog!S364&lt;&gt;"",COUNTIF(Catalog!$S$2:$S$501,Catalog!S364)&gt;1),"Duplicate ISBN; ","")&amp;IF(AND(Catalog!B364&lt;&gt;"",COUNTIF(Catalog!$B$2:$B$501,Catalog!B364)&gt;1),"Duplicate Accession; ",""))</f>
        <v/>
      </c>
    </row>
    <row r="390" spans="1:3" x14ac:dyDescent="0.25">
      <c r="A390" s="16" t="str">
        <f>Catalog!A365</f>
        <v/>
      </c>
      <c r="B390" s="16">
        <f>Catalog!D365</f>
        <v>0</v>
      </c>
      <c r="C390" s="17" t="str">
        <f>IF(Catalog!D365="","",IF(ISBLANK(Catalog!F365),"Missing Creator; ","")&amp;IF(ISBLANK(Catalog!K365),"Missing Type; ","")&amp;IF(ISBLANK(Catalog!L365),"Missing Genre; ","")&amp;IF(ISBLANK(Catalog!W365),"Missing Location Type; ","")&amp;IF(ISBLANK(Catalog!X365),"Missing Location Identifier; ","")&amp;IF(AND(Catalog!S365&lt;&gt;"",COUNTIF(Catalog!$S$2:$S$501,Catalog!S365)&gt;1),"Duplicate ISBN; ","")&amp;IF(AND(Catalog!B365&lt;&gt;"",COUNTIF(Catalog!$B$2:$B$501,Catalog!B365)&gt;1),"Duplicate Accession; ",""))</f>
        <v/>
      </c>
    </row>
    <row r="391" spans="1:3" x14ac:dyDescent="0.25">
      <c r="A391" s="16" t="str">
        <f>Catalog!A366</f>
        <v/>
      </c>
      <c r="B391" s="16">
        <f>Catalog!D366</f>
        <v>0</v>
      </c>
      <c r="C391" s="17" t="str">
        <f>IF(Catalog!D366="","",IF(ISBLANK(Catalog!F366),"Missing Creator; ","")&amp;IF(ISBLANK(Catalog!K366),"Missing Type; ","")&amp;IF(ISBLANK(Catalog!L366),"Missing Genre; ","")&amp;IF(ISBLANK(Catalog!W366),"Missing Location Type; ","")&amp;IF(ISBLANK(Catalog!X366),"Missing Location Identifier; ","")&amp;IF(AND(Catalog!S366&lt;&gt;"",COUNTIF(Catalog!$S$2:$S$501,Catalog!S366)&gt;1),"Duplicate ISBN; ","")&amp;IF(AND(Catalog!B366&lt;&gt;"",COUNTIF(Catalog!$B$2:$B$501,Catalog!B366)&gt;1),"Duplicate Accession; ",""))</f>
        <v/>
      </c>
    </row>
    <row r="392" spans="1:3" x14ac:dyDescent="0.25">
      <c r="A392" s="16" t="str">
        <f>Catalog!A367</f>
        <v/>
      </c>
      <c r="B392" s="16">
        <f>Catalog!D367</f>
        <v>0</v>
      </c>
      <c r="C392" s="17" t="str">
        <f>IF(Catalog!D367="","",IF(ISBLANK(Catalog!F367),"Missing Creator; ","")&amp;IF(ISBLANK(Catalog!K367),"Missing Type; ","")&amp;IF(ISBLANK(Catalog!L367),"Missing Genre; ","")&amp;IF(ISBLANK(Catalog!W367),"Missing Location Type; ","")&amp;IF(ISBLANK(Catalog!X367),"Missing Location Identifier; ","")&amp;IF(AND(Catalog!S367&lt;&gt;"",COUNTIF(Catalog!$S$2:$S$501,Catalog!S367)&gt;1),"Duplicate ISBN; ","")&amp;IF(AND(Catalog!B367&lt;&gt;"",COUNTIF(Catalog!$B$2:$B$501,Catalog!B367)&gt;1),"Duplicate Accession; ",""))</f>
        <v/>
      </c>
    </row>
    <row r="393" spans="1:3" x14ac:dyDescent="0.25">
      <c r="A393" s="16" t="str">
        <f>Catalog!A368</f>
        <v/>
      </c>
      <c r="B393" s="16">
        <f>Catalog!D368</f>
        <v>0</v>
      </c>
      <c r="C393" s="17" t="str">
        <f>IF(Catalog!D368="","",IF(ISBLANK(Catalog!F368),"Missing Creator; ","")&amp;IF(ISBLANK(Catalog!K368),"Missing Type; ","")&amp;IF(ISBLANK(Catalog!L368),"Missing Genre; ","")&amp;IF(ISBLANK(Catalog!W368),"Missing Location Type; ","")&amp;IF(ISBLANK(Catalog!X368),"Missing Location Identifier; ","")&amp;IF(AND(Catalog!S368&lt;&gt;"",COUNTIF(Catalog!$S$2:$S$501,Catalog!S368)&gt;1),"Duplicate ISBN; ","")&amp;IF(AND(Catalog!B368&lt;&gt;"",COUNTIF(Catalog!$B$2:$B$501,Catalog!B368)&gt;1),"Duplicate Accession; ",""))</f>
        <v/>
      </c>
    </row>
    <row r="394" spans="1:3" x14ac:dyDescent="0.25">
      <c r="A394" s="16" t="str">
        <f>Catalog!A369</f>
        <v/>
      </c>
      <c r="B394" s="16">
        <f>Catalog!D369</f>
        <v>0</v>
      </c>
      <c r="C394" s="17" t="str">
        <f>IF(Catalog!D369="","",IF(ISBLANK(Catalog!F369),"Missing Creator; ","")&amp;IF(ISBLANK(Catalog!K369),"Missing Type; ","")&amp;IF(ISBLANK(Catalog!L369),"Missing Genre; ","")&amp;IF(ISBLANK(Catalog!W369),"Missing Location Type; ","")&amp;IF(ISBLANK(Catalog!X369),"Missing Location Identifier; ","")&amp;IF(AND(Catalog!S369&lt;&gt;"",COUNTIF(Catalog!$S$2:$S$501,Catalog!S369)&gt;1),"Duplicate ISBN; ","")&amp;IF(AND(Catalog!B369&lt;&gt;"",COUNTIF(Catalog!$B$2:$B$501,Catalog!B369)&gt;1),"Duplicate Accession; ",""))</f>
        <v/>
      </c>
    </row>
    <row r="395" spans="1:3" x14ac:dyDescent="0.25">
      <c r="A395" s="16" t="str">
        <f>Catalog!A370</f>
        <v/>
      </c>
      <c r="B395" s="16">
        <f>Catalog!D370</f>
        <v>0</v>
      </c>
      <c r="C395" s="17" t="str">
        <f>IF(Catalog!D370="","",IF(ISBLANK(Catalog!F370),"Missing Creator; ","")&amp;IF(ISBLANK(Catalog!K370),"Missing Type; ","")&amp;IF(ISBLANK(Catalog!L370),"Missing Genre; ","")&amp;IF(ISBLANK(Catalog!W370),"Missing Location Type; ","")&amp;IF(ISBLANK(Catalog!X370),"Missing Location Identifier; ","")&amp;IF(AND(Catalog!S370&lt;&gt;"",COUNTIF(Catalog!$S$2:$S$501,Catalog!S370)&gt;1),"Duplicate ISBN; ","")&amp;IF(AND(Catalog!B370&lt;&gt;"",COUNTIF(Catalog!$B$2:$B$501,Catalog!B370)&gt;1),"Duplicate Accession; ",""))</f>
        <v/>
      </c>
    </row>
    <row r="396" spans="1:3" x14ac:dyDescent="0.25">
      <c r="A396" s="16" t="str">
        <f>Catalog!A371</f>
        <v/>
      </c>
      <c r="B396" s="16">
        <f>Catalog!D371</f>
        <v>0</v>
      </c>
      <c r="C396" s="17" t="str">
        <f>IF(Catalog!D371="","",IF(ISBLANK(Catalog!F371),"Missing Creator; ","")&amp;IF(ISBLANK(Catalog!K371),"Missing Type; ","")&amp;IF(ISBLANK(Catalog!L371),"Missing Genre; ","")&amp;IF(ISBLANK(Catalog!W371),"Missing Location Type; ","")&amp;IF(ISBLANK(Catalog!X371),"Missing Location Identifier; ","")&amp;IF(AND(Catalog!S371&lt;&gt;"",COUNTIF(Catalog!$S$2:$S$501,Catalog!S371)&gt;1),"Duplicate ISBN; ","")&amp;IF(AND(Catalog!B371&lt;&gt;"",COUNTIF(Catalog!$B$2:$B$501,Catalog!B371)&gt;1),"Duplicate Accession; ",""))</f>
        <v/>
      </c>
    </row>
    <row r="397" spans="1:3" x14ac:dyDescent="0.25">
      <c r="A397" s="16" t="str">
        <f>Catalog!A372</f>
        <v/>
      </c>
      <c r="B397" s="16">
        <f>Catalog!D372</f>
        <v>0</v>
      </c>
      <c r="C397" s="17" t="str">
        <f>IF(Catalog!D372="","",IF(ISBLANK(Catalog!F372),"Missing Creator; ","")&amp;IF(ISBLANK(Catalog!K372),"Missing Type; ","")&amp;IF(ISBLANK(Catalog!L372),"Missing Genre; ","")&amp;IF(ISBLANK(Catalog!W372),"Missing Location Type; ","")&amp;IF(ISBLANK(Catalog!X372),"Missing Location Identifier; ","")&amp;IF(AND(Catalog!S372&lt;&gt;"",COUNTIF(Catalog!$S$2:$S$501,Catalog!S372)&gt;1),"Duplicate ISBN; ","")&amp;IF(AND(Catalog!B372&lt;&gt;"",COUNTIF(Catalog!$B$2:$B$501,Catalog!B372)&gt;1),"Duplicate Accession; ",""))</f>
        <v/>
      </c>
    </row>
    <row r="398" spans="1:3" x14ac:dyDescent="0.25">
      <c r="A398" s="16" t="str">
        <f>Catalog!A373</f>
        <v/>
      </c>
      <c r="B398" s="16">
        <f>Catalog!D373</f>
        <v>0</v>
      </c>
      <c r="C398" s="17" t="str">
        <f>IF(Catalog!D373="","",IF(ISBLANK(Catalog!F373),"Missing Creator; ","")&amp;IF(ISBLANK(Catalog!K373),"Missing Type; ","")&amp;IF(ISBLANK(Catalog!L373),"Missing Genre; ","")&amp;IF(ISBLANK(Catalog!W373),"Missing Location Type; ","")&amp;IF(ISBLANK(Catalog!X373),"Missing Location Identifier; ","")&amp;IF(AND(Catalog!S373&lt;&gt;"",COUNTIF(Catalog!$S$2:$S$501,Catalog!S373)&gt;1),"Duplicate ISBN; ","")&amp;IF(AND(Catalog!B373&lt;&gt;"",COUNTIF(Catalog!$B$2:$B$501,Catalog!B373)&gt;1),"Duplicate Accession; ",""))</f>
        <v/>
      </c>
    </row>
    <row r="399" spans="1:3" x14ac:dyDescent="0.25">
      <c r="A399" s="16" t="str">
        <f>Catalog!A374</f>
        <v/>
      </c>
      <c r="B399" s="16">
        <f>Catalog!D374</f>
        <v>0</v>
      </c>
      <c r="C399" s="17" t="str">
        <f>IF(Catalog!D374="","",IF(ISBLANK(Catalog!F374),"Missing Creator; ","")&amp;IF(ISBLANK(Catalog!K374),"Missing Type; ","")&amp;IF(ISBLANK(Catalog!L374),"Missing Genre; ","")&amp;IF(ISBLANK(Catalog!W374),"Missing Location Type; ","")&amp;IF(ISBLANK(Catalog!X374),"Missing Location Identifier; ","")&amp;IF(AND(Catalog!S374&lt;&gt;"",COUNTIF(Catalog!$S$2:$S$501,Catalog!S374)&gt;1),"Duplicate ISBN; ","")&amp;IF(AND(Catalog!B374&lt;&gt;"",COUNTIF(Catalog!$B$2:$B$501,Catalog!B374)&gt;1),"Duplicate Accession; ",""))</f>
        <v/>
      </c>
    </row>
    <row r="400" spans="1:3" x14ac:dyDescent="0.25">
      <c r="A400" s="16" t="str">
        <f>Catalog!A375</f>
        <v/>
      </c>
      <c r="B400" s="16">
        <f>Catalog!D375</f>
        <v>0</v>
      </c>
      <c r="C400" s="17" t="str">
        <f>IF(Catalog!D375="","",IF(ISBLANK(Catalog!F375),"Missing Creator; ","")&amp;IF(ISBLANK(Catalog!K375),"Missing Type; ","")&amp;IF(ISBLANK(Catalog!L375),"Missing Genre; ","")&amp;IF(ISBLANK(Catalog!W375),"Missing Location Type; ","")&amp;IF(ISBLANK(Catalog!X375),"Missing Location Identifier; ","")&amp;IF(AND(Catalog!S375&lt;&gt;"",COUNTIF(Catalog!$S$2:$S$501,Catalog!S375)&gt;1),"Duplicate ISBN; ","")&amp;IF(AND(Catalog!B375&lt;&gt;"",COUNTIF(Catalog!$B$2:$B$501,Catalog!B375)&gt;1),"Duplicate Accession; ",""))</f>
        <v/>
      </c>
    </row>
    <row r="401" spans="1:3" x14ac:dyDescent="0.25">
      <c r="A401" s="16" t="str">
        <f>Catalog!A376</f>
        <v/>
      </c>
      <c r="B401" s="16">
        <f>Catalog!D376</f>
        <v>0</v>
      </c>
      <c r="C401" s="17" t="str">
        <f>IF(Catalog!D376="","",IF(ISBLANK(Catalog!F376),"Missing Creator; ","")&amp;IF(ISBLANK(Catalog!K376),"Missing Type; ","")&amp;IF(ISBLANK(Catalog!L376),"Missing Genre; ","")&amp;IF(ISBLANK(Catalog!W376),"Missing Location Type; ","")&amp;IF(ISBLANK(Catalog!X376),"Missing Location Identifier; ","")&amp;IF(AND(Catalog!S376&lt;&gt;"",COUNTIF(Catalog!$S$2:$S$501,Catalog!S376)&gt;1),"Duplicate ISBN; ","")&amp;IF(AND(Catalog!B376&lt;&gt;"",COUNTIF(Catalog!$B$2:$B$501,Catalog!B376)&gt;1),"Duplicate Accession; ",""))</f>
        <v/>
      </c>
    </row>
    <row r="402" spans="1:3" x14ac:dyDescent="0.25">
      <c r="A402" s="16" t="str">
        <f>Catalog!A377</f>
        <v/>
      </c>
      <c r="B402" s="16">
        <f>Catalog!D377</f>
        <v>0</v>
      </c>
      <c r="C402" s="17" t="str">
        <f>IF(Catalog!D377="","",IF(ISBLANK(Catalog!F377),"Missing Creator; ","")&amp;IF(ISBLANK(Catalog!K377),"Missing Type; ","")&amp;IF(ISBLANK(Catalog!L377),"Missing Genre; ","")&amp;IF(ISBLANK(Catalog!W377),"Missing Location Type; ","")&amp;IF(ISBLANK(Catalog!X377),"Missing Location Identifier; ","")&amp;IF(AND(Catalog!S377&lt;&gt;"",COUNTIF(Catalog!$S$2:$S$501,Catalog!S377)&gt;1),"Duplicate ISBN; ","")&amp;IF(AND(Catalog!B377&lt;&gt;"",COUNTIF(Catalog!$B$2:$B$501,Catalog!B377)&gt;1),"Duplicate Accession; ",""))</f>
        <v/>
      </c>
    </row>
    <row r="403" spans="1:3" x14ac:dyDescent="0.25">
      <c r="A403" s="16" t="str">
        <f>Catalog!A378</f>
        <v/>
      </c>
      <c r="B403" s="16">
        <f>Catalog!D378</f>
        <v>0</v>
      </c>
      <c r="C403" s="17" t="str">
        <f>IF(Catalog!D378="","",IF(ISBLANK(Catalog!F378),"Missing Creator; ","")&amp;IF(ISBLANK(Catalog!K378),"Missing Type; ","")&amp;IF(ISBLANK(Catalog!L378),"Missing Genre; ","")&amp;IF(ISBLANK(Catalog!W378),"Missing Location Type; ","")&amp;IF(ISBLANK(Catalog!X378),"Missing Location Identifier; ","")&amp;IF(AND(Catalog!S378&lt;&gt;"",COUNTIF(Catalog!$S$2:$S$501,Catalog!S378)&gt;1),"Duplicate ISBN; ","")&amp;IF(AND(Catalog!B378&lt;&gt;"",COUNTIF(Catalog!$B$2:$B$501,Catalog!B378)&gt;1),"Duplicate Accession; ",""))</f>
        <v/>
      </c>
    </row>
    <row r="404" spans="1:3" x14ac:dyDescent="0.25">
      <c r="A404" s="16" t="str">
        <f>Catalog!A379</f>
        <v/>
      </c>
      <c r="B404" s="16">
        <f>Catalog!D379</f>
        <v>0</v>
      </c>
      <c r="C404" s="17" t="str">
        <f>IF(Catalog!D379="","",IF(ISBLANK(Catalog!F379),"Missing Creator; ","")&amp;IF(ISBLANK(Catalog!K379),"Missing Type; ","")&amp;IF(ISBLANK(Catalog!L379),"Missing Genre; ","")&amp;IF(ISBLANK(Catalog!W379),"Missing Location Type; ","")&amp;IF(ISBLANK(Catalog!X379),"Missing Location Identifier; ","")&amp;IF(AND(Catalog!S379&lt;&gt;"",COUNTIF(Catalog!$S$2:$S$501,Catalog!S379)&gt;1),"Duplicate ISBN; ","")&amp;IF(AND(Catalog!B379&lt;&gt;"",COUNTIF(Catalog!$B$2:$B$501,Catalog!B379)&gt;1),"Duplicate Accession; ",""))</f>
        <v/>
      </c>
    </row>
    <row r="405" spans="1:3" x14ac:dyDescent="0.25">
      <c r="A405" s="16" t="str">
        <f>Catalog!A380</f>
        <v/>
      </c>
      <c r="B405" s="16">
        <f>Catalog!D380</f>
        <v>0</v>
      </c>
      <c r="C405" s="17" t="str">
        <f>IF(Catalog!D380="","",IF(ISBLANK(Catalog!F380),"Missing Creator; ","")&amp;IF(ISBLANK(Catalog!K380),"Missing Type; ","")&amp;IF(ISBLANK(Catalog!L380),"Missing Genre; ","")&amp;IF(ISBLANK(Catalog!W380),"Missing Location Type; ","")&amp;IF(ISBLANK(Catalog!X380),"Missing Location Identifier; ","")&amp;IF(AND(Catalog!S380&lt;&gt;"",COUNTIF(Catalog!$S$2:$S$501,Catalog!S380)&gt;1),"Duplicate ISBN; ","")&amp;IF(AND(Catalog!B380&lt;&gt;"",COUNTIF(Catalog!$B$2:$B$501,Catalog!B380)&gt;1),"Duplicate Accession; ",""))</f>
        <v/>
      </c>
    </row>
    <row r="406" spans="1:3" x14ac:dyDescent="0.25">
      <c r="A406" s="16" t="str">
        <f>Catalog!A381</f>
        <v/>
      </c>
      <c r="B406" s="16">
        <f>Catalog!D381</f>
        <v>0</v>
      </c>
      <c r="C406" s="17" t="str">
        <f>IF(Catalog!D381="","",IF(ISBLANK(Catalog!F381),"Missing Creator; ","")&amp;IF(ISBLANK(Catalog!K381),"Missing Type; ","")&amp;IF(ISBLANK(Catalog!L381),"Missing Genre; ","")&amp;IF(ISBLANK(Catalog!W381),"Missing Location Type; ","")&amp;IF(ISBLANK(Catalog!X381),"Missing Location Identifier; ","")&amp;IF(AND(Catalog!S381&lt;&gt;"",COUNTIF(Catalog!$S$2:$S$501,Catalog!S381)&gt;1),"Duplicate ISBN; ","")&amp;IF(AND(Catalog!B381&lt;&gt;"",COUNTIF(Catalog!$B$2:$B$501,Catalog!B381)&gt;1),"Duplicate Accession; ",""))</f>
        <v/>
      </c>
    </row>
    <row r="407" spans="1:3" x14ac:dyDescent="0.25">
      <c r="A407" s="16" t="str">
        <f>Catalog!A382</f>
        <v/>
      </c>
      <c r="B407" s="16">
        <f>Catalog!D382</f>
        <v>0</v>
      </c>
      <c r="C407" s="17" t="str">
        <f>IF(Catalog!D382="","",IF(ISBLANK(Catalog!F382),"Missing Creator; ","")&amp;IF(ISBLANK(Catalog!K382),"Missing Type; ","")&amp;IF(ISBLANK(Catalog!L382),"Missing Genre; ","")&amp;IF(ISBLANK(Catalog!W382),"Missing Location Type; ","")&amp;IF(ISBLANK(Catalog!X382),"Missing Location Identifier; ","")&amp;IF(AND(Catalog!S382&lt;&gt;"",COUNTIF(Catalog!$S$2:$S$501,Catalog!S382)&gt;1),"Duplicate ISBN; ","")&amp;IF(AND(Catalog!B382&lt;&gt;"",COUNTIF(Catalog!$B$2:$B$501,Catalog!B382)&gt;1),"Duplicate Accession; ",""))</f>
        <v/>
      </c>
    </row>
    <row r="408" spans="1:3" x14ac:dyDescent="0.25">
      <c r="A408" s="16" t="str">
        <f>Catalog!A383</f>
        <v/>
      </c>
      <c r="B408" s="16">
        <f>Catalog!D383</f>
        <v>0</v>
      </c>
      <c r="C408" s="17" t="str">
        <f>IF(Catalog!D383="","",IF(ISBLANK(Catalog!F383),"Missing Creator; ","")&amp;IF(ISBLANK(Catalog!K383),"Missing Type; ","")&amp;IF(ISBLANK(Catalog!L383),"Missing Genre; ","")&amp;IF(ISBLANK(Catalog!W383),"Missing Location Type; ","")&amp;IF(ISBLANK(Catalog!X383),"Missing Location Identifier; ","")&amp;IF(AND(Catalog!S383&lt;&gt;"",COUNTIF(Catalog!$S$2:$S$501,Catalog!S383)&gt;1),"Duplicate ISBN; ","")&amp;IF(AND(Catalog!B383&lt;&gt;"",COUNTIF(Catalog!$B$2:$B$501,Catalog!B383)&gt;1),"Duplicate Accession; ",""))</f>
        <v/>
      </c>
    </row>
    <row r="409" spans="1:3" x14ac:dyDescent="0.25">
      <c r="A409" s="16" t="str">
        <f>Catalog!A384</f>
        <v/>
      </c>
      <c r="B409" s="16">
        <f>Catalog!D384</f>
        <v>0</v>
      </c>
      <c r="C409" s="17" t="str">
        <f>IF(Catalog!D384="","",IF(ISBLANK(Catalog!F384),"Missing Creator; ","")&amp;IF(ISBLANK(Catalog!K384),"Missing Type; ","")&amp;IF(ISBLANK(Catalog!L384),"Missing Genre; ","")&amp;IF(ISBLANK(Catalog!W384),"Missing Location Type; ","")&amp;IF(ISBLANK(Catalog!X384),"Missing Location Identifier; ","")&amp;IF(AND(Catalog!S384&lt;&gt;"",COUNTIF(Catalog!$S$2:$S$501,Catalog!S384)&gt;1),"Duplicate ISBN; ","")&amp;IF(AND(Catalog!B384&lt;&gt;"",COUNTIF(Catalog!$B$2:$B$501,Catalog!B384)&gt;1),"Duplicate Accession; ",""))</f>
        <v/>
      </c>
    </row>
    <row r="410" spans="1:3" x14ac:dyDescent="0.25">
      <c r="A410" s="16" t="str">
        <f>Catalog!A385</f>
        <v/>
      </c>
      <c r="B410" s="16">
        <f>Catalog!D385</f>
        <v>0</v>
      </c>
      <c r="C410" s="17" t="str">
        <f>IF(Catalog!D385="","",IF(ISBLANK(Catalog!F385),"Missing Creator; ","")&amp;IF(ISBLANK(Catalog!K385),"Missing Type; ","")&amp;IF(ISBLANK(Catalog!L385),"Missing Genre; ","")&amp;IF(ISBLANK(Catalog!W385),"Missing Location Type; ","")&amp;IF(ISBLANK(Catalog!X385),"Missing Location Identifier; ","")&amp;IF(AND(Catalog!S385&lt;&gt;"",COUNTIF(Catalog!$S$2:$S$501,Catalog!S385)&gt;1),"Duplicate ISBN; ","")&amp;IF(AND(Catalog!B385&lt;&gt;"",COUNTIF(Catalog!$B$2:$B$501,Catalog!B385)&gt;1),"Duplicate Accession; ",""))</f>
        <v/>
      </c>
    </row>
    <row r="411" spans="1:3" x14ac:dyDescent="0.25">
      <c r="A411" s="16" t="str">
        <f>Catalog!A386</f>
        <v/>
      </c>
      <c r="B411" s="16">
        <f>Catalog!D386</f>
        <v>0</v>
      </c>
      <c r="C411" s="17" t="str">
        <f>IF(Catalog!D386="","",IF(ISBLANK(Catalog!F386),"Missing Creator; ","")&amp;IF(ISBLANK(Catalog!K386),"Missing Type; ","")&amp;IF(ISBLANK(Catalog!L386),"Missing Genre; ","")&amp;IF(ISBLANK(Catalog!W386),"Missing Location Type; ","")&amp;IF(ISBLANK(Catalog!X386),"Missing Location Identifier; ","")&amp;IF(AND(Catalog!S386&lt;&gt;"",COUNTIF(Catalog!$S$2:$S$501,Catalog!S386)&gt;1),"Duplicate ISBN; ","")&amp;IF(AND(Catalog!B386&lt;&gt;"",COUNTIF(Catalog!$B$2:$B$501,Catalog!B386)&gt;1),"Duplicate Accession; ",""))</f>
        <v/>
      </c>
    </row>
    <row r="412" spans="1:3" x14ac:dyDescent="0.25">
      <c r="A412" s="16" t="str">
        <f>Catalog!A387</f>
        <v/>
      </c>
      <c r="B412" s="16">
        <f>Catalog!D387</f>
        <v>0</v>
      </c>
      <c r="C412" s="17" t="str">
        <f>IF(Catalog!D387="","",IF(ISBLANK(Catalog!F387),"Missing Creator; ","")&amp;IF(ISBLANK(Catalog!K387),"Missing Type; ","")&amp;IF(ISBLANK(Catalog!L387),"Missing Genre; ","")&amp;IF(ISBLANK(Catalog!W387),"Missing Location Type; ","")&amp;IF(ISBLANK(Catalog!X387),"Missing Location Identifier; ","")&amp;IF(AND(Catalog!S387&lt;&gt;"",COUNTIF(Catalog!$S$2:$S$501,Catalog!S387)&gt;1),"Duplicate ISBN; ","")&amp;IF(AND(Catalog!B387&lt;&gt;"",COUNTIF(Catalog!$B$2:$B$501,Catalog!B387)&gt;1),"Duplicate Accession; ",""))</f>
        <v/>
      </c>
    </row>
    <row r="413" spans="1:3" x14ac:dyDescent="0.25">
      <c r="A413" s="16" t="str">
        <f>Catalog!A388</f>
        <v/>
      </c>
      <c r="B413" s="16">
        <f>Catalog!D388</f>
        <v>0</v>
      </c>
      <c r="C413" s="17" t="str">
        <f>IF(Catalog!D388="","",IF(ISBLANK(Catalog!F388),"Missing Creator; ","")&amp;IF(ISBLANK(Catalog!K388),"Missing Type; ","")&amp;IF(ISBLANK(Catalog!L388),"Missing Genre; ","")&amp;IF(ISBLANK(Catalog!W388),"Missing Location Type; ","")&amp;IF(ISBLANK(Catalog!X388),"Missing Location Identifier; ","")&amp;IF(AND(Catalog!S388&lt;&gt;"",COUNTIF(Catalog!$S$2:$S$501,Catalog!S388)&gt;1),"Duplicate ISBN; ","")&amp;IF(AND(Catalog!B388&lt;&gt;"",COUNTIF(Catalog!$B$2:$B$501,Catalog!B388)&gt;1),"Duplicate Accession; ",""))</f>
        <v/>
      </c>
    </row>
    <row r="414" spans="1:3" x14ac:dyDescent="0.25">
      <c r="A414" s="16" t="str">
        <f>Catalog!A389</f>
        <v/>
      </c>
      <c r="B414" s="16">
        <f>Catalog!D389</f>
        <v>0</v>
      </c>
      <c r="C414" s="17" t="str">
        <f>IF(Catalog!D389="","",IF(ISBLANK(Catalog!F389),"Missing Creator; ","")&amp;IF(ISBLANK(Catalog!K389),"Missing Type; ","")&amp;IF(ISBLANK(Catalog!L389),"Missing Genre; ","")&amp;IF(ISBLANK(Catalog!W389),"Missing Location Type; ","")&amp;IF(ISBLANK(Catalog!X389),"Missing Location Identifier; ","")&amp;IF(AND(Catalog!S389&lt;&gt;"",COUNTIF(Catalog!$S$2:$S$501,Catalog!S389)&gt;1),"Duplicate ISBN; ","")&amp;IF(AND(Catalog!B389&lt;&gt;"",COUNTIF(Catalog!$B$2:$B$501,Catalog!B389)&gt;1),"Duplicate Accession; ",""))</f>
        <v/>
      </c>
    </row>
    <row r="415" spans="1:3" x14ac:dyDescent="0.25">
      <c r="A415" s="16" t="str">
        <f>Catalog!A390</f>
        <v/>
      </c>
      <c r="B415" s="16">
        <f>Catalog!D390</f>
        <v>0</v>
      </c>
      <c r="C415" s="17" t="str">
        <f>IF(Catalog!D390="","",IF(ISBLANK(Catalog!F390),"Missing Creator; ","")&amp;IF(ISBLANK(Catalog!K390),"Missing Type; ","")&amp;IF(ISBLANK(Catalog!L390),"Missing Genre; ","")&amp;IF(ISBLANK(Catalog!W390),"Missing Location Type; ","")&amp;IF(ISBLANK(Catalog!X390),"Missing Location Identifier; ","")&amp;IF(AND(Catalog!S390&lt;&gt;"",COUNTIF(Catalog!$S$2:$S$501,Catalog!S390)&gt;1),"Duplicate ISBN; ","")&amp;IF(AND(Catalog!B390&lt;&gt;"",COUNTIF(Catalog!$B$2:$B$501,Catalog!B390)&gt;1),"Duplicate Accession; ",""))</f>
        <v/>
      </c>
    </row>
    <row r="416" spans="1:3" x14ac:dyDescent="0.25">
      <c r="A416" s="16" t="str">
        <f>Catalog!A391</f>
        <v/>
      </c>
      <c r="B416" s="16">
        <f>Catalog!D391</f>
        <v>0</v>
      </c>
      <c r="C416" s="17" t="str">
        <f>IF(Catalog!D391="","",IF(ISBLANK(Catalog!F391),"Missing Creator; ","")&amp;IF(ISBLANK(Catalog!K391),"Missing Type; ","")&amp;IF(ISBLANK(Catalog!L391),"Missing Genre; ","")&amp;IF(ISBLANK(Catalog!W391),"Missing Location Type; ","")&amp;IF(ISBLANK(Catalog!X391),"Missing Location Identifier; ","")&amp;IF(AND(Catalog!S391&lt;&gt;"",COUNTIF(Catalog!$S$2:$S$501,Catalog!S391)&gt;1),"Duplicate ISBN; ","")&amp;IF(AND(Catalog!B391&lt;&gt;"",COUNTIF(Catalog!$B$2:$B$501,Catalog!B391)&gt;1),"Duplicate Accession; ",""))</f>
        <v/>
      </c>
    </row>
    <row r="417" spans="1:3" x14ac:dyDescent="0.25">
      <c r="A417" s="16" t="str">
        <f>Catalog!A392</f>
        <v/>
      </c>
      <c r="B417" s="16">
        <f>Catalog!D392</f>
        <v>0</v>
      </c>
      <c r="C417" s="17" t="str">
        <f>IF(Catalog!D392="","",IF(ISBLANK(Catalog!F392),"Missing Creator; ","")&amp;IF(ISBLANK(Catalog!K392),"Missing Type; ","")&amp;IF(ISBLANK(Catalog!L392),"Missing Genre; ","")&amp;IF(ISBLANK(Catalog!W392),"Missing Location Type; ","")&amp;IF(ISBLANK(Catalog!X392),"Missing Location Identifier; ","")&amp;IF(AND(Catalog!S392&lt;&gt;"",COUNTIF(Catalog!$S$2:$S$501,Catalog!S392)&gt;1),"Duplicate ISBN; ","")&amp;IF(AND(Catalog!B392&lt;&gt;"",COUNTIF(Catalog!$B$2:$B$501,Catalog!B392)&gt;1),"Duplicate Accession; ",""))</f>
        <v/>
      </c>
    </row>
    <row r="418" spans="1:3" x14ac:dyDescent="0.25">
      <c r="A418" s="16" t="str">
        <f>Catalog!A393</f>
        <v/>
      </c>
      <c r="B418" s="16">
        <f>Catalog!D393</f>
        <v>0</v>
      </c>
      <c r="C418" s="17" t="str">
        <f>IF(Catalog!D393="","",IF(ISBLANK(Catalog!F393),"Missing Creator; ","")&amp;IF(ISBLANK(Catalog!K393),"Missing Type; ","")&amp;IF(ISBLANK(Catalog!L393),"Missing Genre; ","")&amp;IF(ISBLANK(Catalog!W393),"Missing Location Type; ","")&amp;IF(ISBLANK(Catalog!X393),"Missing Location Identifier; ","")&amp;IF(AND(Catalog!S393&lt;&gt;"",COUNTIF(Catalog!$S$2:$S$501,Catalog!S393)&gt;1),"Duplicate ISBN; ","")&amp;IF(AND(Catalog!B393&lt;&gt;"",COUNTIF(Catalog!$B$2:$B$501,Catalog!B393)&gt;1),"Duplicate Accession; ",""))</f>
        <v/>
      </c>
    </row>
    <row r="419" spans="1:3" x14ac:dyDescent="0.25">
      <c r="A419" s="16" t="str">
        <f>Catalog!A394</f>
        <v/>
      </c>
      <c r="B419" s="16">
        <f>Catalog!D394</f>
        <v>0</v>
      </c>
      <c r="C419" s="17" t="str">
        <f>IF(Catalog!D394="","",IF(ISBLANK(Catalog!F394),"Missing Creator; ","")&amp;IF(ISBLANK(Catalog!K394),"Missing Type; ","")&amp;IF(ISBLANK(Catalog!L394),"Missing Genre; ","")&amp;IF(ISBLANK(Catalog!W394),"Missing Location Type; ","")&amp;IF(ISBLANK(Catalog!X394),"Missing Location Identifier; ","")&amp;IF(AND(Catalog!S394&lt;&gt;"",COUNTIF(Catalog!$S$2:$S$501,Catalog!S394)&gt;1),"Duplicate ISBN; ","")&amp;IF(AND(Catalog!B394&lt;&gt;"",COUNTIF(Catalog!$B$2:$B$501,Catalog!B394)&gt;1),"Duplicate Accession; ",""))</f>
        <v/>
      </c>
    </row>
    <row r="420" spans="1:3" x14ac:dyDescent="0.25">
      <c r="A420" s="16" t="str">
        <f>Catalog!A395</f>
        <v/>
      </c>
      <c r="B420" s="16">
        <f>Catalog!D395</f>
        <v>0</v>
      </c>
      <c r="C420" s="17" t="str">
        <f>IF(Catalog!D395="","",IF(ISBLANK(Catalog!F395),"Missing Creator; ","")&amp;IF(ISBLANK(Catalog!K395),"Missing Type; ","")&amp;IF(ISBLANK(Catalog!L395),"Missing Genre; ","")&amp;IF(ISBLANK(Catalog!W395),"Missing Location Type; ","")&amp;IF(ISBLANK(Catalog!X395),"Missing Location Identifier; ","")&amp;IF(AND(Catalog!S395&lt;&gt;"",COUNTIF(Catalog!$S$2:$S$501,Catalog!S395)&gt;1),"Duplicate ISBN; ","")&amp;IF(AND(Catalog!B395&lt;&gt;"",COUNTIF(Catalog!$B$2:$B$501,Catalog!B395)&gt;1),"Duplicate Accession; ",""))</f>
        <v/>
      </c>
    </row>
    <row r="421" spans="1:3" x14ac:dyDescent="0.25">
      <c r="A421" s="16" t="str">
        <f>Catalog!A396</f>
        <v/>
      </c>
      <c r="B421" s="16">
        <f>Catalog!D396</f>
        <v>0</v>
      </c>
      <c r="C421" s="17" t="str">
        <f>IF(Catalog!D396="","",IF(ISBLANK(Catalog!F396),"Missing Creator; ","")&amp;IF(ISBLANK(Catalog!K396),"Missing Type; ","")&amp;IF(ISBLANK(Catalog!L396),"Missing Genre; ","")&amp;IF(ISBLANK(Catalog!W396),"Missing Location Type; ","")&amp;IF(ISBLANK(Catalog!X396),"Missing Location Identifier; ","")&amp;IF(AND(Catalog!S396&lt;&gt;"",COUNTIF(Catalog!$S$2:$S$501,Catalog!S396)&gt;1),"Duplicate ISBN; ","")&amp;IF(AND(Catalog!B396&lt;&gt;"",COUNTIF(Catalog!$B$2:$B$501,Catalog!B396)&gt;1),"Duplicate Accession; ",""))</f>
        <v/>
      </c>
    </row>
    <row r="422" spans="1:3" x14ac:dyDescent="0.25">
      <c r="A422" s="16" t="str">
        <f>Catalog!A397</f>
        <v/>
      </c>
      <c r="B422" s="16">
        <f>Catalog!D397</f>
        <v>0</v>
      </c>
      <c r="C422" s="17" t="str">
        <f>IF(Catalog!D397="","",IF(ISBLANK(Catalog!F397),"Missing Creator; ","")&amp;IF(ISBLANK(Catalog!K397),"Missing Type; ","")&amp;IF(ISBLANK(Catalog!L397),"Missing Genre; ","")&amp;IF(ISBLANK(Catalog!W397),"Missing Location Type; ","")&amp;IF(ISBLANK(Catalog!X397),"Missing Location Identifier; ","")&amp;IF(AND(Catalog!S397&lt;&gt;"",COUNTIF(Catalog!$S$2:$S$501,Catalog!S397)&gt;1),"Duplicate ISBN; ","")&amp;IF(AND(Catalog!B397&lt;&gt;"",COUNTIF(Catalog!$B$2:$B$501,Catalog!B397)&gt;1),"Duplicate Accession; ",""))</f>
        <v/>
      </c>
    </row>
    <row r="423" spans="1:3" x14ac:dyDescent="0.25">
      <c r="A423" s="16" t="str">
        <f>Catalog!A398</f>
        <v/>
      </c>
      <c r="B423" s="16">
        <f>Catalog!D398</f>
        <v>0</v>
      </c>
      <c r="C423" s="17" t="str">
        <f>IF(Catalog!D398="","",IF(ISBLANK(Catalog!F398),"Missing Creator; ","")&amp;IF(ISBLANK(Catalog!K398),"Missing Type; ","")&amp;IF(ISBLANK(Catalog!L398),"Missing Genre; ","")&amp;IF(ISBLANK(Catalog!W398),"Missing Location Type; ","")&amp;IF(ISBLANK(Catalog!X398),"Missing Location Identifier; ","")&amp;IF(AND(Catalog!S398&lt;&gt;"",COUNTIF(Catalog!$S$2:$S$501,Catalog!S398)&gt;1),"Duplicate ISBN; ","")&amp;IF(AND(Catalog!B398&lt;&gt;"",COUNTIF(Catalog!$B$2:$B$501,Catalog!B398)&gt;1),"Duplicate Accession; ",""))</f>
        <v/>
      </c>
    </row>
    <row r="424" spans="1:3" x14ac:dyDescent="0.25">
      <c r="A424" s="16" t="str">
        <f>Catalog!A399</f>
        <v/>
      </c>
      <c r="B424" s="16">
        <f>Catalog!D399</f>
        <v>0</v>
      </c>
      <c r="C424" s="17" t="str">
        <f>IF(Catalog!D399="","",IF(ISBLANK(Catalog!F399),"Missing Creator; ","")&amp;IF(ISBLANK(Catalog!K399),"Missing Type; ","")&amp;IF(ISBLANK(Catalog!L399),"Missing Genre; ","")&amp;IF(ISBLANK(Catalog!W399),"Missing Location Type; ","")&amp;IF(ISBLANK(Catalog!X399),"Missing Location Identifier; ","")&amp;IF(AND(Catalog!S399&lt;&gt;"",COUNTIF(Catalog!$S$2:$S$501,Catalog!S399)&gt;1),"Duplicate ISBN; ","")&amp;IF(AND(Catalog!B399&lt;&gt;"",COUNTIF(Catalog!$B$2:$B$501,Catalog!B399)&gt;1),"Duplicate Accession; ",""))</f>
        <v/>
      </c>
    </row>
    <row r="425" spans="1:3" x14ac:dyDescent="0.25">
      <c r="A425" s="16" t="str">
        <f>Catalog!A400</f>
        <v/>
      </c>
      <c r="B425" s="16">
        <f>Catalog!D400</f>
        <v>0</v>
      </c>
      <c r="C425" s="17" t="str">
        <f>IF(Catalog!D400="","",IF(ISBLANK(Catalog!F400),"Missing Creator; ","")&amp;IF(ISBLANK(Catalog!K400),"Missing Type; ","")&amp;IF(ISBLANK(Catalog!L400),"Missing Genre; ","")&amp;IF(ISBLANK(Catalog!W400),"Missing Location Type; ","")&amp;IF(ISBLANK(Catalog!X400),"Missing Location Identifier; ","")&amp;IF(AND(Catalog!S400&lt;&gt;"",COUNTIF(Catalog!$S$2:$S$501,Catalog!S400)&gt;1),"Duplicate ISBN; ","")&amp;IF(AND(Catalog!B400&lt;&gt;"",COUNTIF(Catalog!$B$2:$B$501,Catalog!B400)&gt;1),"Duplicate Accession; ",""))</f>
        <v/>
      </c>
    </row>
    <row r="426" spans="1:3" x14ac:dyDescent="0.25">
      <c r="A426" s="16" t="str">
        <f>Catalog!A401</f>
        <v/>
      </c>
      <c r="B426" s="16">
        <f>Catalog!D401</f>
        <v>0</v>
      </c>
      <c r="C426" s="17" t="str">
        <f>IF(Catalog!D401="","",IF(ISBLANK(Catalog!F401),"Missing Creator; ","")&amp;IF(ISBLANK(Catalog!K401),"Missing Type; ","")&amp;IF(ISBLANK(Catalog!L401),"Missing Genre; ","")&amp;IF(ISBLANK(Catalog!W401),"Missing Location Type; ","")&amp;IF(ISBLANK(Catalog!X401),"Missing Location Identifier; ","")&amp;IF(AND(Catalog!S401&lt;&gt;"",COUNTIF(Catalog!$S$2:$S$501,Catalog!S401)&gt;1),"Duplicate ISBN; ","")&amp;IF(AND(Catalog!B401&lt;&gt;"",COUNTIF(Catalog!$B$2:$B$501,Catalog!B401)&gt;1),"Duplicate Accession; ",""))</f>
        <v/>
      </c>
    </row>
    <row r="427" spans="1:3" x14ac:dyDescent="0.25">
      <c r="A427" s="16" t="str">
        <f>Catalog!A402</f>
        <v/>
      </c>
      <c r="B427" s="16">
        <f>Catalog!D402</f>
        <v>0</v>
      </c>
      <c r="C427" s="17" t="str">
        <f>IF(Catalog!D402="","",IF(ISBLANK(Catalog!F402),"Missing Creator; ","")&amp;IF(ISBLANK(Catalog!K402),"Missing Type; ","")&amp;IF(ISBLANK(Catalog!L402),"Missing Genre; ","")&amp;IF(ISBLANK(Catalog!W402),"Missing Location Type; ","")&amp;IF(ISBLANK(Catalog!X402),"Missing Location Identifier; ","")&amp;IF(AND(Catalog!S402&lt;&gt;"",COUNTIF(Catalog!$S$2:$S$501,Catalog!S402)&gt;1),"Duplicate ISBN; ","")&amp;IF(AND(Catalog!B402&lt;&gt;"",COUNTIF(Catalog!$B$2:$B$501,Catalog!B402)&gt;1),"Duplicate Accession; ",""))</f>
        <v/>
      </c>
    </row>
    <row r="428" spans="1:3" x14ac:dyDescent="0.25">
      <c r="A428" s="16" t="str">
        <f>Catalog!A403</f>
        <v/>
      </c>
      <c r="B428" s="16">
        <f>Catalog!D403</f>
        <v>0</v>
      </c>
      <c r="C428" s="17" t="str">
        <f>IF(Catalog!D403="","",IF(ISBLANK(Catalog!F403),"Missing Creator; ","")&amp;IF(ISBLANK(Catalog!K403),"Missing Type; ","")&amp;IF(ISBLANK(Catalog!L403),"Missing Genre; ","")&amp;IF(ISBLANK(Catalog!W403),"Missing Location Type; ","")&amp;IF(ISBLANK(Catalog!X403),"Missing Location Identifier; ","")&amp;IF(AND(Catalog!S403&lt;&gt;"",COUNTIF(Catalog!$S$2:$S$501,Catalog!S403)&gt;1),"Duplicate ISBN; ","")&amp;IF(AND(Catalog!B403&lt;&gt;"",COUNTIF(Catalog!$B$2:$B$501,Catalog!B403)&gt;1),"Duplicate Accession; ",""))</f>
        <v/>
      </c>
    </row>
    <row r="429" spans="1:3" x14ac:dyDescent="0.25">
      <c r="A429" s="16" t="str">
        <f>Catalog!A404</f>
        <v/>
      </c>
      <c r="B429" s="16">
        <f>Catalog!D404</f>
        <v>0</v>
      </c>
      <c r="C429" s="17" t="str">
        <f>IF(Catalog!D404="","",IF(ISBLANK(Catalog!F404),"Missing Creator; ","")&amp;IF(ISBLANK(Catalog!K404),"Missing Type; ","")&amp;IF(ISBLANK(Catalog!L404),"Missing Genre; ","")&amp;IF(ISBLANK(Catalog!W404),"Missing Location Type; ","")&amp;IF(ISBLANK(Catalog!X404),"Missing Location Identifier; ","")&amp;IF(AND(Catalog!S404&lt;&gt;"",COUNTIF(Catalog!$S$2:$S$501,Catalog!S404)&gt;1),"Duplicate ISBN; ","")&amp;IF(AND(Catalog!B404&lt;&gt;"",COUNTIF(Catalog!$B$2:$B$501,Catalog!B404)&gt;1),"Duplicate Accession; ",""))</f>
        <v/>
      </c>
    </row>
    <row r="430" spans="1:3" x14ac:dyDescent="0.25">
      <c r="A430" s="16" t="str">
        <f>Catalog!A405</f>
        <v/>
      </c>
      <c r="B430" s="16">
        <f>Catalog!D405</f>
        <v>0</v>
      </c>
      <c r="C430" s="17" t="str">
        <f>IF(Catalog!D405="","",IF(ISBLANK(Catalog!F405),"Missing Creator; ","")&amp;IF(ISBLANK(Catalog!K405),"Missing Type; ","")&amp;IF(ISBLANK(Catalog!L405),"Missing Genre; ","")&amp;IF(ISBLANK(Catalog!W405),"Missing Location Type; ","")&amp;IF(ISBLANK(Catalog!X405),"Missing Location Identifier; ","")&amp;IF(AND(Catalog!S405&lt;&gt;"",COUNTIF(Catalog!$S$2:$S$501,Catalog!S405)&gt;1),"Duplicate ISBN; ","")&amp;IF(AND(Catalog!B405&lt;&gt;"",COUNTIF(Catalog!$B$2:$B$501,Catalog!B405)&gt;1),"Duplicate Accession; ",""))</f>
        <v/>
      </c>
    </row>
    <row r="431" spans="1:3" x14ac:dyDescent="0.25">
      <c r="A431" s="16" t="str">
        <f>Catalog!A406</f>
        <v/>
      </c>
      <c r="B431" s="16">
        <f>Catalog!D406</f>
        <v>0</v>
      </c>
      <c r="C431" s="17" t="str">
        <f>IF(Catalog!D406="","",IF(ISBLANK(Catalog!F406),"Missing Creator; ","")&amp;IF(ISBLANK(Catalog!K406),"Missing Type; ","")&amp;IF(ISBLANK(Catalog!L406),"Missing Genre; ","")&amp;IF(ISBLANK(Catalog!W406),"Missing Location Type; ","")&amp;IF(ISBLANK(Catalog!X406),"Missing Location Identifier; ","")&amp;IF(AND(Catalog!S406&lt;&gt;"",COUNTIF(Catalog!$S$2:$S$501,Catalog!S406)&gt;1),"Duplicate ISBN; ","")&amp;IF(AND(Catalog!B406&lt;&gt;"",COUNTIF(Catalog!$B$2:$B$501,Catalog!B406)&gt;1),"Duplicate Accession; ",""))</f>
        <v/>
      </c>
    </row>
    <row r="432" spans="1:3" x14ac:dyDescent="0.25">
      <c r="A432" s="16" t="str">
        <f>Catalog!A407</f>
        <v/>
      </c>
      <c r="B432" s="16">
        <f>Catalog!D407</f>
        <v>0</v>
      </c>
      <c r="C432" s="17" t="str">
        <f>IF(Catalog!D407="","",IF(ISBLANK(Catalog!F407),"Missing Creator; ","")&amp;IF(ISBLANK(Catalog!K407),"Missing Type; ","")&amp;IF(ISBLANK(Catalog!L407),"Missing Genre; ","")&amp;IF(ISBLANK(Catalog!W407),"Missing Location Type; ","")&amp;IF(ISBLANK(Catalog!X407),"Missing Location Identifier; ","")&amp;IF(AND(Catalog!S407&lt;&gt;"",COUNTIF(Catalog!$S$2:$S$501,Catalog!S407)&gt;1),"Duplicate ISBN; ","")&amp;IF(AND(Catalog!B407&lt;&gt;"",COUNTIF(Catalog!$B$2:$B$501,Catalog!B407)&gt;1),"Duplicate Accession; ",""))</f>
        <v/>
      </c>
    </row>
    <row r="433" spans="1:3" x14ac:dyDescent="0.25">
      <c r="A433" s="16" t="str">
        <f>Catalog!A408</f>
        <v/>
      </c>
      <c r="B433" s="16">
        <f>Catalog!D408</f>
        <v>0</v>
      </c>
      <c r="C433" s="17" t="str">
        <f>IF(Catalog!D408="","",IF(ISBLANK(Catalog!F408),"Missing Creator; ","")&amp;IF(ISBLANK(Catalog!K408),"Missing Type; ","")&amp;IF(ISBLANK(Catalog!L408),"Missing Genre; ","")&amp;IF(ISBLANK(Catalog!W408),"Missing Location Type; ","")&amp;IF(ISBLANK(Catalog!X408),"Missing Location Identifier; ","")&amp;IF(AND(Catalog!S408&lt;&gt;"",COUNTIF(Catalog!$S$2:$S$501,Catalog!S408)&gt;1),"Duplicate ISBN; ","")&amp;IF(AND(Catalog!B408&lt;&gt;"",COUNTIF(Catalog!$B$2:$B$501,Catalog!B408)&gt;1),"Duplicate Accession; ",""))</f>
        <v/>
      </c>
    </row>
    <row r="434" spans="1:3" x14ac:dyDescent="0.25">
      <c r="A434" s="16" t="str">
        <f>Catalog!A409</f>
        <v/>
      </c>
      <c r="B434" s="16">
        <f>Catalog!D409</f>
        <v>0</v>
      </c>
      <c r="C434" s="17" t="str">
        <f>IF(Catalog!D409="","",IF(ISBLANK(Catalog!F409),"Missing Creator; ","")&amp;IF(ISBLANK(Catalog!K409),"Missing Type; ","")&amp;IF(ISBLANK(Catalog!L409),"Missing Genre; ","")&amp;IF(ISBLANK(Catalog!W409),"Missing Location Type; ","")&amp;IF(ISBLANK(Catalog!X409),"Missing Location Identifier; ","")&amp;IF(AND(Catalog!S409&lt;&gt;"",COUNTIF(Catalog!$S$2:$S$501,Catalog!S409)&gt;1),"Duplicate ISBN; ","")&amp;IF(AND(Catalog!B409&lt;&gt;"",COUNTIF(Catalog!$B$2:$B$501,Catalog!B409)&gt;1),"Duplicate Accession; ",""))</f>
        <v/>
      </c>
    </row>
    <row r="435" spans="1:3" x14ac:dyDescent="0.25">
      <c r="A435" s="16" t="str">
        <f>Catalog!A410</f>
        <v/>
      </c>
      <c r="B435" s="16">
        <f>Catalog!D410</f>
        <v>0</v>
      </c>
      <c r="C435" s="17" t="str">
        <f>IF(Catalog!D410="","",IF(ISBLANK(Catalog!F410),"Missing Creator; ","")&amp;IF(ISBLANK(Catalog!K410),"Missing Type; ","")&amp;IF(ISBLANK(Catalog!L410),"Missing Genre; ","")&amp;IF(ISBLANK(Catalog!W410),"Missing Location Type; ","")&amp;IF(ISBLANK(Catalog!X410),"Missing Location Identifier; ","")&amp;IF(AND(Catalog!S410&lt;&gt;"",COUNTIF(Catalog!$S$2:$S$501,Catalog!S410)&gt;1),"Duplicate ISBN; ","")&amp;IF(AND(Catalog!B410&lt;&gt;"",COUNTIF(Catalog!$B$2:$B$501,Catalog!B410)&gt;1),"Duplicate Accession; ",""))</f>
        <v/>
      </c>
    </row>
    <row r="436" spans="1:3" x14ac:dyDescent="0.25">
      <c r="A436" s="16" t="str">
        <f>Catalog!A411</f>
        <v/>
      </c>
      <c r="B436" s="16">
        <f>Catalog!D411</f>
        <v>0</v>
      </c>
      <c r="C436" s="17" t="str">
        <f>IF(Catalog!D411="","",IF(ISBLANK(Catalog!F411),"Missing Creator; ","")&amp;IF(ISBLANK(Catalog!K411),"Missing Type; ","")&amp;IF(ISBLANK(Catalog!L411),"Missing Genre; ","")&amp;IF(ISBLANK(Catalog!W411),"Missing Location Type; ","")&amp;IF(ISBLANK(Catalog!X411),"Missing Location Identifier; ","")&amp;IF(AND(Catalog!S411&lt;&gt;"",COUNTIF(Catalog!$S$2:$S$501,Catalog!S411)&gt;1),"Duplicate ISBN; ","")&amp;IF(AND(Catalog!B411&lt;&gt;"",COUNTIF(Catalog!$B$2:$B$501,Catalog!B411)&gt;1),"Duplicate Accession; ",""))</f>
        <v/>
      </c>
    </row>
    <row r="437" spans="1:3" x14ac:dyDescent="0.25">
      <c r="A437" s="16" t="str">
        <f>Catalog!A412</f>
        <v/>
      </c>
      <c r="B437" s="16">
        <f>Catalog!D412</f>
        <v>0</v>
      </c>
      <c r="C437" s="17" t="str">
        <f>IF(Catalog!D412="","",IF(ISBLANK(Catalog!F412),"Missing Creator; ","")&amp;IF(ISBLANK(Catalog!K412),"Missing Type; ","")&amp;IF(ISBLANK(Catalog!L412),"Missing Genre; ","")&amp;IF(ISBLANK(Catalog!W412),"Missing Location Type; ","")&amp;IF(ISBLANK(Catalog!X412),"Missing Location Identifier; ","")&amp;IF(AND(Catalog!S412&lt;&gt;"",COUNTIF(Catalog!$S$2:$S$501,Catalog!S412)&gt;1),"Duplicate ISBN; ","")&amp;IF(AND(Catalog!B412&lt;&gt;"",COUNTIF(Catalog!$B$2:$B$501,Catalog!B412)&gt;1),"Duplicate Accession; ",""))</f>
        <v/>
      </c>
    </row>
    <row r="438" spans="1:3" x14ac:dyDescent="0.25">
      <c r="A438" s="16" t="str">
        <f>Catalog!A413</f>
        <v/>
      </c>
      <c r="B438" s="16">
        <f>Catalog!D413</f>
        <v>0</v>
      </c>
      <c r="C438" s="17" t="str">
        <f>IF(Catalog!D413="","",IF(ISBLANK(Catalog!F413),"Missing Creator; ","")&amp;IF(ISBLANK(Catalog!K413),"Missing Type; ","")&amp;IF(ISBLANK(Catalog!L413),"Missing Genre; ","")&amp;IF(ISBLANK(Catalog!W413),"Missing Location Type; ","")&amp;IF(ISBLANK(Catalog!X413),"Missing Location Identifier; ","")&amp;IF(AND(Catalog!S413&lt;&gt;"",COUNTIF(Catalog!$S$2:$S$501,Catalog!S413)&gt;1),"Duplicate ISBN; ","")&amp;IF(AND(Catalog!B413&lt;&gt;"",COUNTIF(Catalog!$B$2:$B$501,Catalog!B413)&gt;1),"Duplicate Accession; ",""))</f>
        <v/>
      </c>
    </row>
    <row r="439" spans="1:3" x14ac:dyDescent="0.25">
      <c r="A439" s="16" t="str">
        <f>Catalog!A414</f>
        <v/>
      </c>
      <c r="B439" s="16">
        <f>Catalog!D414</f>
        <v>0</v>
      </c>
      <c r="C439" s="17" t="str">
        <f>IF(Catalog!D414="","",IF(ISBLANK(Catalog!F414),"Missing Creator; ","")&amp;IF(ISBLANK(Catalog!K414),"Missing Type; ","")&amp;IF(ISBLANK(Catalog!L414),"Missing Genre; ","")&amp;IF(ISBLANK(Catalog!W414),"Missing Location Type; ","")&amp;IF(ISBLANK(Catalog!X414),"Missing Location Identifier; ","")&amp;IF(AND(Catalog!S414&lt;&gt;"",COUNTIF(Catalog!$S$2:$S$501,Catalog!S414)&gt;1),"Duplicate ISBN; ","")&amp;IF(AND(Catalog!B414&lt;&gt;"",COUNTIF(Catalog!$B$2:$B$501,Catalog!B414)&gt;1),"Duplicate Accession; ",""))</f>
        <v/>
      </c>
    </row>
    <row r="440" spans="1:3" x14ac:dyDescent="0.25">
      <c r="A440" s="16" t="str">
        <f>Catalog!A415</f>
        <v/>
      </c>
      <c r="B440" s="16">
        <f>Catalog!D415</f>
        <v>0</v>
      </c>
      <c r="C440" s="17" t="str">
        <f>IF(Catalog!D415="","",IF(ISBLANK(Catalog!F415),"Missing Creator; ","")&amp;IF(ISBLANK(Catalog!K415),"Missing Type; ","")&amp;IF(ISBLANK(Catalog!L415),"Missing Genre; ","")&amp;IF(ISBLANK(Catalog!W415),"Missing Location Type; ","")&amp;IF(ISBLANK(Catalog!X415),"Missing Location Identifier; ","")&amp;IF(AND(Catalog!S415&lt;&gt;"",COUNTIF(Catalog!$S$2:$S$501,Catalog!S415)&gt;1),"Duplicate ISBN; ","")&amp;IF(AND(Catalog!B415&lt;&gt;"",COUNTIF(Catalog!$B$2:$B$501,Catalog!B415)&gt;1),"Duplicate Accession; ",""))</f>
        <v/>
      </c>
    </row>
    <row r="441" spans="1:3" x14ac:dyDescent="0.25">
      <c r="A441" s="16" t="str">
        <f>Catalog!A416</f>
        <v/>
      </c>
      <c r="B441" s="16">
        <f>Catalog!D416</f>
        <v>0</v>
      </c>
      <c r="C441" s="17" t="str">
        <f>IF(Catalog!D416="","",IF(ISBLANK(Catalog!F416),"Missing Creator; ","")&amp;IF(ISBLANK(Catalog!K416),"Missing Type; ","")&amp;IF(ISBLANK(Catalog!L416),"Missing Genre; ","")&amp;IF(ISBLANK(Catalog!W416),"Missing Location Type; ","")&amp;IF(ISBLANK(Catalog!X416),"Missing Location Identifier; ","")&amp;IF(AND(Catalog!S416&lt;&gt;"",COUNTIF(Catalog!$S$2:$S$501,Catalog!S416)&gt;1),"Duplicate ISBN; ","")&amp;IF(AND(Catalog!B416&lt;&gt;"",COUNTIF(Catalog!$B$2:$B$501,Catalog!B416)&gt;1),"Duplicate Accession; ",""))</f>
        <v/>
      </c>
    </row>
    <row r="442" spans="1:3" x14ac:dyDescent="0.25">
      <c r="A442" s="16" t="str">
        <f>Catalog!A417</f>
        <v/>
      </c>
      <c r="B442" s="16">
        <f>Catalog!D417</f>
        <v>0</v>
      </c>
      <c r="C442" s="17" t="str">
        <f>IF(Catalog!D417="","",IF(ISBLANK(Catalog!F417),"Missing Creator; ","")&amp;IF(ISBLANK(Catalog!K417),"Missing Type; ","")&amp;IF(ISBLANK(Catalog!L417),"Missing Genre; ","")&amp;IF(ISBLANK(Catalog!W417),"Missing Location Type; ","")&amp;IF(ISBLANK(Catalog!X417),"Missing Location Identifier; ","")&amp;IF(AND(Catalog!S417&lt;&gt;"",COUNTIF(Catalog!$S$2:$S$501,Catalog!S417)&gt;1),"Duplicate ISBN; ","")&amp;IF(AND(Catalog!B417&lt;&gt;"",COUNTIF(Catalog!$B$2:$B$501,Catalog!B417)&gt;1),"Duplicate Accession; ",""))</f>
        <v/>
      </c>
    </row>
    <row r="443" spans="1:3" x14ac:dyDescent="0.25">
      <c r="A443" s="16" t="str">
        <f>Catalog!A418</f>
        <v/>
      </c>
      <c r="B443" s="16">
        <f>Catalog!D418</f>
        <v>0</v>
      </c>
      <c r="C443" s="17" t="str">
        <f>IF(Catalog!D418="","",IF(ISBLANK(Catalog!F418),"Missing Creator; ","")&amp;IF(ISBLANK(Catalog!K418),"Missing Type; ","")&amp;IF(ISBLANK(Catalog!L418),"Missing Genre; ","")&amp;IF(ISBLANK(Catalog!W418),"Missing Location Type; ","")&amp;IF(ISBLANK(Catalog!X418),"Missing Location Identifier; ","")&amp;IF(AND(Catalog!S418&lt;&gt;"",COUNTIF(Catalog!$S$2:$S$501,Catalog!S418)&gt;1),"Duplicate ISBN; ","")&amp;IF(AND(Catalog!B418&lt;&gt;"",COUNTIF(Catalog!$B$2:$B$501,Catalog!B418)&gt;1),"Duplicate Accession; ",""))</f>
        <v/>
      </c>
    </row>
    <row r="444" spans="1:3" x14ac:dyDescent="0.25">
      <c r="A444" s="16" t="str">
        <f>Catalog!A419</f>
        <v/>
      </c>
      <c r="B444" s="16">
        <f>Catalog!D419</f>
        <v>0</v>
      </c>
      <c r="C444" s="17" t="str">
        <f>IF(Catalog!D419="","",IF(ISBLANK(Catalog!F419),"Missing Creator; ","")&amp;IF(ISBLANK(Catalog!K419),"Missing Type; ","")&amp;IF(ISBLANK(Catalog!L419),"Missing Genre; ","")&amp;IF(ISBLANK(Catalog!W419),"Missing Location Type; ","")&amp;IF(ISBLANK(Catalog!X419),"Missing Location Identifier; ","")&amp;IF(AND(Catalog!S419&lt;&gt;"",COUNTIF(Catalog!$S$2:$S$501,Catalog!S419)&gt;1),"Duplicate ISBN; ","")&amp;IF(AND(Catalog!B419&lt;&gt;"",COUNTIF(Catalog!$B$2:$B$501,Catalog!B419)&gt;1),"Duplicate Accession; ",""))</f>
        <v/>
      </c>
    </row>
    <row r="445" spans="1:3" x14ac:dyDescent="0.25">
      <c r="A445" s="16" t="str">
        <f>Catalog!A420</f>
        <v/>
      </c>
      <c r="B445" s="16">
        <f>Catalog!D420</f>
        <v>0</v>
      </c>
      <c r="C445" s="17" t="str">
        <f>IF(Catalog!D420="","",IF(ISBLANK(Catalog!F420),"Missing Creator; ","")&amp;IF(ISBLANK(Catalog!K420),"Missing Type; ","")&amp;IF(ISBLANK(Catalog!L420),"Missing Genre; ","")&amp;IF(ISBLANK(Catalog!W420),"Missing Location Type; ","")&amp;IF(ISBLANK(Catalog!X420),"Missing Location Identifier; ","")&amp;IF(AND(Catalog!S420&lt;&gt;"",COUNTIF(Catalog!$S$2:$S$501,Catalog!S420)&gt;1),"Duplicate ISBN; ","")&amp;IF(AND(Catalog!B420&lt;&gt;"",COUNTIF(Catalog!$B$2:$B$501,Catalog!B420)&gt;1),"Duplicate Accession; ",""))</f>
        <v/>
      </c>
    </row>
    <row r="446" spans="1:3" x14ac:dyDescent="0.25">
      <c r="A446" s="16" t="str">
        <f>Catalog!A421</f>
        <v/>
      </c>
      <c r="B446" s="16">
        <f>Catalog!D421</f>
        <v>0</v>
      </c>
      <c r="C446" s="17" t="str">
        <f>IF(Catalog!D421="","",IF(ISBLANK(Catalog!F421),"Missing Creator; ","")&amp;IF(ISBLANK(Catalog!K421),"Missing Type; ","")&amp;IF(ISBLANK(Catalog!L421),"Missing Genre; ","")&amp;IF(ISBLANK(Catalog!W421),"Missing Location Type; ","")&amp;IF(ISBLANK(Catalog!X421),"Missing Location Identifier; ","")&amp;IF(AND(Catalog!S421&lt;&gt;"",COUNTIF(Catalog!$S$2:$S$501,Catalog!S421)&gt;1),"Duplicate ISBN; ","")&amp;IF(AND(Catalog!B421&lt;&gt;"",COUNTIF(Catalog!$B$2:$B$501,Catalog!B421)&gt;1),"Duplicate Accession; ",""))</f>
        <v/>
      </c>
    </row>
    <row r="447" spans="1:3" x14ac:dyDescent="0.25">
      <c r="A447" s="16" t="str">
        <f>Catalog!A422</f>
        <v/>
      </c>
      <c r="B447" s="16">
        <f>Catalog!D422</f>
        <v>0</v>
      </c>
      <c r="C447" s="17" t="str">
        <f>IF(Catalog!D422="","",IF(ISBLANK(Catalog!F422),"Missing Creator; ","")&amp;IF(ISBLANK(Catalog!K422),"Missing Type; ","")&amp;IF(ISBLANK(Catalog!L422),"Missing Genre; ","")&amp;IF(ISBLANK(Catalog!W422),"Missing Location Type; ","")&amp;IF(ISBLANK(Catalog!X422),"Missing Location Identifier; ","")&amp;IF(AND(Catalog!S422&lt;&gt;"",COUNTIF(Catalog!$S$2:$S$501,Catalog!S422)&gt;1),"Duplicate ISBN; ","")&amp;IF(AND(Catalog!B422&lt;&gt;"",COUNTIF(Catalog!$B$2:$B$501,Catalog!B422)&gt;1),"Duplicate Accession; ",""))</f>
        <v/>
      </c>
    </row>
    <row r="448" spans="1:3" x14ac:dyDescent="0.25">
      <c r="A448" s="16" t="str">
        <f>Catalog!A423</f>
        <v/>
      </c>
      <c r="B448" s="16">
        <f>Catalog!D423</f>
        <v>0</v>
      </c>
      <c r="C448" s="17" t="str">
        <f>IF(Catalog!D423="","",IF(ISBLANK(Catalog!F423),"Missing Creator; ","")&amp;IF(ISBLANK(Catalog!K423),"Missing Type; ","")&amp;IF(ISBLANK(Catalog!L423),"Missing Genre; ","")&amp;IF(ISBLANK(Catalog!W423),"Missing Location Type; ","")&amp;IF(ISBLANK(Catalog!X423),"Missing Location Identifier; ","")&amp;IF(AND(Catalog!S423&lt;&gt;"",COUNTIF(Catalog!$S$2:$S$501,Catalog!S423)&gt;1),"Duplicate ISBN; ","")&amp;IF(AND(Catalog!B423&lt;&gt;"",COUNTIF(Catalog!$B$2:$B$501,Catalog!B423)&gt;1),"Duplicate Accession; ",""))</f>
        <v/>
      </c>
    </row>
    <row r="449" spans="1:3" x14ac:dyDescent="0.25">
      <c r="A449" s="16" t="str">
        <f>Catalog!A424</f>
        <v/>
      </c>
      <c r="B449" s="16">
        <f>Catalog!D424</f>
        <v>0</v>
      </c>
      <c r="C449" s="17" t="str">
        <f>IF(Catalog!D424="","",IF(ISBLANK(Catalog!F424),"Missing Creator; ","")&amp;IF(ISBLANK(Catalog!K424),"Missing Type; ","")&amp;IF(ISBLANK(Catalog!L424),"Missing Genre; ","")&amp;IF(ISBLANK(Catalog!W424),"Missing Location Type; ","")&amp;IF(ISBLANK(Catalog!X424),"Missing Location Identifier; ","")&amp;IF(AND(Catalog!S424&lt;&gt;"",COUNTIF(Catalog!$S$2:$S$501,Catalog!S424)&gt;1),"Duplicate ISBN; ","")&amp;IF(AND(Catalog!B424&lt;&gt;"",COUNTIF(Catalog!$B$2:$B$501,Catalog!B424)&gt;1),"Duplicate Accession; ",""))</f>
        <v/>
      </c>
    </row>
    <row r="450" spans="1:3" x14ac:dyDescent="0.25">
      <c r="A450" s="16" t="str">
        <f>Catalog!A425</f>
        <v/>
      </c>
      <c r="B450" s="16">
        <f>Catalog!D425</f>
        <v>0</v>
      </c>
      <c r="C450" s="17" t="str">
        <f>IF(Catalog!D425="","",IF(ISBLANK(Catalog!F425),"Missing Creator; ","")&amp;IF(ISBLANK(Catalog!K425),"Missing Type; ","")&amp;IF(ISBLANK(Catalog!L425),"Missing Genre; ","")&amp;IF(ISBLANK(Catalog!W425),"Missing Location Type; ","")&amp;IF(ISBLANK(Catalog!X425),"Missing Location Identifier; ","")&amp;IF(AND(Catalog!S425&lt;&gt;"",COUNTIF(Catalog!$S$2:$S$501,Catalog!S425)&gt;1),"Duplicate ISBN; ","")&amp;IF(AND(Catalog!B425&lt;&gt;"",COUNTIF(Catalog!$B$2:$B$501,Catalog!B425)&gt;1),"Duplicate Accession; ",""))</f>
        <v/>
      </c>
    </row>
    <row r="451" spans="1:3" x14ac:dyDescent="0.25">
      <c r="A451" s="16" t="str">
        <f>Catalog!A426</f>
        <v/>
      </c>
      <c r="B451" s="16">
        <f>Catalog!D426</f>
        <v>0</v>
      </c>
      <c r="C451" s="17" t="str">
        <f>IF(Catalog!D426="","",IF(ISBLANK(Catalog!F426),"Missing Creator; ","")&amp;IF(ISBLANK(Catalog!K426),"Missing Type; ","")&amp;IF(ISBLANK(Catalog!L426),"Missing Genre; ","")&amp;IF(ISBLANK(Catalog!W426),"Missing Location Type; ","")&amp;IF(ISBLANK(Catalog!X426),"Missing Location Identifier; ","")&amp;IF(AND(Catalog!S426&lt;&gt;"",COUNTIF(Catalog!$S$2:$S$501,Catalog!S426)&gt;1),"Duplicate ISBN; ","")&amp;IF(AND(Catalog!B426&lt;&gt;"",COUNTIF(Catalog!$B$2:$B$501,Catalog!B426)&gt;1),"Duplicate Accession; ",""))</f>
        <v/>
      </c>
    </row>
    <row r="452" spans="1:3" x14ac:dyDescent="0.25">
      <c r="A452" s="16" t="str">
        <f>Catalog!A427</f>
        <v/>
      </c>
      <c r="B452" s="16">
        <f>Catalog!D427</f>
        <v>0</v>
      </c>
      <c r="C452" s="17" t="str">
        <f>IF(Catalog!D427="","",IF(ISBLANK(Catalog!F427),"Missing Creator; ","")&amp;IF(ISBLANK(Catalog!K427),"Missing Type; ","")&amp;IF(ISBLANK(Catalog!L427),"Missing Genre; ","")&amp;IF(ISBLANK(Catalog!W427),"Missing Location Type; ","")&amp;IF(ISBLANK(Catalog!X427),"Missing Location Identifier; ","")&amp;IF(AND(Catalog!S427&lt;&gt;"",COUNTIF(Catalog!$S$2:$S$501,Catalog!S427)&gt;1),"Duplicate ISBN; ","")&amp;IF(AND(Catalog!B427&lt;&gt;"",COUNTIF(Catalog!$B$2:$B$501,Catalog!B427)&gt;1),"Duplicate Accession; ",""))</f>
        <v/>
      </c>
    </row>
    <row r="453" spans="1:3" x14ac:dyDescent="0.25">
      <c r="A453" s="16" t="str">
        <f>Catalog!A428</f>
        <v/>
      </c>
      <c r="B453" s="16">
        <f>Catalog!D428</f>
        <v>0</v>
      </c>
      <c r="C453" s="17" t="str">
        <f>IF(Catalog!D428="","",IF(ISBLANK(Catalog!F428),"Missing Creator; ","")&amp;IF(ISBLANK(Catalog!K428),"Missing Type; ","")&amp;IF(ISBLANK(Catalog!L428),"Missing Genre; ","")&amp;IF(ISBLANK(Catalog!W428),"Missing Location Type; ","")&amp;IF(ISBLANK(Catalog!X428),"Missing Location Identifier; ","")&amp;IF(AND(Catalog!S428&lt;&gt;"",COUNTIF(Catalog!$S$2:$S$501,Catalog!S428)&gt;1),"Duplicate ISBN; ","")&amp;IF(AND(Catalog!B428&lt;&gt;"",COUNTIF(Catalog!$B$2:$B$501,Catalog!B428)&gt;1),"Duplicate Accession; ",""))</f>
        <v/>
      </c>
    </row>
    <row r="454" spans="1:3" x14ac:dyDescent="0.25">
      <c r="A454" s="16" t="str">
        <f>Catalog!A429</f>
        <v/>
      </c>
      <c r="B454" s="16">
        <f>Catalog!D429</f>
        <v>0</v>
      </c>
      <c r="C454" s="17" t="str">
        <f>IF(Catalog!D429="","",IF(ISBLANK(Catalog!F429),"Missing Creator; ","")&amp;IF(ISBLANK(Catalog!K429),"Missing Type; ","")&amp;IF(ISBLANK(Catalog!L429),"Missing Genre; ","")&amp;IF(ISBLANK(Catalog!W429),"Missing Location Type; ","")&amp;IF(ISBLANK(Catalog!X429),"Missing Location Identifier; ","")&amp;IF(AND(Catalog!S429&lt;&gt;"",COUNTIF(Catalog!$S$2:$S$501,Catalog!S429)&gt;1),"Duplicate ISBN; ","")&amp;IF(AND(Catalog!B429&lt;&gt;"",COUNTIF(Catalog!$B$2:$B$501,Catalog!B429)&gt;1),"Duplicate Accession; ",""))</f>
        <v/>
      </c>
    </row>
    <row r="455" spans="1:3" x14ac:dyDescent="0.25">
      <c r="A455" s="16" t="str">
        <f>Catalog!A430</f>
        <v/>
      </c>
      <c r="B455" s="16">
        <f>Catalog!D430</f>
        <v>0</v>
      </c>
      <c r="C455" s="17" t="str">
        <f>IF(Catalog!D430="","",IF(ISBLANK(Catalog!F430),"Missing Creator; ","")&amp;IF(ISBLANK(Catalog!K430),"Missing Type; ","")&amp;IF(ISBLANK(Catalog!L430),"Missing Genre; ","")&amp;IF(ISBLANK(Catalog!W430),"Missing Location Type; ","")&amp;IF(ISBLANK(Catalog!X430),"Missing Location Identifier; ","")&amp;IF(AND(Catalog!S430&lt;&gt;"",COUNTIF(Catalog!$S$2:$S$501,Catalog!S430)&gt;1),"Duplicate ISBN; ","")&amp;IF(AND(Catalog!B430&lt;&gt;"",COUNTIF(Catalog!$B$2:$B$501,Catalog!B430)&gt;1),"Duplicate Accession; ",""))</f>
        <v/>
      </c>
    </row>
    <row r="456" spans="1:3" x14ac:dyDescent="0.25">
      <c r="A456" s="16" t="str">
        <f>Catalog!A431</f>
        <v/>
      </c>
      <c r="B456" s="16">
        <f>Catalog!D431</f>
        <v>0</v>
      </c>
      <c r="C456" s="17" t="str">
        <f>IF(Catalog!D431="","",IF(ISBLANK(Catalog!F431),"Missing Creator; ","")&amp;IF(ISBLANK(Catalog!K431),"Missing Type; ","")&amp;IF(ISBLANK(Catalog!L431),"Missing Genre; ","")&amp;IF(ISBLANK(Catalog!W431),"Missing Location Type; ","")&amp;IF(ISBLANK(Catalog!X431),"Missing Location Identifier; ","")&amp;IF(AND(Catalog!S431&lt;&gt;"",COUNTIF(Catalog!$S$2:$S$501,Catalog!S431)&gt;1),"Duplicate ISBN; ","")&amp;IF(AND(Catalog!B431&lt;&gt;"",COUNTIF(Catalog!$B$2:$B$501,Catalog!B431)&gt;1),"Duplicate Accession; ",""))</f>
        <v/>
      </c>
    </row>
    <row r="457" spans="1:3" x14ac:dyDescent="0.25">
      <c r="A457" s="16" t="str">
        <f>Catalog!A432</f>
        <v/>
      </c>
      <c r="B457" s="16">
        <f>Catalog!D432</f>
        <v>0</v>
      </c>
      <c r="C457" s="17" t="str">
        <f>IF(Catalog!D432="","",IF(ISBLANK(Catalog!F432),"Missing Creator; ","")&amp;IF(ISBLANK(Catalog!K432),"Missing Type; ","")&amp;IF(ISBLANK(Catalog!L432),"Missing Genre; ","")&amp;IF(ISBLANK(Catalog!W432),"Missing Location Type; ","")&amp;IF(ISBLANK(Catalog!X432),"Missing Location Identifier; ","")&amp;IF(AND(Catalog!S432&lt;&gt;"",COUNTIF(Catalog!$S$2:$S$501,Catalog!S432)&gt;1),"Duplicate ISBN; ","")&amp;IF(AND(Catalog!B432&lt;&gt;"",COUNTIF(Catalog!$B$2:$B$501,Catalog!B432)&gt;1),"Duplicate Accession; ",""))</f>
        <v/>
      </c>
    </row>
    <row r="458" spans="1:3" x14ac:dyDescent="0.25">
      <c r="A458" s="16" t="str">
        <f>Catalog!A433</f>
        <v/>
      </c>
      <c r="B458" s="16">
        <f>Catalog!D433</f>
        <v>0</v>
      </c>
      <c r="C458" s="17" t="str">
        <f>IF(Catalog!D433="","",IF(ISBLANK(Catalog!F433),"Missing Creator; ","")&amp;IF(ISBLANK(Catalog!K433),"Missing Type; ","")&amp;IF(ISBLANK(Catalog!L433),"Missing Genre; ","")&amp;IF(ISBLANK(Catalog!W433),"Missing Location Type; ","")&amp;IF(ISBLANK(Catalog!X433),"Missing Location Identifier; ","")&amp;IF(AND(Catalog!S433&lt;&gt;"",COUNTIF(Catalog!$S$2:$S$501,Catalog!S433)&gt;1),"Duplicate ISBN; ","")&amp;IF(AND(Catalog!B433&lt;&gt;"",COUNTIF(Catalog!$B$2:$B$501,Catalog!B433)&gt;1),"Duplicate Accession; ",""))</f>
        <v/>
      </c>
    </row>
    <row r="459" spans="1:3" x14ac:dyDescent="0.25">
      <c r="A459" s="16" t="str">
        <f>Catalog!A434</f>
        <v/>
      </c>
      <c r="B459" s="16">
        <f>Catalog!D434</f>
        <v>0</v>
      </c>
      <c r="C459" s="17" t="str">
        <f>IF(Catalog!D434="","",IF(ISBLANK(Catalog!F434),"Missing Creator; ","")&amp;IF(ISBLANK(Catalog!K434),"Missing Type; ","")&amp;IF(ISBLANK(Catalog!L434),"Missing Genre; ","")&amp;IF(ISBLANK(Catalog!W434),"Missing Location Type; ","")&amp;IF(ISBLANK(Catalog!X434),"Missing Location Identifier; ","")&amp;IF(AND(Catalog!S434&lt;&gt;"",COUNTIF(Catalog!$S$2:$S$501,Catalog!S434)&gt;1),"Duplicate ISBN; ","")&amp;IF(AND(Catalog!B434&lt;&gt;"",COUNTIF(Catalog!$B$2:$B$501,Catalog!B434)&gt;1),"Duplicate Accession; ",""))</f>
        <v/>
      </c>
    </row>
    <row r="460" spans="1:3" x14ac:dyDescent="0.25">
      <c r="A460" s="16" t="str">
        <f>Catalog!A435</f>
        <v/>
      </c>
      <c r="B460" s="16">
        <f>Catalog!D435</f>
        <v>0</v>
      </c>
      <c r="C460" s="17" t="str">
        <f>IF(Catalog!D435="","",IF(ISBLANK(Catalog!F435),"Missing Creator; ","")&amp;IF(ISBLANK(Catalog!K435),"Missing Type; ","")&amp;IF(ISBLANK(Catalog!L435),"Missing Genre; ","")&amp;IF(ISBLANK(Catalog!W435),"Missing Location Type; ","")&amp;IF(ISBLANK(Catalog!X435),"Missing Location Identifier; ","")&amp;IF(AND(Catalog!S435&lt;&gt;"",COUNTIF(Catalog!$S$2:$S$501,Catalog!S435)&gt;1),"Duplicate ISBN; ","")&amp;IF(AND(Catalog!B435&lt;&gt;"",COUNTIF(Catalog!$B$2:$B$501,Catalog!B435)&gt;1),"Duplicate Accession; ",""))</f>
        <v/>
      </c>
    </row>
    <row r="461" spans="1:3" x14ac:dyDescent="0.25">
      <c r="A461" s="16" t="str">
        <f>Catalog!A436</f>
        <v/>
      </c>
      <c r="B461" s="16">
        <f>Catalog!D436</f>
        <v>0</v>
      </c>
      <c r="C461" s="17" t="str">
        <f>IF(Catalog!D436="","",IF(ISBLANK(Catalog!F436),"Missing Creator; ","")&amp;IF(ISBLANK(Catalog!K436),"Missing Type; ","")&amp;IF(ISBLANK(Catalog!L436),"Missing Genre; ","")&amp;IF(ISBLANK(Catalog!W436),"Missing Location Type; ","")&amp;IF(ISBLANK(Catalog!X436),"Missing Location Identifier; ","")&amp;IF(AND(Catalog!S436&lt;&gt;"",COUNTIF(Catalog!$S$2:$S$501,Catalog!S436)&gt;1),"Duplicate ISBN; ","")&amp;IF(AND(Catalog!B436&lt;&gt;"",COUNTIF(Catalog!$B$2:$B$501,Catalog!B436)&gt;1),"Duplicate Accession; ",""))</f>
        <v/>
      </c>
    </row>
    <row r="462" spans="1:3" x14ac:dyDescent="0.25">
      <c r="A462" s="16" t="str">
        <f>Catalog!A437</f>
        <v/>
      </c>
      <c r="B462" s="16">
        <f>Catalog!D437</f>
        <v>0</v>
      </c>
      <c r="C462" s="17" t="str">
        <f>IF(Catalog!D437="","",IF(ISBLANK(Catalog!F437),"Missing Creator; ","")&amp;IF(ISBLANK(Catalog!K437),"Missing Type; ","")&amp;IF(ISBLANK(Catalog!L437),"Missing Genre; ","")&amp;IF(ISBLANK(Catalog!W437),"Missing Location Type; ","")&amp;IF(ISBLANK(Catalog!X437),"Missing Location Identifier; ","")&amp;IF(AND(Catalog!S437&lt;&gt;"",COUNTIF(Catalog!$S$2:$S$501,Catalog!S437)&gt;1),"Duplicate ISBN; ","")&amp;IF(AND(Catalog!B437&lt;&gt;"",COUNTIF(Catalog!$B$2:$B$501,Catalog!B437)&gt;1),"Duplicate Accession; ",""))</f>
        <v/>
      </c>
    </row>
    <row r="463" spans="1:3" x14ac:dyDescent="0.25">
      <c r="A463" s="16" t="str">
        <f>Catalog!A438</f>
        <v/>
      </c>
      <c r="B463" s="16">
        <f>Catalog!D438</f>
        <v>0</v>
      </c>
      <c r="C463" s="17" t="str">
        <f>IF(Catalog!D438="","",IF(ISBLANK(Catalog!F438),"Missing Creator; ","")&amp;IF(ISBLANK(Catalog!K438),"Missing Type; ","")&amp;IF(ISBLANK(Catalog!L438),"Missing Genre; ","")&amp;IF(ISBLANK(Catalog!W438),"Missing Location Type; ","")&amp;IF(ISBLANK(Catalog!X438),"Missing Location Identifier; ","")&amp;IF(AND(Catalog!S438&lt;&gt;"",COUNTIF(Catalog!$S$2:$S$501,Catalog!S438)&gt;1),"Duplicate ISBN; ","")&amp;IF(AND(Catalog!B438&lt;&gt;"",COUNTIF(Catalog!$B$2:$B$501,Catalog!B438)&gt;1),"Duplicate Accession; ",""))</f>
        <v/>
      </c>
    </row>
    <row r="464" spans="1:3" x14ac:dyDescent="0.25">
      <c r="A464" s="16" t="str">
        <f>Catalog!A439</f>
        <v/>
      </c>
      <c r="B464" s="16">
        <f>Catalog!D439</f>
        <v>0</v>
      </c>
      <c r="C464" s="17" t="str">
        <f>IF(Catalog!D439="","",IF(ISBLANK(Catalog!F439),"Missing Creator; ","")&amp;IF(ISBLANK(Catalog!K439),"Missing Type; ","")&amp;IF(ISBLANK(Catalog!L439),"Missing Genre; ","")&amp;IF(ISBLANK(Catalog!W439),"Missing Location Type; ","")&amp;IF(ISBLANK(Catalog!X439),"Missing Location Identifier; ","")&amp;IF(AND(Catalog!S439&lt;&gt;"",COUNTIF(Catalog!$S$2:$S$501,Catalog!S439)&gt;1),"Duplicate ISBN; ","")&amp;IF(AND(Catalog!B439&lt;&gt;"",COUNTIF(Catalog!$B$2:$B$501,Catalog!B439)&gt;1),"Duplicate Accession; ",""))</f>
        <v/>
      </c>
    </row>
    <row r="465" spans="1:3" x14ac:dyDescent="0.25">
      <c r="A465" s="16" t="str">
        <f>Catalog!A440</f>
        <v/>
      </c>
      <c r="B465" s="16">
        <f>Catalog!D440</f>
        <v>0</v>
      </c>
      <c r="C465" s="17" t="str">
        <f>IF(Catalog!D440="","",IF(ISBLANK(Catalog!F440),"Missing Creator; ","")&amp;IF(ISBLANK(Catalog!K440),"Missing Type; ","")&amp;IF(ISBLANK(Catalog!L440),"Missing Genre; ","")&amp;IF(ISBLANK(Catalog!W440),"Missing Location Type; ","")&amp;IF(ISBLANK(Catalog!X440),"Missing Location Identifier; ","")&amp;IF(AND(Catalog!S440&lt;&gt;"",COUNTIF(Catalog!$S$2:$S$501,Catalog!S440)&gt;1),"Duplicate ISBN; ","")&amp;IF(AND(Catalog!B440&lt;&gt;"",COUNTIF(Catalog!$B$2:$B$501,Catalog!B440)&gt;1),"Duplicate Accession; ",""))</f>
        <v/>
      </c>
    </row>
    <row r="466" spans="1:3" x14ac:dyDescent="0.25">
      <c r="A466" s="16" t="str">
        <f>Catalog!A441</f>
        <v/>
      </c>
      <c r="B466" s="16">
        <f>Catalog!D441</f>
        <v>0</v>
      </c>
      <c r="C466" s="17" t="str">
        <f>IF(Catalog!D441="","",IF(ISBLANK(Catalog!F441),"Missing Creator; ","")&amp;IF(ISBLANK(Catalog!K441),"Missing Type; ","")&amp;IF(ISBLANK(Catalog!L441),"Missing Genre; ","")&amp;IF(ISBLANK(Catalog!W441),"Missing Location Type; ","")&amp;IF(ISBLANK(Catalog!X441),"Missing Location Identifier; ","")&amp;IF(AND(Catalog!S441&lt;&gt;"",COUNTIF(Catalog!$S$2:$S$501,Catalog!S441)&gt;1),"Duplicate ISBN; ","")&amp;IF(AND(Catalog!B441&lt;&gt;"",COUNTIF(Catalog!$B$2:$B$501,Catalog!B441)&gt;1),"Duplicate Accession; ",""))</f>
        <v/>
      </c>
    </row>
    <row r="467" spans="1:3" x14ac:dyDescent="0.25">
      <c r="A467" s="16" t="str">
        <f>Catalog!A442</f>
        <v/>
      </c>
      <c r="B467" s="16">
        <f>Catalog!D442</f>
        <v>0</v>
      </c>
      <c r="C467" s="17" t="str">
        <f>IF(Catalog!D442="","",IF(ISBLANK(Catalog!F442),"Missing Creator; ","")&amp;IF(ISBLANK(Catalog!K442),"Missing Type; ","")&amp;IF(ISBLANK(Catalog!L442),"Missing Genre; ","")&amp;IF(ISBLANK(Catalog!W442),"Missing Location Type; ","")&amp;IF(ISBLANK(Catalog!X442),"Missing Location Identifier; ","")&amp;IF(AND(Catalog!S442&lt;&gt;"",COUNTIF(Catalog!$S$2:$S$501,Catalog!S442)&gt;1),"Duplicate ISBN; ","")&amp;IF(AND(Catalog!B442&lt;&gt;"",COUNTIF(Catalog!$B$2:$B$501,Catalog!B442)&gt;1),"Duplicate Accession; ",""))</f>
        <v/>
      </c>
    </row>
    <row r="468" spans="1:3" x14ac:dyDescent="0.25">
      <c r="A468" s="16" t="str">
        <f>Catalog!A443</f>
        <v/>
      </c>
      <c r="B468" s="16">
        <f>Catalog!D443</f>
        <v>0</v>
      </c>
      <c r="C468" s="17" t="str">
        <f>IF(Catalog!D443="","",IF(ISBLANK(Catalog!F443),"Missing Creator; ","")&amp;IF(ISBLANK(Catalog!K443),"Missing Type; ","")&amp;IF(ISBLANK(Catalog!L443),"Missing Genre; ","")&amp;IF(ISBLANK(Catalog!W443),"Missing Location Type; ","")&amp;IF(ISBLANK(Catalog!X443),"Missing Location Identifier; ","")&amp;IF(AND(Catalog!S443&lt;&gt;"",COUNTIF(Catalog!$S$2:$S$501,Catalog!S443)&gt;1),"Duplicate ISBN; ","")&amp;IF(AND(Catalog!B443&lt;&gt;"",COUNTIF(Catalog!$B$2:$B$501,Catalog!B443)&gt;1),"Duplicate Accession; ",""))</f>
        <v/>
      </c>
    </row>
    <row r="469" spans="1:3" x14ac:dyDescent="0.25">
      <c r="A469" s="16" t="str">
        <f>Catalog!A444</f>
        <v/>
      </c>
      <c r="B469" s="16">
        <f>Catalog!D444</f>
        <v>0</v>
      </c>
      <c r="C469" s="17" t="str">
        <f>IF(Catalog!D444="","",IF(ISBLANK(Catalog!F444),"Missing Creator; ","")&amp;IF(ISBLANK(Catalog!K444),"Missing Type; ","")&amp;IF(ISBLANK(Catalog!L444),"Missing Genre; ","")&amp;IF(ISBLANK(Catalog!W444),"Missing Location Type; ","")&amp;IF(ISBLANK(Catalog!X444),"Missing Location Identifier; ","")&amp;IF(AND(Catalog!S444&lt;&gt;"",COUNTIF(Catalog!$S$2:$S$501,Catalog!S444)&gt;1),"Duplicate ISBN; ","")&amp;IF(AND(Catalog!B444&lt;&gt;"",COUNTIF(Catalog!$B$2:$B$501,Catalog!B444)&gt;1),"Duplicate Accession; ",""))</f>
        <v/>
      </c>
    </row>
    <row r="470" spans="1:3" x14ac:dyDescent="0.25">
      <c r="A470" s="16" t="str">
        <f>Catalog!A445</f>
        <v/>
      </c>
      <c r="B470" s="16">
        <f>Catalog!D445</f>
        <v>0</v>
      </c>
      <c r="C470" s="17" t="str">
        <f>IF(Catalog!D445="","",IF(ISBLANK(Catalog!F445),"Missing Creator; ","")&amp;IF(ISBLANK(Catalog!K445),"Missing Type; ","")&amp;IF(ISBLANK(Catalog!L445),"Missing Genre; ","")&amp;IF(ISBLANK(Catalog!W445),"Missing Location Type; ","")&amp;IF(ISBLANK(Catalog!X445),"Missing Location Identifier; ","")&amp;IF(AND(Catalog!S445&lt;&gt;"",COUNTIF(Catalog!$S$2:$S$501,Catalog!S445)&gt;1),"Duplicate ISBN; ","")&amp;IF(AND(Catalog!B445&lt;&gt;"",COUNTIF(Catalog!$B$2:$B$501,Catalog!B445)&gt;1),"Duplicate Accession; ",""))</f>
        <v/>
      </c>
    </row>
    <row r="471" spans="1:3" x14ac:dyDescent="0.25">
      <c r="A471" s="16" t="str">
        <f>Catalog!A446</f>
        <v/>
      </c>
      <c r="B471" s="16">
        <f>Catalog!D446</f>
        <v>0</v>
      </c>
      <c r="C471" s="17" t="str">
        <f>IF(Catalog!D446="","",IF(ISBLANK(Catalog!F446),"Missing Creator; ","")&amp;IF(ISBLANK(Catalog!K446),"Missing Type; ","")&amp;IF(ISBLANK(Catalog!L446),"Missing Genre; ","")&amp;IF(ISBLANK(Catalog!W446),"Missing Location Type; ","")&amp;IF(ISBLANK(Catalog!X446),"Missing Location Identifier; ","")&amp;IF(AND(Catalog!S446&lt;&gt;"",COUNTIF(Catalog!$S$2:$S$501,Catalog!S446)&gt;1),"Duplicate ISBN; ","")&amp;IF(AND(Catalog!B446&lt;&gt;"",COUNTIF(Catalog!$B$2:$B$501,Catalog!B446)&gt;1),"Duplicate Accession; ",""))</f>
        <v/>
      </c>
    </row>
    <row r="472" spans="1:3" x14ac:dyDescent="0.25">
      <c r="A472" s="16" t="str">
        <f>Catalog!A447</f>
        <v/>
      </c>
      <c r="B472" s="16">
        <f>Catalog!D447</f>
        <v>0</v>
      </c>
      <c r="C472" s="17" t="str">
        <f>IF(Catalog!D447="","",IF(ISBLANK(Catalog!F447),"Missing Creator; ","")&amp;IF(ISBLANK(Catalog!K447),"Missing Type; ","")&amp;IF(ISBLANK(Catalog!L447),"Missing Genre; ","")&amp;IF(ISBLANK(Catalog!W447),"Missing Location Type; ","")&amp;IF(ISBLANK(Catalog!X447),"Missing Location Identifier; ","")&amp;IF(AND(Catalog!S447&lt;&gt;"",COUNTIF(Catalog!$S$2:$S$501,Catalog!S447)&gt;1),"Duplicate ISBN; ","")&amp;IF(AND(Catalog!B447&lt;&gt;"",COUNTIF(Catalog!$B$2:$B$501,Catalog!B447)&gt;1),"Duplicate Accession; ",""))</f>
        <v/>
      </c>
    </row>
    <row r="473" spans="1:3" x14ac:dyDescent="0.25">
      <c r="A473" s="16" t="str">
        <f>Catalog!A448</f>
        <v/>
      </c>
      <c r="B473" s="16">
        <f>Catalog!D448</f>
        <v>0</v>
      </c>
      <c r="C473" s="17" t="str">
        <f>IF(Catalog!D448="","",IF(ISBLANK(Catalog!F448),"Missing Creator; ","")&amp;IF(ISBLANK(Catalog!K448),"Missing Type; ","")&amp;IF(ISBLANK(Catalog!L448),"Missing Genre; ","")&amp;IF(ISBLANK(Catalog!W448),"Missing Location Type; ","")&amp;IF(ISBLANK(Catalog!X448),"Missing Location Identifier; ","")&amp;IF(AND(Catalog!S448&lt;&gt;"",COUNTIF(Catalog!$S$2:$S$501,Catalog!S448)&gt;1),"Duplicate ISBN; ","")&amp;IF(AND(Catalog!B448&lt;&gt;"",COUNTIF(Catalog!$B$2:$B$501,Catalog!B448)&gt;1),"Duplicate Accession; ",""))</f>
        <v/>
      </c>
    </row>
    <row r="474" spans="1:3" x14ac:dyDescent="0.25">
      <c r="A474" s="16" t="str">
        <f>Catalog!A449</f>
        <v/>
      </c>
      <c r="B474" s="16">
        <f>Catalog!D449</f>
        <v>0</v>
      </c>
      <c r="C474" s="17" t="str">
        <f>IF(Catalog!D449="","",IF(ISBLANK(Catalog!F449),"Missing Creator; ","")&amp;IF(ISBLANK(Catalog!K449),"Missing Type; ","")&amp;IF(ISBLANK(Catalog!L449),"Missing Genre; ","")&amp;IF(ISBLANK(Catalog!W449),"Missing Location Type; ","")&amp;IF(ISBLANK(Catalog!X449),"Missing Location Identifier; ","")&amp;IF(AND(Catalog!S449&lt;&gt;"",COUNTIF(Catalog!$S$2:$S$501,Catalog!S449)&gt;1),"Duplicate ISBN; ","")&amp;IF(AND(Catalog!B449&lt;&gt;"",COUNTIF(Catalog!$B$2:$B$501,Catalog!B449)&gt;1),"Duplicate Accession; ",""))</f>
        <v/>
      </c>
    </row>
    <row r="475" spans="1:3" x14ac:dyDescent="0.25">
      <c r="A475" s="16" t="str">
        <f>Catalog!A450</f>
        <v/>
      </c>
      <c r="B475" s="16">
        <f>Catalog!D450</f>
        <v>0</v>
      </c>
      <c r="C475" s="17" t="str">
        <f>IF(Catalog!D450="","",IF(ISBLANK(Catalog!F450),"Missing Creator; ","")&amp;IF(ISBLANK(Catalog!K450),"Missing Type; ","")&amp;IF(ISBLANK(Catalog!L450),"Missing Genre; ","")&amp;IF(ISBLANK(Catalog!W450),"Missing Location Type; ","")&amp;IF(ISBLANK(Catalog!X450),"Missing Location Identifier; ","")&amp;IF(AND(Catalog!S450&lt;&gt;"",COUNTIF(Catalog!$S$2:$S$501,Catalog!S450)&gt;1),"Duplicate ISBN; ","")&amp;IF(AND(Catalog!B450&lt;&gt;"",COUNTIF(Catalog!$B$2:$B$501,Catalog!B450)&gt;1),"Duplicate Accession; ",""))</f>
        <v/>
      </c>
    </row>
    <row r="476" spans="1:3" x14ac:dyDescent="0.25">
      <c r="A476" s="16" t="str">
        <f>Catalog!A451</f>
        <v/>
      </c>
      <c r="B476" s="16">
        <f>Catalog!D451</f>
        <v>0</v>
      </c>
      <c r="C476" s="17" t="str">
        <f>IF(Catalog!D451="","",IF(ISBLANK(Catalog!F451),"Missing Creator; ","")&amp;IF(ISBLANK(Catalog!K451),"Missing Type; ","")&amp;IF(ISBLANK(Catalog!L451),"Missing Genre; ","")&amp;IF(ISBLANK(Catalog!W451),"Missing Location Type; ","")&amp;IF(ISBLANK(Catalog!X451),"Missing Location Identifier; ","")&amp;IF(AND(Catalog!S451&lt;&gt;"",COUNTIF(Catalog!$S$2:$S$501,Catalog!S451)&gt;1),"Duplicate ISBN; ","")&amp;IF(AND(Catalog!B451&lt;&gt;"",COUNTIF(Catalog!$B$2:$B$501,Catalog!B451)&gt;1),"Duplicate Accession; ",""))</f>
        <v/>
      </c>
    </row>
    <row r="477" spans="1:3" x14ac:dyDescent="0.25">
      <c r="A477" s="16" t="str">
        <f>Catalog!A452</f>
        <v/>
      </c>
      <c r="B477" s="16">
        <f>Catalog!D452</f>
        <v>0</v>
      </c>
      <c r="C477" s="17" t="str">
        <f>IF(Catalog!D452="","",IF(ISBLANK(Catalog!F452),"Missing Creator; ","")&amp;IF(ISBLANK(Catalog!K452),"Missing Type; ","")&amp;IF(ISBLANK(Catalog!L452),"Missing Genre; ","")&amp;IF(ISBLANK(Catalog!W452),"Missing Location Type; ","")&amp;IF(ISBLANK(Catalog!X452),"Missing Location Identifier; ","")&amp;IF(AND(Catalog!S452&lt;&gt;"",COUNTIF(Catalog!$S$2:$S$501,Catalog!S452)&gt;1),"Duplicate ISBN; ","")&amp;IF(AND(Catalog!B452&lt;&gt;"",COUNTIF(Catalog!$B$2:$B$501,Catalog!B452)&gt;1),"Duplicate Accession; ",""))</f>
        <v/>
      </c>
    </row>
    <row r="478" spans="1:3" x14ac:dyDescent="0.25">
      <c r="A478" s="16" t="str">
        <f>Catalog!A453</f>
        <v/>
      </c>
      <c r="B478" s="16">
        <f>Catalog!D453</f>
        <v>0</v>
      </c>
      <c r="C478" s="17" t="str">
        <f>IF(Catalog!D453="","",IF(ISBLANK(Catalog!F453),"Missing Creator; ","")&amp;IF(ISBLANK(Catalog!K453),"Missing Type; ","")&amp;IF(ISBLANK(Catalog!L453),"Missing Genre; ","")&amp;IF(ISBLANK(Catalog!W453),"Missing Location Type; ","")&amp;IF(ISBLANK(Catalog!X453),"Missing Location Identifier; ","")&amp;IF(AND(Catalog!S453&lt;&gt;"",COUNTIF(Catalog!$S$2:$S$501,Catalog!S453)&gt;1),"Duplicate ISBN; ","")&amp;IF(AND(Catalog!B453&lt;&gt;"",COUNTIF(Catalog!$B$2:$B$501,Catalog!B453)&gt;1),"Duplicate Accession; ",""))</f>
        <v/>
      </c>
    </row>
    <row r="479" spans="1:3" x14ac:dyDescent="0.25">
      <c r="A479" s="16" t="str">
        <f>Catalog!A454</f>
        <v/>
      </c>
      <c r="B479" s="16">
        <f>Catalog!D454</f>
        <v>0</v>
      </c>
      <c r="C479" s="17" t="str">
        <f>IF(Catalog!D454="","",IF(ISBLANK(Catalog!F454),"Missing Creator; ","")&amp;IF(ISBLANK(Catalog!K454),"Missing Type; ","")&amp;IF(ISBLANK(Catalog!L454),"Missing Genre; ","")&amp;IF(ISBLANK(Catalog!W454),"Missing Location Type; ","")&amp;IF(ISBLANK(Catalog!X454),"Missing Location Identifier; ","")&amp;IF(AND(Catalog!S454&lt;&gt;"",COUNTIF(Catalog!$S$2:$S$501,Catalog!S454)&gt;1),"Duplicate ISBN; ","")&amp;IF(AND(Catalog!B454&lt;&gt;"",COUNTIF(Catalog!$B$2:$B$501,Catalog!B454)&gt;1),"Duplicate Accession; ",""))</f>
        <v/>
      </c>
    </row>
    <row r="480" spans="1:3" x14ac:dyDescent="0.25">
      <c r="A480" s="16" t="str">
        <f>Catalog!A455</f>
        <v/>
      </c>
      <c r="B480" s="16">
        <f>Catalog!D455</f>
        <v>0</v>
      </c>
      <c r="C480" s="17" t="str">
        <f>IF(Catalog!D455="","",IF(ISBLANK(Catalog!F455),"Missing Creator; ","")&amp;IF(ISBLANK(Catalog!K455),"Missing Type; ","")&amp;IF(ISBLANK(Catalog!L455),"Missing Genre; ","")&amp;IF(ISBLANK(Catalog!W455),"Missing Location Type; ","")&amp;IF(ISBLANK(Catalog!X455),"Missing Location Identifier; ","")&amp;IF(AND(Catalog!S455&lt;&gt;"",COUNTIF(Catalog!$S$2:$S$501,Catalog!S455)&gt;1),"Duplicate ISBN; ","")&amp;IF(AND(Catalog!B455&lt;&gt;"",COUNTIF(Catalog!$B$2:$B$501,Catalog!B455)&gt;1),"Duplicate Accession; ",""))</f>
        <v/>
      </c>
    </row>
    <row r="481" spans="1:3" x14ac:dyDescent="0.25">
      <c r="A481" s="16" t="str">
        <f>Catalog!A456</f>
        <v/>
      </c>
      <c r="B481" s="16">
        <f>Catalog!D456</f>
        <v>0</v>
      </c>
      <c r="C481" s="17" t="str">
        <f>IF(Catalog!D456="","",IF(ISBLANK(Catalog!F456),"Missing Creator; ","")&amp;IF(ISBLANK(Catalog!K456),"Missing Type; ","")&amp;IF(ISBLANK(Catalog!L456),"Missing Genre; ","")&amp;IF(ISBLANK(Catalog!W456),"Missing Location Type; ","")&amp;IF(ISBLANK(Catalog!X456),"Missing Location Identifier; ","")&amp;IF(AND(Catalog!S456&lt;&gt;"",COUNTIF(Catalog!$S$2:$S$501,Catalog!S456)&gt;1),"Duplicate ISBN; ","")&amp;IF(AND(Catalog!B456&lt;&gt;"",COUNTIF(Catalog!$B$2:$B$501,Catalog!B456)&gt;1),"Duplicate Accession; ",""))</f>
        <v/>
      </c>
    </row>
    <row r="482" spans="1:3" x14ac:dyDescent="0.25">
      <c r="A482" s="16" t="str">
        <f>Catalog!A457</f>
        <v/>
      </c>
      <c r="B482" s="16">
        <f>Catalog!D457</f>
        <v>0</v>
      </c>
      <c r="C482" s="17" t="str">
        <f>IF(Catalog!D457="","",IF(ISBLANK(Catalog!F457),"Missing Creator; ","")&amp;IF(ISBLANK(Catalog!K457),"Missing Type; ","")&amp;IF(ISBLANK(Catalog!L457),"Missing Genre; ","")&amp;IF(ISBLANK(Catalog!W457),"Missing Location Type; ","")&amp;IF(ISBLANK(Catalog!X457),"Missing Location Identifier; ","")&amp;IF(AND(Catalog!S457&lt;&gt;"",COUNTIF(Catalog!$S$2:$S$501,Catalog!S457)&gt;1),"Duplicate ISBN; ","")&amp;IF(AND(Catalog!B457&lt;&gt;"",COUNTIF(Catalog!$B$2:$B$501,Catalog!B457)&gt;1),"Duplicate Accession; ",""))</f>
        <v/>
      </c>
    </row>
    <row r="483" spans="1:3" x14ac:dyDescent="0.25">
      <c r="A483" s="16" t="str">
        <f>Catalog!A458</f>
        <v/>
      </c>
      <c r="B483" s="16">
        <f>Catalog!D458</f>
        <v>0</v>
      </c>
      <c r="C483" s="17" t="str">
        <f>IF(Catalog!D458="","",IF(ISBLANK(Catalog!F458),"Missing Creator; ","")&amp;IF(ISBLANK(Catalog!K458),"Missing Type; ","")&amp;IF(ISBLANK(Catalog!L458),"Missing Genre; ","")&amp;IF(ISBLANK(Catalog!W458),"Missing Location Type; ","")&amp;IF(ISBLANK(Catalog!X458),"Missing Location Identifier; ","")&amp;IF(AND(Catalog!S458&lt;&gt;"",COUNTIF(Catalog!$S$2:$S$501,Catalog!S458)&gt;1),"Duplicate ISBN; ","")&amp;IF(AND(Catalog!B458&lt;&gt;"",COUNTIF(Catalog!$B$2:$B$501,Catalog!B458)&gt;1),"Duplicate Accession; ",""))</f>
        <v/>
      </c>
    </row>
    <row r="484" spans="1:3" x14ac:dyDescent="0.25">
      <c r="A484" s="16" t="str">
        <f>Catalog!A459</f>
        <v/>
      </c>
      <c r="B484" s="16">
        <f>Catalog!D459</f>
        <v>0</v>
      </c>
      <c r="C484" s="17" t="str">
        <f>IF(Catalog!D459="","",IF(ISBLANK(Catalog!F459),"Missing Creator; ","")&amp;IF(ISBLANK(Catalog!K459),"Missing Type; ","")&amp;IF(ISBLANK(Catalog!L459),"Missing Genre; ","")&amp;IF(ISBLANK(Catalog!W459),"Missing Location Type; ","")&amp;IF(ISBLANK(Catalog!X459),"Missing Location Identifier; ","")&amp;IF(AND(Catalog!S459&lt;&gt;"",COUNTIF(Catalog!$S$2:$S$501,Catalog!S459)&gt;1),"Duplicate ISBN; ","")&amp;IF(AND(Catalog!B459&lt;&gt;"",COUNTIF(Catalog!$B$2:$B$501,Catalog!B459)&gt;1),"Duplicate Accession; ",""))</f>
        <v/>
      </c>
    </row>
    <row r="485" spans="1:3" x14ac:dyDescent="0.25">
      <c r="A485" s="16" t="str">
        <f>Catalog!A460</f>
        <v/>
      </c>
      <c r="B485" s="16">
        <f>Catalog!D460</f>
        <v>0</v>
      </c>
      <c r="C485" s="17" t="str">
        <f>IF(Catalog!D460="","",IF(ISBLANK(Catalog!F460),"Missing Creator; ","")&amp;IF(ISBLANK(Catalog!K460),"Missing Type; ","")&amp;IF(ISBLANK(Catalog!L460),"Missing Genre; ","")&amp;IF(ISBLANK(Catalog!W460),"Missing Location Type; ","")&amp;IF(ISBLANK(Catalog!X460),"Missing Location Identifier; ","")&amp;IF(AND(Catalog!S460&lt;&gt;"",COUNTIF(Catalog!$S$2:$S$501,Catalog!S460)&gt;1),"Duplicate ISBN; ","")&amp;IF(AND(Catalog!B460&lt;&gt;"",COUNTIF(Catalog!$B$2:$B$501,Catalog!B460)&gt;1),"Duplicate Accession; ",""))</f>
        <v/>
      </c>
    </row>
    <row r="486" spans="1:3" x14ac:dyDescent="0.25">
      <c r="A486" s="16" t="str">
        <f>Catalog!A461</f>
        <v/>
      </c>
      <c r="B486" s="16">
        <f>Catalog!D461</f>
        <v>0</v>
      </c>
      <c r="C486" s="17" t="str">
        <f>IF(Catalog!D461="","",IF(ISBLANK(Catalog!F461),"Missing Creator; ","")&amp;IF(ISBLANK(Catalog!K461),"Missing Type; ","")&amp;IF(ISBLANK(Catalog!L461),"Missing Genre; ","")&amp;IF(ISBLANK(Catalog!W461),"Missing Location Type; ","")&amp;IF(ISBLANK(Catalog!X461),"Missing Location Identifier; ","")&amp;IF(AND(Catalog!S461&lt;&gt;"",COUNTIF(Catalog!$S$2:$S$501,Catalog!S461)&gt;1),"Duplicate ISBN; ","")&amp;IF(AND(Catalog!B461&lt;&gt;"",COUNTIF(Catalog!$B$2:$B$501,Catalog!B461)&gt;1),"Duplicate Accession; ",""))</f>
        <v/>
      </c>
    </row>
    <row r="487" spans="1:3" x14ac:dyDescent="0.25">
      <c r="A487" s="16" t="str">
        <f>Catalog!A462</f>
        <v/>
      </c>
      <c r="B487" s="16">
        <f>Catalog!D462</f>
        <v>0</v>
      </c>
      <c r="C487" s="17" t="str">
        <f>IF(Catalog!D462="","",IF(ISBLANK(Catalog!F462),"Missing Creator; ","")&amp;IF(ISBLANK(Catalog!K462),"Missing Type; ","")&amp;IF(ISBLANK(Catalog!L462),"Missing Genre; ","")&amp;IF(ISBLANK(Catalog!W462),"Missing Location Type; ","")&amp;IF(ISBLANK(Catalog!X462),"Missing Location Identifier; ","")&amp;IF(AND(Catalog!S462&lt;&gt;"",COUNTIF(Catalog!$S$2:$S$501,Catalog!S462)&gt;1),"Duplicate ISBN; ","")&amp;IF(AND(Catalog!B462&lt;&gt;"",COUNTIF(Catalog!$B$2:$B$501,Catalog!B462)&gt;1),"Duplicate Accession; ",""))</f>
        <v/>
      </c>
    </row>
    <row r="488" spans="1:3" x14ac:dyDescent="0.25">
      <c r="A488" s="16" t="str">
        <f>Catalog!A463</f>
        <v/>
      </c>
      <c r="B488" s="16">
        <f>Catalog!D463</f>
        <v>0</v>
      </c>
      <c r="C488" s="17" t="str">
        <f>IF(Catalog!D463="","",IF(ISBLANK(Catalog!F463),"Missing Creator; ","")&amp;IF(ISBLANK(Catalog!K463),"Missing Type; ","")&amp;IF(ISBLANK(Catalog!L463),"Missing Genre; ","")&amp;IF(ISBLANK(Catalog!W463),"Missing Location Type; ","")&amp;IF(ISBLANK(Catalog!X463),"Missing Location Identifier; ","")&amp;IF(AND(Catalog!S463&lt;&gt;"",COUNTIF(Catalog!$S$2:$S$501,Catalog!S463)&gt;1),"Duplicate ISBN; ","")&amp;IF(AND(Catalog!B463&lt;&gt;"",COUNTIF(Catalog!$B$2:$B$501,Catalog!B463)&gt;1),"Duplicate Accession; ",""))</f>
        <v/>
      </c>
    </row>
    <row r="489" spans="1:3" x14ac:dyDescent="0.25">
      <c r="A489" s="16" t="str">
        <f>Catalog!A464</f>
        <v/>
      </c>
      <c r="B489" s="16">
        <f>Catalog!D464</f>
        <v>0</v>
      </c>
      <c r="C489" s="17" t="str">
        <f>IF(Catalog!D464="","",IF(ISBLANK(Catalog!F464),"Missing Creator; ","")&amp;IF(ISBLANK(Catalog!K464),"Missing Type; ","")&amp;IF(ISBLANK(Catalog!L464),"Missing Genre; ","")&amp;IF(ISBLANK(Catalog!W464),"Missing Location Type; ","")&amp;IF(ISBLANK(Catalog!X464),"Missing Location Identifier; ","")&amp;IF(AND(Catalog!S464&lt;&gt;"",COUNTIF(Catalog!$S$2:$S$501,Catalog!S464)&gt;1),"Duplicate ISBN; ","")&amp;IF(AND(Catalog!B464&lt;&gt;"",COUNTIF(Catalog!$B$2:$B$501,Catalog!B464)&gt;1),"Duplicate Accession; ",""))</f>
        <v/>
      </c>
    </row>
    <row r="490" spans="1:3" x14ac:dyDescent="0.25">
      <c r="A490" s="16" t="str">
        <f>Catalog!A465</f>
        <v/>
      </c>
      <c r="B490" s="16">
        <f>Catalog!D465</f>
        <v>0</v>
      </c>
      <c r="C490" s="17" t="str">
        <f>IF(Catalog!D465="","",IF(ISBLANK(Catalog!F465),"Missing Creator; ","")&amp;IF(ISBLANK(Catalog!K465),"Missing Type; ","")&amp;IF(ISBLANK(Catalog!L465),"Missing Genre; ","")&amp;IF(ISBLANK(Catalog!W465),"Missing Location Type; ","")&amp;IF(ISBLANK(Catalog!X465),"Missing Location Identifier; ","")&amp;IF(AND(Catalog!S465&lt;&gt;"",COUNTIF(Catalog!$S$2:$S$501,Catalog!S465)&gt;1),"Duplicate ISBN; ","")&amp;IF(AND(Catalog!B465&lt;&gt;"",COUNTIF(Catalog!$B$2:$B$501,Catalog!B465)&gt;1),"Duplicate Accession; ",""))</f>
        <v/>
      </c>
    </row>
    <row r="491" spans="1:3" x14ac:dyDescent="0.25">
      <c r="A491" s="16" t="str">
        <f>Catalog!A466</f>
        <v/>
      </c>
      <c r="B491" s="16">
        <f>Catalog!D466</f>
        <v>0</v>
      </c>
      <c r="C491" s="17" t="str">
        <f>IF(Catalog!D466="","",IF(ISBLANK(Catalog!F466),"Missing Creator; ","")&amp;IF(ISBLANK(Catalog!K466),"Missing Type; ","")&amp;IF(ISBLANK(Catalog!L466),"Missing Genre; ","")&amp;IF(ISBLANK(Catalog!W466),"Missing Location Type; ","")&amp;IF(ISBLANK(Catalog!X466),"Missing Location Identifier; ","")&amp;IF(AND(Catalog!S466&lt;&gt;"",COUNTIF(Catalog!$S$2:$S$501,Catalog!S466)&gt;1),"Duplicate ISBN; ","")&amp;IF(AND(Catalog!B466&lt;&gt;"",COUNTIF(Catalog!$B$2:$B$501,Catalog!B466)&gt;1),"Duplicate Accession; ",""))</f>
        <v/>
      </c>
    </row>
    <row r="492" spans="1:3" x14ac:dyDescent="0.25">
      <c r="A492" s="16" t="str">
        <f>Catalog!A467</f>
        <v/>
      </c>
      <c r="B492" s="16">
        <f>Catalog!D467</f>
        <v>0</v>
      </c>
      <c r="C492" s="17" t="str">
        <f>IF(Catalog!D467="","",IF(ISBLANK(Catalog!F467),"Missing Creator; ","")&amp;IF(ISBLANK(Catalog!K467),"Missing Type; ","")&amp;IF(ISBLANK(Catalog!L467),"Missing Genre; ","")&amp;IF(ISBLANK(Catalog!W467),"Missing Location Type; ","")&amp;IF(ISBLANK(Catalog!X467),"Missing Location Identifier; ","")&amp;IF(AND(Catalog!S467&lt;&gt;"",COUNTIF(Catalog!$S$2:$S$501,Catalog!S467)&gt;1),"Duplicate ISBN; ","")&amp;IF(AND(Catalog!B467&lt;&gt;"",COUNTIF(Catalog!$B$2:$B$501,Catalog!B467)&gt;1),"Duplicate Accession; ",""))</f>
        <v/>
      </c>
    </row>
    <row r="493" spans="1:3" x14ac:dyDescent="0.25">
      <c r="A493" s="16" t="str">
        <f>Catalog!A468</f>
        <v/>
      </c>
      <c r="B493" s="16">
        <f>Catalog!D468</f>
        <v>0</v>
      </c>
      <c r="C493" s="17" t="str">
        <f>IF(Catalog!D468="","",IF(ISBLANK(Catalog!F468),"Missing Creator; ","")&amp;IF(ISBLANK(Catalog!K468),"Missing Type; ","")&amp;IF(ISBLANK(Catalog!L468),"Missing Genre; ","")&amp;IF(ISBLANK(Catalog!W468),"Missing Location Type; ","")&amp;IF(ISBLANK(Catalog!X468),"Missing Location Identifier; ","")&amp;IF(AND(Catalog!S468&lt;&gt;"",COUNTIF(Catalog!$S$2:$S$501,Catalog!S468)&gt;1),"Duplicate ISBN; ","")&amp;IF(AND(Catalog!B468&lt;&gt;"",COUNTIF(Catalog!$B$2:$B$501,Catalog!B468)&gt;1),"Duplicate Accession; ",""))</f>
        <v/>
      </c>
    </row>
    <row r="494" spans="1:3" x14ac:dyDescent="0.25">
      <c r="A494" s="16" t="str">
        <f>Catalog!A469</f>
        <v/>
      </c>
      <c r="B494" s="16">
        <f>Catalog!D469</f>
        <v>0</v>
      </c>
      <c r="C494" s="17" t="str">
        <f>IF(Catalog!D469="","",IF(ISBLANK(Catalog!F469),"Missing Creator; ","")&amp;IF(ISBLANK(Catalog!K469),"Missing Type; ","")&amp;IF(ISBLANK(Catalog!L469),"Missing Genre; ","")&amp;IF(ISBLANK(Catalog!W469),"Missing Location Type; ","")&amp;IF(ISBLANK(Catalog!X469),"Missing Location Identifier; ","")&amp;IF(AND(Catalog!S469&lt;&gt;"",COUNTIF(Catalog!$S$2:$S$501,Catalog!S469)&gt;1),"Duplicate ISBN; ","")&amp;IF(AND(Catalog!B469&lt;&gt;"",COUNTIF(Catalog!$B$2:$B$501,Catalog!B469)&gt;1),"Duplicate Accession; ",""))</f>
        <v/>
      </c>
    </row>
    <row r="495" spans="1:3" x14ac:dyDescent="0.25">
      <c r="A495" s="16" t="str">
        <f>Catalog!A470</f>
        <v/>
      </c>
      <c r="B495" s="16">
        <f>Catalog!D470</f>
        <v>0</v>
      </c>
      <c r="C495" s="17" t="str">
        <f>IF(Catalog!D470="","",IF(ISBLANK(Catalog!F470),"Missing Creator; ","")&amp;IF(ISBLANK(Catalog!K470),"Missing Type; ","")&amp;IF(ISBLANK(Catalog!L470),"Missing Genre; ","")&amp;IF(ISBLANK(Catalog!W470),"Missing Location Type; ","")&amp;IF(ISBLANK(Catalog!X470),"Missing Location Identifier; ","")&amp;IF(AND(Catalog!S470&lt;&gt;"",COUNTIF(Catalog!$S$2:$S$501,Catalog!S470)&gt;1),"Duplicate ISBN; ","")&amp;IF(AND(Catalog!B470&lt;&gt;"",COUNTIF(Catalog!$B$2:$B$501,Catalog!B470)&gt;1),"Duplicate Accession; ",""))</f>
        <v/>
      </c>
    </row>
    <row r="496" spans="1:3" x14ac:dyDescent="0.25">
      <c r="A496" s="16" t="str">
        <f>Catalog!A471</f>
        <v/>
      </c>
      <c r="B496" s="16">
        <f>Catalog!D471</f>
        <v>0</v>
      </c>
      <c r="C496" s="17" t="str">
        <f>IF(Catalog!D471="","",IF(ISBLANK(Catalog!F471),"Missing Creator; ","")&amp;IF(ISBLANK(Catalog!K471),"Missing Type; ","")&amp;IF(ISBLANK(Catalog!L471),"Missing Genre; ","")&amp;IF(ISBLANK(Catalog!W471),"Missing Location Type; ","")&amp;IF(ISBLANK(Catalog!X471),"Missing Location Identifier; ","")&amp;IF(AND(Catalog!S471&lt;&gt;"",COUNTIF(Catalog!$S$2:$S$501,Catalog!S471)&gt;1),"Duplicate ISBN; ","")&amp;IF(AND(Catalog!B471&lt;&gt;"",COUNTIF(Catalog!$B$2:$B$501,Catalog!B471)&gt;1),"Duplicate Accession; ",""))</f>
        <v/>
      </c>
    </row>
    <row r="497" spans="1:3" x14ac:dyDescent="0.25">
      <c r="A497" s="16" t="str">
        <f>Catalog!A472</f>
        <v/>
      </c>
      <c r="B497" s="16">
        <f>Catalog!D472</f>
        <v>0</v>
      </c>
      <c r="C497" s="17" t="str">
        <f>IF(Catalog!D472="","",IF(ISBLANK(Catalog!F472),"Missing Creator; ","")&amp;IF(ISBLANK(Catalog!K472),"Missing Type; ","")&amp;IF(ISBLANK(Catalog!L472),"Missing Genre; ","")&amp;IF(ISBLANK(Catalog!W472),"Missing Location Type; ","")&amp;IF(ISBLANK(Catalog!X472),"Missing Location Identifier; ","")&amp;IF(AND(Catalog!S472&lt;&gt;"",COUNTIF(Catalog!$S$2:$S$501,Catalog!S472)&gt;1),"Duplicate ISBN; ","")&amp;IF(AND(Catalog!B472&lt;&gt;"",COUNTIF(Catalog!$B$2:$B$501,Catalog!B472)&gt;1),"Duplicate Accession; ",""))</f>
        <v/>
      </c>
    </row>
    <row r="498" spans="1:3" x14ac:dyDescent="0.25">
      <c r="A498" s="16" t="str">
        <f>Catalog!A473</f>
        <v/>
      </c>
      <c r="B498" s="16">
        <f>Catalog!D473</f>
        <v>0</v>
      </c>
      <c r="C498" s="17" t="str">
        <f>IF(Catalog!D473="","",IF(ISBLANK(Catalog!F473),"Missing Creator; ","")&amp;IF(ISBLANK(Catalog!K473),"Missing Type; ","")&amp;IF(ISBLANK(Catalog!L473),"Missing Genre; ","")&amp;IF(ISBLANK(Catalog!W473),"Missing Location Type; ","")&amp;IF(ISBLANK(Catalog!X473),"Missing Location Identifier; ","")&amp;IF(AND(Catalog!S473&lt;&gt;"",COUNTIF(Catalog!$S$2:$S$501,Catalog!S473)&gt;1),"Duplicate ISBN; ","")&amp;IF(AND(Catalog!B473&lt;&gt;"",COUNTIF(Catalog!$B$2:$B$501,Catalog!B473)&gt;1),"Duplicate Accession; ",""))</f>
        <v/>
      </c>
    </row>
    <row r="499" spans="1:3" x14ac:dyDescent="0.25">
      <c r="A499" s="16" t="str">
        <f>Catalog!A474</f>
        <v/>
      </c>
      <c r="B499" s="16">
        <f>Catalog!D474</f>
        <v>0</v>
      </c>
      <c r="C499" s="17" t="str">
        <f>IF(Catalog!D474="","",IF(ISBLANK(Catalog!F474),"Missing Creator; ","")&amp;IF(ISBLANK(Catalog!K474),"Missing Type; ","")&amp;IF(ISBLANK(Catalog!L474),"Missing Genre; ","")&amp;IF(ISBLANK(Catalog!W474),"Missing Location Type; ","")&amp;IF(ISBLANK(Catalog!X474),"Missing Location Identifier; ","")&amp;IF(AND(Catalog!S474&lt;&gt;"",COUNTIF(Catalog!$S$2:$S$501,Catalog!S474)&gt;1),"Duplicate ISBN; ","")&amp;IF(AND(Catalog!B474&lt;&gt;"",COUNTIF(Catalog!$B$2:$B$501,Catalog!B474)&gt;1),"Duplicate Accession; ",""))</f>
        <v/>
      </c>
    </row>
    <row r="500" spans="1:3" x14ac:dyDescent="0.25">
      <c r="A500" s="16" t="str">
        <f>Catalog!A475</f>
        <v/>
      </c>
      <c r="B500" s="16">
        <f>Catalog!D475</f>
        <v>0</v>
      </c>
      <c r="C500" s="17" t="str">
        <f>IF(Catalog!D475="","",IF(ISBLANK(Catalog!F475),"Missing Creator; ","")&amp;IF(ISBLANK(Catalog!K475),"Missing Type; ","")&amp;IF(ISBLANK(Catalog!L475),"Missing Genre; ","")&amp;IF(ISBLANK(Catalog!W475),"Missing Location Type; ","")&amp;IF(ISBLANK(Catalog!X475),"Missing Location Identifier; ","")&amp;IF(AND(Catalog!S475&lt;&gt;"",COUNTIF(Catalog!$S$2:$S$501,Catalog!S475)&gt;1),"Duplicate ISBN; ","")&amp;IF(AND(Catalog!B475&lt;&gt;"",COUNTIF(Catalog!$B$2:$B$501,Catalog!B475)&gt;1),"Duplicate Accession; ",""))</f>
        <v/>
      </c>
    </row>
    <row r="501" spans="1:3" x14ac:dyDescent="0.25">
      <c r="A501" s="16" t="str">
        <f>Catalog!A476</f>
        <v/>
      </c>
      <c r="B501" s="16">
        <f>Catalog!D476</f>
        <v>0</v>
      </c>
      <c r="C501" s="17" t="str">
        <f>IF(Catalog!D476="","",IF(ISBLANK(Catalog!F476),"Missing Creator; ","")&amp;IF(ISBLANK(Catalog!K476),"Missing Type; ","")&amp;IF(ISBLANK(Catalog!L476),"Missing Genre; ","")&amp;IF(ISBLANK(Catalog!W476),"Missing Location Type; ","")&amp;IF(ISBLANK(Catalog!X476),"Missing Location Identifier; ","")&amp;IF(AND(Catalog!S476&lt;&gt;"",COUNTIF(Catalog!$S$2:$S$501,Catalog!S476)&gt;1),"Duplicate ISBN; ","")&amp;IF(AND(Catalog!B476&lt;&gt;"",COUNTIF(Catalog!$B$2:$B$501,Catalog!B476)&gt;1),"Duplicate Accession; ",""))</f>
        <v/>
      </c>
    </row>
    <row r="502" spans="1:3" x14ac:dyDescent="0.25">
      <c r="A502" s="16" t="str">
        <f>Catalog!A477</f>
        <v/>
      </c>
      <c r="B502" s="16">
        <f>Catalog!D477</f>
        <v>0</v>
      </c>
      <c r="C502" s="17" t="str">
        <f>IF(Catalog!D477="","",IF(ISBLANK(Catalog!F477),"Missing Creator; ","")&amp;IF(ISBLANK(Catalog!K477),"Missing Type; ","")&amp;IF(ISBLANK(Catalog!L477),"Missing Genre; ","")&amp;IF(ISBLANK(Catalog!W477),"Missing Location Type; ","")&amp;IF(ISBLANK(Catalog!X477),"Missing Location Identifier; ","")&amp;IF(AND(Catalog!S477&lt;&gt;"",COUNTIF(Catalog!$S$2:$S$501,Catalog!S477)&gt;1),"Duplicate ISBN; ","")&amp;IF(AND(Catalog!B477&lt;&gt;"",COUNTIF(Catalog!$B$2:$B$501,Catalog!B477)&gt;1),"Duplicate Accession; ",""))</f>
        <v/>
      </c>
    </row>
    <row r="503" spans="1:3" x14ac:dyDescent="0.25">
      <c r="A503" s="16" t="str">
        <f>Catalog!A478</f>
        <v/>
      </c>
      <c r="B503" s="16">
        <f>Catalog!D478</f>
        <v>0</v>
      </c>
      <c r="C503" s="17" t="str">
        <f>IF(Catalog!D478="","",IF(ISBLANK(Catalog!F478),"Missing Creator; ","")&amp;IF(ISBLANK(Catalog!K478),"Missing Type; ","")&amp;IF(ISBLANK(Catalog!L478),"Missing Genre; ","")&amp;IF(ISBLANK(Catalog!W478),"Missing Location Type; ","")&amp;IF(ISBLANK(Catalog!X478),"Missing Location Identifier; ","")&amp;IF(AND(Catalog!S478&lt;&gt;"",COUNTIF(Catalog!$S$2:$S$501,Catalog!S478)&gt;1),"Duplicate ISBN; ","")&amp;IF(AND(Catalog!B478&lt;&gt;"",COUNTIF(Catalog!$B$2:$B$501,Catalog!B478)&gt;1),"Duplicate Accession; ",""))</f>
        <v/>
      </c>
    </row>
    <row r="504" spans="1:3" x14ac:dyDescent="0.25">
      <c r="A504" s="16" t="str">
        <f>Catalog!A479</f>
        <v/>
      </c>
      <c r="B504" s="16">
        <f>Catalog!D479</f>
        <v>0</v>
      </c>
      <c r="C504" s="17" t="str">
        <f>IF(Catalog!D479="","",IF(ISBLANK(Catalog!F479),"Missing Creator; ","")&amp;IF(ISBLANK(Catalog!K479),"Missing Type; ","")&amp;IF(ISBLANK(Catalog!L479),"Missing Genre; ","")&amp;IF(ISBLANK(Catalog!W479),"Missing Location Type; ","")&amp;IF(ISBLANK(Catalog!X479),"Missing Location Identifier; ","")&amp;IF(AND(Catalog!S479&lt;&gt;"",COUNTIF(Catalog!$S$2:$S$501,Catalog!S479)&gt;1),"Duplicate ISBN; ","")&amp;IF(AND(Catalog!B479&lt;&gt;"",COUNTIF(Catalog!$B$2:$B$501,Catalog!B479)&gt;1),"Duplicate Accession; ",""))</f>
        <v/>
      </c>
    </row>
    <row r="505" spans="1:3" x14ac:dyDescent="0.25">
      <c r="A505" s="16" t="str">
        <f>Catalog!A480</f>
        <v/>
      </c>
      <c r="B505" s="16">
        <f>Catalog!D480</f>
        <v>0</v>
      </c>
      <c r="C505" s="17" t="str">
        <f>IF(Catalog!D480="","",IF(ISBLANK(Catalog!F480),"Missing Creator; ","")&amp;IF(ISBLANK(Catalog!K480),"Missing Type; ","")&amp;IF(ISBLANK(Catalog!L480),"Missing Genre; ","")&amp;IF(ISBLANK(Catalog!W480),"Missing Location Type; ","")&amp;IF(ISBLANK(Catalog!X480),"Missing Location Identifier; ","")&amp;IF(AND(Catalog!S480&lt;&gt;"",COUNTIF(Catalog!$S$2:$S$501,Catalog!S480)&gt;1),"Duplicate ISBN; ","")&amp;IF(AND(Catalog!B480&lt;&gt;"",COUNTIF(Catalog!$B$2:$B$501,Catalog!B480)&gt;1),"Duplicate Accession; ",""))</f>
        <v/>
      </c>
    </row>
    <row r="506" spans="1:3" x14ac:dyDescent="0.25">
      <c r="A506" s="16" t="str">
        <f>Catalog!A481</f>
        <v/>
      </c>
      <c r="B506" s="16">
        <f>Catalog!D481</f>
        <v>0</v>
      </c>
      <c r="C506" s="17" t="str">
        <f>IF(Catalog!D481="","",IF(ISBLANK(Catalog!F481),"Missing Creator; ","")&amp;IF(ISBLANK(Catalog!K481),"Missing Type; ","")&amp;IF(ISBLANK(Catalog!L481),"Missing Genre; ","")&amp;IF(ISBLANK(Catalog!W481),"Missing Location Type; ","")&amp;IF(ISBLANK(Catalog!X481),"Missing Location Identifier; ","")&amp;IF(AND(Catalog!S481&lt;&gt;"",COUNTIF(Catalog!$S$2:$S$501,Catalog!S481)&gt;1),"Duplicate ISBN; ","")&amp;IF(AND(Catalog!B481&lt;&gt;"",COUNTIF(Catalog!$B$2:$B$501,Catalog!B481)&gt;1),"Duplicate Accession; ",""))</f>
        <v/>
      </c>
    </row>
    <row r="507" spans="1:3" x14ac:dyDescent="0.25">
      <c r="A507" s="16" t="str">
        <f>Catalog!A482</f>
        <v/>
      </c>
      <c r="B507" s="16">
        <f>Catalog!D482</f>
        <v>0</v>
      </c>
      <c r="C507" s="17" t="str">
        <f>IF(Catalog!D482="","",IF(ISBLANK(Catalog!F482),"Missing Creator; ","")&amp;IF(ISBLANK(Catalog!K482),"Missing Type; ","")&amp;IF(ISBLANK(Catalog!L482),"Missing Genre; ","")&amp;IF(ISBLANK(Catalog!W482),"Missing Location Type; ","")&amp;IF(ISBLANK(Catalog!X482),"Missing Location Identifier; ","")&amp;IF(AND(Catalog!S482&lt;&gt;"",COUNTIF(Catalog!$S$2:$S$501,Catalog!S482)&gt;1),"Duplicate ISBN; ","")&amp;IF(AND(Catalog!B482&lt;&gt;"",COUNTIF(Catalog!$B$2:$B$501,Catalog!B482)&gt;1),"Duplicate Accession; ",""))</f>
        <v/>
      </c>
    </row>
    <row r="508" spans="1:3" x14ac:dyDescent="0.25">
      <c r="A508" s="16" t="str">
        <f>Catalog!A483</f>
        <v/>
      </c>
      <c r="B508" s="16">
        <f>Catalog!D483</f>
        <v>0</v>
      </c>
      <c r="C508" s="17" t="str">
        <f>IF(Catalog!D483="","",IF(ISBLANK(Catalog!F483),"Missing Creator; ","")&amp;IF(ISBLANK(Catalog!K483),"Missing Type; ","")&amp;IF(ISBLANK(Catalog!L483),"Missing Genre; ","")&amp;IF(ISBLANK(Catalog!W483),"Missing Location Type; ","")&amp;IF(ISBLANK(Catalog!X483),"Missing Location Identifier; ","")&amp;IF(AND(Catalog!S483&lt;&gt;"",COUNTIF(Catalog!$S$2:$S$501,Catalog!S483)&gt;1),"Duplicate ISBN; ","")&amp;IF(AND(Catalog!B483&lt;&gt;"",COUNTIF(Catalog!$B$2:$B$501,Catalog!B483)&gt;1),"Duplicate Accession; ",""))</f>
        <v/>
      </c>
    </row>
    <row r="509" spans="1:3" x14ac:dyDescent="0.25">
      <c r="A509" s="16" t="str">
        <f>Catalog!A484</f>
        <v/>
      </c>
      <c r="B509" s="16">
        <f>Catalog!D484</f>
        <v>0</v>
      </c>
      <c r="C509" s="17" t="str">
        <f>IF(Catalog!D484="","",IF(ISBLANK(Catalog!F484),"Missing Creator; ","")&amp;IF(ISBLANK(Catalog!K484),"Missing Type; ","")&amp;IF(ISBLANK(Catalog!L484),"Missing Genre; ","")&amp;IF(ISBLANK(Catalog!W484),"Missing Location Type; ","")&amp;IF(ISBLANK(Catalog!X484),"Missing Location Identifier; ","")&amp;IF(AND(Catalog!S484&lt;&gt;"",COUNTIF(Catalog!$S$2:$S$501,Catalog!S484)&gt;1),"Duplicate ISBN; ","")&amp;IF(AND(Catalog!B484&lt;&gt;"",COUNTIF(Catalog!$B$2:$B$501,Catalog!B484)&gt;1),"Duplicate Accession; ",""))</f>
        <v/>
      </c>
    </row>
    <row r="510" spans="1:3" x14ac:dyDescent="0.25">
      <c r="A510" s="16" t="str">
        <f>Catalog!A485</f>
        <v/>
      </c>
      <c r="B510" s="16">
        <f>Catalog!D485</f>
        <v>0</v>
      </c>
      <c r="C510" s="17" t="str">
        <f>IF(Catalog!D485="","",IF(ISBLANK(Catalog!F485),"Missing Creator; ","")&amp;IF(ISBLANK(Catalog!K485),"Missing Type; ","")&amp;IF(ISBLANK(Catalog!L485),"Missing Genre; ","")&amp;IF(ISBLANK(Catalog!W485),"Missing Location Type; ","")&amp;IF(ISBLANK(Catalog!X485),"Missing Location Identifier; ","")&amp;IF(AND(Catalog!S485&lt;&gt;"",COUNTIF(Catalog!$S$2:$S$501,Catalog!S485)&gt;1),"Duplicate ISBN; ","")&amp;IF(AND(Catalog!B485&lt;&gt;"",COUNTIF(Catalog!$B$2:$B$501,Catalog!B485)&gt;1),"Duplicate Accession; ",""))</f>
        <v/>
      </c>
    </row>
    <row r="511" spans="1:3" x14ac:dyDescent="0.25">
      <c r="A511" s="16" t="str">
        <f>Catalog!A486</f>
        <v/>
      </c>
      <c r="B511" s="16">
        <f>Catalog!D486</f>
        <v>0</v>
      </c>
      <c r="C511" s="17" t="str">
        <f>IF(Catalog!D486="","",IF(ISBLANK(Catalog!F486),"Missing Creator; ","")&amp;IF(ISBLANK(Catalog!K486),"Missing Type; ","")&amp;IF(ISBLANK(Catalog!L486),"Missing Genre; ","")&amp;IF(ISBLANK(Catalog!W486),"Missing Location Type; ","")&amp;IF(ISBLANK(Catalog!X486),"Missing Location Identifier; ","")&amp;IF(AND(Catalog!S486&lt;&gt;"",COUNTIF(Catalog!$S$2:$S$501,Catalog!S486)&gt;1),"Duplicate ISBN; ","")&amp;IF(AND(Catalog!B486&lt;&gt;"",COUNTIF(Catalog!$B$2:$B$501,Catalog!B486)&gt;1),"Duplicate Accession; ",""))</f>
        <v/>
      </c>
    </row>
    <row r="512" spans="1:3" x14ac:dyDescent="0.25">
      <c r="A512" s="16" t="str">
        <f>Catalog!A487</f>
        <v/>
      </c>
      <c r="B512" s="16">
        <f>Catalog!D487</f>
        <v>0</v>
      </c>
      <c r="C512" s="17" t="str">
        <f>IF(Catalog!D487="","",IF(ISBLANK(Catalog!F487),"Missing Creator; ","")&amp;IF(ISBLANK(Catalog!K487),"Missing Type; ","")&amp;IF(ISBLANK(Catalog!L487),"Missing Genre; ","")&amp;IF(ISBLANK(Catalog!W487),"Missing Location Type; ","")&amp;IF(ISBLANK(Catalog!X487),"Missing Location Identifier; ","")&amp;IF(AND(Catalog!S487&lt;&gt;"",COUNTIF(Catalog!$S$2:$S$501,Catalog!S487)&gt;1),"Duplicate ISBN; ","")&amp;IF(AND(Catalog!B487&lt;&gt;"",COUNTIF(Catalog!$B$2:$B$501,Catalog!B487)&gt;1),"Duplicate Accession; ",""))</f>
        <v/>
      </c>
    </row>
    <row r="513" spans="1:3" x14ac:dyDescent="0.25">
      <c r="A513" s="16" t="str">
        <f>Catalog!A488</f>
        <v/>
      </c>
      <c r="B513" s="16">
        <f>Catalog!D488</f>
        <v>0</v>
      </c>
      <c r="C513" s="17" t="str">
        <f>IF(Catalog!D488="","",IF(ISBLANK(Catalog!F488),"Missing Creator; ","")&amp;IF(ISBLANK(Catalog!K488),"Missing Type; ","")&amp;IF(ISBLANK(Catalog!L488),"Missing Genre; ","")&amp;IF(ISBLANK(Catalog!W488),"Missing Location Type; ","")&amp;IF(ISBLANK(Catalog!X488),"Missing Location Identifier; ","")&amp;IF(AND(Catalog!S488&lt;&gt;"",COUNTIF(Catalog!$S$2:$S$501,Catalog!S488)&gt;1),"Duplicate ISBN; ","")&amp;IF(AND(Catalog!B488&lt;&gt;"",COUNTIF(Catalog!$B$2:$B$501,Catalog!B488)&gt;1),"Duplicate Accession; ",""))</f>
        <v/>
      </c>
    </row>
    <row r="514" spans="1:3" x14ac:dyDescent="0.25">
      <c r="A514" s="16" t="str">
        <f>Catalog!A489</f>
        <v/>
      </c>
      <c r="B514" s="16">
        <f>Catalog!D489</f>
        <v>0</v>
      </c>
      <c r="C514" s="17" t="str">
        <f>IF(Catalog!D489="","",IF(ISBLANK(Catalog!F489),"Missing Creator; ","")&amp;IF(ISBLANK(Catalog!K489),"Missing Type; ","")&amp;IF(ISBLANK(Catalog!L489),"Missing Genre; ","")&amp;IF(ISBLANK(Catalog!W489),"Missing Location Type; ","")&amp;IF(ISBLANK(Catalog!X489),"Missing Location Identifier; ","")&amp;IF(AND(Catalog!S489&lt;&gt;"",COUNTIF(Catalog!$S$2:$S$501,Catalog!S489)&gt;1),"Duplicate ISBN; ","")&amp;IF(AND(Catalog!B489&lt;&gt;"",COUNTIF(Catalog!$B$2:$B$501,Catalog!B489)&gt;1),"Duplicate Accession; ",""))</f>
        <v/>
      </c>
    </row>
    <row r="515" spans="1:3" x14ac:dyDescent="0.25">
      <c r="A515" s="16" t="str">
        <f>Catalog!A490</f>
        <v/>
      </c>
      <c r="B515" s="16">
        <f>Catalog!D490</f>
        <v>0</v>
      </c>
      <c r="C515" s="17" t="str">
        <f>IF(Catalog!D490="","",IF(ISBLANK(Catalog!F490),"Missing Creator; ","")&amp;IF(ISBLANK(Catalog!K490),"Missing Type; ","")&amp;IF(ISBLANK(Catalog!L490),"Missing Genre; ","")&amp;IF(ISBLANK(Catalog!W490),"Missing Location Type; ","")&amp;IF(ISBLANK(Catalog!X490),"Missing Location Identifier; ","")&amp;IF(AND(Catalog!S490&lt;&gt;"",COUNTIF(Catalog!$S$2:$S$501,Catalog!S490)&gt;1),"Duplicate ISBN; ","")&amp;IF(AND(Catalog!B490&lt;&gt;"",COUNTIF(Catalog!$B$2:$B$501,Catalog!B490)&gt;1),"Duplicate Accession; ",""))</f>
        <v/>
      </c>
    </row>
    <row r="516" spans="1:3" x14ac:dyDescent="0.25">
      <c r="A516" s="16" t="str">
        <f>Catalog!A491</f>
        <v/>
      </c>
      <c r="B516" s="16">
        <f>Catalog!D491</f>
        <v>0</v>
      </c>
      <c r="C516" s="17" t="str">
        <f>IF(Catalog!D491="","",IF(ISBLANK(Catalog!F491),"Missing Creator; ","")&amp;IF(ISBLANK(Catalog!K491),"Missing Type; ","")&amp;IF(ISBLANK(Catalog!L491),"Missing Genre; ","")&amp;IF(ISBLANK(Catalog!W491),"Missing Location Type; ","")&amp;IF(ISBLANK(Catalog!X491),"Missing Location Identifier; ","")&amp;IF(AND(Catalog!S491&lt;&gt;"",COUNTIF(Catalog!$S$2:$S$501,Catalog!S491)&gt;1),"Duplicate ISBN; ","")&amp;IF(AND(Catalog!B491&lt;&gt;"",COUNTIF(Catalog!$B$2:$B$501,Catalog!B491)&gt;1),"Duplicate Accession; ",""))</f>
        <v/>
      </c>
    </row>
    <row r="517" spans="1:3" x14ac:dyDescent="0.25">
      <c r="A517" s="16" t="str">
        <f>Catalog!A492</f>
        <v/>
      </c>
      <c r="B517" s="16">
        <f>Catalog!D492</f>
        <v>0</v>
      </c>
      <c r="C517" s="17" t="str">
        <f>IF(Catalog!D492="","",IF(ISBLANK(Catalog!F492),"Missing Creator; ","")&amp;IF(ISBLANK(Catalog!K492),"Missing Type; ","")&amp;IF(ISBLANK(Catalog!L492),"Missing Genre; ","")&amp;IF(ISBLANK(Catalog!W492),"Missing Location Type; ","")&amp;IF(ISBLANK(Catalog!X492),"Missing Location Identifier; ","")&amp;IF(AND(Catalog!S492&lt;&gt;"",COUNTIF(Catalog!$S$2:$S$501,Catalog!S492)&gt;1),"Duplicate ISBN; ","")&amp;IF(AND(Catalog!B492&lt;&gt;"",COUNTIF(Catalog!$B$2:$B$501,Catalog!B492)&gt;1),"Duplicate Accession; ",""))</f>
        <v/>
      </c>
    </row>
    <row r="518" spans="1:3" x14ac:dyDescent="0.25">
      <c r="A518" s="16" t="str">
        <f>Catalog!A493</f>
        <v/>
      </c>
      <c r="B518" s="16">
        <f>Catalog!D493</f>
        <v>0</v>
      </c>
      <c r="C518" s="17" t="str">
        <f>IF(Catalog!D493="","",IF(ISBLANK(Catalog!F493),"Missing Creator; ","")&amp;IF(ISBLANK(Catalog!K493),"Missing Type; ","")&amp;IF(ISBLANK(Catalog!L493),"Missing Genre; ","")&amp;IF(ISBLANK(Catalog!W493),"Missing Location Type; ","")&amp;IF(ISBLANK(Catalog!X493),"Missing Location Identifier; ","")&amp;IF(AND(Catalog!S493&lt;&gt;"",COUNTIF(Catalog!$S$2:$S$501,Catalog!S493)&gt;1),"Duplicate ISBN; ","")&amp;IF(AND(Catalog!B493&lt;&gt;"",COUNTIF(Catalog!$B$2:$B$501,Catalog!B493)&gt;1),"Duplicate Accession; ",""))</f>
        <v/>
      </c>
    </row>
    <row r="519" spans="1:3" x14ac:dyDescent="0.25">
      <c r="A519" s="16" t="str">
        <f>Catalog!A494</f>
        <v/>
      </c>
      <c r="B519" s="16">
        <f>Catalog!D494</f>
        <v>0</v>
      </c>
      <c r="C519" s="17" t="str">
        <f>IF(Catalog!D494="","",IF(ISBLANK(Catalog!F494),"Missing Creator; ","")&amp;IF(ISBLANK(Catalog!K494),"Missing Type; ","")&amp;IF(ISBLANK(Catalog!L494),"Missing Genre; ","")&amp;IF(ISBLANK(Catalog!W494),"Missing Location Type; ","")&amp;IF(ISBLANK(Catalog!X494),"Missing Location Identifier; ","")&amp;IF(AND(Catalog!S494&lt;&gt;"",COUNTIF(Catalog!$S$2:$S$501,Catalog!S494)&gt;1),"Duplicate ISBN; ","")&amp;IF(AND(Catalog!B494&lt;&gt;"",COUNTIF(Catalog!$B$2:$B$501,Catalog!B494)&gt;1),"Duplicate Accession; ",""))</f>
        <v/>
      </c>
    </row>
    <row r="520" spans="1:3" x14ac:dyDescent="0.25">
      <c r="A520" s="16" t="str">
        <f>Catalog!A495</f>
        <v/>
      </c>
      <c r="B520" s="16">
        <f>Catalog!D495</f>
        <v>0</v>
      </c>
      <c r="C520" s="17" t="str">
        <f>IF(Catalog!D495="","",IF(ISBLANK(Catalog!F495),"Missing Creator; ","")&amp;IF(ISBLANK(Catalog!K495),"Missing Type; ","")&amp;IF(ISBLANK(Catalog!L495),"Missing Genre; ","")&amp;IF(ISBLANK(Catalog!W495),"Missing Location Type; ","")&amp;IF(ISBLANK(Catalog!X495),"Missing Location Identifier; ","")&amp;IF(AND(Catalog!S495&lt;&gt;"",COUNTIF(Catalog!$S$2:$S$501,Catalog!S495)&gt;1),"Duplicate ISBN; ","")&amp;IF(AND(Catalog!B495&lt;&gt;"",COUNTIF(Catalog!$B$2:$B$501,Catalog!B495)&gt;1),"Duplicate Accession; ",""))</f>
        <v/>
      </c>
    </row>
    <row r="521" spans="1:3" x14ac:dyDescent="0.25">
      <c r="A521" s="16" t="str">
        <f>Catalog!A496</f>
        <v/>
      </c>
      <c r="B521" s="16">
        <f>Catalog!D496</f>
        <v>0</v>
      </c>
      <c r="C521" s="17" t="str">
        <f>IF(Catalog!D496="","",IF(ISBLANK(Catalog!F496),"Missing Creator; ","")&amp;IF(ISBLANK(Catalog!K496),"Missing Type; ","")&amp;IF(ISBLANK(Catalog!L496),"Missing Genre; ","")&amp;IF(ISBLANK(Catalog!W496),"Missing Location Type; ","")&amp;IF(ISBLANK(Catalog!X496),"Missing Location Identifier; ","")&amp;IF(AND(Catalog!S496&lt;&gt;"",COUNTIF(Catalog!$S$2:$S$501,Catalog!S496)&gt;1),"Duplicate ISBN; ","")&amp;IF(AND(Catalog!B496&lt;&gt;"",COUNTIF(Catalog!$B$2:$B$501,Catalog!B496)&gt;1),"Duplicate Accession; ",""))</f>
        <v/>
      </c>
    </row>
    <row r="522" spans="1:3" x14ac:dyDescent="0.25">
      <c r="A522" s="16" t="str">
        <f>Catalog!A497</f>
        <v/>
      </c>
      <c r="B522" s="16">
        <f>Catalog!D497</f>
        <v>0</v>
      </c>
      <c r="C522" s="17" t="str">
        <f>IF(Catalog!D497="","",IF(ISBLANK(Catalog!F497),"Missing Creator; ","")&amp;IF(ISBLANK(Catalog!K497),"Missing Type; ","")&amp;IF(ISBLANK(Catalog!L497),"Missing Genre; ","")&amp;IF(ISBLANK(Catalog!W497),"Missing Location Type; ","")&amp;IF(ISBLANK(Catalog!X497),"Missing Location Identifier; ","")&amp;IF(AND(Catalog!S497&lt;&gt;"",COUNTIF(Catalog!$S$2:$S$501,Catalog!S497)&gt;1),"Duplicate ISBN; ","")&amp;IF(AND(Catalog!B497&lt;&gt;"",COUNTIF(Catalog!$B$2:$B$501,Catalog!B497)&gt;1),"Duplicate Accession; ",""))</f>
        <v/>
      </c>
    </row>
    <row r="523" spans="1:3" x14ac:dyDescent="0.25">
      <c r="A523" s="16" t="str">
        <f>Catalog!A498</f>
        <v/>
      </c>
      <c r="B523" s="16">
        <f>Catalog!D498</f>
        <v>0</v>
      </c>
      <c r="C523" s="17" t="str">
        <f>IF(Catalog!D498="","",IF(ISBLANK(Catalog!F498),"Missing Creator; ","")&amp;IF(ISBLANK(Catalog!K498),"Missing Type; ","")&amp;IF(ISBLANK(Catalog!L498),"Missing Genre; ","")&amp;IF(ISBLANK(Catalog!W498),"Missing Location Type; ","")&amp;IF(ISBLANK(Catalog!X498),"Missing Location Identifier; ","")&amp;IF(AND(Catalog!S498&lt;&gt;"",COUNTIF(Catalog!$S$2:$S$501,Catalog!S498)&gt;1),"Duplicate ISBN; ","")&amp;IF(AND(Catalog!B498&lt;&gt;"",COUNTIF(Catalog!$B$2:$B$501,Catalog!B498)&gt;1),"Duplicate Accession; ",""))</f>
        <v/>
      </c>
    </row>
    <row r="524" spans="1:3" x14ac:dyDescent="0.25">
      <c r="A524" s="16" t="str">
        <f>Catalog!A499</f>
        <v/>
      </c>
      <c r="B524" s="16">
        <f>Catalog!D499</f>
        <v>0</v>
      </c>
      <c r="C524" s="17" t="str">
        <f>IF(Catalog!D499="","",IF(ISBLANK(Catalog!F499),"Missing Creator; ","")&amp;IF(ISBLANK(Catalog!K499),"Missing Type; ","")&amp;IF(ISBLANK(Catalog!L499),"Missing Genre; ","")&amp;IF(ISBLANK(Catalog!W499),"Missing Location Type; ","")&amp;IF(ISBLANK(Catalog!X499),"Missing Location Identifier; ","")&amp;IF(AND(Catalog!S499&lt;&gt;"",COUNTIF(Catalog!$S$2:$S$501,Catalog!S499)&gt;1),"Duplicate ISBN; ","")&amp;IF(AND(Catalog!B499&lt;&gt;"",COUNTIF(Catalog!$B$2:$B$501,Catalog!B499)&gt;1),"Duplicate Accession; ",""))</f>
        <v/>
      </c>
    </row>
    <row r="525" spans="1:3" x14ac:dyDescent="0.25">
      <c r="A525" s="16" t="str">
        <f>Catalog!A500</f>
        <v/>
      </c>
      <c r="B525" s="16">
        <f>Catalog!D500</f>
        <v>0</v>
      </c>
      <c r="C525" s="17" t="str">
        <f>IF(Catalog!D500="","",IF(ISBLANK(Catalog!F500),"Missing Creator; ","")&amp;IF(ISBLANK(Catalog!K500),"Missing Type; ","")&amp;IF(ISBLANK(Catalog!L500),"Missing Genre; ","")&amp;IF(ISBLANK(Catalog!W500),"Missing Location Type; ","")&amp;IF(ISBLANK(Catalog!X500),"Missing Location Identifier; ","")&amp;IF(AND(Catalog!S500&lt;&gt;"",COUNTIF(Catalog!$S$2:$S$501,Catalog!S500)&gt;1),"Duplicate ISBN; ","")&amp;IF(AND(Catalog!B500&lt;&gt;"",COUNTIF(Catalog!$B$2:$B$501,Catalog!B500)&gt;1),"Duplicate Accession; ",""))</f>
        <v/>
      </c>
    </row>
    <row r="526" spans="1:3" x14ac:dyDescent="0.25">
      <c r="A526" s="16" t="str">
        <f>Catalog!A501</f>
        <v/>
      </c>
      <c r="B526" s="16">
        <f>Catalog!D501</f>
        <v>0</v>
      </c>
      <c r="C526" s="17" t="str">
        <f>IF(Catalog!D501="","",IF(ISBLANK(Catalog!F501),"Missing Creator; ","")&amp;IF(ISBLANK(Catalog!K501),"Missing Type; ","")&amp;IF(ISBLANK(Catalog!L501),"Missing Genre; ","")&amp;IF(ISBLANK(Catalog!W501),"Missing Location Type; ","")&amp;IF(ISBLANK(Catalog!X501),"Missing Location Identifier; ","")&amp;IF(AND(Catalog!S501&lt;&gt;"",COUNTIF(Catalog!$S$2:$S$501,Catalog!S501)&gt;1),"Duplicate ISBN; ","")&amp;IF(AND(Catalog!B501&lt;&gt;"",COUNTIF(Catalog!$B$2:$B$501,Catalog!B501)&gt;1),"Duplicate Accession; ",""))</f>
        <v/>
      </c>
    </row>
  </sheetData>
  <sheetProtection password="E720" sheet="1"/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22"/>
  <sheetViews>
    <sheetView workbookViewId="0"/>
  </sheetViews>
  <sheetFormatPr defaultRowHeight="15" x14ac:dyDescent="0.25"/>
  <cols>
    <col min="1" max="1" width="4" customWidth="1"/>
    <col min="2" max="2" width="34" customWidth="1"/>
    <col min="3" max="3" width="16" customWidth="1"/>
    <col min="4" max="4" width="4" customWidth="1"/>
    <col min="5" max="5" width="34" customWidth="1"/>
    <col min="6" max="6" width="16" customWidth="1"/>
  </cols>
  <sheetData>
    <row r="2" spans="2:6" ht="21" x14ac:dyDescent="0.35">
      <c r="B2" s="23" t="s">
        <v>454</v>
      </c>
      <c r="C2" s="21"/>
      <c r="D2" s="21"/>
      <c r="E2" s="21"/>
      <c r="F2" s="21"/>
    </row>
    <row r="4" spans="2:6" ht="15.75" x14ac:dyDescent="0.25">
      <c r="B4" s="22" t="s">
        <v>455</v>
      </c>
      <c r="C4" s="21"/>
      <c r="E4" s="22" t="s">
        <v>456</v>
      </c>
      <c r="F4" s="21"/>
    </row>
    <row r="5" spans="2:6" x14ac:dyDescent="0.25">
      <c r="B5" s="9" t="s">
        <v>457</v>
      </c>
      <c r="C5" s="18">
        <f>COUNTA(Catalog!A2:A501)</f>
        <v>500</v>
      </c>
      <c r="E5" s="9" t="s">
        <v>458</v>
      </c>
      <c r="F5" s="18">
        <f>COUNTA(Catalog!A2:A501)-COUNTA(Catalog!D2:D501)</f>
        <v>480</v>
      </c>
    </row>
    <row r="6" spans="2:6" x14ac:dyDescent="0.25">
      <c r="B6" s="9" t="s">
        <v>448</v>
      </c>
      <c r="C6" s="18">
        <f>COUNTA(Digital_Catalog!A2:A501)</f>
        <v>500</v>
      </c>
      <c r="E6" s="9" t="s">
        <v>459</v>
      </c>
      <c r="F6" s="18">
        <f>SUMPRODUCT((Catalog!D2:D501&lt;&gt;"")*(Catalog!F2:F501=""))</f>
        <v>1</v>
      </c>
    </row>
    <row r="7" spans="2:6" x14ac:dyDescent="0.25">
      <c r="B7" s="9" t="s">
        <v>449</v>
      </c>
      <c r="C7" s="18">
        <f>COUNTA(Archive!A2:A201)</f>
        <v>200</v>
      </c>
      <c r="E7" s="9" t="s">
        <v>460</v>
      </c>
      <c r="F7" s="18">
        <f>SUMPRODUCT((Catalog!D2:D501&lt;&gt;"")*(Catalog!W2:W501=""))</f>
        <v>0</v>
      </c>
    </row>
    <row r="8" spans="2:6" x14ac:dyDescent="0.25">
      <c r="B8" s="9" t="s">
        <v>461</v>
      </c>
      <c r="C8" s="18">
        <f>COUNTIF(Catalog!K2:K501,"Book")</f>
        <v>0</v>
      </c>
      <c r="E8" s="9" t="s">
        <v>445</v>
      </c>
      <c r="F8" s="18">
        <f>SUMPRODUCT((Catalog!S2:S501&lt;&gt;"")*(COUNTIF(Catalog!S2:S501,Catalog!S2:S501)&gt;1))/2</f>
        <v>0</v>
      </c>
    </row>
    <row r="9" spans="2:6" x14ac:dyDescent="0.25">
      <c r="B9" s="9" t="s">
        <v>462</v>
      </c>
      <c r="C9" s="18">
        <f>COUNTIF(Catalog!K2:K501,"Magazine")</f>
        <v>1</v>
      </c>
      <c r="E9" s="9" t="s">
        <v>463</v>
      </c>
      <c r="F9" s="18">
        <f>SUMPRODUCT((Catalog!B2:B501&lt;&gt;"")*(COUNTIF(Catalog!B2:B501,Catalog!B2:B501)&gt;1))/2</f>
        <v>0</v>
      </c>
    </row>
    <row r="10" spans="2:6" x14ac:dyDescent="0.25">
      <c r="B10" s="9" t="s">
        <v>464</v>
      </c>
      <c r="C10" s="18">
        <f>COUNTIF(Catalog!K2:K501,"Journal")</f>
        <v>0</v>
      </c>
    </row>
    <row r="11" spans="2:6" x14ac:dyDescent="0.25">
      <c r="B11" s="9" t="s">
        <v>465</v>
      </c>
      <c r="C11" s="18">
        <f>COUNTA(Catalog!A2:A501)-COUNTIF(Catalog!K2:K501,"Book")-COUNTIF(Catalog!K2:K501,"Magazine")-COUNTIF(Catalog!K2:K501,"Journal")</f>
        <v>499</v>
      </c>
    </row>
    <row r="14" spans="2:6" ht="15.75" x14ac:dyDescent="0.25">
      <c r="B14" s="22" t="s">
        <v>466</v>
      </c>
      <c r="C14" s="21"/>
      <c r="E14" s="22" t="s">
        <v>467</v>
      </c>
      <c r="F14" s="21"/>
    </row>
    <row r="15" spans="2:6" x14ac:dyDescent="0.25">
      <c r="B15" s="9" t="s">
        <v>112</v>
      </c>
      <c r="C15" s="18">
        <f>COUNTIF(Digital_Catalog!Z2:Z501,"Read")</f>
        <v>1</v>
      </c>
      <c r="E15" s="9" t="s">
        <v>102</v>
      </c>
      <c r="F15" s="18">
        <f>COUNTIF(Catalog!Z2:Z501,"Available")</f>
        <v>20</v>
      </c>
    </row>
    <row r="16" spans="2:6" x14ac:dyDescent="0.25">
      <c r="B16" s="9" t="s">
        <v>129</v>
      </c>
      <c r="C16" s="18">
        <f>COUNTIF(Digital_Catalog!Z2:Z501,"Reading")</f>
        <v>0</v>
      </c>
      <c r="E16" s="9" t="s">
        <v>119</v>
      </c>
      <c r="F16" s="18">
        <f>COUNTIF(Catalog!Z2:Z501,"On Loan")</f>
        <v>0</v>
      </c>
    </row>
    <row r="17" spans="2:6" x14ac:dyDescent="0.25">
      <c r="B17" s="9" t="s">
        <v>146</v>
      </c>
      <c r="C17" s="18">
        <f>COUNTIF(Digital_Catalog!Z2:Z501,"Unread")</f>
        <v>2</v>
      </c>
      <c r="E17" s="9" t="s">
        <v>468</v>
      </c>
      <c r="F17" s="18">
        <f ca="1">COUNTIF(Circulation!H2:H501,"Overdue")</f>
        <v>0</v>
      </c>
    </row>
    <row r="19" spans="2:6" ht="15.75" x14ac:dyDescent="0.25">
      <c r="B19" s="22" t="s">
        <v>469</v>
      </c>
      <c r="C19" s="21"/>
      <c r="E19" s="22" t="s">
        <v>470</v>
      </c>
      <c r="F19" s="21"/>
    </row>
    <row r="20" spans="2:6" x14ac:dyDescent="0.25">
      <c r="B20" s="9" t="s">
        <v>108</v>
      </c>
      <c r="C20" s="18">
        <f>COUNTIF(Digital_Catalog!O2:O501,"Not Digitised")+COUNTIF(Archive!O2:O201,"Not Digitised")</f>
        <v>1</v>
      </c>
      <c r="E20" s="9" t="s">
        <v>109</v>
      </c>
      <c r="F20" s="18">
        <f>COUNTIF(Archive!G2:G201,"Physical")</f>
        <v>1</v>
      </c>
    </row>
    <row r="21" spans="2:6" x14ac:dyDescent="0.25">
      <c r="B21" s="9" t="s">
        <v>152</v>
      </c>
      <c r="C21" s="18">
        <f>COUNTIF(Digital_Catalog!O2:O501,"OCR Pending")+COUNTIF(Archive!P2:P201,"OCR Pending")</f>
        <v>1</v>
      </c>
      <c r="E21" s="9" t="s">
        <v>126</v>
      </c>
      <c r="F21" s="18">
        <f>COUNTIF(Archive!G2:G201,"Digital")</f>
        <v>1</v>
      </c>
    </row>
    <row r="22" spans="2:6" x14ac:dyDescent="0.25">
      <c r="B22" s="9" t="s">
        <v>166</v>
      </c>
      <c r="C22" s="18">
        <f>COUNTIF(Digital_Catalog!O2:O501,"OCR Complete")+COUNTIF(Archive!P2:P201,"OCR Complete")</f>
        <v>0</v>
      </c>
      <c r="E22" s="9" t="s">
        <v>144</v>
      </c>
      <c r="F22" s="18">
        <f>COUNTIF(Archive!G2:G201,"Both")</f>
        <v>0</v>
      </c>
    </row>
  </sheetData>
  <sheetProtection password="E720" sheet="1"/>
  <mergeCells count="7">
    <mergeCell ref="E4:F4"/>
    <mergeCell ref="B2:F2"/>
    <mergeCell ref="B19:C19"/>
    <mergeCell ref="E19:F19"/>
    <mergeCell ref="B14:C14"/>
    <mergeCell ref="E14:F14"/>
    <mergeCell ref="B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05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0" customWidth="1"/>
    <col min="2" max="2" width="30" customWidth="1"/>
    <col min="3" max="3" width="24" customWidth="1"/>
    <col min="4" max="4" width="40" customWidth="1"/>
  </cols>
  <sheetData>
    <row r="1" spans="1:4" ht="18.75" x14ac:dyDescent="0.3">
      <c r="A1" s="20" t="s">
        <v>471</v>
      </c>
      <c r="B1" s="21"/>
      <c r="C1" s="21"/>
      <c r="D1" s="21"/>
    </row>
    <row r="3" spans="1:4" x14ac:dyDescent="0.25">
      <c r="A3" s="24" t="s">
        <v>472</v>
      </c>
      <c r="B3" s="21"/>
      <c r="C3" s="21"/>
      <c r="D3" s="21"/>
    </row>
    <row r="5" spans="1:4" x14ac:dyDescent="0.25">
      <c r="A5" s="5" t="s">
        <v>473</v>
      </c>
      <c r="B5" s="5" t="s">
        <v>389</v>
      </c>
      <c r="C5" s="5" t="s">
        <v>391</v>
      </c>
      <c r="D5" s="5" t="s">
        <v>474</v>
      </c>
    </row>
    <row r="6" spans="1:4" x14ac:dyDescent="0.25">
      <c r="A6" s="16">
        <f>Catalog!A2</f>
        <v>1</v>
      </c>
      <c r="B6" s="16" t="str">
        <f>Catalog!D2</f>
        <v>Rabindra Rachanabali</v>
      </c>
      <c r="C6" s="16" t="str">
        <f>Catalog!F2</f>
        <v>Rabindranath Tagore</v>
      </c>
      <c r="D6" s="19" t="str">
        <f>IF(Catalog!D2="","","{""item_id"":"&amp;Catalog!A2&amp;",""title"":"""&amp;SUBSTITUTE(Catalog!D2,"""","\""")&amp;""",""creator"":"""&amp;SUBSTITUTE(Catalog!F2,"""","\""")&amp;""",""language"":"""&amp;Catalog!M2&amp;""",""identifier"":"""&amp;Catalog!C2&amp;"""}")</f>
        <v>{"item_id":1,"title":"Rabindra Rachanabali","creator":"Rabindranath Tagore","language":"Bengali","identifier":"FIC-LIT-TAG-001-Vol1"}</v>
      </c>
    </row>
    <row r="7" spans="1:4" x14ac:dyDescent="0.25">
      <c r="A7" s="16">
        <f>Catalog!A3</f>
        <v>2</v>
      </c>
      <c r="B7" s="16" t="str">
        <f>Catalog!D3</f>
        <v>Rabindra Rachanabali</v>
      </c>
      <c r="C7" s="16" t="str">
        <f>Catalog!F3</f>
        <v>Rabindranath Tagore</v>
      </c>
      <c r="D7" s="19" t="str">
        <f>IF(Catalog!D3="","","{""item_id"":"&amp;Catalog!A3&amp;",""title"":"""&amp;SUBSTITUTE(Catalog!D3,"""","\""")&amp;""",""creator"":"""&amp;SUBSTITUTE(Catalog!F3,"""","\""")&amp;""",""language"":"""&amp;Catalog!M3&amp;""",""identifier"":"""&amp;Catalog!C3&amp;"""}")</f>
        <v>{"item_id":2,"title":"Rabindra Rachanabali","creator":"Rabindranath Tagore","language":"Bengali","identifier":"FIC-LIT-TAG-002-Vol2"}</v>
      </c>
    </row>
    <row r="8" spans="1:4" x14ac:dyDescent="0.25">
      <c r="A8" s="16">
        <f>Catalog!A4</f>
        <v>3</v>
      </c>
      <c r="B8" s="16" t="str">
        <f>Catalog!D4</f>
        <v>Rabindra Rachanabali</v>
      </c>
      <c r="C8" s="16" t="str">
        <f>Catalog!F4</f>
        <v>Rabindranath Tagore</v>
      </c>
      <c r="D8" s="19" t="str">
        <f>IF(Catalog!D4="","","{""item_id"":"&amp;Catalog!A4&amp;",""title"":"""&amp;SUBSTITUTE(Catalog!D4,"""","\""")&amp;""",""creator"":"""&amp;SUBSTITUTE(Catalog!F4,"""","\""")&amp;""",""language"":"""&amp;Catalog!M4&amp;""",""identifier"":"""&amp;Catalog!C4&amp;"""}")</f>
        <v>{"item_id":3,"title":"Rabindra Rachanabali","creator":"Rabindranath Tagore","language":"Bengali","identifier":"FIC-LIT-TAG-003-Vol3"}</v>
      </c>
    </row>
    <row r="9" spans="1:4" x14ac:dyDescent="0.25">
      <c r="A9" s="16">
        <f>Catalog!A5</f>
        <v>4</v>
      </c>
      <c r="B9" s="16" t="str">
        <f>Catalog!D5</f>
        <v>Rabindra Rachanabali</v>
      </c>
      <c r="C9" s="16" t="str">
        <f>Catalog!F5</f>
        <v>Rabindranath Tagore</v>
      </c>
      <c r="D9" s="19" t="str">
        <f>IF(Catalog!D5="","","{""item_id"":"&amp;Catalog!A5&amp;",""title"":"""&amp;SUBSTITUTE(Catalog!D5,"""","\""")&amp;""",""creator"":"""&amp;SUBSTITUTE(Catalog!F5,"""","\""")&amp;""",""language"":"""&amp;Catalog!M5&amp;""",""identifier"":"""&amp;Catalog!C5&amp;"""}")</f>
        <v>{"item_id":4,"title":"Rabindra Rachanabali","creator":"Rabindranath Tagore","language":"Bengali","identifier":"FIC-LIT-TAG-004-Vol4"}</v>
      </c>
    </row>
    <row r="10" spans="1:4" x14ac:dyDescent="0.25">
      <c r="A10" s="16">
        <f>Catalog!A6</f>
        <v>5</v>
      </c>
      <c r="B10" s="16" t="str">
        <f>Catalog!D6</f>
        <v>Rabindra Rachanabali</v>
      </c>
      <c r="C10" s="16" t="str">
        <f>Catalog!F6</f>
        <v>Rabindranath Tagore</v>
      </c>
      <c r="D10" s="19" t="str">
        <f>IF(Catalog!D6="","","{""item_id"":"&amp;Catalog!A6&amp;",""title"":"""&amp;SUBSTITUTE(Catalog!D6,"""","\""")&amp;""",""creator"":"""&amp;SUBSTITUTE(Catalog!F6,"""","\""")&amp;""",""language"":"""&amp;Catalog!M6&amp;""",""identifier"":"""&amp;Catalog!C6&amp;"""}")</f>
        <v>{"item_id":5,"title":"Rabindra Rachanabali","creator":"Rabindranath Tagore","language":"Bengali","identifier":"FIC-LIT-TAG-005-Vol5"}</v>
      </c>
    </row>
    <row r="11" spans="1:4" x14ac:dyDescent="0.25">
      <c r="A11" s="16">
        <f>Catalog!A7</f>
        <v>6</v>
      </c>
      <c r="B11" s="16" t="str">
        <f>Catalog!D7</f>
        <v>Rabindra Rachanabali</v>
      </c>
      <c r="C11" s="16" t="str">
        <f>Catalog!F7</f>
        <v>Rabindranath Tagore</v>
      </c>
      <c r="D11" s="19" t="str">
        <f>IF(Catalog!D7="","","{""item_id"":"&amp;Catalog!A7&amp;",""title"":"""&amp;SUBSTITUTE(Catalog!D7,"""","\""")&amp;""",""creator"":"""&amp;SUBSTITUTE(Catalog!F7,"""","\""")&amp;""",""language"":"""&amp;Catalog!M7&amp;""",""identifier"":"""&amp;Catalog!C7&amp;"""}")</f>
        <v>{"item_id":6,"title":"Rabindra Rachanabali","creator":"Rabindranath Tagore","language":"Bengali","identifier":"FIC-LIT-TAG-006-Vol6"}</v>
      </c>
    </row>
    <row r="12" spans="1:4" x14ac:dyDescent="0.25">
      <c r="A12" s="16">
        <f>Catalog!A8</f>
        <v>7</v>
      </c>
      <c r="B12" s="16" t="str">
        <f>Catalog!D8</f>
        <v>Rabindra Rachanabali</v>
      </c>
      <c r="C12" s="16" t="str">
        <f>Catalog!F8</f>
        <v>Rabindranath Tagore</v>
      </c>
      <c r="D12" s="19" t="str">
        <f>IF(Catalog!D8="","","{""item_id"":"&amp;Catalog!A8&amp;",""title"":"""&amp;SUBSTITUTE(Catalog!D8,"""","\""")&amp;""",""creator"":"""&amp;SUBSTITUTE(Catalog!F8,"""","\""")&amp;""",""language"":"""&amp;Catalog!M8&amp;""",""identifier"":"""&amp;Catalog!C8&amp;"""}")</f>
        <v>{"item_id":7,"title":"Rabindra Rachanabali","creator":"Rabindranath Tagore","language":"Bengali","identifier":"FIC-LIT-TAG-007-Vol7"}</v>
      </c>
    </row>
    <row r="13" spans="1:4" x14ac:dyDescent="0.25">
      <c r="A13" s="16">
        <f>Catalog!A9</f>
        <v>8</v>
      </c>
      <c r="B13" s="16" t="str">
        <f>Catalog!D9</f>
        <v>Rabindra Rachanabali</v>
      </c>
      <c r="C13" s="16" t="str">
        <f>Catalog!F9</f>
        <v>Rabindranath Tagore</v>
      </c>
      <c r="D13" s="19" t="str">
        <f>IF(Catalog!D9="","","{""item_id"":"&amp;Catalog!A9&amp;",""title"":"""&amp;SUBSTITUTE(Catalog!D9,"""","\""")&amp;""",""creator"":"""&amp;SUBSTITUTE(Catalog!F9,"""","\""")&amp;""",""language"":"""&amp;Catalog!M9&amp;""",""identifier"":"""&amp;Catalog!C9&amp;"""}")</f>
        <v>{"item_id":8,"title":"Rabindra Rachanabali","creator":"Rabindranath Tagore","language":"Bengali","identifier":"FIC-LIT-TAG-008-Vol8"}</v>
      </c>
    </row>
    <row r="14" spans="1:4" x14ac:dyDescent="0.25">
      <c r="A14" s="16">
        <f>Catalog!A10</f>
        <v>9</v>
      </c>
      <c r="B14" s="16" t="str">
        <f>Catalog!D10</f>
        <v>Rabindra Rachanabali</v>
      </c>
      <c r="C14" s="16" t="str">
        <f>Catalog!F10</f>
        <v>Rabindranath Tagore</v>
      </c>
      <c r="D14" s="19" t="str">
        <f>IF(Catalog!D10="","","{""item_id"":"&amp;Catalog!A10&amp;",""title"":"""&amp;SUBSTITUTE(Catalog!D10,"""","\""")&amp;""",""creator"":"""&amp;SUBSTITUTE(Catalog!F10,"""","\""")&amp;""",""language"":"""&amp;Catalog!M10&amp;""",""identifier"":"""&amp;Catalog!C10&amp;"""}")</f>
        <v>{"item_id":9,"title":"Rabindra Rachanabali","creator":"Rabindranath Tagore","language":"Bengali","identifier":"FIC-LIT-TAG-009-Vol9"}</v>
      </c>
    </row>
    <row r="15" spans="1:4" x14ac:dyDescent="0.25">
      <c r="A15" s="16">
        <f>Catalog!A11</f>
        <v>10</v>
      </c>
      <c r="B15" s="16" t="str">
        <f>Catalog!D11</f>
        <v>Rabindra Rachanabali</v>
      </c>
      <c r="C15" s="16" t="str">
        <f>Catalog!F11</f>
        <v>Rabindranath Tagore</v>
      </c>
      <c r="D15" s="19" t="str">
        <f>IF(Catalog!D11="","","{""item_id"":"&amp;Catalog!A11&amp;",""title"":"""&amp;SUBSTITUTE(Catalog!D11,"""","\""")&amp;""",""creator"":"""&amp;SUBSTITUTE(Catalog!F11,"""","\""")&amp;""",""language"":"""&amp;Catalog!M11&amp;""",""identifier"":"""&amp;Catalog!C11&amp;"""}")</f>
        <v>{"item_id":10,"title":"Rabindra Rachanabali","creator":"Rabindranath Tagore","language":"Bengali","identifier":"FIC-LIT-TAG-010-Vol10"}</v>
      </c>
    </row>
    <row r="16" spans="1:4" x14ac:dyDescent="0.25">
      <c r="A16" s="16">
        <f>Catalog!A12</f>
        <v>11</v>
      </c>
      <c r="B16" s="16" t="str">
        <f>Catalog!D12</f>
        <v>Rabindra Rachanabali</v>
      </c>
      <c r="C16" s="16" t="str">
        <f>Catalog!F12</f>
        <v>Rabindranath Tagore</v>
      </c>
      <c r="D16" s="19" t="str">
        <f>IF(Catalog!D12="","","{""item_id"":"&amp;Catalog!A12&amp;",""title"":"""&amp;SUBSTITUTE(Catalog!D12,"""","\""")&amp;""",""creator"":"""&amp;SUBSTITUTE(Catalog!F12,"""","\""")&amp;""",""language"":"""&amp;Catalog!M12&amp;""",""identifier"":"""&amp;Catalog!C12&amp;"""}")</f>
        <v>{"item_id":11,"title":"Rabindra Rachanabali","creator":"Rabindranath Tagore","language":"Bengali","identifier":"FIC-LIT-TAG-011-Vol11"}</v>
      </c>
    </row>
    <row r="17" spans="1:4" x14ac:dyDescent="0.25">
      <c r="A17" s="16">
        <f>Catalog!A13</f>
        <v>12</v>
      </c>
      <c r="B17" s="16" t="str">
        <f>Catalog!D13</f>
        <v>Rabindra Rachanabali</v>
      </c>
      <c r="C17" s="16" t="str">
        <f>Catalog!F13</f>
        <v>Rabindranath Tagore</v>
      </c>
      <c r="D17" s="19" t="str">
        <f>IF(Catalog!D13="","","{""item_id"":"&amp;Catalog!A13&amp;",""title"":"""&amp;SUBSTITUTE(Catalog!D13,"""","\""")&amp;""",""creator"":"""&amp;SUBSTITUTE(Catalog!F13,"""","\""")&amp;""",""language"":"""&amp;Catalog!M13&amp;""",""identifier"":"""&amp;Catalog!C13&amp;"""}")</f>
        <v>{"item_id":12,"title":"Rabindra Rachanabali","creator":"Rabindranath Tagore","language":"Bengali","identifier":"FIC-LIT-TAG-012-Vol12"}</v>
      </c>
    </row>
    <row r="18" spans="1:4" x14ac:dyDescent="0.25">
      <c r="A18" s="16">
        <f>Catalog!A14</f>
        <v>13</v>
      </c>
      <c r="B18" s="16" t="str">
        <f>Catalog!D14</f>
        <v>Rabindra Rachanabali</v>
      </c>
      <c r="C18" s="16" t="str">
        <f>Catalog!F14</f>
        <v>Rabindranath Tagore</v>
      </c>
      <c r="D18" s="19" t="str">
        <f>IF(Catalog!D14="","","{""item_id"":"&amp;Catalog!A14&amp;",""title"":"""&amp;SUBSTITUTE(Catalog!D14,"""","\""")&amp;""",""creator"":"""&amp;SUBSTITUTE(Catalog!F14,"""","\""")&amp;""",""language"":"""&amp;Catalog!M14&amp;""",""identifier"":"""&amp;Catalog!C14&amp;"""}")</f>
        <v>{"item_id":13,"title":"Rabindra Rachanabali","creator":"Rabindranath Tagore","language":"Bengali","identifier":"FIC-LIT-TAG-013-Vol13"}</v>
      </c>
    </row>
    <row r="19" spans="1:4" x14ac:dyDescent="0.25">
      <c r="A19" s="16">
        <f>Catalog!A15</f>
        <v>14</v>
      </c>
      <c r="B19" s="16" t="str">
        <f>Catalog!D15</f>
        <v>Rabindra Rachanabali</v>
      </c>
      <c r="C19" s="16" t="str">
        <f>Catalog!F15</f>
        <v>Rabindranath Tagore</v>
      </c>
      <c r="D19" s="19" t="str">
        <f>IF(Catalog!D15="","","{""item_id"":"&amp;Catalog!A15&amp;",""title"":"""&amp;SUBSTITUTE(Catalog!D15,"""","\""")&amp;""",""creator"":"""&amp;SUBSTITUTE(Catalog!F15,"""","\""")&amp;""",""language"":"""&amp;Catalog!M15&amp;""",""identifier"":"""&amp;Catalog!C15&amp;"""}")</f>
        <v>{"item_id":14,"title":"Rabindra Rachanabali","creator":"Rabindranath Tagore","language":"Bengali","identifier":"FIC-LIT-TAG-014-Vol14"}</v>
      </c>
    </row>
    <row r="20" spans="1:4" x14ac:dyDescent="0.25">
      <c r="A20" s="16">
        <f>Catalog!A16</f>
        <v>15</v>
      </c>
      <c r="B20" s="16" t="str">
        <f>Catalog!D16</f>
        <v>Rabindra Rachanabali</v>
      </c>
      <c r="C20" s="16" t="str">
        <f>Catalog!F16</f>
        <v>Rabindranath Tagore</v>
      </c>
      <c r="D20" s="19" t="str">
        <f>IF(Catalog!D16="","","{""item_id"":"&amp;Catalog!A16&amp;",""title"":"""&amp;SUBSTITUTE(Catalog!D16,"""","\""")&amp;""",""creator"":"""&amp;SUBSTITUTE(Catalog!F16,"""","\""")&amp;""",""language"":"""&amp;Catalog!M16&amp;""",""identifier"":"""&amp;Catalog!C16&amp;"""}")</f>
        <v>{"item_id":15,"title":"Rabindra Rachanabali","creator":"Rabindranath Tagore","language":"Bengali","identifier":"FIC-LIT-TAG-015-Vol15"}</v>
      </c>
    </row>
    <row r="21" spans="1:4" x14ac:dyDescent="0.25">
      <c r="A21" s="16">
        <f>Catalog!A17</f>
        <v>16</v>
      </c>
      <c r="B21" s="16" t="str">
        <f>Catalog!D17</f>
        <v>Rabindra Rachanabali</v>
      </c>
      <c r="C21" s="16" t="str">
        <f>Catalog!F17</f>
        <v>Rabindranath Tagore</v>
      </c>
      <c r="D21" s="19" t="str">
        <f>IF(Catalog!D17="","","{""item_id"":"&amp;Catalog!A17&amp;",""title"":"""&amp;SUBSTITUTE(Catalog!D17,"""","\""")&amp;""",""creator"":"""&amp;SUBSTITUTE(Catalog!F17,"""","\""")&amp;""",""language"":"""&amp;Catalog!M17&amp;""",""identifier"":"""&amp;Catalog!C17&amp;"""}")</f>
        <v>{"item_id":16,"title":"Rabindra Rachanabali","creator":"Rabindranath Tagore","language":"Bengali","identifier":"FIC-LIT-TAG-016-Vol16"}</v>
      </c>
    </row>
    <row r="22" spans="1:4" x14ac:dyDescent="0.25">
      <c r="A22" s="16">
        <f>Catalog!A18</f>
        <v>17</v>
      </c>
      <c r="B22" s="16" t="str">
        <f>Catalog!D18</f>
        <v>Rabindra Rachanabali</v>
      </c>
      <c r="C22" s="16" t="str">
        <f>Catalog!F18</f>
        <v>Rabindranath Tagore</v>
      </c>
      <c r="D22" s="19" t="str">
        <f>IF(Catalog!D18="","","{""item_id"":"&amp;Catalog!A18&amp;",""title"":"""&amp;SUBSTITUTE(Catalog!D18,"""","\""")&amp;""",""creator"":"""&amp;SUBSTITUTE(Catalog!F18,"""","\""")&amp;""",""language"":"""&amp;Catalog!M18&amp;""",""identifier"":"""&amp;Catalog!C18&amp;"""}")</f>
        <v>{"item_id":17,"title":"Rabindra Rachanabali","creator":"Rabindranath Tagore","language":"Bengali","identifier":"FIC-LIT-TAG-017-Vol17"}</v>
      </c>
    </row>
    <row r="23" spans="1:4" x14ac:dyDescent="0.25">
      <c r="A23" s="16">
        <f>Catalog!A19</f>
        <v>18</v>
      </c>
      <c r="B23" s="16" t="str">
        <f>Catalog!D19</f>
        <v>Rabindra Rachanabali</v>
      </c>
      <c r="C23" s="16" t="str">
        <f>Catalog!F19</f>
        <v>Rabindranath Tagore</v>
      </c>
      <c r="D23" s="19" t="str">
        <f>IF(Catalog!D19="","","{""item_id"":"&amp;Catalog!A19&amp;",""title"":"""&amp;SUBSTITUTE(Catalog!D19,"""","\""")&amp;""",""creator"":"""&amp;SUBSTITUTE(Catalog!F19,"""","\""")&amp;""",""language"":"""&amp;Catalog!M19&amp;""",""identifier"":"""&amp;Catalog!C19&amp;"""}")</f>
        <v>{"item_id":18,"title":"Rabindra Rachanabali","creator":"Rabindranath Tagore","language":"Bengali","identifier":"FIC-LIT-TAG-018-Vol18"}</v>
      </c>
    </row>
    <row r="24" spans="1:4" x14ac:dyDescent="0.25">
      <c r="A24" s="16">
        <f>Catalog!A20</f>
        <v>19</v>
      </c>
      <c r="B24" s="16" t="str">
        <f>Catalog!D20</f>
        <v>নীলকণ্ঠ পাখির খোঁজে</v>
      </c>
      <c r="C24" s="16" t="str">
        <f>Catalog!F20</f>
        <v>অতীন বন্দ্যোপাধ্যায়</v>
      </c>
      <c r="D24" s="19" t="str">
        <f>IF(Catalog!D20="","","{""item_id"":"&amp;Catalog!A20&amp;",""title"":"""&amp;SUBSTITUTE(Catalog!D20,"""","\""")&amp;""",""creator"":"""&amp;SUBSTITUTE(Catalog!F20,"""","\""")&amp;""",""language"":"""&amp;Catalog!M20&amp;""",""identifier"":"""&amp;Catalog!C20&amp;"""}")</f>
        <v>{"item_id":19,"title":"নীলকণ্ঠ পাখির খোঁজে","creator":"অতীন বন্দ্যোপাধ্যায়","language":"Bengali","identifier":"FIC-LIT-বন্-019-Vol1"}</v>
      </c>
    </row>
    <row r="25" spans="1:4" x14ac:dyDescent="0.25">
      <c r="A25" s="16">
        <f>Catalog!A21</f>
        <v>20</v>
      </c>
      <c r="B25" s="16" t="str">
        <f>Catalog!D21</f>
        <v>Desh</v>
      </c>
      <c r="C25" s="16">
        <f>Catalog!F21</f>
        <v>0</v>
      </c>
      <c r="D25" s="19" t="e">
        <f>IF(Catalog!D21="","","{""item_id"":"&amp;Catalog!A21&amp;",""title"":"""&amp;SUBSTITUTE(Catalog!D21,"""","\""")&amp;""",""creator"":"""&amp;SUBSTITUTE(Catalog!F21,"""","\""")&amp;""",""language"":"""&amp;Catalog!M21&amp;""",""identifier"":"""&amp;Catalog!C21&amp;"""}")</f>
        <v>#VALUE!</v>
      </c>
    </row>
    <row r="26" spans="1:4" x14ac:dyDescent="0.25">
      <c r="A26" s="16" t="str">
        <f>Catalog!A22</f>
        <v/>
      </c>
      <c r="B26" s="16">
        <f>Catalog!D22</f>
        <v>0</v>
      </c>
      <c r="C26" s="16">
        <f>Catalog!F22</f>
        <v>0</v>
      </c>
      <c r="D26" s="19" t="str">
        <f>IF(Catalog!D22="","","{""item_id"":"&amp;Catalog!A22&amp;",""title"":"""&amp;SUBSTITUTE(Catalog!D22,"""","\""")&amp;""",""creator"":"""&amp;SUBSTITUTE(Catalog!F22,"""","\""")&amp;""",""language"":"""&amp;Catalog!M22&amp;""",""identifier"":"""&amp;Catalog!C22&amp;"""}")</f>
        <v/>
      </c>
    </row>
    <row r="27" spans="1:4" x14ac:dyDescent="0.25">
      <c r="A27" s="16" t="str">
        <f>Catalog!A23</f>
        <v/>
      </c>
      <c r="B27" s="16">
        <f>Catalog!D23</f>
        <v>0</v>
      </c>
      <c r="C27" s="16">
        <f>Catalog!F23</f>
        <v>0</v>
      </c>
      <c r="D27" s="19" t="str">
        <f>IF(Catalog!D23="","","{""item_id"":"&amp;Catalog!A23&amp;",""title"":"""&amp;SUBSTITUTE(Catalog!D23,"""","\""")&amp;""",""creator"":"""&amp;SUBSTITUTE(Catalog!F23,"""","\""")&amp;""",""language"":"""&amp;Catalog!M23&amp;""",""identifier"":"""&amp;Catalog!C23&amp;"""}")</f>
        <v/>
      </c>
    </row>
    <row r="28" spans="1:4" x14ac:dyDescent="0.25">
      <c r="A28" s="16" t="str">
        <f>Catalog!A24</f>
        <v/>
      </c>
      <c r="B28" s="16">
        <f>Catalog!D24</f>
        <v>0</v>
      </c>
      <c r="C28" s="16">
        <f>Catalog!F24</f>
        <v>0</v>
      </c>
      <c r="D28" s="19" t="str">
        <f>IF(Catalog!D24="","","{""item_id"":"&amp;Catalog!A24&amp;",""title"":"""&amp;SUBSTITUTE(Catalog!D24,"""","\""")&amp;""",""creator"":"""&amp;SUBSTITUTE(Catalog!F24,"""","\""")&amp;""",""language"":"""&amp;Catalog!M24&amp;""",""identifier"":"""&amp;Catalog!C24&amp;"""}")</f>
        <v/>
      </c>
    </row>
    <row r="29" spans="1:4" x14ac:dyDescent="0.25">
      <c r="A29" s="16" t="str">
        <f>Catalog!A25</f>
        <v/>
      </c>
      <c r="B29" s="16">
        <f>Catalog!D25</f>
        <v>0</v>
      </c>
      <c r="C29" s="16">
        <f>Catalog!F25</f>
        <v>0</v>
      </c>
      <c r="D29" s="19" t="str">
        <f>IF(Catalog!D25="","","{""item_id"":"&amp;Catalog!A25&amp;",""title"":"""&amp;SUBSTITUTE(Catalog!D25,"""","\""")&amp;""",""creator"":"""&amp;SUBSTITUTE(Catalog!F25,"""","\""")&amp;""",""language"":"""&amp;Catalog!M25&amp;""",""identifier"":"""&amp;Catalog!C25&amp;"""}")</f>
        <v/>
      </c>
    </row>
    <row r="30" spans="1:4" x14ac:dyDescent="0.25">
      <c r="A30" s="16" t="str">
        <f>Catalog!A26</f>
        <v/>
      </c>
      <c r="B30" s="16">
        <f>Catalog!D26</f>
        <v>0</v>
      </c>
      <c r="C30" s="16">
        <f>Catalog!F26</f>
        <v>0</v>
      </c>
      <c r="D30" s="19" t="str">
        <f>IF(Catalog!D26="","","{""item_id"":"&amp;Catalog!A26&amp;",""title"":"""&amp;SUBSTITUTE(Catalog!D26,"""","\""")&amp;""",""creator"":"""&amp;SUBSTITUTE(Catalog!F26,"""","\""")&amp;""",""language"":"""&amp;Catalog!M26&amp;""",""identifier"":"""&amp;Catalog!C26&amp;"""}")</f>
        <v/>
      </c>
    </row>
    <row r="31" spans="1:4" x14ac:dyDescent="0.25">
      <c r="A31" s="16" t="str">
        <f>Catalog!A27</f>
        <v/>
      </c>
      <c r="B31" s="16">
        <f>Catalog!D27</f>
        <v>0</v>
      </c>
      <c r="C31" s="16">
        <f>Catalog!F27</f>
        <v>0</v>
      </c>
      <c r="D31" s="19" t="str">
        <f>IF(Catalog!D27="","","{""item_id"":"&amp;Catalog!A27&amp;",""title"":"""&amp;SUBSTITUTE(Catalog!D27,"""","\""")&amp;""",""creator"":"""&amp;SUBSTITUTE(Catalog!F27,"""","\""")&amp;""",""language"":"""&amp;Catalog!M27&amp;""",""identifier"":"""&amp;Catalog!C27&amp;"""}")</f>
        <v/>
      </c>
    </row>
    <row r="32" spans="1:4" x14ac:dyDescent="0.25">
      <c r="A32" s="16" t="str">
        <f>Catalog!A28</f>
        <v/>
      </c>
      <c r="B32" s="16">
        <f>Catalog!D28</f>
        <v>0</v>
      </c>
      <c r="C32" s="16">
        <f>Catalog!F28</f>
        <v>0</v>
      </c>
      <c r="D32" s="19" t="str">
        <f>IF(Catalog!D28="","","{""item_id"":"&amp;Catalog!A28&amp;",""title"":"""&amp;SUBSTITUTE(Catalog!D28,"""","\""")&amp;""",""creator"":"""&amp;SUBSTITUTE(Catalog!F28,"""","\""")&amp;""",""language"":"""&amp;Catalog!M28&amp;""",""identifier"":"""&amp;Catalog!C28&amp;"""}")</f>
        <v/>
      </c>
    </row>
    <row r="33" spans="1:4" x14ac:dyDescent="0.25">
      <c r="A33" s="16" t="str">
        <f>Catalog!A29</f>
        <v/>
      </c>
      <c r="B33" s="16">
        <f>Catalog!D29</f>
        <v>0</v>
      </c>
      <c r="C33" s="16">
        <f>Catalog!F29</f>
        <v>0</v>
      </c>
      <c r="D33" s="19" t="str">
        <f>IF(Catalog!D29="","","{""item_id"":"&amp;Catalog!A29&amp;",""title"":"""&amp;SUBSTITUTE(Catalog!D29,"""","\""")&amp;""",""creator"":"""&amp;SUBSTITUTE(Catalog!F29,"""","\""")&amp;""",""language"":"""&amp;Catalog!M29&amp;""",""identifier"":"""&amp;Catalog!C29&amp;"""}")</f>
        <v/>
      </c>
    </row>
    <row r="34" spans="1:4" x14ac:dyDescent="0.25">
      <c r="A34" s="16" t="str">
        <f>Catalog!A30</f>
        <v/>
      </c>
      <c r="B34" s="16">
        <f>Catalog!D30</f>
        <v>0</v>
      </c>
      <c r="C34" s="16">
        <f>Catalog!F30</f>
        <v>0</v>
      </c>
      <c r="D34" s="19" t="str">
        <f>IF(Catalog!D30="","","{""item_id"":"&amp;Catalog!A30&amp;",""title"":"""&amp;SUBSTITUTE(Catalog!D30,"""","\""")&amp;""",""creator"":"""&amp;SUBSTITUTE(Catalog!F30,"""","\""")&amp;""",""language"":"""&amp;Catalog!M30&amp;""",""identifier"":"""&amp;Catalog!C30&amp;"""}")</f>
        <v/>
      </c>
    </row>
    <row r="35" spans="1:4" x14ac:dyDescent="0.25">
      <c r="A35" s="16" t="str">
        <f>Catalog!A31</f>
        <v/>
      </c>
      <c r="B35" s="16">
        <f>Catalog!D31</f>
        <v>0</v>
      </c>
      <c r="C35" s="16">
        <f>Catalog!F31</f>
        <v>0</v>
      </c>
      <c r="D35" s="19" t="str">
        <f>IF(Catalog!D31="","","{""item_id"":"&amp;Catalog!A31&amp;",""title"":"""&amp;SUBSTITUTE(Catalog!D31,"""","\""")&amp;""",""creator"":"""&amp;SUBSTITUTE(Catalog!F31,"""","\""")&amp;""",""language"":"""&amp;Catalog!M31&amp;""",""identifier"":"""&amp;Catalog!C31&amp;"""}")</f>
        <v/>
      </c>
    </row>
    <row r="36" spans="1:4" x14ac:dyDescent="0.25">
      <c r="A36" s="16" t="str">
        <f>Catalog!A32</f>
        <v/>
      </c>
      <c r="B36" s="16">
        <f>Catalog!D32</f>
        <v>0</v>
      </c>
      <c r="C36" s="16">
        <f>Catalog!F32</f>
        <v>0</v>
      </c>
      <c r="D36" s="19" t="str">
        <f>IF(Catalog!D32="","","{""item_id"":"&amp;Catalog!A32&amp;",""title"":"""&amp;SUBSTITUTE(Catalog!D32,"""","\""")&amp;""",""creator"":"""&amp;SUBSTITUTE(Catalog!F32,"""","\""")&amp;""",""language"":"""&amp;Catalog!M32&amp;""",""identifier"":"""&amp;Catalog!C32&amp;"""}")</f>
        <v/>
      </c>
    </row>
    <row r="37" spans="1:4" x14ac:dyDescent="0.25">
      <c r="A37" s="16" t="str">
        <f>Catalog!A33</f>
        <v/>
      </c>
      <c r="B37" s="16">
        <f>Catalog!D33</f>
        <v>0</v>
      </c>
      <c r="C37" s="16">
        <f>Catalog!F33</f>
        <v>0</v>
      </c>
      <c r="D37" s="19" t="str">
        <f>IF(Catalog!D33="","","{""item_id"":"&amp;Catalog!A33&amp;",""title"":"""&amp;SUBSTITUTE(Catalog!D33,"""","\""")&amp;""",""creator"":"""&amp;SUBSTITUTE(Catalog!F33,"""","\""")&amp;""",""language"":"""&amp;Catalog!M33&amp;""",""identifier"":"""&amp;Catalog!C33&amp;"""}")</f>
        <v/>
      </c>
    </row>
    <row r="38" spans="1:4" x14ac:dyDescent="0.25">
      <c r="A38" s="16" t="str">
        <f>Catalog!A34</f>
        <v/>
      </c>
      <c r="B38" s="16">
        <f>Catalog!D34</f>
        <v>0</v>
      </c>
      <c r="C38" s="16">
        <f>Catalog!F34</f>
        <v>0</v>
      </c>
      <c r="D38" s="19" t="str">
        <f>IF(Catalog!D34="","","{""item_id"":"&amp;Catalog!A34&amp;",""title"":"""&amp;SUBSTITUTE(Catalog!D34,"""","\""")&amp;""",""creator"":"""&amp;SUBSTITUTE(Catalog!F34,"""","\""")&amp;""",""language"":"""&amp;Catalog!M34&amp;""",""identifier"":"""&amp;Catalog!C34&amp;"""}")</f>
        <v/>
      </c>
    </row>
    <row r="39" spans="1:4" x14ac:dyDescent="0.25">
      <c r="A39" s="16" t="str">
        <f>Catalog!A35</f>
        <v/>
      </c>
      <c r="B39" s="16">
        <f>Catalog!D35</f>
        <v>0</v>
      </c>
      <c r="C39" s="16">
        <f>Catalog!F35</f>
        <v>0</v>
      </c>
      <c r="D39" s="19" t="str">
        <f>IF(Catalog!D35="","","{""item_id"":"&amp;Catalog!A35&amp;",""title"":"""&amp;SUBSTITUTE(Catalog!D35,"""","\""")&amp;""",""creator"":"""&amp;SUBSTITUTE(Catalog!F35,"""","\""")&amp;""",""language"":"""&amp;Catalog!M35&amp;""",""identifier"":"""&amp;Catalog!C35&amp;"""}")</f>
        <v/>
      </c>
    </row>
    <row r="40" spans="1:4" x14ac:dyDescent="0.25">
      <c r="A40" s="16" t="str">
        <f>Catalog!A36</f>
        <v/>
      </c>
      <c r="B40" s="16">
        <f>Catalog!D36</f>
        <v>0</v>
      </c>
      <c r="C40" s="16">
        <f>Catalog!F36</f>
        <v>0</v>
      </c>
      <c r="D40" s="19" t="str">
        <f>IF(Catalog!D36="","","{""item_id"":"&amp;Catalog!A36&amp;",""title"":"""&amp;SUBSTITUTE(Catalog!D36,"""","\""")&amp;""",""creator"":"""&amp;SUBSTITUTE(Catalog!F36,"""","\""")&amp;""",""language"":"""&amp;Catalog!M36&amp;""",""identifier"":"""&amp;Catalog!C36&amp;"""}")</f>
        <v/>
      </c>
    </row>
    <row r="41" spans="1:4" x14ac:dyDescent="0.25">
      <c r="A41" s="16" t="str">
        <f>Catalog!A37</f>
        <v/>
      </c>
      <c r="B41" s="16">
        <f>Catalog!D37</f>
        <v>0</v>
      </c>
      <c r="C41" s="16">
        <f>Catalog!F37</f>
        <v>0</v>
      </c>
      <c r="D41" s="19" t="str">
        <f>IF(Catalog!D37="","","{""item_id"":"&amp;Catalog!A37&amp;",""title"":"""&amp;SUBSTITUTE(Catalog!D37,"""","\""")&amp;""",""creator"":"""&amp;SUBSTITUTE(Catalog!F37,"""","\""")&amp;""",""language"":"""&amp;Catalog!M37&amp;""",""identifier"":"""&amp;Catalog!C37&amp;"""}")</f>
        <v/>
      </c>
    </row>
    <row r="42" spans="1:4" x14ac:dyDescent="0.25">
      <c r="A42" s="16" t="str">
        <f>Catalog!A38</f>
        <v/>
      </c>
      <c r="B42" s="16">
        <f>Catalog!D38</f>
        <v>0</v>
      </c>
      <c r="C42" s="16">
        <f>Catalog!F38</f>
        <v>0</v>
      </c>
      <c r="D42" s="19" t="str">
        <f>IF(Catalog!D38="","","{""item_id"":"&amp;Catalog!A38&amp;",""title"":"""&amp;SUBSTITUTE(Catalog!D38,"""","\""")&amp;""",""creator"":"""&amp;SUBSTITUTE(Catalog!F38,"""","\""")&amp;""",""language"":"""&amp;Catalog!M38&amp;""",""identifier"":"""&amp;Catalog!C38&amp;"""}")</f>
        <v/>
      </c>
    </row>
    <row r="43" spans="1:4" x14ac:dyDescent="0.25">
      <c r="A43" s="16" t="str">
        <f>Catalog!A39</f>
        <v/>
      </c>
      <c r="B43" s="16">
        <f>Catalog!D39</f>
        <v>0</v>
      </c>
      <c r="C43" s="16">
        <f>Catalog!F39</f>
        <v>0</v>
      </c>
      <c r="D43" s="19" t="str">
        <f>IF(Catalog!D39="","","{""item_id"":"&amp;Catalog!A39&amp;",""title"":"""&amp;SUBSTITUTE(Catalog!D39,"""","\""")&amp;""",""creator"":"""&amp;SUBSTITUTE(Catalog!F39,"""","\""")&amp;""",""language"":"""&amp;Catalog!M39&amp;""",""identifier"":"""&amp;Catalog!C39&amp;"""}")</f>
        <v/>
      </c>
    </row>
    <row r="44" spans="1:4" x14ac:dyDescent="0.25">
      <c r="A44" s="16" t="str">
        <f>Catalog!A40</f>
        <v/>
      </c>
      <c r="B44" s="16">
        <f>Catalog!D40</f>
        <v>0</v>
      </c>
      <c r="C44" s="16">
        <f>Catalog!F40</f>
        <v>0</v>
      </c>
      <c r="D44" s="19" t="str">
        <f>IF(Catalog!D40="","","{""item_id"":"&amp;Catalog!A40&amp;",""title"":"""&amp;SUBSTITUTE(Catalog!D40,"""","\""")&amp;""",""creator"":"""&amp;SUBSTITUTE(Catalog!F40,"""","\""")&amp;""",""language"":"""&amp;Catalog!M40&amp;""",""identifier"":"""&amp;Catalog!C40&amp;"""}")</f>
        <v/>
      </c>
    </row>
    <row r="45" spans="1:4" x14ac:dyDescent="0.25">
      <c r="A45" s="16" t="str">
        <f>Catalog!A41</f>
        <v/>
      </c>
      <c r="B45" s="16">
        <f>Catalog!D41</f>
        <v>0</v>
      </c>
      <c r="C45" s="16">
        <f>Catalog!F41</f>
        <v>0</v>
      </c>
      <c r="D45" s="19" t="str">
        <f>IF(Catalog!D41="","","{""item_id"":"&amp;Catalog!A41&amp;",""title"":"""&amp;SUBSTITUTE(Catalog!D41,"""","\""")&amp;""",""creator"":"""&amp;SUBSTITUTE(Catalog!F41,"""","\""")&amp;""",""language"":"""&amp;Catalog!M41&amp;""",""identifier"":"""&amp;Catalog!C41&amp;"""}")</f>
        <v/>
      </c>
    </row>
    <row r="46" spans="1:4" x14ac:dyDescent="0.25">
      <c r="A46" s="16" t="str">
        <f>Catalog!A42</f>
        <v/>
      </c>
      <c r="B46" s="16">
        <f>Catalog!D42</f>
        <v>0</v>
      </c>
      <c r="C46" s="16">
        <f>Catalog!F42</f>
        <v>0</v>
      </c>
      <c r="D46" s="19" t="str">
        <f>IF(Catalog!D42="","","{""item_id"":"&amp;Catalog!A42&amp;",""title"":"""&amp;SUBSTITUTE(Catalog!D42,"""","\""")&amp;""",""creator"":"""&amp;SUBSTITUTE(Catalog!F42,"""","\""")&amp;""",""language"":"""&amp;Catalog!M42&amp;""",""identifier"":"""&amp;Catalog!C42&amp;"""}")</f>
        <v/>
      </c>
    </row>
    <row r="47" spans="1:4" x14ac:dyDescent="0.25">
      <c r="A47" s="16" t="str">
        <f>Catalog!A43</f>
        <v/>
      </c>
      <c r="B47" s="16">
        <f>Catalog!D43</f>
        <v>0</v>
      </c>
      <c r="C47" s="16">
        <f>Catalog!F43</f>
        <v>0</v>
      </c>
      <c r="D47" s="19" t="str">
        <f>IF(Catalog!D43="","","{""item_id"":"&amp;Catalog!A43&amp;",""title"":"""&amp;SUBSTITUTE(Catalog!D43,"""","\""")&amp;""",""creator"":"""&amp;SUBSTITUTE(Catalog!F43,"""","\""")&amp;""",""language"":"""&amp;Catalog!M43&amp;""",""identifier"":"""&amp;Catalog!C43&amp;"""}")</f>
        <v/>
      </c>
    </row>
    <row r="48" spans="1:4" x14ac:dyDescent="0.25">
      <c r="A48" s="16" t="str">
        <f>Catalog!A44</f>
        <v/>
      </c>
      <c r="B48" s="16">
        <f>Catalog!D44</f>
        <v>0</v>
      </c>
      <c r="C48" s="16">
        <f>Catalog!F44</f>
        <v>0</v>
      </c>
      <c r="D48" s="19" t="str">
        <f>IF(Catalog!D44="","","{""item_id"":"&amp;Catalog!A44&amp;",""title"":"""&amp;SUBSTITUTE(Catalog!D44,"""","\""")&amp;""",""creator"":"""&amp;SUBSTITUTE(Catalog!F44,"""","\""")&amp;""",""language"":"""&amp;Catalog!M44&amp;""",""identifier"":"""&amp;Catalog!C44&amp;"""}")</f>
        <v/>
      </c>
    </row>
    <row r="49" spans="1:4" x14ac:dyDescent="0.25">
      <c r="A49" s="16" t="str">
        <f>Catalog!A45</f>
        <v/>
      </c>
      <c r="B49" s="16">
        <f>Catalog!D45</f>
        <v>0</v>
      </c>
      <c r="C49" s="16">
        <f>Catalog!F45</f>
        <v>0</v>
      </c>
      <c r="D49" s="19" t="str">
        <f>IF(Catalog!D45="","","{""item_id"":"&amp;Catalog!A45&amp;",""title"":"""&amp;SUBSTITUTE(Catalog!D45,"""","\""")&amp;""",""creator"":"""&amp;SUBSTITUTE(Catalog!F45,"""","\""")&amp;""",""language"":"""&amp;Catalog!M45&amp;""",""identifier"":"""&amp;Catalog!C45&amp;"""}")</f>
        <v/>
      </c>
    </row>
    <row r="50" spans="1:4" x14ac:dyDescent="0.25">
      <c r="A50" s="16" t="str">
        <f>Catalog!A46</f>
        <v/>
      </c>
      <c r="B50" s="16">
        <f>Catalog!D46</f>
        <v>0</v>
      </c>
      <c r="C50" s="16">
        <f>Catalog!F46</f>
        <v>0</v>
      </c>
      <c r="D50" s="19" t="str">
        <f>IF(Catalog!D46="","","{""item_id"":"&amp;Catalog!A46&amp;",""title"":"""&amp;SUBSTITUTE(Catalog!D46,"""","\""")&amp;""",""creator"":"""&amp;SUBSTITUTE(Catalog!F46,"""","\""")&amp;""",""language"":"""&amp;Catalog!M46&amp;""",""identifier"":"""&amp;Catalog!C46&amp;"""}")</f>
        <v/>
      </c>
    </row>
    <row r="51" spans="1:4" x14ac:dyDescent="0.25">
      <c r="A51" s="16" t="str">
        <f>Catalog!A47</f>
        <v/>
      </c>
      <c r="B51" s="16">
        <f>Catalog!D47</f>
        <v>0</v>
      </c>
      <c r="C51" s="16">
        <f>Catalog!F47</f>
        <v>0</v>
      </c>
      <c r="D51" s="19" t="str">
        <f>IF(Catalog!D47="","","{""item_id"":"&amp;Catalog!A47&amp;",""title"":"""&amp;SUBSTITUTE(Catalog!D47,"""","\""")&amp;""",""creator"":"""&amp;SUBSTITUTE(Catalog!F47,"""","\""")&amp;""",""language"":"""&amp;Catalog!M47&amp;""",""identifier"":"""&amp;Catalog!C47&amp;"""}")</f>
        <v/>
      </c>
    </row>
    <row r="52" spans="1:4" x14ac:dyDescent="0.25">
      <c r="A52" s="16" t="str">
        <f>Catalog!A48</f>
        <v/>
      </c>
      <c r="B52" s="16">
        <f>Catalog!D48</f>
        <v>0</v>
      </c>
      <c r="C52" s="16">
        <f>Catalog!F48</f>
        <v>0</v>
      </c>
      <c r="D52" s="19" t="str">
        <f>IF(Catalog!D48="","","{""item_id"":"&amp;Catalog!A48&amp;",""title"":"""&amp;SUBSTITUTE(Catalog!D48,"""","\""")&amp;""",""creator"":"""&amp;SUBSTITUTE(Catalog!F48,"""","\""")&amp;""",""language"":"""&amp;Catalog!M48&amp;""",""identifier"":"""&amp;Catalog!C48&amp;"""}")</f>
        <v/>
      </c>
    </row>
    <row r="53" spans="1:4" x14ac:dyDescent="0.25">
      <c r="A53" s="16" t="str">
        <f>Catalog!A49</f>
        <v/>
      </c>
      <c r="B53" s="16">
        <f>Catalog!D49</f>
        <v>0</v>
      </c>
      <c r="C53" s="16">
        <f>Catalog!F49</f>
        <v>0</v>
      </c>
      <c r="D53" s="19" t="str">
        <f>IF(Catalog!D49="","","{""item_id"":"&amp;Catalog!A49&amp;",""title"":"""&amp;SUBSTITUTE(Catalog!D49,"""","\""")&amp;""",""creator"":"""&amp;SUBSTITUTE(Catalog!F49,"""","\""")&amp;""",""language"":"""&amp;Catalog!M49&amp;""",""identifier"":"""&amp;Catalog!C49&amp;"""}")</f>
        <v/>
      </c>
    </row>
    <row r="54" spans="1:4" x14ac:dyDescent="0.25">
      <c r="A54" s="16" t="str">
        <f>Catalog!A50</f>
        <v/>
      </c>
      <c r="B54" s="16">
        <f>Catalog!D50</f>
        <v>0</v>
      </c>
      <c r="C54" s="16">
        <f>Catalog!F50</f>
        <v>0</v>
      </c>
      <c r="D54" s="19" t="str">
        <f>IF(Catalog!D50="","","{""item_id"":"&amp;Catalog!A50&amp;",""title"":"""&amp;SUBSTITUTE(Catalog!D50,"""","\""")&amp;""",""creator"":"""&amp;SUBSTITUTE(Catalog!F50,"""","\""")&amp;""",""language"":"""&amp;Catalog!M50&amp;""",""identifier"":"""&amp;Catalog!C50&amp;"""}")</f>
        <v/>
      </c>
    </row>
    <row r="55" spans="1:4" x14ac:dyDescent="0.25">
      <c r="A55" s="16" t="str">
        <f>Catalog!A51</f>
        <v/>
      </c>
      <c r="B55" s="16">
        <f>Catalog!D51</f>
        <v>0</v>
      </c>
      <c r="C55" s="16">
        <f>Catalog!F51</f>
        <v>0</v>
      </c>
      <c r="D55" s="19" t="str">
        <f>IF(Catalog!D51="","","{""item_id"":"&amp;Catalog!A51&amp;",""title"":"""&amp;SUBSTITUTE(Catalog!D51,"""","\""")&amp;""",""creator"":"""&amp;SUBSTITUTE(Catalog!F51,"""","\""")&amp;""",""language"":"""&amp;Catalog!M51&amp;""",""identifier"":"""&amp;Catalog!C51&amp;"""}")</f>
        <v/>
      </c>
    </row>
    <row r="56" spans="1:4" x14ac:dyDescent="0.25">
      <c r="A56" s="16" t="str">
        <f>Catalog!A52</f>
        <v/>
      </c>
      <c r="B56" s="16">
        <f>Catalog!D52</f>
        <v>0</v>
      </c>
      <c r="C56" s="16">
        <f>Catalog!F52</f>
        <v>0</v>
      </c>
      <c r="D56" s="19" t="str">
        <f>IF(Catalog!D52="","","{""item_id"":"&amp;Catalog!A52&amp;",""title"":"""&amp;SUBSTITUTE(Catalog!D52,"""","\""")&amp;""",""creator"":"""&amp;SUBSTITUTE(Catalog!F52,"""","\""")&amp;""",""language"":"""&amp;Catalog!M52&amp;""",""identifier"":"""&amp;Catalog!C52&amp;"""}")</f>
        <v/>
      </c>
    </row>
    <row r="57" spans="1:4" x14ac:dyDescent="0.25">
      <c r="A57" s="16" t="str">
        <f>Catalog!A53</f>
        <v/>
      </c>
      <c r="B57" s="16">
        <f>Catalog!D53</f>
        <v>0</v>
      </c>
      <c r="C57" s="16">
        <f>Catalog!F53</f>
        <v>0</v>
      </c>
      <c r="D57" s="19" t="str">
        <f>IF(Catalog!D53="","","{""item_id"":"&amp;Catalog!A53&amp;",""title"":"""&amp;SUBSTITUTE(Catalog!D53,"""","\""")&amp;""",""creator"":"""&amp;SUBSTITUTE(Catalog!F53,"""","\""")&amp;""",""language"":"""&amp;Catalog!M53&amp;""",""identifier"":"""&amp;Catalog!C53&amp;"""}")</f>
        <v/>
      </c>
    </row>
    <row r="58" spans="1:4" x14ac:dyDescent="0.25">
      <c r="A58" s="16" t="str">
        <f>Catalog!A54</f>
        <v/>
      </c>
      <c r="B58" s="16">
        <f>Catalog!D54</f>
        <v>0</v>
      </c>
      <c r="C58" s="16">
        <f>Catalog!F54</f>
        <v>0</v>
      </c>
      <c r="D58" s="19" t="str">
        <f>IF(Catalog!D54="","","{""item_id"":"&amp;Catalog!A54&amp;",""title"":"""&amp;SUBSTITUTE(Catalog!D54,"""","\""")&amp;""",""creator"":"""&amp;SUBSTITUTE(Catalog!F54,"""","\""")&amp;""",""language"":"""&amp;Catalog!M54&amp;""",""identifier"":"""&amp;Catalog!C54&amp;"""}")</f>
        <v/>
      </c>
    </row>
    <row r="59" spans="1:4" x14ac:dyDescent="0.25">
      <c r="A59" s="16" t="str">
        <f>Catalog!A55</f>
        <v/>
      </c>
      <c r="B59" s="16">
        <f>Catalog!D55</f>
        <v>0</v>
      </c>
      <c r="C59" s="16">
        <f>Catalog!F55</f>
        <v>0</v>
      </c>
      <c r="D59" s="19" t="str">
        <f>IF(Catalog!D55="","","{""item_id"":"&amp;Catalog!A55&amp;",""title"":"""&amp;SUBSTITUTE(Catalog!D55,"""","\""")&amp;""",""creator"":"""&amp;SUBSTITUTE(Catalog!F55,"""","\""")&amp;""",""language"":"""&amp;Catalog!M55&amp;""",""identifier"":"""&amp;Catalog!C55&amp;"""}")</f>
        <v/>
      </c>
    </row>
    <row r="60" spans="1:4" x14ac:dyDescent="0.25">
      <c r="A60" s="16" t="str">
        <f>Catalog!A56</f>
        <v/>
      </c>
      <c r="B60" s="16">
        <f>Catalog!D56</f>
        <v>0</v>
      </c>
      <c r="C60" s="16">
        <f>Catalog!F56</f>
        <v>0</v>
      </c>
      <c r="D60" s="19" t="str">
        <f>IF(Catalog!D56="","","{""item_id"":"&amp;Catalog!A56&amp;",""title"":"""&amp;SUBSTITUTE(Catalog!D56,"""","\""")&amp;""",""creator"":"""&amp;SUBSTITUTE(Catalog!F56,"""","\""")&amp;""",""language"":"""&amp;Catalog!M56&amp;""",""identifier"":"""&amp;Catalog!C56&amp;"""}")</f>
        <v/>
      </c>
    </row>
    <row r="61" spans="1:4" x14ac:dyDescent="0.25">
      <c r="A61" s="16" t="str">
        <f>Catalog!A57</f>
        <v/>
      </c>
      <c r="B61" s="16">
        <f>Catalog!D57</f>
        <v>0</v>
      </c>
      <c r="C61" s="16">
        <f>Catalog!F57</f>
        <v>0</v>
      </c>
      <c r="D61" s="19" t="str">
        <f>IF(Catalog!D57="","","{""item_id"":"&amp;Catalog!A57&amp;",""title"":"""&amp;SUBSTITUTE(Catalog!D57,"""","\""")&amp;""",""creator"":"""&amp;SUBSTITUTE(Catalog!F57,"""","\""")&amp;""",""language"":"""&amp;Catalog!M57&amp;""",""identifier"":"""&amp;Catalog!C57&amp;"""}")</f>
        <v/>
      </c>
    </row>
    <row r="62" spans="1:4" x14ac:dyDescent="0.25">
      <c r="A62" s="16" t="str">
        <f>Catalog!A58</f>
        <v/>
      </c>
      <c r="B62" s="16">
        <f>Catalog!D58</f>
        <v>0</v>
      </c>
      <c r="C62" s="16">
        <f>Catalog!F58</f>
        <v>0</v>
      </c>
      <c r="D62" s="19" t="str">
        <f>IF(Catalog!D58="","","{""item_id"":"&amp;Catalog!A58&amp;",""title"":"""&amp;SUBSTITUTE(Catalog!D58,"""","\""")&amp;""",""creator"":"""&amp;SUBSTITUTE(Catalog!F58,"""","\""")&amp;""",""language"":"""&amp;Catalog!M58&amp;""",""identifier"":"""&amp;Catalog!C58&amp;"""}")</f>
        <v/>
      </c>
    </row>
    <row r="63" spans="1:4" x14ac:dyDescent="0.25">
      <c r="A63" s="16" t="str">
        <f>Catalog!A59</f>
        <v/>
      </c>
      <c r="B63" s="16">
        <f>Catalog!D59</f>
        <v>0</v>
      </c>
      <c r="C63" s="16">
        <f>Catalog!F59</f>
        <v>0</v>
      </c>
      <c r="D63" s="19" t="str">
        <f>IF(Catalog!D59="","","{""item_id"":"&amp;Catalog!A59&amp;",""title"":"""&amp;SUBSTITUTE(Catalog!D59,"""","\""")&amp;""",""creator"":"""&amp;SUBSTITUTE(Catalog!F59,"""","\""")&amp;""",""language"":"""&amp;Catalog!M59&amp;""",""identifier"":"""&amp;Catalog!C59&amp;"""}")</f>
        <v/>
      </c>
    </row>
    <row r="64" spans="1:4" x14ac:dyDescent="0.25">
      <c r="A64" s="16" t="str">
        <f>Catalog!A60</f>
        <v/>
      </c>
      <c r="B64" s="16">
        <f>Catalog!D60</f>
        <v>0</v>
      </c>
      <c r="C64" s="16">
        <f>Catalog!F60</f>
        <v>0</v>
      </c>
      <c r="D64" s="19" t="str">
        <f>IF(Catalog!D60="","","{""item_id"":"&amp;Catalog!A60&amp;",""title"":"""&amp;SUBSTITUTE(Catalog!D60,"""","\""")&amp;""",""creator"":"""&amp;SUBSTITUTE(Catalog!F60,"""","\""")&amp;""",""language"":"""&amp;Catalog!M60&amp;""",""identifier"":"""&amp;Catalog!C60&amp;"""}")</f>
        <v/>
      </c>
    </row>
    <row r="65" spans="1:4" x14ac:dyDescent="0.25">
      <c r="A65" s="16" t="str">
        <f>Catalog!A61</f>
        <v/>
      </c>
      <c r="B65" s="16">
        <f>Catalog!D61</f>
        <v>0</v>
      </c>
      <c r="C65" s="16">
        <f>Catalog!F61</f>
        <v>0</v>
      </c>
      <c r="D65" s="19" t="str">
        <f>IF(Catalog!D61="","","{""item_id"":"&amp;Catalog!A61&amp;",""title"":"""&amp;SUBSTITUTE(Catalog!D61,"""","\""")&amp;""",""creator"":"""&amp;SUBSTITUTE(Catalog!F61,"""","\""")&amp;""",""language"":"""&amp;Catalog!M61&amp;""",""identifier"":"""&amp;Catalog!C61&amp;"""}")</f>
        <v/>
      </c>
    </row>
    <row r="66" spans="1:4" x14ac:dyDescent="0.25">
      <c r="A66" s="16" t="str">
        <f>Catalog!A62</f>
        <v/>
      </c>
      <c r="B66" s="16">
        <f>Catalog!D62</f>
        <v>0</v>
      </c>
      <c r="C66" s="16">
        <f>Catalog!F62</f>
        <v>0</v>
      </c>
      <c r="D66" s="19" t="str">
        <f>IF(Catalog!D62="","","{""item_id"":"&amp;Catalog!A62&amp;",""title"":"""&amp;SUBSTITUTE(Catalog!D62,"""","\""")&amp;""",""creator"":"""&amp;SUBSTITUTE(Catalog!F62,"""","\""")&amp;""",""language"":"""&amp;Catalog!M62&amp;""",""identifier"":"""&amp;Catalog!C62&amp;"""}")</f>
        <v/>
      </c>
    </row>
    <row r="67" spans="1:4" x14ac:dyDescent="0.25">
      <c r="A67" s="16" t="str">
        <f>Catalog!A63</f>
        <v/>
      </c>
      <c r="B67" s="16">
        <f>Catalog!D63</f>
        <v>0</v>
      </c>
      <c r="C67" s="16">
        <f>Catalog!F63</f>
        <v>0</v>
      </c>
      <c r="D67" s="19" t="str">
        <f>IF(Catalog!D63="","","{""item_id"":"&amp;Catalog!A63&amp;",""title"":"""&amp;SUBSTITUTE(Catalog!D63,"""","\""")&amp;""",""creator"":"""&amp;SUBSTITUTE(Catalog!F63,"""","\""")&amp;""",""language"":"""&amp;Catalog!M63&amp;""",""identifier"":"""&amp;Catalog!C63&amp;"""}")</f>
        <v/>
      </c>
    </row>
    <row r="68" spans="1:4" x14ac:dyDescent="0.25">
      <c r="A68" s="16" t="str">
        <f>Catalog!A64</f>
        <v/>
      </c>
      <c r="B68" s="16">
        <f>Catalog!D64</f>
        <v>0</v>
      </c>
      <c r="C68" s="16">
        <f>Catalog!F64</f>
        <v>0</v>
      </c>
      <c r="D68" s="19" t="str">
        <f>IF(Catalog!D64="","","{""item_id"":"&amp;Catalog!A64&amp;",""title"":"""&amp;SUBSTITUTE(Catalog!D64,"""","\""")&amp;""",""creator"":"""&amp;SUBSTITUTE(Catalog!F64,"""","\""")&amp;""",""language"":"""&amp;Catalog!M64&amp;""",""identifier"":"""&amp;Catalog!C64&amp;"""}")</f>
        <v/>
      </c>
    </row>
    <row r="69" spans="1:4" x14ac:dyDescent="0.25">
      <c r="A69" s="16" t="str">
        <f>Catalog!A65</f>
        <v/>
      </c>
      <c r="B69" s="16">
        <f>Catalog!D65</f>
        <v>0</v>
      </c>
      <c r="C69" s="16">
        <f>Catalog!F65</f>
        <v>0</v>
      </c>
      <c r="D69" s="19" t="str">
        <f>IF(Catalog!D65="","","{""item_id"":"&amp;Catalog!A65&amp;",""title"":"""&amp;SUBSTITUTE(Catalog!D65,"""","\""")&amp;""",""creator"":"""&amp;SUBSTITUTE(Catalog!F65,"""","\""")&amp;""",""language"":"""&amp;Catalog!M65&amp;""",""identifier"":"""&amp;Catalog!C65&amp;"""}")</f>
        <v/>
      </c>
    </row>
    <row r="70" spans="1:4" x14ac:dyDescent="0.25">
      <c r="A70" s="16" t="str">
        <f>Catalog!A66</f>
        <v/>
      </c>
      <c r="B70" s="16">
        <f>Catalog!D66</f>
        <v>0</v>
      </c>
      <c r="C70" s="16">
        <f>Catalog!F66</f>
        <v>0</v>
      </c>
      <c r="D70" s="19" t="str">
        <f>IF(Catalog!D66="","","{""item_id"":"&amp;Catalog!A66&amp;",""title"":"""&amp;SUBSTITUTE(Catalog!D66,"""","\""")&amp;""",""creator"":"""&amp;SUBSTITUTE(Catalog!F66,"""","\""")&amp;""",""language"":"""&amp;Catalog!M66&amp;""",""identifier"":"""&amp;Catalog!C66&amp;"""}")</f>
        <v/>
      </c>
    </row>
    <row r="71" spans="1:4" x14ac:dyDescent="0.25">
      <c r="A71" s="16" t="str">
        <f>Catalog!A67</f>
        <v/>
      </c>
      <c r="B71" s="16">
        <f>Catalog!D67</f>
        <v>0</v>
      </c>
      <c r="C71" s="16">
        <f>Catalog!F67</f>
        <v>0</v>
      </c>
      <c r="D71" s="19" t="str">
        <f>IF(Catalog!D67="","","{""item_id"":"&amp;Catalog!A67&amp;",""title"":"""&amp;SUBSTITUTE(Catalog!D67,"""","\""")&amp;""",""creator"":"""&amp;SUBSTITUTE(Catalog!F67,"""","\""")&amp;""",""language"":"""&amp;Catalog!M67&amp;""",""identifier"":"""&amp;Catalog!C67&amp;"""}")</f>
        <v/>
      </c>
    </row>
    <row r="72" spans="1:4" x14ac:dyDescent="0.25">
      <c r="A72" s="16" t="str">
        <f>Catalog!A68</f>
        <v/>
      </c>
      <c r="B72" s="16">
        <f>Catalog!D68</f>
        <v>0</v>
      </c>
      <c r="C72" s="16">
        <f>Catalog!F68</f>
        <v>0</v>
      </c>
      <c r="D72" s="19" t="str">
        <f>IF(Catalog!D68="","","{""item_id"":"&amp;Catalog!A68&amp;",""title"":"""&amp;SUBSTITUTE(Catalog!D68,"""","\""")&amp;""",""creator"":"""&amp;SUBSTITUTE(Catalog!F68,"""","\""")&amp;""",""language"":"""&amp;Catalog!M68&amp;""",""identifier"":"""&amp;Catalog!C68&amp;"""}")</f>
        <v/>
      </c>
    </row>
    <row r="73" spans="1:4" x14ac:dyDescent="0.25">
      <c r="A73" s="16" t="str">
        <f>Catalog!A69</f>
        <v/>
      </c>
      <c r="B73" s="16">
        <f>Catalog!D69</f>
        <v>0</v>
      </c>
      <c r="C73" s="16">
        <f>Catalog!F69</f>
        <v>0</v>
      </c>
      <c r="D73" s="19" t="str">
        <f>IF(Catalog!D69="","","{""item_id"":"&amp;Catalog!A69&amp;",""title"":"""&amp;SUBSTITUTE(Catalog!D69,"""","\""")&amp;""",""creator"":"""&amp;SUBSTITUTE(Catalog!F69,"""","\""")&amp;""",""language"":"""&amp;Catalog!M69&amp;""",""identifier"":"""&amp;Catalog!C69&amp;"""}")</f>
        <v/>
      </c>
    </row>
    <row r="74" spans="1:4" x14ac:dyDescent="0.25">
      <c r="A74" s="16" t="str">
        <f>Catalog!A70</f>
        <v/>
      </c>
      <c r="B74" s="16">
        <f>Catalog!D70</f>
        <v>0</v>
      </c>
      <c r="C74" s="16">
        <f>Catalog!F70</f>
        <v>0</v>
      </c>
      <c r="D74" s="19" t="str">
        <f>IF(Catalog!D70="","","{""item_id"":"&amp;Catalog!A70&amp;",""title"":"""&amp;SUBSTITUTE(Catalog!D70,"""","\""")&amp;""",""creator"":"""&amp;SUBSTITUTE(Catalog!F70,"""","\""")&amp;""",""language"":"""&amp;Catalog!M70&amp;""",""identifier"":"""&amp;Catalog!C70&amp;"""}")</f>
        <v/>
      </c>
    </row>
    <row r="75" spans="1:4" x14ac:dyDescent="0.25">
      <c r="A75" s="16" t="str">
        <f>Catalog!A71</f>
        <v/>
      </c>
      <c r="B75" s="16">
        <f>Catalog!D71</f>
        <v>0</v>
      </c>
      <c r="C75" s="16">
        <f>Catalog!F71</f>
        <v>0</v>
      </c>
      <c r="D75" s="19" t="str">
        <f>IF(Catalog!D71="","","{""item_id"":"&amp;Catalog!A71&amp;",""title"":"""&amp;SUBSTITUTE(Catalog!D71,"""","\""")&amp;""",""creator"":"""&amp;SUBSTITUTE(Catalog!F71,"""","\""")&amp;""",""language"":"""&amp;Catalog!M71&amp;""",""identifier"":"""&amp;Catalog!C71&amp;"""}")</f>
        <v/>
      </c>
    </row>
    <row r="76" spans="1:4" x14ac:dyDescent="0.25">
      <c r="A76" s="16" t="str">
        <f>Catalog!A72</f>
        <v/>
      </c>
      <c r="B76" s="16">
        <f>Catalog!D72</f>
        <v>0</v>
      </c>
      <c r="C76" s="16">
        <f>Catalog!F72</f>
        <v>0</v>
      </c>
      <c r="D76" s="19" t="str">
        <f>IF(Catalog!D72="","","{""item_id"":"&amp;Catalog!A72&amp;",""title"":"""&amp;SUBSTITUTE(Catalog!D72,"""","\""")&amp;""",""creator"":"""&amp;SUBSTITUTE(Catalog!F72,"""","\""")&amp;""",""language"":"""&amp;Catalog!M72&amp;""",""identifier"":"""&amp;Catalog!C72&amp;"""}")</f>
        <v/>
      </c>
    </row>
    <row r="77" spans="1:4" x14ac:dyDescent="0.25">
      <c r="A77" s="16" t="str">
        <f>Catalog!A73</f>
        <v/>
      </c>
      <c r="B77" s="16">
        <f>Catalog!D73</f>
        <v>0</v>
      </c>
      <c r="C77" s="16">
        <f>Catalog!F73</f>
        <v>0</v>
      </c>
      <c r="D77" s="19" t="str">
        <f>IF(Catalog!D73="","","{""item_id"":"&amp;Catalog!A73&amp;",""title"":"""&amp;SUBSTITUTE(Catalog!D73,"""","\""")&amp;""",""creator"":"""&amp;SUBSTITUTE(Catalog!F73,"""","\""")&amp;""",""language"":"""&amp;Catalog!M73&amp;""",""identifier"":"""&amp;Catalog!C73&amp;"""}")</f>
        <v/>
      </c>
    </row>
    <row r="78" spans="1:4" x14ac:dyDescent="0.25">
      <c r="A78" s="16" t="str">
        <f>Catalog!A74</f>
        <v/>
      </c>
      <c r="B78" s="16">
        <f>Catalog!D74</f>
        <v>0</v>
      </c>
      <c r="C78" s="16">
        <f>Catalog!F74</f>
        <v>0</v>
      </c>
      <c r="D78" s="19" t="str">
        <f>IF(Catalog!D74="","","{""item_id"":"&amp;Catalog!A74&amp;",""title"":"""&amp;SUBSTITUTE(Catalog!D74,"""","\""")&amp;""",""creator"":"""&amp;SUBSTITUTE(Catalog!F74,"""","\""")&amp;""",""language"":"""&amp;Catalog!M74&amp;""",""identifier"":"""&amp;Catalog!C74&amp;"""}")</f>
        <v/>
      </c>
    </row>
    <row r="79" spans="1:4" x14ac:dyDescent="0.25">
      <c r="A79" s="16" t="str">
        <f>Catalog!A75</f>
        <v/>
      </c>
      <c r="B79" s="16">
        <f>Catalog!D75</f>
        <v>0</v>
      </c>
      <c r="C79" s="16">
        <f>Catalog!F75</f>
        <v>0</v>
      </c>
      <c r="D79" s="19" t="str">
        <f>IF(Catalog!D75="","","{""item_id"":"&amp;Catalog!A75&amp;",""title"":"""&amp;SUBSTITUTE(Catalog!D75,"""","\""")&amp;""",""creator"":"""&amp;SUBSTITUTE(Catalog!F75,"""","\""")&amp;""",""language"":"""&amp;Catalog!M75&amp;""",""identifier"":"""&amp;Catalog!C75&amp;"""}")</f>
        <v/>
      </c>
    </row>
    <row r="80" spans="1:4" x14ac:dyDescent="0.25">
      <c r="A80" s="16" t="str">
        <f>Catalog!A76</f>
        <v/>
      </c>
      <c r="B80" s="16">
        <f>Catalog!D76</f>
        <v>0</v>
      </c>
      <c r="C80" s="16">
        <f>Catalog!F76</f>
        <v>0</v>
      </c>
      <c r="D80" s="19" t="str">
        <f>IF(Catalog!D76="","","{""item_id"":"&amp;Catalog!A76&amp;",""title"":"""&amp;SUBSTITUTE(Catalog!D76,"""","\""")&amp;""",""creator"":"""&amp;SUBSTITUTE(Catalog!F76,"""","\""")&amp;""",""language"":"""&amp;Catalog!M76&amp;""",""identifier"":"""&amp;Catalog!C76&amp;"""}")</f>
        <v/>
      </c>
    </row>
    <row r="81" spans="1:4" x14ac:dyDescent="0.25">
      <c r="A81" s="16" t="str">
        <f>Catalog!A77</f>
        <v/>
      </c>
      <c r="B81" s="16">
        <f>Catalog!D77</f>
        <v>0</v>
      </c>
      <c r="C81" s="16">
        <f>Catalog!F77</f>
        <v>0</v>
      </c>
      <c r="D81" s="19" t="str">
        <f>IF(Catalog!D77="","","{""item_id"":"&amp;Catalog!A77&amp;",""title"":"""&amp;SUBSTITUTE(Catalog!D77,"""","\""")&amp;""",""creator"":"""&amp;SUBSTITUTE(Catalog!F77,"""","\""")&amp;""",""language"":"""&amp;Catalog!M77&amp;""",""identifier"":"""&amp;Catalog!C77&amp;"""}")</f>
        <v/>
      </c>
    </row>
    <row r="82" spans="1:4" x14ac:dyDescent="0.25">
      <c r="A82" s="16" t="str">
        <f>Catalog!A78</f>
        <v/>
      </c>
      <c r="B82" s="16">
        <f>Catalog!D78</f>
        <v>0</v>
      </c>
      <c r="C82" s="16">
        <f>Catalog!F78</f>
        <v>0</v>
      </c>
      <c r="D82" s="19" t="str">
        <f>IF(Catalog!D78="","","{""item_id"":"&amp;Catalog!A78&amp;",""title"":"""&amp;SUBSTITUTE(Catalog!D78,"""","\""")&amp;""",""creator"":"""&amp;SUBSTITUTE(Catalog!F78,"""","\""")&amp;""",""language"":"""&amp;Catalog!M78&amp;""",""identifier"":"""&amp;Catalog!C78&amp;"""}")</f>
        <v/>
      </c>
    </row>
    <row r="83" spans="1:4" x14ac:dyDescent="0.25">
      <c r="A83" s="16" t="str">
        <f>Catalog!A79</f>
        <v/>
      </c>
      <c r="B83" s="16">
        <f>Catalog!D79</f>
        <v>0</v>
      </c>
      <c r="C83" s="16">
        <f>Catalog!F79</f>
        <v>0</v>
      </c>
      <c r="D83" s="19" t="str">
        <f>IF(Catalog!D79="","","{""item_id"":"&amp;Catalog!A79&amp;",""title"":"""&amp;SUBSTITUTE(Catalog!D79,"""","\""")&amp;""",""creator"":"""&amp;SUBSTITUTE(Catalog!F79,"""","\""")&amp;""",""language"":"""&amp;Catalog!M79&amp;""",""identifier"":"""&amp;Catalog!C79&amp;"""}")</f>
        <v/>
      </c>
    </row>
    <row r="84" spans="1:4" x14ac:dyDescent="0.25">
      <c r="A84" s="16" t="str">
        <f>Catalog!A80</f>
        <v/>
      </c>
      <c r="B84" s="16">
        <f>Catalog!D80</f>
        <v>0</v>
      </c>
      <c r="C84" s="16">
        <f>Catalog!F80</f>
        <v>0</v>
      </c>
      <c r="D84" s="19" t="str">
        <f>IF(Catalog!D80="","","{""item_id"":"&amp;Catalog!A80&amp;",""title"":"""&amp;SUBSTITUTE(Catalog!D80,"""","\""")&amp;""",""creator"":"""&amp;SUBSTITUTE(Catalog!F80,"""","\""")&amp;""",""language"":"""&amp;Catalog!M80&amp;""",""identifier"":"""&amp;Catalog!C80&amp;"""}")</f>
        <v/>
      </c>
    </row>
    <row r="85" spans="1:4" x14ac:dyDescent="0.25">
      <c r="A85" s="16" t="str">
        <f>Catalog!A81</f>
        <v/>
      </c>
      <c r="B85" s="16">
        <f>Catalog!D81</f>
        <v>0</v>
      </c>
      <c r="C85" s="16">
        <f>Catalog!F81</f>
        <v>0</v>
      </c>
      <c r="D85" s="19" t="str">
        <f>IF(Catalog!D81="","","{""item_id"":"&amp;Catalog!A81&amp;",""title"":"""&amp;SUBSTITUTE(Catalog!D81,"""","\""")&amp;""",""creator"":"""&amp;SUBSTITUTE(Catalog!F81,"""","\""")&amp;""",""language"":"""&amp;Catalog!M81&amp;""",""identifier"":"""&amp;Catalog!C81&amp;"""}")</f>
        <v/>
      </c>
    </row>
    <row r="86" spans="1:4" x14ac:dyDescent="0.25">
      <c r="A86" s="16" t="str">
        <f>Catalog!A82</f>
        <v/>
      </c>
      <c r="B86" s="16">
        <f>Catalog!D82</f>
        <v>0</v>
      </c>
      <c r="C86" s="16">
        <f>Catalog!F82</f>
        <v>0</v>
      </c>
      <c r="D86" s="19" t="str">
        <f>IF(Catalog!D82="","","{""item_id"":"&amp;Catalog!A82&amp;",""title"":"""&amp;SUBSTITUTE(Catalog!D82,"""","\""")&amp;""",""creator"":"""&amp;SUBSTITUTE(Catalog!F82,"""","\""")&amp;""",""language"":"""&amp;Catalog!M82&amp;""",""identifier"":"""&amp;Catalog!C82&amp;"""}")</f>
        <v/>
      </c>
    </row>
    <row r="87" spans="1:4" x14ac:dyDescent="0.25">
      <c r="A87" s="16" t="str">
        <f>Catalog!A83</f>
        <v/>
      </c>
      <c r="B87" s="16">
        <f>Catalog!D83</f>
        <v>0</v>
      </c>
      <c r="C87" s="16">
        <f>Catalog!F83</f>
        <v>0</v>
      </c>
      <c r="D87" s="19" t="str">
        <f>IF(Catalog!D83="","","{""item_id"":"&amp;Catalog!A83&amp;",""title"":"""&amp;SUBSTITUTE(Catalog!D83,"""","\""")&amp;""",""creator"":"""&amp;SUBSTITUTE(Catalog!F83,"""","\""")&amp;""",""language"":"""&amp;Catalog!M83&amp;""",""identifier"":"""&amp;Catalog!C83&amp;"""}")</f>
        <v/>
      </c>
    </row>
    <row r="88" spans="1:4" x14ac:dyDescent="0.25">
      <c r="A88" s="16" t="str">
        <f>Catalog!A84</f>
        <v/>
      </c>
      <c r="B88" s="16">
        <f>Catalog!D84</f>
        <v>0</v>
      </c>
      <c r="C88" s="16">
        <f>Catalog!F84</f>
        <v>0</v>
      </c>
      <c r="D88" s="19" t="str">
        <f>IF(Catalog!D84="","","{""item_id"":"&amp;Catalog!A84&amp;",""title"":"""&amp;SUBSTITUTE(Catalog!D84,"""","\""")&amp;""",""creator"":"""&amp;SUBSTITUTE(Catalog!F84,"""","\""")&amp;""",""language"":"""&amp;Catalog!M84&amp;""",""identifier"":"""&amp;Catalog!C84&amp;"""}")</f>
        <v/>
      </c>
    </row>
    <row r="89" spans="1:4" x14ac:dyDescent="0.25">
      <c r="A89" s="16" t="str">
        <f>Catalog!A85</f>
        <v/>
      </c>
      <c r="B89" s="16">
        <f>Catalog!D85</f>
        <v>0</v>
      </c>
      <c r="C89" s="16">
        <f>Catalog!F85</f>
        <v>0</v>
      </c>
      <c r="D89" s="19" t="str">
        <f>IF(Catalog!D85="","","{""item_id"":"&amp;Catalog!A85&amp;",""title"":"""&amp;SUBSTITUTE(Catalog!D85,"""","\""")&amp;""",""creator"":"""&amp;SUBSTITUTE(Catalog!F85,"""","\""")&amp;""",""language"":"""&amp;Catalog!M85&amp;""",""identifier"":"""&amp;Catalog!C85&amp;"""}")</f>
        <v/>
      </c>
    </row>
    <row r="90" spans="1:4" x14ac:dyDescent="0.25">
      <c r="A90" s="16" t="str">
        <f>Catalog!A86</f>
        <v/>
      </c>
      <c r="B90" s="16">
        <f>Catalog!D86</f>
        <v>0</v>
      </c>
      <c r="C90" s="16">
        <f>Catalog!F86</f>
        <v>0</v>
      </c>
      <c r="D90" s="19" t="str">
        <f>IF(Catalog!D86="","","{""item_id"":"&amp;Catalog!A86&amp;",""title"":"""&amp;SUBSTITUTE(Catalog!D86,"""","\""")&amp;""",""creator"":"""&amp;SUBSTITUTE(Catalog!F86,"""","\""")&amp;""",""language"":"""&amp;Catalog!M86&amp;""",""identifier"":"""&amp;Catalog!C86&amp;"""}")</f>
        <v/>
      </c>
    </row>
    <row r="91" spans="1:4" x14ac:dyDescent="0.25">
      <c r="A91" s="16" t="str">
        <f>Catalog!A87</f>
        <v/>
      </c>
      <c r="B91" s="16">
        <f>Catalog!D87</f>
        <v>0</v>
      </c>
      <c r="C91" s="16">
        <f>Catalog!F87</f>
        <v>0</v>
      </c>
      <c r="D91" s="19" t="str">
        <f>IF(Catalog!D87="","","{""item_id"":"&amp;Catalog!A87&amp;",""title"":"""&amp;SUBSTITUTE(Catalog!D87,"""","\""")&amp;""",""creator"":"""&amp;SUBSTITUTE(Catalog!F87,"""","\""")&amp;""",""language"":"""&amp;Catalog!M87&amp;""",""identifier"":"""&amp;Catalog!C87&amp;"""}")</f>
        <v/>
      </c>
    </row>
    <row r="92" spans="1:4" x14ac:dyDescent="0.25">
      <c r="A92" s="16" t="str">
        <f>Catalog!A88</f>
        <v/>
      </c>
      <c r="B92" s="16">
        <f>Catalog!D88</f>
        <v>0</v>
      </c>
      <c r="C92" s="16">
        <f>Catalog!F88</f>
        <v>0</v>
      </c>
      <c r="D92" s="19" t="str">
        <f>IF(Catalog!D88="","","{""item_id"":"&amp;Catalog!A88&amp;",""title"":"""&amp;SUBSTITUTE(Catalog!D88,"""","\""")&amp;""",""creator"":"""&amp;SUBSTITUTE(Catalog!F88,"""","\""")&amp;""",""language"":"""&amp;Catalog!M88&amp;""",""identifier"":"""&amp;Catalog!C88&amp;"""}")</f>
        <v/>
      </c>
    </row>
    <row r="93" spans="1:4" x14ac:dyDescent="0.25">
      <c r="A93" s="16" t="str">
        <f>Catalog!A89</f>
        <v/>
      </c>
      <c r="B93" s="16">
        <f>Catalog!D89</f>
        <v>0</v>
      </c>
      <c r="C93" s="16">
        <f>Catalog!F89</f>
        <v>0</v>
      </c>
      <c r="D93" s="19" t="str">
        <f>IF(Catalog!D89="","","{""item_id"":"&amp;Catalog!A89&amp;",""title"":"""&amp;SUBSTITUTE(Catalog!D89,"""","\""")&amp;""",""creator"":"""&amp;SUBSTITUTE(Catalog!F89,"""","\""")&amp;""",""language"":"""&amp;Catalog!M89&amp;""",""identifier"":"""&amp;Catalog!C89&amp;"""}")</f>
        <v/>
      </c>
    </row>
    <row r="94" spans="1:4" x14ac:dyDescent="0.25">
      <c r="A94" s="16" t="str">
        <f>Catalog!A90</f>
        <v/>
      </c>
      <c r="B94" s="16">
        <f>Catalog!D90</f>
        <v>0</v>
      </c>
      <c r="C94" s="16">
        <f>Catalog!F90</f>
        <v>0</v>
      </c>
      <c r="D94" s="19" t="str">
        <f>IF(Catalog!D90="","","{""item_id"":"&amp;Catalog!A90&amp;",""title"":"""&amp;SUBSTITUTE(Catalog!D90,"""","\""")&amp;""",""creator"":"""&amp;SUBSTITUTE(Catalog!F90,"""","\""")&amp;""",""language"":"""&amp;Catalog!M90&amp;""",""identifier"":"""&amp;Catalog!C90&amp;"""}")</f>
        <v/>
      </c>
    </row>
    <row r="95" spans="1:4" x14ac:dyDescent="0.25">
      <c r="A95" s="16" t="str">
        <f>Catalog!A91</f>
        <v/>
      </c>
      <c r="B95" s="16">
        <f>Catalog!D91</f>
        <v>0</v>
      </c>
      <c r="C95" s="16">
        <f>Catalog!F91</f>
        <v>0</v>
      </c>
      <c r="D95" s="19" t="str">
        <f>IF(Catalog!D91="","","{""item_id"":"&amp;Catalog!A91&amp;",""title"":"""&amp;SUBSTITUTE(Catalog!D91,"""","\""")&amp;""",""creator"":"""&amp;SUBSTITUTE(Catalog!F91,"""","\""")&amp;""",""language"":"""&amp;Catalog!M91&amp;""",""identifier"":"""&amp;Catalog!C91&amp;"""}")</f>
        <v/>
      </c>
    </row>
    <row r="96" spans="1:4" x14ac:dyDescent="0.25">
      <c r="A96" s="16" t="str">
        <f>Catalog!A92</f>
        <v/>
      </c>
      <c r="B96" s="16">
        <f>Catalog!D92</f>
        <v>0</v>
      </c>
      <c r="C96" s="16">
        <f>Catalog!F92</f>
        <v>0</v>
      </c>
      <c r="D96" s="19" t="str">
        <f>IF(Catalog!D92="","","{""item_id"":"&amp;Catalog!A92&amp;",""title"":"""&amp;SUBSTITUTE(Catalog!D92,"""","\""")&amp;""",""creator"":"""&amp;SUBSTITUTE(Catalog!F92,"""","\""")&amp;""",""language"":"""&amp;Catalog!M92&amp;""",""identifier"":"""&amp;Catalog!C92&amp;"""}")</f>
        <v/>
      </c>
    </row>
    <row r="97" spans="1:4" x14ac:dyDescent="0.25">
      <c r="A97" s="16" t="str">
        <f>Catalog!A93</f>
        <v/>
      </c>
      <c r="B97" s="16">
        <f>Catalog!D93</f>
        <v>0</v>
      </c>
      <c r="C97" s="16">
        <f>Catalog!F93</f>
        <v>0</v>
      </c>
      <c r="D97" s="19" t="str">
        <f>IF(Catalog!D93="","","{""item_id"":"&amp;Catalog!A93&amp;",""title"":"""&amp;SUBSTITUTE(Catalog!D93,"""","\""")&amp;""",""creator"":"""&amp;SUBSTITUTE(Catalog!F93,"""","\""")&amp;""",""language"":"""&amp;Catalog!M93&amp;""",""identifier"":"""&amp;Catalog!C93&amp;"""}")</f>
        <v/>
      </c>
    </row>
    <row r="98" spans="1:4" x14ac:dyDescent="0.25">
      <c r="A98" s="16" t="str">
        <f>Catalog!A94</f>
        <v/>
      </c>
      <c r="B98" s="16">
        <f>Catalog!D94</f>
        <v>0</v>
      </c>
      <c r="C98" s="16">
        <f>Catalog!F94</f>
        <v>0</v>
      </c>
      <c r="D98" s="19" t="str">
        <f>IF(Catalog!D94="","","{""item_id"":"&amp;Catalog!A94&amp;",""title"":"""&amp;SUBSTITUTE(Catalog!D94,"""","\""")&amp;""",""creator"":"""&amp;SUBSTITUTE(Catalog!F94,"""","\""")&amp;""",""language"":"""&amp;Catalog!M94&amp;""",""identifier"":"""&amp;Catalog!C94&amp;"""}")</f>
        <v/>
      </c>
    </row>
    <row r="99" spans="1:4" x14ac:dyDescent="0.25">
      <c r="A99" s="16" t="str">
        <f>Catalog!A95</f>
        <v/>
      </c>
      <c r="B99" s="16">
        <f>Catalog!D95</f>
        <v>0</v>
      </c>
      <c r="C99" s="16">
        <f>Catalog!F95</f>
        <v>0</v>
      </c>
      <c r="D99" s="19" t="str">
        <f>IF(Catalog!D95="","","{""item_id"":"&amp;Catalog!A95&amp;",""title"":"""&amp;SUBSTITUTE(Catalog!D95,"""","\""")&amp;""",""creator"":"""&amp;SUBSTITUTE(Catalog!F95,"""","\""")&amp;""",""language"":"""&amp;Catalog!M95&amp;""",""identifier"":"""&amp;Catalog!C95&amp;"""}")</f>
        <v/>
      </c>
    </row>
    <row r="100" spans="1:4" x14ac:dyDescent="0.25">
      <c r="A100" s="16" t="str">
        <f>Catalog!A96</f>
        <v/>
      </c>
      <c r="B100" s="16">
        <f>Catalog!D96</f>
        <v>0</v>
      </c>
      <c r="C100" s="16">
        <f>Catalog!F96</f>
        <v>0</v>
      </c>
      <c r="D100" s="19" t="str">
        <f>IF(Catalog!D96="","","{""item_id"":"&amp;Catalog!A96&amp;",""title"":"""&amp;SUBSTITUTE(Catalog!D96,"""","\""")&amp;""",""creator"":"""&amp;SUBSTITUTE(Catalog!F96,"""","\""")&amp;""",""language"":"""&amp;Catalog!M96&amp;""",""identifier"":"""&amp;Catalog!C96&amp;"""}")</f>
        <v/>
      </c>
    </row>
    <row r="101" spans="1:4" x14ac:dyDescent="0.25">
      <c r="A101" s="16" t="str">
        <f>Catalog!A97</f>
        <v/>
      </c>
      <c r="B101" s="16">
        <f>Catalog!D97</f>
        <v>0</v>
      </c>
      <c r="C101" s="16">
        <f>Catalog!F97</f>
        <v>0</v>
      </c>
      <c r="D101" s="19" t="str">
        <f>IF(Catalog!D97="","","{""item_id"":"&amp;Catalog!A97&amp;",""title"":"""&amp;SUBSTITUTE(Catalog!D97,"""","\""")&amp;""",""creator"":"""&amp;SUBSTITUTE(Catalog!F97,"""","\""")&amp;""",""language"":"""&amp;Catalog!M97&amp;""",""identifier"":"""&amp;Catalog!C97&amp;"""}")</f>
        <v/>
      </c>
    </row>
    <row r="102" spans="1:4" x14ac:dyDescent="0.25">
      <c r="A102" s="16" t="str">
        <f>Catalog!A98</f>
        <v/>
      </c>
      <c r="B102" s="16">
        <f>Catalog!D98</f>
        <v>0</v>
      </c>
      <c r="C102" s="16">
        <f>Catalog!F98</f>
        <v>0</v>
      </c>
      <c r="D102" s="19" t="str">
        <f>IF(Catalog!D98="","","{""item_id"":"&amp;Catalog!A98&amp;",""title"":"""&amp;SUBSTITUTE(Catalog!D98,"""","\""")&amp;""",""creator"":"""&amp;SUBSTITUTE(Catalog!F98,"""","\""")&amp;""",""language"":"""&amp;Catalog!M98&amp;""",""identifier"":"""&amp;Catalog!C98&amp;"""}")</f>
        <v/>
      </c>
    </row>
    <row r="103" spans="1:4" x14ac:dyDescent="0.25">
      <c r="A103" s="16" t="str">
        <f>Catalog!A99</f>
        <v/>
      </c>
      <c r="B103" s="16">
        <f>Catalog!D99</f>
        <v>0</v>
      </c>
      <c r="C103" s="16">
        <f>Catalog!F99</f>
        <v>0</v>
      </c>
      <c r="D103" s="19" t="str">
        <f>IF(Catalog!D99="","","{""item_id"":"&amp;Catalog!A99&amp;",""title"":"""&amp;SUBSTITUTE(Catalog!D99,"""","\""")&amp;""",""creator"":"""&amp;SUBSTITUTE(Catalog!F99,"""","\""")&amp;""",""language"":"""&amp;Catalog!M99&amp;""",""identifier"":"""&amp;Catalog!C99&amp;"""}")</f>
        <v/>
      </c>
    </row>
    <row r="104" spans="1:4" x14ac:dyDescent="0.25">
      <c r="A104" s="16" t="str">
        <f>Catalog!A100</f>
        <v/>
      </c>
      <c r="B104" s="16">
        <f>Catalog!D100</f>
        <v>0</v>
      </c>
      <c r="C104" s="16">
        <f>Catalog!F100</f>
        <v>0</v>
      </c>
      <c r="D104" s="19" t="str">
        <f>IF(Catalog!D100="","","{""item_id"":"&amp;Catalog!A100&amp;",""title"":"""&amp;SUBSTITUTE(Catalog!D100,"""","\""")&amp;""",""creator"":"""&amp;SUBSTITUTE(Catalog!F100,"""","\""")&amp;""",""language"":"""&amp;Catalog!M100&amp;""",""identifier"":"""&amp;Catalog!C100&amp;"""}")</f>
        <v/>
      </c>
    </row>
    <row r="105" spans="1:4" x14ac:dyDescent="0.25">
      <c r="A105" s="16" t="str">
        <f>Catalog!A101</f>
        <v/>
      </c>
      <c r="B105" s="16">
        <f>Catalog!D101</f>
        <v>0</v>
      </c>
      <c r="C105" s="16">
        <f>Catalog!F101</f>
        <v>0</v>
      </c>
      <c r="D105" s="19" t="str">
        <f>IF(Catalog!D101="","","{""item_id"":"&amp;Catalog!A101&amp;",""title"":"""&amp;SUBSTITUTE(Catalog!D101,"""","\""")&amp;""",""creator"":"""&amp;SUBSTITUTE(Catalog!F101,"""","\""")&amp;""",""language"":"""&amp;Catalog!M101&amp;""",""identifier"":"""&amp;Catalog!C101&amp;"""}")</f>
        <v/>
      </c>
    </row>
    <row r="106" spans="1:4" x14ac:dyDescent="0.25">
      <c r="A106" s="16" t="str">
        <f>Catalog!A102</f>
        <v/>
      </c>
      <c r="B106" s="16">
        <f>Catalog!D102</f>
        <v>0</v>
      </c>
      <c r="C106" s="16">
        <f>Catalog!F102</f>
        <v>0</v>
      </c>
      <c r="D106" s="19" t="str">
        <f>IF(Catalog!D102="","","{""item_id"":"&amp;Catalog!A102&amp;",""title"":"""&amp;SUBSTITUTE(Catalog!D102,"""","\""")&amp;""",""creator"":"""&amp;SUBSTITUTE(Catalog!F102,"""","\""")&amp;""",""language"":"""&amp;Catalog!M102&amp;""",""identifier"":"""&amp;Catalog!C102&amp;"""}")</f>
        <v/>
      </c>
    </row>
    <row r="107" spans="1:4" x14ac:dyDescent="0.25">
      <c r="A107" s="16" t="str">
        <f>Catalog!A103</f>
        <v/>
      </c>
      <c r="B107" s="16">
        <f>Catalog!D103</f>
        <v>0</v>
      </c>
      <c r="C107" s="16">
        <f>Catalog!F103</f>
        <v>0</v>
      </c>
      <c r="D107" s="19" t="str">
        <f>IF(Catalog!D103="","","{""item_id"":"&amp;Catalog!A103&amp;",""title"":"""&amp;SUBSTITUTE(Catalog!D103,"""","\""")&amp;""",""creator"":"""&amp;SUBSTITUTE(Catalog!F103,"""","\""")&amp;""",""language"":"""&amp;Catalog!M103&amp;""",""identifier"":"""&amp;Catalog!C103&amp;"""}")</f>
        <v/>
      </c>
    </row>
    <row r="108" spans="1:4" x14ac:dyDescent="0.25">
      <c r="A108" s="16" t="str">
        <f>Catalog!A104</f>
        <v/>
      </c>
      <c r="B108" s="16">
        <f>Catalog!D104</f>
        <v>0</v>
      </c>
      <c r="C108" s="16">
        <f>Catalog!F104</f>
        <v>0</v>
      </c>
      <c r="D108" s="19" t="str">
        <f>IF(Catalog!D104="","","{""item_id"":"&amp;Catalog!A104&amp;",""title"":"""&amp;SUBSTITUTE(Catalog!D104,"""","\""")&amp;""",""creator"":"""&amp;SUBSTITUTE(Catalog!F104,"""","\""")&amp;""",""language"":"""&amp;Catalog!M104&amp;""",""identifier"":"""&amp;Catalog!C104&amp;"""}")</f>
        <v/>
      </c>
    </row>
    <row r="109" spans="1:4" x14ac:dyDescent="0.25">
      <c r="A109" s="16" t="str">
        <f>Catalog!A105</f>
        <v/>
      </c>
      <c r="B109" s="16">
        <f>Catalog!D105</f>
        <v>0</v>
      </c>
      <c r="C109" s="16">
        <f>Catalog!F105</f>
        <v>0</v>
      </c>
      <c r="D109" s="19" t="str">
        <f>IF(Catalog!D105="","","{""item_id"":"&amp;Catalog!A105&amp;",""title"":"""&amp;SUBSTITUTE(Catalog!D105,"""","\""")&amp;""",""creator"":"""&amp;SUBSTITUTE(Catalog!F105,"""","\""")&amp;""",""language"":"""&amp;Catalog!M105&amp;""",""identifier"":"""&amp;Catalog!C105&amp;"""}")</f>
        <v/>
      </c>
    </row>
    <row r="110" spans="1:4" x14ac:dyDescent="0.25">
      <c r="A110" s="16" t="str">
        <f>Catalog!A106</f>
        <v/>
      </c>
      <c r="B110" s="16">
        <f>Catalog!D106</f>
        <v>0</v>
      </c>
      <c r="C110" s="16">
        <f>Catalog!F106</f>
        <v>0</v>
      </c>
      <c r="D110" s="19" t="str">
        <f>IF(Catalog!D106="","","{""item_id"":"&amp;Catalog!A106&amp;",""title"":"""&amp;SUBSTITUTE(Catalog!D106,"""","\""")&amp;""",""creator"":"""&amp;SUBSTITUTE(Catalog!F106,"""","\""")&amp;""",""language"":"""&amp;Catalog!M106&amp;""",""identifier"":"""&amp;Catalog!C106&amp;"""}")</f>
        <v/>
      </c>
    </row>
    <row r="111" spans="1:4" x14ac:dyDescent="0.25">
      <c r="A111" s="16" t="str">
        <f>Catalog!A107</f>
        <v/>
      </c>
      <c r="B111" s="16">
        <f>Catalog!D107</f>
        <v>0</v>
      </c>
      <c r="C111" s="16">
        <f>Catalog!F107</f>
        <v>0</v>
      </c>
      <c r="D111" s="19" t="str">
        <f>IF(Catalog!D107="","","{""item_id"":"&amp;Catalog!A107&amp;",""title"":"""&amp;SUBSTITUTE(Catalog!D107,"""","\""")&amp;""",""creator"":"""&amp;SUBSTITUTE(Catalog!F107,"""","\""")&amp;""",""language"":"""&amp;Catalog!M107&amp;""",""identifier"":"""&amp;Catalog!C107&amp;"""}")</f>
        <v/>
      </c>
    </row>
    <row r="112" spans="1:4" x14ac:dyDescent="0.25">
      <c r="A112" s="16" t="str">
        <f>Catalog!A108</f>
        <v/>
      </c>
      <c r="B112" s="16">
        <f>Catalog!D108</f>
        <v>0</v>
      </c>
      <c r="C112" s="16">
        <f>Catalog!F108</f>
        <v>0</v>
      </c>
      <c r="D112" s="19" t="str">
        <f>IF(Catalog!D108="","","{""item_id"":"&amp;Catalog!A108&amp;",""title"":"""&amp;SUBSTITUTE(Catalog!D108,"""","\""")&amp;""",""creator"":"""&amp;SUBSTITUTE(Catalog!F108,"""","\""")&amp;""",""language"":"""&amp;Catalog!M108&amp;""",""identifier"":"""&amp;Catalog!C108&amp;"""}")</f>
        <v/>
      </c>
    </row>
    <row r="113" spans="1:4" x14ac:dyDescent="0.25">
      <c r="A113" s="16" t="str">
        <f>Catalog!A109</f>
        <v/>
      </c>
      <c r="B113" s="16">
        <f>Catalog!D109</f>
        <v>0</v>
      </c>
      <c r="C113" s="16">
        <f>Catalog!F109</f>
        <v>0</v>
      </c>
      <c r="D113" s="19" t="str">
        <f>IF(Catalog!D109="","","{""item_id"":"&amp;Catalog!A109&amp;",""title"":"""&amp;SUBSTITUTE(Catalog!D109,"""","\""")&amp;""",""creator"":"""&amp;SUBSTITUTE(Catalog!F109,"""","\""")&amp;""",""language"":"""&amp;Catalog!M109&amp;""",""identifier"":"""&amp;Catalog!C109&amp;"""}")</f>
        <v/>
      </c>
    </row>
    <row r="114" spans="1:4" x14ac:dyDescent="0.25">
      <c r="A114" s="16" t="str">
        <f>Catalog!A110</f>
        <v/>
      </c>
      <c r="B114" s="16">
        <f>Catalog!D110</f>
        <v>0</v>
      </c>
      <c r="C114" s="16">
        <f>Catalog!F110</f>
        <v>0</v>
      </c>
      <c r="D114" s="19" t="str">
        <f>IF(Catalog!D110="","","{""item_id"":"&amp;Catalog!A110&amp;",""title"":"""&amp;SUBSTITUTE(Catalog!D110,"""","\""")&amp;""",""creator"":"""&amp;SUBSTITUTE(Catalog!F110,"""","\""")&amp;""",""language"":"""&amp;Catalog!M110&amp;""",""identifier"":"""&amp;Catalog!C110&amp;"""}")</f>
        <v/>
      </c>
    </row>
    <row r="115" spans="1:4" x14ac:dyDescent="0.25">
      <c r="A115" s="16" t="str">
        <f>Catalog!A111</f>
        <v/>
      </c>
      <c r="B115" s="16">
        <f>Catalog!D111</f>
        <v>0</v>
      </c>
      <c r="C115" s="16">
        <f>Catalog!F111</f>
        <v>0</v>
      </c>
      <c r="D115" s="19" t="str">
        <f>IF(Catalog!D111="","","{""item_id"":"&amp;Catalog!A111&amp;",""title"":"""&amp;SUBSTITUTE(Catalog!D111,"""","\""")&amp;""",""creator"":"""&amp;SUBSTITUTE(Catalog!F111,"""","\""")&amp;""",""language"":"""&amp;Catalog!M111&amp;""",""identifier"":"""&amp;Catalog!C111&amp;"""}")</f>
        <v/>
      </c>
    </row>
    <row r="116" spans="1:4" x14ac:dyDescent="0.25">
      <c r="A116" s="16" t="str">
        <f>Catalog!A112</f>
        <v/>
      </c>
      <c r="B116" s="16">
        <f>Catalog!D112</f>
        <v>0</v>
      </c>
      <c r="C116" s="16">
        <f>Catalog!F112</f>
        <v>0</v>
      </c>
      <c r="D116" s="19" t="str">
        <f>IF(Catalog!D112="","","{""item_id"":"&amp;Catalog!A112&amp;",""title"":"""&amp;SUBSTITUTE(Catalog!D112,"""","\""")&amp;""",""creator"":"""&amp;SUBSTITUTE(Catalog!F112,"""","\""")&amp;""",""language"":"""&amp;Catalog!M112&amp;""",""identifier"":"""&amp;Catalog!C112&amp;"""}")</f>
        <v/>
      </c>
    </row>
    <row r="117" spans="1:4" x14ac:dyDescent="0.25">
      <c r="A117" s="16" t="str">
        <f>Catalog!A113</f>
        <v/>
      </c>
      <c r="B117" s="16">
        <f>Catalog!D113</f>
        <v>0</v>
      </c>
      <c r="C117" s="16">
        <f>Catalog!F113</f>
        <v>0</v>
      </c>
      <c r="D117" s="19" t="str">
        <f>IF(Catalog!D113="","","{""item_id"":"&amp;Catalog!A113&amp;",""title"":"""&amp;SUBSTITUTE(Catalog!D113,"""","\""")&amp;""",""creator"":"""&amp;SUBSTITUTE(Catalog!F113,"""","\""")&amp;""",""language"":"""&amp;Catalog!M113&amp;""",""identifier"":"""&amp;Catalog!C113&amp;"""}")</f>
        <v/>
      </c>
    </row>
    <row r="118" spans="1:4" x14ac:dyDescent="0.25">
      <c r="A118" s="16" t="str">
        <f>Catalog!A114</f>
        <v/>
      </c>
      <c r="B118" s="16">
        <f>Catalog!D114</f>
        <v>0</v>
      </c>
      <c r="C118" s="16">
        <f>Catalog!F114</f>
        <v>0</v>
      </c>
      <c r="D118" s="19" t="str">
        <f>IF(Catalog!D114="","","{""item_id"":"&amp;Catalog!A114&amp;",""title"":"""&amp;SUBSTITUTE(Catalog!D114,"""","\""")&amp;""",""creator"":"""&amp;SUBSTITUTE(Catalog!F114,"""","\""")&amp;""",""language"":"""&amp;Catalog!M114&amp;""",""identifier"":"""&amp;Catalog!C114&amp;"""}")</f>
        <v/>
      </c>
    </row>
    <row r="119" spans="1:4" x14ac:dyDescent="0.25">
      <c r="A119" s="16" t="str">
        <f>Catalog!A115</f>
        <v/>
      </c>
      <c r="B119" s="16">
        <f>Catalog!D115</f>
        <v>0</v>
      </c>
      <c r="C119" s="16">
        <f>Catalog!F115</f>
        <v>0</v>
      </c>
      <c r="D119" s="19" t="str">
        <f>IF(Catalog!D115="","","{""item_id"":"&amp;Catalog!A115&amp;",""title"":"""&amp;SUBSTITUTE(Catalog!D115,"""","\""")&amp;""",""creator"":"""&amp;SUBSTITUTE(Catalog!F115,"""","\""")&amp;""",""language"":"""&amp;Catalog!M115&amp;""",""identifier"":"""&amp;Catalog!C115&amp;"""}")</f>
        <v/>
      </c>
    </row>
    <row r="120" spans="1:4" x14ac:dyDescent="0.25">
      <c r="A120" s="16" t="str">
        <f>Catalog!A116</f>
        <v/>
      </c>
      <c r="B120" s="16">
        <f>Catalog!D116</f>
        <v>0</v>
      </c>
      <c r="C120" s="16">
        <f>Catalog!F116</f>
        <v>0</v>
      </c>
      <c r="D120" s="19" t="str">
        <f>IF(Catalog!D116="","","{""item_id"":"&amp;Catalog!A116&amp;",""title"":"""&amp;SUBSTITUTE(Catalog!D116,"""","\""")&amp;""",""creator"":"""&amp;SUBSTITUTE(Catalog!F116,"""","\""")&amp;""",""language"":"""&amp;Catalog!M116&amp;""",""identifier"":"""&amp;Catalog!C116&amp;"""}")</f>
        <v/>
      </c>
    </row>
    <row r="121" spans="1:4" x14ac:dyDescent="0.25">
      <c r="A121" s="16" t="str">
        <f>Catalog!A117</f>
        <v/>
      </c>
      <c r="B121" s="16">
        <f>Catalog!D117</f>
        <v>0</v>
      </c>
      <c r="C121" s="16">
        <f>Catalog!F117</f>
        <v>0</v>
      </c>
      <c r="D121" s="19" t="str">
        <f>IF(Catalog!D117="","","{""item_id"":"&amp;Catalog!A117&amp;",""title"":"""&amp;SUBSTITUTE(Catalog!D117,"""","\""")&amp;""",""creator"":"""&amp;SUBSTITUTE(Catalog!F117,"""","\""")&amp;""",""language"":"""&amp;Catalog!M117&amp;""",""identifier"":"""&amp;Catalog!C117&amp;"""}")</f>
        <v/>
      </c>
    </row>
    <row r="122" spans="1:4" x14ac:dyDescent="0.25">
      <c r="A122" s="16" t="str">
        <f>Catalog!A118</f>
        <v/>
      </c>
      <c r="B122" s="16">
        <f>Catalog!D118</f>
        <v>0</v>
      </c>
      <c r="C122" s="16">
        <f>Catalog!F118</f>
        <v>0</v>
      </c>
      <c r="D122" s="19" t="str">
        <f>IF(Catalog!D118="","","{""item_id"":"&amp;Catalog!A118&amp;",""title"":"""&amp;SUBSTITUTE(Catalog!D118,"""","\""")&amp;""",""creator"":"""&amp;SUBSTITUTE(Catalog!F118,"""","\""")&amp;""",""language"":"""&amp;Catalog!M118&amp;""",""identifier"":"""&amp;Catalog!C118&amp;"""}")</f>
        <v/>
      </c>
    </row>
    <row r="123" spans="1:4" x14ac:dyDescent="0.25">
      <c r="A123" s="16" t="str">
        <f>Catalog!A119</f>
        <v/>
      </c>
      <c r="B123" s="16">
        <f>Catalog!D119</f>
        <v>0</v>
      </c>
      <c r="C123" s="16">
        <f>Catalog!F119</f>
        <v>0</v>
      </c>
      <c r="D123" s="19" t="str">
        <f>IF(Catalog!D119="","","{""item_id"":"&amp;Catalog!A119&amp;",""title"":"""&amp;SUBSTITUTE(Catalog!D119,"""","\""")&amp;""",""creator"":"""&amp;SUBSTITUTE(Catalog!F119,"""","\""")&amp;""",""language"":"""&amp;Catalog!M119&amp;""",""identifier"":"""&amp;Catalog!C119&amp;"""}")</f>
        <v/>
      </c>
    </row>
    <row r="124" spans="1:4" x14ac:dyDescent="0.25">
      <c r="A124" s="16" t="str">
        <f>Catalog!A120</f>
        <v/>
      </c>
      <c r="B124" s="16">
        <f>Catalog!D120</f>
        <v>0</v>
      </c>
      <c r="C124" s="16">
        <f>Catalog!F120</f>
        <v>0</v>
      </c>
      <c r="D124" s="19" t="str">
        <f>IF(Catalog!D120="","","{""item_id"":"&amp;Catalog!A120&amp;",""title"":"""&amp;SUBSTITUTE(Catalog!D120,"""","\""")&amp;""",""creator"":"""&amp;SUBSTITUTE(Catalog!F120,"""","\""")&amp;""",""language"":"""&amp;Catalog!M120&amp;""",""identifier"":"""&amp;Catalog!C120&amp;"""}")</f>
        <v/>
      </c>
    </row>
    <row r="125" spans="1:4" x14ac:dyDescent="0.25">
      <c r="A125" s="16" t="str">
        <f>Catalog!A121</f>
        <v/>
      </c>
      <c r="B125" s="16">
        <f>Catalog!D121</f>
        <v>0</v>
      </c>
      <c r="C125" s="16">
        <f>Catalog!F121</f>
        <v>0</v>
      </c>
      <c r="D125" s="19" t="str">
        <f>IF(Catalog!D121="","","{""item_id"":"&amp;Catalog!A121&amp;",""title"":"""&amp;SUBSTITUTE(Catalog!D121,"""","\""")&amp;""",""creator"":"""&amp;SUBSTITUTE(Catalog!F121,"""","\""")&amp;""",""language"":"""&amp;Catalog!M121&amp;""",""identifier"":"""&amp;Catalog!C121&amp;"""}")</f>
        <v/>
      </c>
    </row>
    <row r="126" spans="1:4" x14ac:dyDescent="0.25">
      <c r="A126" s="16" t="str">
        <f>Catalog!A122</f>
        <v/>
      </c>
      <c r="B126" s="16">
        <f>Catalog!D122</f>
        <v>0</v>
      </c>
      <c r="C126" s="16">
        <f>Catalog!F122</f>
        <v>0</v>
      </c>
      <c r="D126" s="19" t="str">
        <f>IF(Catalog!D122="","","{""item_id"":"&amp;Catalog!A122&amp;",""title"":"""&amp;SUBSTITUTE(Catalog!D122,"""","\""")&amp;""",""creator"":"""&amp;SUBSTITUTE(Catalog!F122,"""","\""")&amp;""",""language"":"""&amp;Catalog!M122&amp;""",""identifier"":"""&amp;Catalog!C122&amp;"""}")</f>
        <v/>
      </c>
    </row>
    <row r="127" spans="1:4" x14ac:dyDescent="0.25">
      <c r="A127" s="16" t="str">
        <f>Catalog!A123</f>
        <v/>
      </c>
      <c r="B127" s="16">
        <f>Catalog!D123</f>
        <v>0</v>
      </c>
      <c r="C127" s="16">
        <f>Catalog!F123</f>
        <v>0</v>
      </c>
      <c r="D127" s="19" t="str">
        <f>IF(Catalog!D123="","","{""item_id"":"&amp;Catalog!A123&amp;",""title"":"""&amp;SUBSTITUTE(Catalog!D123,"""","\""")&amp;""",""creator"":"""&amp;SUBSTITUTE(Catalog!F123,"""","\""")&amp;""",""language"":"""&amp;Catalog!M123&amp;""",""identifier"":"""&amp;Catalog!C123&amp;"""}")</f>
        <v/>
      </c>
    </row>
    <row r="128" spans="1:4" x14ac:dyDescent="0.25">
      <c r="A128" s="16" t="str">
        <f>Catalog!A124</f>
        <v/>
      </c>
      <c r="B128" s="16">
        <f>Catalog!D124</f>
        <v>0</v>
      </c>
      <c r="C128" s="16">
        <f>Catalog!F124</f>
        <v>0</v>
      </c>
      <c r="D128" s="19" t="str">
        <f>IF(Catalog!D124="","","{""item_id"":"&amp;Catalog!A124&amp;",""title"":"""&amp;SUBSTITUTE(Catalog!D124,"""","\""")&amp;""",""creator"":"""&amp;SUBSTITUTE(Catalog!F124,"""","\""")&amp;""",""language"":"""&amp;Catalog!M124&amp;""",""identifier"":"""&amp;Catalog!C124&amp;"""}")</f>
        <v/>
      </c>
    </row>
    <row r="129" spans="1:4" x14ac:dyDescent="0.25">
      <c r="A129" s="16" t="str">
        <f>Catalog!A125</f>
        <v/>
      </c>
      <c r="B129" s="16">
        <f>Catalog!D125</f>
        <v>0</v>
      </c>
      <c r="C129" s="16">
        <f>Catalog!F125</f>
        <v>0</v>
      </c>
      <c r="D129" s="19" t="str">
        <f>IF(Catalog!D125="","","{""item_id"":"&amp;Catalog!A125&amp;",""title"":"""&amp;SUBSTITUTE(Catalog!D125,"""","\""")&amp;""",""creator"":"""&amp;SUBSTITUTE(Catalog!F125,"""","\""")&amp;""",""language"":"""&amp;Catalog!M125&amp;""",""identifier"":"""&amp;Catalog!C125&amp;"""}")</f>
        <v/>
      </c>
    </row>
    <row r="130" spans="1:4" x14ac:dyDescent="0.25">
      <c r="A130" s="16" t="str">
        <f>Catalog!A126</f>
        <v/>
      </c>
      <c r="B130" s="16">
        <f>Catalog!D126</f>
        <v>0</v>
      </c>
      <c r="C130" s="16">
        <f>Catalog!F126</f>
        <v>0</v>
      </c>
      <c r="D130" s="19" t="str">
        <f>IF(Catalog!D126="","","{""item_id"":"&amp;Catalog!A126&amp;",""title"":"""&amp;SUBSTITUTE(Catalog!D126,"""","\""")&amp;""",""creator"":"""&amp;SUBSTITUTE(Catalog!F126,"""","\""")&amp;""",""language"":"""&amp;Catalog!M126&amp;""",""identifier"":"""&amp;Catalog!C126&amp;"""}")</f>
        <v/>
      </c>
    </row>
    <row r="131" spans="1:4" x14ac:dyDescent="0.25">
      <c r="A131" s="16" t="str">
        <f>Catalog!A127</f>
        <v/>
      </c>
      <c r="B131" s="16">
        <f>Catalog!D127</f>
        <v>0</v>
      </c>
      <c r="C131" s="16">
        <f>Catalog!F127</f>
        <v>0</v>
      </c>
      <c r="D131" s="19" t="str">
        <f>IF(Catalog!D127="","","{""item_id"":"&amp;Catalog!A127&amp;",""title"":"""&amp;SUBSTITUTE(Catalog!D127,"""","\""")&amp;""",""creator"":"""&amp;SUBSTITUTE(Catalog!F127,"""","\""")&amp;""",""language"":"""&amp;Catalog!M127&amp;""",""identifier"":"""&amp;Catalog!C127&amp;"""}")</f>
        <v/>
      </c>
    </row>
    <row r="132" spans="1:4" x14ac:dyDescent="0.25">
      <c r="A132" s="16" t="str">
        <f>Catalog!A128</f>
        <v/>
      </c>
      <c r="B132" s="16">
        <f>Catalog!D128</f>
        <v>0</v>
      </c>
      <c r="C132" s="16">
        <f>Catalog!F128</f>
        <v>0</v>
      </c>
      <c r="D132" s="19" t="str">
        <f>IF(Catalog!D128="","","{""item_id"":"&amp;Catalog!A128&amp;",""title"":"""&amp;SUBSTITUTE(Catalog!D128,"""","\""")&amp;""",""creator"":"""&amp;SUBSTITUTE(Catalog!F128,"""","\""")&amp;""",""language"":"""&amp;Catalog!M128&amp;""",""identifier"":"""&amp;Catalog!C128&amp;"""}")</f>
        <v/>
      </c>
    </row>
    <row r="133" spans="1:4" x14ac:dyDescent="0.25">
      <c r="A133" s="16" t="str">
        <f>Catalog!A129</f>
        <v/>
      </c>
      <c r="B133" s="16">
        <f>Catalog!D129</f>
        <v>0</v>
      </c>
      <c r="C133" s="16">
        <f>Catalog!F129</f>
        <v>0</v>
      </c>
      <c r="D133" s="19" t="str">
        <f>IF(Catalog!D129="","","{""item_id"":"&amp;Catalog!A129&amp;",""title"":"""&amp;SUBSTITUTE(Catalog!D129,"""","\""")&amp;""",""creator"":"""&amp;SUBSTITUTE(Catalog!F129,"""","\""")&amp;""",""language"":"""&amp;Catalog!M129&amp;""",""identifier"":"""&amp;Catalog!C129&amp;"""}")</f>
        <v/>
      </c>
    </row>
    <row r="134" spans="1:4" x14ac:dyDescent="0.25">
      <c r="A134" s="16" t="str">
        <f>Catalog!A130</f>
        <v/>
      </c>
      <c r="B134" s="16">
        <f>Catalog!D130</f>
        <v>0</v>
      </c>
      <c r="C134" s="16">
        <f>Catalog!F130</f>
        <v>0</v>
      </c>
      <c r="D134" s="19" t="str">
        <f>IF(Catalog!D130="","","{""item_id"":"&amp;Catalog!A130&amp;",""title"":"""&amp;SUBSTITUTE(Catalog!D130,"""","\""")&amp;""",""creator"":"""&amp;SUBSTITUTE(Catalog!F130,"""","\""")&amp;""",""language"":"""&amp;Catalog!M130&amp;""",""identifier"":"""&amp;Catalog!C130&amp;"""}")</f>
        <v/>
      </c>
    </row>
    <row r="135" spans="1:4" x14ac:dyDescent="0.25">
      <c r="A135" s="16" t="str">
        <f>Catalog!A131</f>
        <v/>
      </c>
      <c r="B135" s="16">
        <f>Catalog!D131</f>
        <v>0</v>
      </c>
      <c r="C135" s="16">
        <f>Catalog!F131</f>
        <v>0</v>
      </c>
      <c r="D135" s="19" t="str">
        <f>IF(Catalog!D131="","","{""item_id"":"&amp;Catalog!A131&amp;",""title"":"""&amp;SUBSTITUTE(Catalog!D131,"""","\""")&amp;""",""creator"":"""&amp;SUBSTITUTE(Catalog!F131,"""","\""")&amp;""",""language"":"""&amp;Catalog!M131&amp;""",""identifier"":"""&amp;Catalog!C131&amp;"""}")</f>
        <v/>
      </c>
    </row>
    <row r="136" spans="1:4" x14ac:dyDescent="0.25">
      <c r="A136" s="16" t="str">
        <f>Catalog!A132</f>
        <v/>
      </c>
      <c r="B136" s="16">
        <f>Catalog!D132</f>
        <v>0</v>
      </c>
      <c r="C136" s="16">
        <f>Catalog!F132</f>
        <v>0</v>
      </c>
      <c r="D136" s="19" t="str">
        <f>IF(Catalog!D132="","","{""item_id"":"&amp;Catalog!A132&amp;",""title"":"""&amp;SUBSTITUTE(Catalog!D132,"""","\""")&amp;""",""creator"":"""&amp;SUBSTITUTE(Catalog!F132,"""","\""")&amp;""",""language"":"""&amp;Catalog!M132&amp;""",""identifier"":"""&amp;Catalog!C132&amp;"""}")</f>
        <v/>
      </c>
    </row>
    <row r="137" spans="1:4" x14ac:dyDescent="0.25">
      <c r="A137" s="16" t="str">
        <f>Catalog!A133</f>
        <v/>
      </c>
      <c r="B137" s="16">
        <f>Catalog!D133</f>
        <v>0</v>
      </c>
      <c r="C137" s="16">
        <f>Catalog!F133</f>
        <v>0</v>
      </c>
      <c r="D137" s="19" t="str">
        <f>IF(Catalog!D133="","","{""item_id"":"&amp;Catalog!A133&amp;",""title"":"""&amp;SUBSTITUTE(Catalog!D133,"""","\""")&amp;""",""creator"":"""&amp;SUBSTITUTE(Catalog!F133,"""","\""")&amp;""",""language"":"""&amp;Catalog!M133&amp;""",""identifier"":"""&amp;Catalog!C133&amp;"""}")</f>
        <v/>
      </c>
    </row>
    <row r="138" spans="1:4" x14ac:dyDescent="0.25">
      <c r="A138" s="16" t="str">
        <f>Catalog!A134</f>
        <v/>
      </c>
      <c r="B138" s="16">
        <f>Catalog!D134</f>
        <v>0</v>
      </c>
      <c r="C138" s="16">
        <f>Catalog!F134</f>
        <v>0</v>
      </c>
      <c r="D138" s="19" t="str">
        <f>IF(Catalog!D134="","","{""item_id"":"&amp;Catalog!A134&amp;",""title"":"""&amp;SUBSTITUTE(Catalog!D134,"""","\""")&amp;""",""creator"":"""&amp;SUBSTITUTE(Catalog!F134,"""","\""")&amp;""",""language"":"""&amp;Catalog!M134&amp;""",""identifier"":"""&amp;Catalog!C134&amp;"""}")</f>
        <v/>
      </c>
    </row>
    <row r="139" spans="1:4" x14ac:dyDescent="0.25">
      <c r="A139" s="16" t="str">
        <f>Catalog!A135</f>
        <v/>
      </c>
      <c r="B139" s="16">
        <f>Catalog!D135</f>
        <v>0</v>
      </c>
      <c r="C139" s="16">
        <f>Catalog!F135</f>
        <v>0</v>
      </c>
      <c r="D139" s="19" t="str">
        <f>IF(Catalog!D135="","","{""item_id"":"&amp;Catalog!A135&amp;",""title"":"""&amp;SUBSTITUTE(Catalog!D135,"""","\""")&amp;""",""creator"":"""&amp;SUBSTITUTE(Catalog!F135,"""","\""")&amp;""",""language"":"""&amp;Catalog!M135&amp;""",""identifier"":"""&amp;Catalog!C135&amp;"""}")</f>
        <v/>
      </c>
    </row>
    <row r="140" spans="1:4" x14ac:dyDescent="0.25">
      <c r="A140" s="16" t="str">
        <f>Catalog!A136</f>
        <v/>
      </c>
      <c r="B140" s="16">
        <f>Catalog!D136</f>
        <v>0</v>
      </c>
      <c r="C140" s="16">
        <f>Catalog!F136</f>
        <v>0</v>
      </c>
      <c r="D140" s="19" t="str">
        <f>IF(Catalog!D136="","","{""item_id"":"&amp;Catalog!A136&amp;",""title"":"""&amp;SUBSTITUTE(Catalog!D136,"""","\""")&amp;""",""creator"":"""&amp;SUBSTITUTE(Catalog!F136,"""","\""")&amp;""",""language"":"""&amp;Catalog!M136&amp;""",""identifier"":"""&amp;Catalog!C136&amp;"""}")</f>
        <v/>
      </c>
    </row>
    <row r="141" spans="1:4" x14ac:dyDescent="0.25">
      <c r="A141" s="16" t="str">
        <f>Catalog!A137</f>
        <v/>
      </c>
      <c r="B141" s="16">
        <f>Catalog!D137</f>
        <v>0</v>
      </c>
      <c r="C141" s="16">
        <f>Catalog!F137</f>
        <v>0</v>
      </c>
      <c r="D141" s="19" t="str">
        <f>IF(Catalog!D137="","","{""item_id"":"&amp;Catalog!A137&amp;",""title"":"""&amp;SUBSTITUTE(Catalog!D137,"""","\""")&amp;""",""creator"":"""&amp;SUBSTITUTE(Catalog!F137,"""","\""")&amp;""",""language"":"""&amp;Catalog!M137&amp;""",""identifier"":"""&amp;Catalog!C137&amp;"""}")</f>
        <v/>
      </c>
    </row>
    <row r="142" spans="1:4" x14ac:dyDescent="0.25">
      <c r="A142" s="16" t="str">
        <f>Catalog!A138</f>
        <v/>
      </c>
      <c r="B142" s="16">
        <f>Catalog!D138</f>
        <v>0</v>
      </c>
      <c r="C142" s="16">
        <f>Catalog!F138</f>
        <v>0</v>
      </c>
      <c r="D142" s="19" t="str">
        <f>IF(Catalog!D138="","","{""item_id"":"&amp;Catalog!A138&amp;",""title"":"""&amp;SUBSTITUTE(Catalog!D138,"""","\""")&amp;""",""creator"":"""&amp;SUBSTITUTE(Catalog!F138,"""","\""")&amp;""",""language"":"""&amp;Catalog!M138&amp;""",""identifier"":"""&amp;Catalog!C138&amp;"""}")</f>
        <v/>
      </c>
    </row>
    <row r="143" spans="1:4" x14ac:dyDescent="0.25">
      <c r="A143" s="16" t="str">
        <f>Catalog!A139</f>
        <v/>
      </c>
      <c r="B143" s="16">
        <f>Catalog!D139</f>
        <v>0</v>
      </c>
      <c r="C143" s="16">
        <f>Catalog!F139</f>
        <v>0</v>
      </c>
      <c r="D143" s="19" t="str">
        <f>IF(Catalog!D139="","","{""item_id"":"&amp;Catalog!A139&amp;",""title"":"""&amp;SUBSTITUTE(Catalog!D139,"""","\""")&amp;""",""creator"":"""&amp;SUBSTITUTE(Catalog!F139,"""","\""")&amp;""",""language"":"""&amp;Catalog!M139&amp;""",""identifier"":"""&amp;Catalog!C139&amp;"""}")</f>
        <v/>
      </c>
    </row>
    <row r="144" spans="1:4" x14ac:dyDescent="0.25">
      <c r="A144" s="16" t="str">
        <f>Catalog!A140</f>
        <v/>
      </c>
      <c r="B144" s="16">
        <f>Catalog!D140</f>
        <v>0</v>
      </c>
      <c r="C144" s="16">
        <f>Catalog!F140</f>
        <v>0</v>
      </c>
      <c r="D144" s="19" t="str">
        <f>IF(Catalog!D140="","","{""item_id"":"&amp;Catalog!A140&amp;",""title"":"""&amp;SUBSTITUTE(Catalog!D140,"""","\""")&amp;""",""creator"":"""&amp;SUBSTITUTE(Catalog!F140,"""","\""")&amp;""",""language"":"""&amp;Catalog!M140&amp;""",""identifier"":"""&amp;Catalog!C140&amp;"""}")</f>
        <v/>
      </c>
    </row>
    <row r="145" spans="1:4" x14ac:dyDescent="0.25">
      <c r="A145" s="16" t="str">
        <f>Catalog!A141</f>
        <v/>
      </c>
      <c r="B145" s="16">
        <f>Catalog!D141</f>
        <v>0</v>
      </c>
      <c r="C145" s="16">
        <f>Catalog!F141</f>
        <v>0</v>
      </c>
      <c r="D145" s="19" t="str">
        <f>IF(Catalog!D141="","","{""item_id"":"&amp;Catalog!A141&amp;",""title"":"""&amp;SUBSTITUTE(Catalog!D141,"""","\""")&amp;""",""creator"":"""&amp;SUBSTITUTE(Catalog!F141,"""","\""")&amp;""",""language"":"""&amp;Catalog!M141&amp;""",""identifier"":"""&amp;Catalog!C141&amp;"""}")</f>
        <v/>
      </c>
    </row>
    <row r="146" spans="1:4" x14ac:dyDescent="0.25">
      <c r="A146" s="16" t="str">
        <f>Catalog!A142</f>
        <v/>
      </c>
      <c r="B146" s="16">
        <f>Catalog!D142</f>
        <v>0</v>
      </c>
      <c r="C146" s="16">
        <f>Catalog!F142</f>
        <v>0</v>
      </c>
      <c r="D146" s="19" t="str">
        <f>IF(Catalog!D142="","","{""item_id"":"&amp;Catalog!A142&amp;",""title"":"""&amp;SUBSTITUTE(Catalog!D142,"""","\""")&amp;""",""creator"":"""&amp;SUBSTITUTE(Catalog!F142,"""","\""")&amp;""",""language"":"""&amp;Catalog!M142&amp;""",""identifier"":"""&amp;Catalog!C142&amp;"""}")</f>
        <v/>
      </c>
    </row>
    <row r="147" spans="1:4" x14ac:dyDescent="0.25">
      <c r="A147" s="16" t="str">
        <f>Catalog!A143</f>
        <v/>
      </c>
      <c r="B147" s="16">
        <f>Catalog!D143</f>
        <v>0</v>
      </c>
      <c r="C147" s="16">
        <f>Catalog!F143</f>
        <v>0</v>
      </c>
      <c r="D147" s="19" t="str">
        <f>IF(Catalog!D143="","","{""item_id"":"&amp;Catalog!A143&amp;",""title"":"""&amp;SUBSTITUTE(Catalog!D143,"""","\""")&amp;""",""creator"":"""&amp;SUBSTITUTE(Catalog!F143,"""","\""")&amp;""",""language"":"""&amp;Catalog!M143&amp;""",""identifier"":"""&amp;Catalog!C143&amp;"""}")</f>
        <v/>
      </c>
    </row>
    <row r="148" spans="1:4" x14ac:dyDescent="0.25">
      <c r="A148" s="16" t="str">
        <f>Catalog!A144</f>
        <v/>
      </c>
      <c r="B148" s="16">
        <f>Catalog!D144</f>
        <v>0</v>
      </c>
      <c r="C148" s="16">
        <f>Catalog!F144</f>
        <v>0</v>
      </c>
      <c r="D148" s="19" t="str">
        <f>IF(Catalog!D144="","","{""item_id"":"&amp;Catalog!A144&amp;",""title"":"""&amp;SUBSTITUTE(Catalog!D144,"""","\""")&amp;""",""creator"":"""&amp;SUBSTITUTE(Catalog!F144,"""","\""")&amp;""",""language"":"""&amp;Catalog!M144&amp;""",""identifier"":"""&amp;Catalog!C144&amp;"""}")</f>
        <v/>
      </c>
    </row>
    <row r="149" spans="1:4" x14ac:dyDescent="0.25">
      <c r="A149" s="16" t="str">
        <f>Catalog!A145</f>
        <v/>
      </c>
      <c r="B149" s="16">
        <f>Catalog!D145</f>
        <v>0</v>
      </c>
      <c r="C149" s="16">
        <f>Catalog!F145</f>
        <v>0</v>
      </c>
      <c r="D149" s="19" t="str">
        <f>IF(Catalog!D145="","","{""item_id"":"&amp;Catalog!A145&amp;",""title"":"""&amp;SUBSTITUTE(Catalog!D145,"""","\""")&amp;""",""creator"":"""&amp;SUBSTITUTE(Catalog!F145,"""","\""")&amp;""",""language"":"""&amp;Catalog!M145&amp;""",""identifier"":"""&amp;Catalog!C145&amp;"""}")</f>
        <v/>
      </c>
    </row>
    <row r="150" spans="1:4" x14ac:dyDescent="0.25">
      <c r="A150" s="16" t="str">
        <f>Catalog!A146</f>
        <v/>
      </c>
      <c r="B150" s="16">
        <f>Catalog!D146</f>
        <v>0</v>
      </c>
      <c r="C150" s="16">
        <f>Catalog!F146</f>
        <v>0</v>
      </c>
      <c r="D150" s="19" t="str">
        <f>IF(Catalog!D146="","","{""item_id"":"&amp;Catalog!A146&amp;",""title"":"""&amp;SUBSTITUTE(Catalog!D146,"""","\""")&amp;""",""creator"":"""&amp;SUBSTITUTE(Catalog!F146,"""","\""")&amp;""",""language"":"""&amp;Catalog!M146&amp;""",""identifier"":"""&amp;Catalog!C146&amp;"""}")</f>
        <v/>
      </c>
    </row>
    <row r="151" spans="1:4" x14ac:dyDescent="0.25">
      <c r="A151" s="16" t="str">
        <f>Catalog!A147</f>
        <v/>
      </c>
      <c r="B151" s="16">
        <f>Catalog!D147</f>
        <v>0</v>
      </c>
      <c r="C151" s="16">
        <f>Catalog!F147</f>
        <v>0</v>
      </c>
      <c r="D151" s="19" t="str">
        <f>IF(Catalog!D147="","","{""item_id"":"&amp;Catalog!A147&amp;",""title"":"""&amp;SUBSTITUTE(Catalog!D147,"""","\""")&amp;""",""creator"":"""&amp;SUBSTITUTE(Catalog!F147,"""","\""")&amp;""",""language"":"""&amp;Catalog!M147&amp;""",""identifier"":"""&amp;Catalog!C147&amp;"""}")</f>
        <v/>
      </c>
    </row>
    <row r="152" spans="1:4" x14ac:dyDescent="0.25">
      <c r="A152" s="16" t="str">
        <f>Catalog!A148</f>
        <v/>
      </c>
      <c r="B152" s="16">
        <f>Catalog!D148</f>
        <v>0</v>
      </c>
      <c r="C152" s="16">
        <f>Catalog!F148</f>
        <v>0</v>
      </c>
      <c r="D152" s="19" t="str">
        <f>IF(Catalog!D148="","","{""item_id"":"&amp;Catalog!A148&amp;",""title"":"""&amp;SUBSTITUTE(Catalog!D148,"""","\""")&amp;""",""creator"":"""&amp;SUBSTITUTE(Catalog!F148,"""","\""")&amp;""",""language"":"""&amp;Catalog!M148&amp;""",""identifier"":"""&amp;Catalog!C148&amp;"""}")</f>
        <v/>
      </c>
    </row>
    <row r="153" spans="1:4" x14ac:dyDescent="0.25">
      <c r="A153" s="16" t="str">
        <f>Catalog!A149</f>
        <v/>
      </c>
      <c r="B153" s="16">
        <f>Catalog!D149</f>
        <v>0</v>
      </c>
      <c r="C153" s="16">
        <f>Catalog!F149</f>
        <v>0</v>
      </c>
      <c r="D153" s="19" t="str">
        <f>IF(Catalog!D149="","","{""item_id"":"&amp;Catalog!A149&amp;",""title"":"""&amp;SUBSTITUTE(Catalog!D149,"""","\""")&amp;""",""creator"":"""&amp;SUBSTITUTE(Catalog!F149,"""","\""")&amp;""",""language"":"""&amp;Catalog!M149&amp;""",""identifier"":"""&amp;Catalog!C149&amp;"""}")</f>
        <v/>
      </c>
    </row>
    <row r="154" spans="1:4" x14ac:dyDescent="0.25">
      <c r="A154" s="16" t="str">
        <f>Catalog!A150</f>
        <v/>
      </c>
      <c r="B154" s="16">
        <f>Catalog!D150</f>
        <v>0</v>
      </c>
      <c r="C154" s="16">
        <f>Catalog!F150</f>
        <v>0</v>
      </c>
      <c r="D154" s="19" t="str">
        <f>IF(Catalog!D150="","","{""item_id"":"&amp;Catalog!A150&amp;",""title"":"""&amp;SUBSTITUTE(Catalog!D150,"""","\""")&amp;""",""creator"":"""&amp;SUBSTITUTE(Catalog!F150,"""","\""")&amp;""",""language"":"""&amp;Catalog!M150&amp;""",""identifier"":"""&amp;Catalog!C150&amp;"""}")</f>
        <v/>
      </c>
    </row>
    <row r="155" spans="1:4" x14ac:dyDescent="0.25">
      <c r="A155" s="16" t="str">
        <f>Catalog!A151</f>
        <v/>
      </c>
      <c r="B155" s="16">
        <f>Catalog!D151</f>
        <v>0</v>
      </c>
      <c r="C155" s="16">
        <f>Catalog!F151</f>
        <v>0</v>
      </c>
      <c r="D155" s="19" t="str">
        <f>IF(Catalog!D151="","","{""item_id"":"&amp;Catalog!A151&amp;",""title"":"""&amp;SUBSTITUTE(Catalog!D151,"""","\""")&amp;""",""creator"":"""&amp;SUBSTITUTE(Catalog!F151,"""","\""")&amp;""",""language"":"""&amp;Catalog!M151&amp;""",""identifier"":"""&amp;Catalog!C151&amp;"""}")</f>
        <v/>
      </c>
    </row>
    <row r="156" spans="1:4" x14ac:dyDescent="0.25">
      <c r="A156" s="16" t="str">
        <f>Catalog!A152</f>
        <v/>
      </c>
      <c r="B156" s="16">
        <f>Catalog!D152</f>
        <v>0</v>
      </c>
      <c r="C156" s="16">
        <f>Catalog!F152</f>
        <v>0</v>
      </c>
      <c r="D156" s="19" t="str">
        <f>IF(Catalog!D152="","","{""item_id"":"&amp;Catalog!A152&amp;",""title"":"""&amp;SUBSTITUTE(Catalog!D152,"""","\""")&amp;""",""creator"":"""&amp;SUBSTITUTE(Catalog!F152,"""","\""")&amp;""",""language"":"""&amp;Catalog!M152&amp;""",""identifier"":"""&amp;Catalog!C152&amp;"""}")</f>
        <v/>
      </c>
    </row>
    <row r="157" spans="1:4" x14ac:dyDescent="0.25">
      <c r="A157" s="16" t="str">
        <f>Catalog!A153</f>
        <v/>
      </c>
      <c r="B157" s="16">
        <f>Catalog!D153</f>
        <v>0</v>
      </c>
      <c r="C157" s="16">
        <f>Catalog!F153</f>
        <v>0</v>
      </c>
      <c r="D157" s="19" t="str">
        <f>IF(Catalog!D153="","","{""item_id"":"&amp;Catalog!A153&amp;",""title"":"""&amp;SUBSTITUTE(Catalog!D153,"""","\""")&amp;""",""creator"":"""&amp;SUBSTITUTE(Catalog!F153,"""","\""")&amp;""",""language"":"""&amp;Catalog!M153&amp;""",""identifier"":"""&amp;Catalog!C153&amp;"""}")</f>
        <v/>
      </c>
    </row>
    <row r="158" spans="1:4" x14ac:dyDescent="0.25">
      <c r="A158" s="16" t="str">
        <f>Catalog!A154</f>
        <v/>
      </c>
      <c r="B158" s="16">
        <f>Catalog!D154</f>
        <v>0</v>
      </c>
      <c r="C158" s="16">
        <f>Catalog!F154</f>
        <v>0</v>
      </c>
      <c r="D158" s="19" t="str">
        <f>IF(Catalog!D154="","","{""item_id"":"&amp;Catalog!A154&amp;",""title"":"""&amp;SUBSTITUTE(Catalog!D154,"""","\""")&amp;""",""creator"":"""&amp;SUBSTITUTE(Catalog!F154,"""","\""")&amp;""",""language"":"""&amp;Catalog!M154&amp;""",""identifier"":"""&amp;Catalog!C154&amp;"""}")</f>
        <v/>
      </c>
    </row>
    <row r="159" spans="1:4" x14ac:dyDescent="0.25">
      <c r="A159" s="16" t="str">
        <f>Catalog!A155</f>
        <v/>
      </c>
      <c r="B159" s="16">
        <f>Catalog!D155</f>
        <v>0</v>
      </c>
      <c r="C159" s="16">
        <f>Catalog!F155</f>
        <v>0</v>
      </c>
      <c r="D159" s="19" t="str">
        <f>IF(Catalog!D155="","","{""item_id"":"&amp;Catalog!A155&amp;",""title"":"""&amp;SUBSTITUTE(Catalog!D155,"""","\""")&amp;""",""creator"":"""&amp;SUBSTITUTE(Catalog!F155,"""","\""")&amp;""",""language"":"""&amp;Catalog!M155&amp;""",""identifier"":"""&amp;Catalog!C155&amp;"""}")</f>
        <v/>
      </c>
    </row>
    <row r="160" spans="1:4" x14ac:dyDescent="0.25">
      <c r="A160" s="16" t="str">
        <f>Catalog!A156</f>
        <v/>
      </c>
      <c r="B160" s="16">
        <f>Catalog!D156</f>
        <v>0</v>
      </c>
      <c r="C160" s="16">
        <f>Catalog!F156</f>
        <v>0</v>
      </c>
      <c r="D160" s="19" t="str">
        <f>IF(Catalog!D156="","","{""item_id"":"&amp;Catalog!A156&amp;",""title"":"""&amp;SUBSTITUTE(Catalog!D156,"""","\""")&amp;""",""creator"":"""&amp;SUBSTITUTE(Catalog!F156,"""","\""")&amp;""",""language"":"""&amp;Catalog!M156&amp;""",""identifier"":"""&amp;Catalog!C156&amp;"""}")</f>
        <v/>
      </c>
    </row>
    <row r="161" spans="1:4" x14ac:dyDescent="0.25">
      <c r="A161" s="16" t="str">
        <f>Catalog!A157</f>
        <v/>
      </c>
      <c r="B161" s="16">
        <f>Catalog!D157</f>
        <v>0</v>
      </c>
      <c r="C161" s="16">
        <f>Catalog!F157</f>
        <v>0</v>
      </c>
      <c r="D161" s="19" t="str">
        <f>IF(Catalog!D157="","","{""item_id"":"&amp;Catalog!A157&amp;",""title"":"""&amp;SUBSTITUTE(Catalog!D157,"""","\""")&amp;""",""creator"":"""&amp;SUBSTITUTE(Catalog!F157,"""","\""")&amp;""",""language"":"""&amp;Catalog!M157&amp;""",""identifier"":"""&amp;Catalog!C157&amp;"""}")</f>
        <v/>
      </c>
    </row>
    <row r="162" spans="1:4" x14ac:dyDescent="0.25">
      <c r="A162" s="16" t="str">
        <f>Catalog!A158</f>
        <v/>
      </c>
      <c r="B162" s="16">
        <f>Catalog!D158</f>
        <v>0</v>
      </c>
      <c r="C162" s="16">
        <f>Catalog!F158</f>
        <v>0</v>
      </c>
      <c r="D162" s="19" t="str">
        <f>IF(Catalog!D158="","","{""item_id"":"&amp;Catalog!A158&amp;",""title"":"""&amp;SUBSTITUTE(Catalog!D158,"""","\""")&amp;""",""creator"":"""&amp;SUBSTITUTE(Catalog!F158,"""","\""")&amp;""",""language"":"""&amp;Catalog!M158&amp;""",""identifier"":"""&amp;Catalog!C158&amp;"""}")</f>
        <v/>
      </c>
    </row>
    <row r="163" spans="1:4" x14ac:dyDescent="0.25">
      <c r="A163" s="16" t="str">
        <f>Catalog!A159</f>
        <v/>
      </c>
      <c r="B163" s="16">
        <f>Catalog!D159</f>
        <v>0</v>
      </c>
      <c r="C163" s="16">
        <f>Catalog!F159</f>
        <v>0</v>
      </c>
      <c r="D163" s="19" t="str">
        <f>IF(Catalog!D159="","","{""item_id"":"&amp;Catalog!A159&amp;",""title"":"""&amp;SUBSTITUTE(Catalog!D159,"""","\""")&amp;""",""creator"":"""&amp;SUBSTITUTE(Catalog!F159,"""","\""")&amp;""",""language"":"""&amp;Catalog!M159&amp;""",""identifier"":"""&amp;Catalog!C159&amp;"""}")</f>
        <v/>
      </c>
    </row>
    <row r="164" spans="1:4" x14ac:dyDescent="0.25">
      <c r="A164" s="16" t="str">
        <f>Catalog!A160</f>
        <v/>
      </c>
      <c r="B164" s="16">
        <f>Catalog!D160</f>
        <v>0</v>
      </c>
      <c r="C164" s="16">
        <f>Catalog!F160</f>
        <v>0</v>
      </c>
      <c r="D164" s="19" t="str">
        <f>IF(Catalog!D160="","","{""item_id"":"&amp;Catalog!A160&amp;",""title"":"""&amp;SUBSTITUTE(Catalog!D160,"""","\""")&amp;""",""creator"":"""&amp;SUBSTITUTE(Catalog!F160,"""","\""")&amp;""",""language"":"""&amp;Catalog!M160&amp;""",""identifier"":"""&amp;Catalog!C160&amp;"""}")</f>
        <v/>
      </c>
    </row>
    <row r="165" spans="1:4" x14ac:dyDescent="0.25">
      <c r="A165" s="16" t="str">
        <f>Catalog!A161</f>
        <v/>
      </c>
      <c r="B165" s="16">
        <f>Catalog!D161</f>
        <v>0</v>
      </c>
      <c r="C165" s="16">
        <f>Catalog!F161</f>
        <v>0</v>
      </c>
      <c r="D165" s="19" t="str">
        <f>IF(Catalog!D161="","","{""item_id"":"&amp;Catalog!A161&amp;",""title"":"""&amp;SUBSTITUTE(Catalog!D161,"""","\""")&amp;""",""creator"":"""&amp;SUBSTITUTE(Catalog!F161,"""","\""")&amp;""",""language"":"""&amp;Catalog!M161&amp;""",""identifier"":"""&amp;Catalog!C161&amp;"""}")</f>
        <v/>
      </c>
    </row>
    <row r="166" spans="1:4" x14ac:dyDescent="0.25">
      <c r="A166" s="16" t="str">
        <f>Catalog!A162</f>
        <v/>
      </c>
      <c r="B166" s="16">
        <f>Catalog!D162</f>
        <v>0</v>
      </c>
      <c r="C166" s="16">
        <f>Catalog!F162</f>
        <v>0</v>
      </c>
      <c r="D166" s="19" t="str">
        <f>IF(Catalog!D162="","","{""item_id"":"&amp;Catalog!A162&amp;",""title"":"""&amp;SUBSTITUTE(Catalog!D162,"""","\""")&amp;""",""creator"":"""&amp;SUBSTITUTE(Catalog!F162,"""","\""")&amp;""",""language"":"""&amp;Catalog!M162&amp;""",""identifier"":"""&amp;Catalog!C162&amp;"""}")</f>
        <v/>
      </c>
    </row>
    <row r="167" spans="1:4" x14ac:dyDescent="0.25">
      <c r="A167" s="16" t="str">
        <f>Catalog!A163</f>
        <v/>
      </c>
      <c r="B167" s="16">
        <f>Catalog!D163</f>
        <v>0</v>
      </c>
      <c r="C167" s="16">
        <f>Catalog!F163</f>
        <v>0</v>
      </c>
      <c r="D167" s="19" t="str">
        <f>IF(Catalog!D163="","","{""item_id"":"&amp;Catalog!A163&amp;",""title"":"""&amp;SUBSTITUTE(Catalog!D163,"""","\""")&amp;""",""creator"":"""&amp;SUBSTITUTE(Catalog!F163,"""","\""")&amp;""",""language"":"""&amp;Catalog!M163&amp;""",""identifier"":"""&amp;Catalog!C163&amp;"""}")</f>
        <v/>
      </c>
    </row>
    <row r="168" spans="1:4" x14ac:dyDescent="0.25">
      <c r="A168" s="16" t="str">
        <f>Catalog!A164</f>
        <v/>
      </c>
      <c r="B168" s="16">
        <f>Catalog!D164</f>
        <v>0</v>
      </c>
      <c r="C168" s="16">
        <f>Catalog!F164</f>
        <v>0</v>
      </c>
      <c r="D168" s="19" t="str">
        <f>IF(Catalog!D164="","","{""item_id"":"&amp;Catalog!A164&amp;",""title"":"""&amp;SUBSTITUTE(Catalog!D164,"""","\""")&amp;""",""creator"":"""&amp;SUBSTITUTE(Catalog!F164,"""","\""")&amp;""",""language"":"""&amp;Catalog!M164&amp;""",""identifier"":"""&amp;Catalog!C164&amp;"""}")</f>
        <v/>
      </c>
    </row>
    <row r="169" spans="1:4" x14ac:dyDescent="0.25">
      <c r="A169" s="16" t="str">
        <f>Catalog!A165</f>
        <v/>
      </c>
      <c r="B169" s="16">
        <f>Catalog!D165</f>
        <v>0</v>
      </c>
      <c r="C169" s="16">
        <f>Catalog!F165</f>
        <v>0</v>
      </c>
      <c r="D169" s="19" t="str">
        <f>IF(Catalog!D165="","","{""item_id"":"&amp;Catalog!A165&amp;",""title"":"""&amp;SUBSTITUTE(Catalog!D165,"""","\""")&amp;""",""creator"":"""&amp;SUBSTITUTE(Catalog!F165,"""","\""")&amp;""",""language"":"""&amp;Catalog!M165&amp;""",""identifier"":"""&amp;Catalog!C165&amp;"""}")</f>
        <v/>
      </c>
    </row>
    <row r="170" spans="1:4" x14ac:dyDescent="0.25">
      <c r="A170" s="16" t="str">
        <f>Catalog!A166</f>
        <v/>
      </c>
      <c r="B170" s="16">
        <f>Catalog!D166</f>
        <v>0</v>
      </c>
      <c r="C170" s="16">
        <f>Catalog!F166</f>
        <v>0</v>
      </c>
      <c r="D170" s="19" t="str">
        <f>IF(Catalog!D166="","","{""item_id"":"&amp;Catalog!A166&amp;",""title"":"""&amp;SUBSTITUTE(Catalog!D166,"""","\""")&amp;""",""creator"":"""&amp;SUBSTITUTE(Catalog!F166,"""","\""")&amp;""",""language"":"""&amp;Catalog!M166&amp;""",""identifier"":"""&amp;Catalog!C166&amp;"""}")</f>
        <v/>
      </c>
    </row>
    <row r="171" spans="1:4" x14ac:dyDescent="0.25">
      <c r="A171" s="16" t="str">
        <f>Catalog!A167</f>
        <v/>
      </c>
      <c r="B171" s="16">
        <f>Catalog!D167</f>
        <v>0</v>
      </c>
      <c r="C171" s="16">
        <f>Catalog!F167</f>
        <v>0</v>
      </c>
      <c r="D171" s="19" t="str">
        <f>IF(Catalog!D167="","","{""item_id"":"&amp;Catalog!A167&amp;",""title"":"""&amp;SUBSTITUTE(Catalog!D167,"""","\""")&amp;""",""creator"":"""&amp;SUBSTITUTE(Catalog!F167,"""","\""")&amp;""",""language"":"""&amp;Catalog!M167&amp;""",""identifier"":"""&amp;Catalog!C167&amp;"""}")</f>
        <v/>
      </c>
    </row>
    <row r="172" spans="1:4" x14ac:dyDescent="0.25">
      <c r="A172" s="16" t="str">
        <f>Catalog!A168</f>
        <v/>
      </c>
      <c r="B172" s="16">
        <f>Catalog!D168</f>
        <v>0</v>
      </c>
      <c r="C172" s="16">
        <f>Catalog!F168</f>
        <v>0</v>
      </c>
      <c r="D172" s="19" t="str">
        <f>IF(Catalog!D168="","","{""item_id"":"&amp;Catalog!A168&amp;",""title"":"""&amp;SUBSTITUTE(Catalog!D168,"""","\""")&amp;""",""creator"":"""&amp;SUBSTITUTE(Catalog!F168,"""","\""")&amp;""",""language"":"""&amp;Catalog!M168&amp;""",""identifier"":"""&amp;Catalog!C168&amp;"""}")</f>
        <v/>
      </c>
    </row>
    <row r="173" spans="1:4" x14ac:dyDescent="0.25">
      <c r="A173" s="16" t="str">
        <f>Catalog!A169</f>
        <v/>
      </c>
      <c r="B173" s="16">
        <f>Catalog!D169</f>
        <v>0</v>
      </c>
      <c r="C173" s="16">
        <f>Catalog!F169</f>
        <v>0</v>
      </c>
      <c r="D173" s="19" t="str">
        <f>IF(Catalog!D169="","","{""item_id"":"&amp;Catalog!A169&amp;",""title"":"""&amp;SUBSTITUTE(Catalog!D169,"""","\""")&amp;""",""creator"":"""&amp;SUBSTITUTE(Catalog!F169,"""","\""")&amp;""",""language"":"""&amp;Catalog!M169&amp;""",""identifier"":"""&amp;Catalog!C169&amp;"""}")</f>
        <v/>
      </c>
    </row>
    <row r="174" spans="1:4" x14ac:dyDescent="0.25">
      <c r="A174" s="16" t="str">
        <f>Catalog!A170</f>
        <v/>
      </c>
      <c r="B174" s="16">
        <f>Catalog!D170</f>
        <v>0</v>
      </c>
      <c r="C174" s="16">
        <f>Catalog!F170</f>
        <v>0</v>
      </c>
      <c r="D174" s="19" t="str">
        <f>IF(Catalog!D170="","","{""item_id"":"&amp;Catalog!A170&amp;",""title"":"""&amp;SUBSTITUTE(Catalog!D170,"""","\""")&amp;""",""creator"":"""&amp;SUBSTITUTE(Catalog!F170,"""","\""")&amp;""",""language"":"""&amp;Catalog!M170&amp;""",""identifier"":"""&amp;Catalog!C170&amp;"""}")</f>
        <v/>
      </c>
    </row>
    <row r="175" spans="1:4" x14ac:dyDescent="0.25">
      <c r="A175" s="16" t="str">
        <f>Catalog!A171</f>
        <v/>
      </c>
      <c r="B175" s="16">
        <f>Catalog!D171</f>
        <v>0</v>
      </c>
      <c r="C175" s="16">
        <f>Catalog!F171</f>
        <v>0</v>
      </c>
      <c r="D175" s="19" t="str">
        <f>IF(Catalog!D171="","","{""item_id"":"&amp;Catalog!A171&amp;",""title"":"""&amp;SUBSTITUTE(Catalog!D171,"""","\""")&amp;""",""creator"":"""&amp;SUBSTITUTE(Catalog!F171,"""","\""")&amp;""",""language"":"""&amp;Catalog!M171&amp;""",""identifier"":"""&amp;Catalog!C171&amp;"""}")</f>
        <v/>
      </c>
    </row>
    <row r="176" spans="1:4" x14ac:dyDescent="0.25">
      <c r="A176" s="16" t="str">
        <f>Catalog!A172</f>
        <v/>
      </c>
      <c r="B176" s="16">
        <f>Catalog!D172</f>
        <v>0</v>
      </c>
      <c r="C176" s="16">
        <f>Catalog!F172</f>
        <v>0</v>
      </c>
      <c r="D176" s="19" t="str">
        <f>IF(Catalog!D172="","","{""item_id"":"&amp;Catalog!A172&amp;",""title"":"""&amp;SUBSTITUTE(Catalog!D172,"""","\""")&amp;""",""creator"":"""&amp;SUBSTITUTE(Catalog!F172,"""","\""")&amp;""",""language"":"""&amp;Catalog!M172&amp;""",""identifier"":"""&amp;Catalog!C172&amp;"""}")</f>
        <v/>
      </c>
    </row>
    <row r="177" spans="1:4" x14ac:dyDescent="0.25">
      <c r="A177" s="16" t="str">
        <f>Catalog!A173</f>
        <v/>
      </c>
      <c r="B177" s="16">
        <f>Catalog!D173</f>
        <v>0</v>
      </c>
      <c r="C177" s="16">
        <f>Catalog!F173</f>
        <v>0</v>
      </c>
      <c r="D177" s="19" t="str">
        <f>IF(Catalog!D173="","","{""item_id"":"&amp;Catalog!A173&amp;",""title"":"""&amp;SUBSTITUTE(Catalog!D173,"""","\""")&amp;""",""creator"":"""&amp;SUBSTITUTE(Catalog!F173,"""","\""")&amp;""",""language"":"""&amp;Catalog!M173&amp;""",""identifier"":"""&amp;Catalog!C173&amp;"""}")</f>
        <v/>
      </c>
    </row>
    <row r="178" spans="1:4" x14ac:dyDescent="0.25">
      <c r="A178" s="16" t="str">
        <f>Catalog!A174</f>
        <v/>
      </c>
      <c r="B178" s="16">
        <f>Catalog!D174</f>
        <v>0</v>
      </c>
      <c r="C178" s="16">
        <f>Catalog!F174</f>
        <v>0</v>
      </c>
      <c r="D178" s="19" t="str">
        <f>IF(Catalog!D174="","","{""item_id"":"&amp;Catalog!A174&amp;",""title"":"""&amp;SUBSTITUTE(Catalog!D174,"""","\""")&amp;""",""creator"":"""&amp;SUBSTITUTE(Catalog!F174,"""","\""")&amp;""",""language"":"""&amp;Catalog!M174&amp;""",""identifier"":"""&amp;Catalog!C174&amp;"""}")</f>
        <v/>
      </c>
    </row>
    <row r="179" spans="1:4" x14ac:dyDescent="0.25">
      <c r="A179" s="16" t="str">
        <f>Catalog!A175</f>
        <v/>
      </c>
      <c r="B179" s="16">
        <f>Catalog!D175</f>
        <v>0</v>
      </c>
      <c r="C179" s="16">
        <f>Catalog!F175</f>
        <v>0</v>
      </c>
      <c r="D179" s="19" t="str">
        <f>IF(Catalog!D175="","","{""item_id"":"&amp;Catalog!A175&amp;",""title"":"""&amp;SUBSTITUTE(Catalog!D175,"""","\""")&amp;""",""creator"":"""&amp;SUBSTITUTE(Catalog!F175,"""","\""")&amp;""",""language"":"""&amp;Catalog!M175&amp;""",""identifier"":"""&amp;Catalog!C175&amp;"""}")</f>
        <v/>
      </c>
    </row>
    <row r="180" spans="1:4" x14ac:dyDescent="0.25">
      <c r="A180" s="16" t="str">
        <f>Catalog!A176</f>
        <v/>
      </c>
      <c r="B180" s="16">
        <f>Catalog!D176</f>
        <v>0</v>
      </c>
      <c r="C180" s="16">
        <f>Catalog!F176</f>
        <v>0</v>
      </c>
      <c r="D180" s="19" t="str">
        <f>IF(Catalog!D176="","","{""item_id"":"&amp;Catalog!A176&amp;",""title"":"""&amp;SUBSTITUTE(Catalog!D176,"""","\""")&amp;""",""creator"":"""&amp;SUBSTITUTE(Catalog!F176,"""","\""")&amp;""",""language"":"""&amp;Catalog!M176&amp;""",""identifier"":"""&amp;Catalog!C176&amp;"""}")</f>
        <v/>
      </c>
    </row>
    <row r="181" spans="1:4" x14ac:dyDescent="0.25">
      <c r="A181" s="16" t="str">
        <f>Catalog!A177</f>
        <v/>
      </c>
      <c r="B181" s="16">
        <f>Catalog!D177</f>
        <v>0</v>
      </c>
      <c r="C181" s="16">
        <f>Catalog!F177</f>
        <v>0</v>
      </c>
      <c r="D181" s="19" t="str">
        <f>IF(Catalog!D177="","","{""item_id"":"&amp;Catalog!A177&amp;",""title"":"""&amp;SUBSTITUTE(Catalog!D177,"""","\""")&amp;""",""creator"":"""&amp;SUBSTITUTE(Catalog!F177,"""","\""")&amp;""",""language"":"""&amp;Catalog!M177&amp;""",""identifier"":"""&amp;Catalog!C177&amp;"""}")</f>
        <v/>
      </c>
    </row>
    <row r="182" spans="1:4" x14ac:dyDescent="0.25">
      <c r="A182" s="16" t="str">
        <f>Catalog!A178</f>
        <v/>
      </c>
      <c r="B182" s="16">
        <f>Catalog!D178</f>
        <v>0</v>
      </c>
      <c r="C182" s="16">
        <f>Catalog!F178</f>
        <v>0</v>
      </c>
      <c r="D182" s="19" t="str">
        <f>IF(Catalog!D178="","","{""item_id"":"&amp;Catalog!A178&amp;",""title"":"""&amp;SUBSTITUTE(Catalog!D178,"""","\""")&amp;""",""creator"":"""&amp;SUBSTITUTE(Catalog!F178,"""","\""")&amp;""",""language"":"""&amp;Catalog!M178&amp;""",""identifier"":"""&amp;Catalog!C178&amp;"""}")</f>
        <v/>
      </c>
    </row>
    <row r="183" spans="1:4" x14ac:dyDescent="0.25">
      <c r="A183" s="16" t="str">
        <f>Catalog!A179</f>
        <v/>
      </c>
      <c r="B183" s="16">
        <f>Catalog!D179</f>
        <v>0</v>
      </c>
      <c r="C183" s="16">
        <f>Catalog!F179</f>
        <v>0</v>
      </c>
      <c r="D183" s="19" t="str">
        <f>IF(Catalog!D179="","","{""item_id"":"&amp;Catalog!A179&amp;",""title"":"""&amp;SUBSTITUTE(Catalog!D179,"""","\""")&amp;""",""creator"":"""&amp;SUBSTITUTE(Catalog!F179,"""","\""")&amp;""",""language"":"""&amp;Catalog!M179&amp;""",""identifier"":"""&amp;Catalog!C179&amp;"""}")</f>
        <v/>
      </c>
    </row>
    <row r="184" spans="1:4" x14ac:dyDescent="0.25">
      <c r="A184" s="16" t="str">
        <f>Catalog!A180</f>
        <v/>
      </c>
      <c r="B184" s="16">
        <f>Catalog!D180</f>
        <v>0</v>
      </c>
      <c r="C184" s="16">
        <f>Catalog!F180</f>
        <v>0</v>
      </c>
      <c r="D184" s="19" t="str">
        <f>IF(Catalog!D180="","","{""item_id"":"&amp;Catalog!A180&amp;",""title"":"""&amp;SUBSTITUTE(Catalog!D180,"""","\""")&amp;""",""creator"":"""&amp;SUBSTITUTE(Catalog!F180,"""","\""")&amp;""",""language"":"""&amp;Catalog!M180&amp;""",""identifier"":"""&amp;Catalog!C180&amp;"""}")</f>
        <v/>
      </c>
    </row>
    <row r="185" spans="1:4" x14ac:dyDescent="0.25">
      <c r="A185" s="16" t="str">
        <f>Catalog!A181</f>
        <v/>
      </c>
      <c r="B185" s="16">
        <f>Catalog!D181</f>
        <v>0</v>
      </c>
      <c r="C185" s="16">
        <f>Catalog!F181</f>
        <v>0</v>
      </c>
      <c r="D185" s="19" t="str">
        <f>IF(Catalog!D181="","","{""item_id"":"&amp;Catalog!A181&amp;",""title"":"""&amp;SUBSTITUTE(Catalog!D181,"""","\""")&amp;""",""creator"":"""&amp;SUBSTITUTE(Catalog!F181,"""","\""")&amp;""",""language"":"""&amp;Catalog!M181&amp;""",""identifier"":"""&amp;Catalog!C181&amp;"""}")</f>
        <v/>
      </c>
    </row>
    <row r="186" spans="1:4" x14ac:dyDescent="0.25">
      <c r="A186" s="16" t="str">
        <f>Catalog!A182</f>
        <v/>
      </c>
      <c r="B186" s="16">
        <f>Catalog!D182</f>
        <v>0</v>
      </c>
      <c r="C186" s="16">
        <f>Catalog!F182</f>
        <v>0</v>
      </c>
      <c r="D186" s="19" t="str">
        <f>IF(Catalog!D182="","","{""item_id"":"&amp;Catalog!A182&amp;",""title"":"""&amp;SUBSTITUTE(Catalog!D182,"""","\""")&amp;""",""creator"":"""&amp;SUBSTITUTE(Catalog!F182,"""","\""")&amp;""",""language"":"""&amp;Catalog!M182&amp;""",""identifier"":"""&amp;Catalog!C182&amp;"""}")</f>
        <v/>
      </c>
    </row>
    <row r="187" spans="1:4" x14ac:dyDescent="0.25">
      <c r="A187" s="16" t="str">
        <f>Catalog!A183</f>
        <v/>
      </c>
      <c r="B187" s="16">
        <f>Catalog!D183</f>
        <v>0</v>
      </c>
      <c r="C187" s="16">
        <f>Catalog!F183</f>
        <v>0</v>
      </c>
      <c r="D187" s="19" t="str">
        <f>IF(Catalog!D183="","","{""item_id"":"&amp;Catalog!A183&amp;",""title"":"""&amp;SUBSTITUTE(Catalog!D183,"""","\""")&amp;""",""creator"":"""&amp;SUBSTITUTE(Catalog!F183,"""","\""")&amp;""",""language"":"""&amp;Catalog!M183&amp;""",""identifier"":"""&amp;Catalog!C183&amp;"""}")</f>
        <v/>
      </c>
    </row>
    <row r="188" spans="1:4" x14ac:dyDescent="0.25">
      <c r="A188" s="16" t="str">
        <f>Catalog!A184</f>
        <v/>
      </c>
      <c r="B188" s="16">
        <f>Catalog!D184</f>
        <v>0</v>
      </c>
      <c r="C188" s="16">
        <f>Catalog!F184</f>
        <v>0</v>
      </c>
      <c r="D188" s="19" t="str">
        <f>IF(Catalog!D184="","","{""item_id"":"&amp;Catalog!A184&amp;",""title"":"""&amp;SUBSTITUTE(Catalog!D184,"""","\""")&amp;""",""creator"":"""&amp;SUBSTITUTE(Catalog!F184,"""","\""")&amp;""",""language"":"""&amp;Catalog!M184&amp;""",""identifier"":"""&amp;Catalog!C184&amp;"""}")</f>
        <v/>
      </c>
    </row>
    <row r="189" spans="1:4" x14ac:dyDescent="0.25">
      <c r="A189" s="16" t="str">
        <f>Catalog!A185</f>
        <v/>
      </c>
      <c r="B189" s="16">
        <f>Catalog!D185</f>
        <v>0</v>
      </c>
      <c r="C189" s="16">
        <f>Catalog!F185</f>
        <v>0</v>
      </c>
      <c r="D189" s="19" t="str">
        <f>IF(Catalog!D185="","","{""item_id"":"&amp;Catalog!A185&amp;",""title"":"""&amp;SUBSTITUTE(Catalog!D185,"""","\""")&amp;""",""creator"":"""&amp;SUBSTITUTE(Catalog!F185,"""","\""")&amp;""",""language"":"""&amp;Catalog!M185&amp;""",""identifier"":"""&amp;Catalog!C185&amp;"""}")</f>
        <v/>
      </c>
    </row>
    <row r="190" spans="1:4" x14ac:dyDescent="0.25">
      <c r="A190" s="16" t="str">
        <f>Catalog!A186</f>
        <v/>
      </c>
      <c r="B190" s="16">
        <f>Catalog!D186</f>
        <v>0</v>
      </c>
      <c r="C190" s="16">
        <f>Catalog!F186</f>
        <v>0</v>
      </c>
      <c r="D190" s="19" t="str">
        <f>IF(Catalog!D186="","","{""item_id"":"&amp;Catalog!A186&amp;",""title"":"""&amp;SUBSTITUTE(Catalog!D186,"""","\""")&amp;""",""creator"":"""&amp;SUBSTITUTE(Catalog!F186,"""","\""")&amp;""",""language"":"""&amp;Catalog!M186&amp;""",""identifier"":"""&amp;Catalog!C186&amp;"""}")</f>
        <v/>
      </c>
    </row>
    <row r="191" spans="1:4" x14ac:dyDescent="0.25">
      <c r="A191" s="16" t="str">
        <f>Catalog!A187</f>
        <v/>
      </c>
      <c r="B191" s="16">
        <f>Catalog!D187</f>
        <v>0</v>
      </c>
      <c r="C191" s="16">
        <f>Catalog!F187</f>
        <v>0</v>
      </c>
      <c r="D191" s="19" t="str">
        <f>IF(Catalog!D187="","","{""item_id"":"&amp;Catalog!A187&amp;",""title"":"""&amp;SUBSTITUTE(Catalog!D187,"""","\""")&amp;""",""creator"":"""&amp;SUBSTITUTE(Catalog!F187,"""","\""")&amp;""",""language"":"""&amp;Catalog!M187&amp;""",""identifier"":"""&amp;Catalog!C187&amp;"""}")</f>
        <v/>
      </c>
    </row>
    <row r="192" spans="1:4" x14ac:dyDescent="0.25">
      <c r="A192" s="16" t="str">
        <f>Catalog!A188</f>
        <v/>
      </c>
      <c r="B192" s="16">
        <f>Catalog!D188</f>
        <v>0</v>
      </c>
      <c r="C192" s="16">
        <f>Catalog!F188</f>
        <v>0</v>
      </c>
      <c r="D192" s="19" t="str">
        <f>IF(Catalog!D188="","","{""item_id"":"&amp;Catalog!A188&amp;",""title"":"""&amp;SUBSTITUTE(Catalog!D188,"""","\""")&amp;""",""creator"":"""&amp;SUBSTITUTE(Catalog!F188,"""","\""")&amp;""",""language"":"""&amp;Catalog!M188&amp;""",""identifier"":"""&amp;Catalog!C188&amp;"""}")</f>
        <v/>
      </c>
    </row>
    <row r="193" spans="1:4" x14ac:dyDescent="0.25">
      <c r="A193" s="16" t="str">
        <f>Catalog!A189</f>
        <v/>
      </c>
      <c r="B193" s="16">
        <f>Catalog!D189</f>
        <v>0</v>
      </c>
      <c r="C193" s="16">
        <f>Catalog!F189</f>
        <v>0</v>
      </c>
      <c r="D193" s="19" t="str">
        <f>IF(Catalog!D189="","","{""item_id"":"&amp;Catalog!A189&amp;",""title"":"""&amp;SUBSTITUTE(Catalog!D189,"""","\""")&amp;""",""creator"":"""&amp;SUBSTITUTE(Catalog!F189,"""","\""")&amp;""",""language"":"""&amp;Catalog!M189&amp;""",""identifier"":"""&amp;Catalog!C189&amp;"""}")</f>
        <v/>
      </c>
    </row>
    <row r="194" spans="1:4" x14ac:dyDescent="0.25">
      <c r="A194" s="16" t="str">
        <f>Catalog!A190</f>
        <v/>
      </c>
      <c r="B194" s="16">
        <f>Catalog!D190</f>
        <v>0</v>
      </c>
      <c r="C194" s="16">
        <f>Catalog!F190</f>
        <v>0</v>
      </c>
      <c r="D194" s="19" t="str">
        <f>IF(Catalog!D190="","","{""item_id"":"&amp;Catalog!A190&amp;",""title"":"""&amp;SUBSTITUTE(Catalog!D190,"""","\""")&amp;""",""creator"":"""&amp;SUBSTITUTE(Catalog!F190,"""","\""")&amp;""",""language"":"""&amp;Catalog!M190&amp;""",""identifier"":"""&amp;Catalog!C190&amp;"""}")</f>
        <v/>
      </c>
    </row>
    <row r="195" spans="1:4" x14ac:dyDescent="0.25">
      <c r="A195" s="16" t="str">
        <f>Catalog!A191</f>
        <v/>
      </c>
      <c r="B195" s="16">
        <f>Catalog!D191</f>
        <v>0</v>
      </c>
      <c r="C195" s="16">
        <f>Catalog!F191</f>
        <v>0</v>
      </c>
      <c r="D195" s="19" t="str">
        <f>IF(Catalog!D191="","","{""item_id"":"&amp;Catalog!A191&amp;",""title"":"""&amp;SUBSTITUTE(Catalog!D191,"""","\""")&amp;""",""creator"":"""&amp;SUBSTITUTE(Catalog!F191,"""","\""")&amp;""",""language"":"""&amp;Catalog!M191&amp;""",""identifier"":"""&amp;Catalog!C191&amp;"""}")</f>
        <v/>
      </c>
    </row>
    <row r="196" spans="1:4" x14ac:dyDescent="0.25">
      <c r="A196" s="16" t="str">
        <f>Catalog!A192</f>
        <v/>
      </c>
      <c r="B196" s="16">
        <f>Catalog!D192</f>
        <v>0</v>
      </c>
      <c r="C196" s="16">
        <f>Catalog!F192</f>
        <v>0</v>
      </c>
      <c r="D196" s="19" t="str">
        <f>IF(Catalog!D192="","","{""item_id"":"&amp;Catalog!A192&amp;",""title"":"""&amp;SUBSTITUTE(Catalog!D192,"""","\""")&amp;""",""creator"":"""&amp;SUBSTITUTE(Catalog!F192,"""","\""")&amp;""",""language"":"""&amp;Catalog!M192&amp;""",""identifier"":"""&amp;Catalog!C192&amp;"""}")</f>
        <v/>
      </c>
    </row>
    <row r="197" spans="1:4" x14ac:dyDescent="0.25">
      <c r="A197" s="16" t="str">
        <f>Catalog!A193</f>
        <v/>
      </c>
      <c r="B197" s="16">
        <f>Catalog!D193</f>
        <v>0</v>
      </c>
      <c r="C197" s="16">
        <f>Catalog!F193</f>
        <v>0</v>
      </c>
      <c r="D197" s="19" t="str">
        <f>IF(Catalog!D193="","","{""item_id"":"&amp;Catalog!A193&amp;",""title"":"""&amp;SUBSTITUTE(Catalog!D193,"""","\""")&amp;""",""creator"":"""&amp;SUBSTITUTE(Catalog!F193,"""","\""")&amp;""",""language"":"""&amp;Catalog!M193&amp;""",""identifier"":"""&amp;Catalog!C193&amp;"""}")</f>
        <v/>
      </c>
    </row>
    <row r="198" spans="1:4" x14ac:dyDescent="0.25">
      <c r="A198" s="16" t="str">
        <f>Catalog!A194</f>
        <v/>
      </c>
      <c r="B198" s="16">
        <f>Catalog!D194</f>
        <v>0</v>
      </c>
      <c r="C198" s="16">
        <f>Catalog!F194</f>
        <v>0</v>
      </c>
      <c r="D198" s="19" t="str">
        <f>IF(Catalog!D194="","","{""item_id"":"&amp;Catalog!A194&amp;",""title"":"""&amp;SUBSTITUTE(Catalog!D194,"""","\""")&amp;""",""creator"":"""&amp;SUBSTITUTE(Catalog!F194,"""","\""")&amp;""",""language"":"""&amp;Catalog!M194&amp;""",""identifier"":"""&amp;Catalog!C194&amp;"""}")</f>
        <v/>
      </c>
    </row>
    <row r="199" spans="1:4" x14ac:dyDescent="0.25">
      <c r="A199" s="16" t="str">
        <f>Catalog!A195</f>
        <v/>
      </c>
      <c r="B199" s="16">
        <f>Catalog!D195</f>
        <v>0</v>
      </c>
      <c r="C199" s="16">
        <f>Catalog!F195</f>
        <v>0</v>
      </c>
      <c r="D199" s="19" t="str">
        <f>IF(Catalog!D195="","","{""item_id"":"&amp;Catalog!A195&amp;",""title"":"""&amp;SUBSTITUTE(Catalog!D195,"""","\""")&amp;""",""creator"":"""&amp;SUBSTITUTE(Catalog!F195,"""","\""")&amp;""",""language"":"""&amp;Catalog!M195&amp;""",""identifier"":"""&amp;Catalog!C195&amp;"""}")</f>
        <v/>
      </c>
    </row>
    <row r="200" spans="1:4" x14ac:dyDescent="0.25">
      <c r="A200" s="16" t="str">
        <f>Catalog!A196</f>
        <v/>
      </c>
      <c r="B200" s="16">
        <f>Catalog!D196</f>
        <v>0</v>
      </c>
      <c r="C200" s="16">
        <f>Catalog!F196</f>
        <v>0</v>
      </c>
      <c r="D200" s="19" t="str">
        <f>IF(Catalog!D196="","","{""item_id"":"&amp;Catalog!A196&amp;",""title"":"""&amp;SUBSTITUTE(Catalog!D196,"""","\""")&amp;""",""creator"":"""&amp;SUBSTITUTE(Catalog!F196,"""","\""")&amp;""",""language"":"""&amp;Catalog!M196&amp;""",""identifier"":"""&amp;Catalog!C196&amp;"""}")</f>
        <v/>
      </c>
    </row>
    <row r="201" spans="1:4" x14ac:dyDescent="0.25">
      <c r="A201" s="16" t="str">
        <f>Catalog!A197</f>
        <v/>
      </c>
      <c r="B201" s="16">
        <f>Catalog!D197</f>
        <v>0</v>
      </c>
      <c r="C201" s="16">
        <f>Catalog!F197</f>
        <v>0</v>
      </c>
      <c r="D201" s="19" t="str">
        <f>IF(Catalog!D197="","","{""item_id"":"&amp;Catalog!A197&amp;",""title"":"""&amp;SUBSTITUTE(Catalog!D197,"""","\""")&amp;""",""creator"":"""&amp;SUBSTITUTE(Catalog!F197,"""","\""")&amp;""",""language"":"""&amp;Catalog!M197&amp;""",""identifier"":"""&amp;Catalog!C197&amp;"""}")</f>
        <v/>
      </c>
    </row>
    <row r="202" spans="1:4" x14ac:dyDescent="0.25">
      <c r="A202" s="16" t="str">
        <f>Catalog!A198</f>
        <v/>
      </c>
      <c r="B202" s="16">
        <f>Catalog!D198</f>
        <v>0</v>
      </c>
      <c r="C202" s="16">
        <f>Catalog!F198</f>
        <v>0</v>
      </c>
      <c r="D202" s="19" t="str">
        <f>IF(Catalog!D198="","","{""item_id"":"&amp;Catalog!A198&amp;",""title"":"""&amp;SUBSTITUTE(Catalog!D198,"""","\""")&amp;""",""creator"":"""&amp;SUBSTITUTE(Catalog!F198,"""","\""")&amp;""",""language"":"""&amp;Catalog!M198&amp;""",""identifier"":"""&amp;Catalog!C198&amp;"""}")</f>
        <v/>
      </c>
    </row>
    <row r="203" spans="1:4" x14ac:dyDescent="0.25">
      <c r="A203" s="16" t="str">
        <f>Catalog!A199</f>
        <v/>
      </c>
      <c r="B203" s="16">
        <f>Catalog!D199</f>
        <v>0</v>
      </c>
      <c r="C203" s="16">
        <f>Catalog!F199</f>
        <v>0</v>
      </c>
      <c r="D203" s="19" t="str">
        <f>IF(Catalog!D199="","","{""item_id"":"&amp;Catalog!A199&amp;",""title"":"""&amp;SUBSTITUTE(Catalog!D199,"""","\""")&amp;""",""creator"":"""&amp;SUBSTITUTE(Catalog!F199,"""","\""")&amp;""",""language"":"""&amp;Catalog!M199&amp;""",""identifier"":"""&amp;Catalog!C199&amp;"""}")</f>
        <v/>
      </c>
    </row>
    <row r="204" spans="1:4" x14ac:dyDescent="0.25">
      <c r="A204" s="16" t="str">
        <f>Catalog!A200</f>
        <v/>
      </c>
      <c r="B204" s="16">
        <f>Catalog!D200</f>
        <v>0</v>
      </c>
      <c r="C204" s="16">
        <f>Catalog!F200</f>
        <v>0</v>
      </c>
      <c r="D204" s="19" t="str">
        <f>IF(Catalog!D200="","","{""item_id"":"&amp;Catalog!A200&amp;",""title"":"""&amp;SUBSTITUTE(Catalog!D200,"""","\""")&amp;""",""creator"":"""&amp;SUBSTITUTE(Catalog!F200,"""","\""")&amp;""",""language"":"""&amp;Catalog!M200&amp;""",""identifier"":"""&amp;Catalog!C200&amp;"""}")</f>
        <v/>
      </c>
    </row>
    <row r="205" spans="1:4" x14ac:dyDescent="0.25">
      <c r="A205" s="16" t="str">
        <f>Catalog!A201</f>
        <v/>
      </c>
      <c r="B205" s="16">
        <f>Catalog!D201</f>
        <v>0</v>
      </c>
      <c r="C205" s="16">
        <f>Catalog!F201</f>
        <v>0</v>
      </c>
      <c r="D205" s="19" t="str">
        <f>IF(Catalog!D201="","","{""item_id"":"&amp;Catalog!A201&amp;",""title"":"""&amp;SUBSTITUTE(Catalog!D201,"""","\""")&amp;""",""creator"":"""&amp;SUBSTITUTE(Catalog!F201,"""","\""")&amp;""",""language"":"""&amp;Catalog!M201&amp;""",""identifier"":"""&amp;Catalog!C201&amp;"""}")</f>
        <v/>
      </c>
    </row>
    <row r="206" spans="1:4" x14ac:dyDescent="0.25">
      <c r="A206" s="16" t="str">
        <f>Catalog!A202</f>
        <v/>
      </c>
      <c r="B206" s="16">
        <f>Catalog!D202</f>
        <v>0</v>
      </c>
      <c r="C206" s="16">
        <f>Catalog!F202</f>
        <v>0</v>
      </c>
      <c r="D206" s="19" t="str">
        <f>IF(Catalog!D202="","","{""item_id"":"&amp;Catalog!A202&amp;",""title"":"""&amp;SUBSTITUTE(Catalog!D202,"""","\""")&amp;""",""creator"":"""&amp;SUBSTITUTE(Catalog!F202,"""","\""")&amp;""",""language"":"""&amp;Catalog!M202&amp;""",""identifier"":"""&amp;Catalog!C202&amp;"""}")</f>
        <v/>
      </c>
    </row>
    <row r="207" spans="1:4" x14ac:dyDescent="0.25">
      <c r="A207" s="16" t="str">
        <f>Catalog!A203</f>
        <v/>
      </c>
      <c r="B207" s="16">
        <f>Catalog!D203</f>
        <v>0</v>
      </c>
      <c r="C207" s="16">
        <f>Catalog!F203</f>
        <v>0</v>
      </c>
      <c r="D207" s="19" t="str">
        <f>IF(Catalog!D203="","","{""item_id"":"&amp;Catalog!A203&amp;",""title"":"""&amp;SUBSTITUTE(Catalog!D203,"""","\""")&amp;""",""creator"":"""&amp;SUBSTITUTE(Catalog!F203,"""","\""")&amp;""",""language"":"""&amp;Catalog!M203&amp;""",""identifier"":"""&amp;Catalog!C203&amp;"""}")</f>
        <v/>
      </c>
    </row>
    <row r="208" spans="1:4" x14ac:dyDescent="0.25">
      <c r="A208" s="16" t="str">
        <f>Catalog!A204</f>
        <v/>
      </c>
      <c r="B208" s="16">
        <f>Catalog!D204</f>
        <v>0</v>
      </c>
      <c r="C208" s="16">
        <f>Catalog!F204</f>
        <v>0</v>
      </c>
      <c r="D208" s="19" t="str">
        <f>IF(Catalog!D204="","","{""item_id"":"&amp;Catalog!A204&amp;",""title"":"""&amp;SUBSTITUTE(Catalog!D204,"""","\""")&amp;""",""creator"":"""&amp;SUBSTITUTE(Catalog!F204,"""","\""")&amp;""",""language"":"""&amp;Catalog!M204&amp;""",""identifier"":"""&amp;Catalog!C204&amp;"""}")</f>
        <v/>
      </c>
    </row>
    <row r="209" spans="1:4" x14ac:dyDescent="0.25">
      <c r="A209" s="16" t="str">
        <f>Catalog!A205</f>
        <v/>
      </c>
      <c r="B209" s="16">
        <f>Catalog!D205</f>
        <v>0</v>
      </c>
      <c r="C209" s="16">
        <f>Catalog!F205</f>
        <v>0</v>
      </c>
      <c r="D209" s="19" t="str">
        <f>IF(Catalog!D205="","","{""item_id"":"&amp;Catalog!A205&amp;",""title"":"""&amp;SUBSTITUTE(Catalog!D205,"""","\""")&amp;""",""creator"":"""&amp;SUBSTITUTE(Catalog!F205,"""","\""")&amp;""",""language"":"""&amp;Catalog!M205&amp;""",""identifier"":"""&amp;Catalog!C205&amp;"""}")</f>
        <v/>
      </c>
    </row>
    <row r="210" spans="1:4" x14ac:dyDescent="0.25">
      <c r="A210" s="16" t="str">
        <f>Catalog!A206</f>
        <v/>
      </c>
      <c r="B210" s="16">
        <f>Catalog!D206</f>
        <v>0</v>
      </c>
      <c r="C210" s="16">
        <f>Catalog!F206</f>
        <v>0</v>
      </c>
      <c r="D210" s="19" t="str">
        <f>IF(Catalog!D206="","","{""item_id"":"&amp;Catalog!A206&amp;",""title"":"""&amp;SUBSTITUTE(Catalog!D206,"""","\""")&amp;""",""creator"":"""&amp;SUBSTITUTE(Catalog!F206,"""","\""")&amp;""",""language"":"""&amp;Catalog!M206&amp;""",""identifier"":"""&amp;Catalog!C206&amp;"""}")</f>
        <v/>
      </c>
    </row>
    <row r="211" spans="1:4" x14ac:dyDescent="0.25">
      <c r="A211" s="16" t="str">
        <f>Catalog!A207</f>
        <v/>
      </c>
      <c r="B211" s="16">
        <f>Catalog!D207</f>
        <v>0</v>
      </c>
      <c r="C211" s="16">
        <f>Catalog!F207</f>
        <v>0</v>
      </c>
      <c r="D211" s="19" t="str">
        <f>IF(Catalog!D207="","","{""item_id"":"&amp;Catalog!A207&amp;",""title"":"""&amp;SUBSTITUTE(Catalog!D207,"""","\""")&amp;""",""creator"":"""&amp;SUBSTITUTE(Catalog!F207,"""","\""")&amp;""",""language"":"""&amp;Catalog!M207&amp;""",""identifier"":"""&amp;Catalog!C207&amp;"""}")</f>
        <v/>
      </c>
    </row>
    <row r="212" spans="1:4" x14ac:dyDescent="0.25">
      <c r="A212" s="16" t="str">
        <f>Catalog!A208</f>
        <v/>
      </c>
      <c r="B212" s="16">
        <f>Catalog!D208</f>
        <v>0</v>
      </c>
      <c r="C212" s="16">
        <f>Catalog!F208</f>
        <v>0</v>
      </c>
      <c r="D212" s="19" t="str">
        <f>IF(Catalog!D208="","","{""item_id"":"&amp;Catalog!A208&amp;",""title"":"""&amp;SUBSTITUTE(Catalog!D208,"""","\""")&amp;""",""creator"":"""&amp;SUBSTITUTE(Catalog!F208,"""","\""")&amp;""",""language"":"""&amp;Catalog!M208&amp;""",""identifier"":"""&amp;Catalog!C208&amp;"""}")</f>
        <v/>
      </c>
    </row>
    <row r="213" spans="1:4" x14ac:dyDescent="0.25">
      <c r="A213" s="16" t="str">
        <f>Catalog!A209</f>
        <v/>
      </c>
      <c r="B213" s="16">
        <f>Catalog!D209</f>
        <v>0</v>
      </c>
      <c r="C213" s="16">
        <f>Catalog!F209</f>
        <v>0</v>
      </c>
      <c r="D213" s="19" t="str">
        <f>IF(Catalog!D209="","","{""item_id"":"&amp;Catalog!A209&amp;",""title"":"""&amp;SUBSTITUTE(Catalog!D209,"""","\""")&amp;""",""creator"":"""&amp;SUBSTITUTE(Catalog!F209,"""","\""")&amp;""",""language"":"""&amp;Catalog!M209&amp;""",""identifier"":"""&amp;Catalog!C209&amp;"""}")</f>
        <v/>
      </c>
    </row>
    <row r="214" spans="1:4" x14ac:dyDescent="0.25">
      <c r="A214" s="16" t="str">
        <f>Catalog!A210</f>
        <v/>
      </c>
      <c r="B214" s="16">
        <f>Catalog!D210</f>
        <v>0</v>
      </c>
      <c r="C214" s="16">
        <f>Catalog!F210</f>
        <v>0</v>
      </c>
      <c r="D214" s="19" t="str">
        <f>IF(Catalog!D210="","","{""item_id"":"&amp;Catalog!A210&amp;",""title"":"""&amp;SUBSTITUTE(Catalog!D210,"""","\""")&amp;""",""creator"":"""&amp;SUBSTITUTE(Catalog!F210,"""","\""")&amp;""",""language"":"""&amp;Catalog!M210&amp;""",""identifier"":"""&amp;Catalog!C210&amp;"""}")</f>
        <v/>
      </c>
    </row>
    <row r="215" spans="1:4" x14ac:dyDescent="0.25">
      <c r="A215" s="16" t="str">
        <f>Catalog!A211</f>
        <v/>
      </c>
      <c r="B215" s="16">
        <f>Catalog!D211</f>
        <v>0</v>
      </c>
      <c r="C215" s="16">
        <f>Catalog!F211</f>
        <v>0</v>
      </c>
      <c r="D215" s="19" t="str">
        <f>IF(Catalog!D211="","","{""item_id"":"&amp;Catalog!A211&amp;",""title"":"""&amp;SUBSTITUTE(Catalog!D211,"""","\""")&amp;""",""creator"":"""&amp;SUBSTITUTE(Catalog!F211,"""","\""")&amp;""",""language"":"""&amp;Catalog!M211&amp;""",""identifier"":"""&amp;Catalog!C211&amp;"""}")</f>
        <v/>
      </c>
    </row>
    <row r="216" spans="1:4" x14ac:dyDescent="0.25">
      <c r="A216" s="16" t="str">
        <f>Catalog!A212</f>
        <v/>
      </c>
      <c r="B216" s="16">
        <f>Catalog!D212</f>
        <v>0</v>
      </c>
      <c r="C216" s="16">
        <f>Catalog!F212</f>
        <v>0</v>
      </c>
      <c r="D216" s="19" t="str">
        <f>IF(Catalog!D212="","","{""item_id"":"&amp;Catalog!A212&amp;",""title"":"""&amp;SUBSTITUTE(Catalog!D212,"""","\""")&amp;""",""creator"":"""&amp;SUBSTITUTE(Catalog!F212,"""","\""")&amp;""",""language"":"""&amp;Catalog!M212&amp;""",""identifier"":"""&amp;Catalog!C212&amp;"""}")</f>
        <v/>
      </c>
    </row>
    <row r="217" spans="1:4" x14ac:dyDescent="0.25">
      <c r="A217" s="16" t="str">
        <f>Catalog!A213</f>
        <v/>
      </c>
      <c r="B217" s="16">
        <f>Catalog!D213</f>
        <v>0</v>
      </c>
      <c r="C217" s="16">
        <f>Catalog!F213</f>
        <v>0</v>
      </c>
      <c r="D217" s="19" t="str">
        <f>IF(Catalog!D213="","","{""item_id"":"&amp;Catalog!A213&amp;",""title"":"""&amp;SUBSTITUTE(Catalog!D213,"""","\""")&amp;""",""creator"":"""&amp;SUBSTITUTE(Catalog!F213,"""","\""")&amp;""",""language"":"""&amp;Catalog!M213&amp;""",""identifier"":"""&amp;Catalog!C213&amp;"""}")</f>
        <v/>
      </c>
    </row>
    <row r="218" spans="1:4" x14ac:dyDescent="0.25">
      <c r="A218" s="16" t="str">
        <f>Catalog!A214</f>
        <v/>
      </c>
      <c r="B218" s="16">
        <f>Catalog!D214</f>
        <v>0</v>
      </c>
      <c r="C218" s="16">
        <f>Catalog!F214</f>
        <v>0</v>
      </c>
      <c r="D218" s="19" t="str">
        <f>IF(Catalog!D214="","","{""item_id"":"&amp;Catalog!A214&amp;",""title"":"""&amp;SUBSTITUTE(Catalog!D214,"""","\""")&amp;""",""creator"":"""&amp;SUBSTITUTE(Catalog!F214,"""","\""")&amp;""",""language"":"""&amp;Catalog!M214&amp;""",""identifier"":"""&amp;Catalog!C214&amp;"""}")</f>
        <v/>
      </c>
    </row>
    <row r="219" spans="1:4" x14ac:dyDescent="0.25">
      <c r="A219" s="16" t="str">
        <f>Catalog!A215</f>
        <v/>
      </c>
      <c r="B219" s="16">
        <f>Catalog!D215</f>
        <v>0</v>
      </c>
      <c r="C219" s="16">
        <f>Catalog!F215</f>
        <v>0</v>
      </c>
      <c r="D219" s="19" t="str">
        <f>IF(Catalog!D215="","","{""item_id"":"&amp;Catalog!A215&amp;",""title"":"""&amp;SUBSTITUTE(Catalog!D215,"""","\""")&amp;""",""creator"":"""&amp;SUBSTITUTE(Catalog!F215,"""","\""")&amp;""",""language"":"""&amp;Catalog!M215&amp;""",""identifier"":"""&amp;Catalog!C215&amp;"""}")</f>
        <v/>
      </c>
    </row>
    <row r="220" spans="1:4" x14ac:dyDescent="0.25">
      <c r="A220" s="16" t="str">
        <f>Catalog!A216</f>
        <v/>
      </c>
      <c r="B220" s="16">
        <f>Catalog!D216</f>
        <v>0</v>
      </c>
      <c r="C220" s="16">
        <f>Catalog!F216</f>
        <v>0</v>
      </c>
      <c r="D220" s="19" t="str">
        <f>IF(Catalog!D216="","","{""item_id"":"&amp;Catalog!A216&amp;",""title"":"""&amp;SUBSTITUTE(Catalog!D216,"""","\""")&amp;""",""creator"":"""&amp;SUBSTITUTE(Catalog!F216,"""","\""")&amp;""",""language"":"""&amp;Catalog!M216&amp;""",""identifier"":"""&amp;Catalog!C216&amp;"""}")</f>
        <v/>
      </c>
    </row>
    <row r="221" spans="1:4" x14ac:dyDescent="0.25">
      <c r="A221" s="16" t="str">
        <f>Catalog!A217</f>
        <v/>
      </c>
      <c r="B221" s="16">
        <f>Catalog!D217</f>
        <v>0</v>
      </c>
      <c r="C221" s="16">
        <f>Catalog!F217</f>
        <v>0</v>
      </c>
      <c r="D221" s="19" t="str">
        <f>IF(Catalog!D217="","","{""item_id"":"&amp;Catalog!A217&amp;",""title"":"""&amp;SUBSTITUTE(Catalog!D217,"""","\""")&amp;""",""creator"":"""&amp;SUBSTITUTE(Catalog!F217,"""","\""")&amp;""",""language"":"""&amp;Catalog!M217&amp;""",""identifier"":"""&amp;Catalog!C217&amp;"""}")</f>
        <v/>
      </c>
    </row>
    <row r="222" spans="1:4" x14ac:dyDescent="0.25">
      <c r="A222" s="16" t="str">
        <f>Catalog!A218</f>
        <v/>
      </c>
      <c r="B222" s="16">
        <f>Catalog!D218</f>
        <v>0</v>
      </c>
      <c r="C222" s="16">
        <f>Catalog!F218</f>
        <v>0</v>
      </c>
      <c r="D222" s="19" t="str">
        <f>IF(Catalog!D218="","","{""item_id"":"&amp;Catalog!A218&amp;",""title"":"""&amp;SUBSTITUTE(Catalog!D218,"""","\""")&amp;""",""creator"":"""&amp;SUBSTITUTE(Catalog!F218,"""","\""")&amp;""",""language"":"""&amp;Catalog!M218&amp;""",""identifier"":"""&amp;Catalog!C218&amp;"""}")</f>
        <v/>
      </c>
    </row>
    <row r="223" spans="1:4" x14ac:dyDescent="0.25">
      <c r="A223" s="16" t="str">
        <f>Catalog!A219</f>
        <v/>
      </c>
      <c r="B223" s="16">
        <f>Catalog!D219</f>
        <v>0</v>
      </c>
      <c r="C223" s="16">
        <f>Catalog!F219</f>
        <v>0</v>
      </c>
      <c r="D223" s="19" t="str">
        <f>IF(Catalog!D219="","","{""item_id"":"&amp;Catalog!A219&amp;",""title"":"""&amp;SUBSTITUTE(Catalog!D219,"""","\""")&amp;""",""creator"":"""&amp;SUBSTITUTE(Catalog!F219,"""","\""")&amp;""",""language"":"""&amp;Catalog!M219&amp;""",""identifier"":"""&amp;Catalog!C219&amp;"""}")</f>
        <v/>
      </c>
    </row>
    <row r="224" spans="1:4" x14ac:dyDescent="0.25">
      <c r="A224" s="16" t="str">
        <f>Catalog!A220</f>
        <v/>
      </c>
      <c r="B224" s="16">
        <f>Catalog!D220</f>
        <v>0</v>
      </c>
      <c r="C224" s="16">
        <f>Catalog!F220</f>
        <v>0</v>
      </c>
      <c r="D224" s="19" t="str">
        <f>IF(Catalog!D220="","","{""item_id"":"&amp;Catalog!A220&amp;",""title"":"""&amp;SUBSTITUTE(Catalog!D220,"""","\""")&amp;""",""creator"":"""&amp;SUBSTITUTE(Catalog!F220,"""","\""")&amp;""",""language"":"""&amp;Catalog!M220&amp;""",""identifier"":"""&amp;Catalog!C220&amp;"""}")</f>
        <v/>
      </c>
    </row>
    <row r="225" spans="1:4" x14ac:dyDescent="0.25">
      <c r="A225" s="16" t="str">
        <f>Catalog!A221</f>
        <v/>
      </c>
      <c r="B225" s="16">
        <f>Catalog!D221</f>
        <v>0</v>
      </c>
      <c r="C225" s="16">
        <f>Catalog!F221</f>
        <v>0</v>
      </c>
      <c r="D225" s="19" t="str">
        <f>IF(Catalog!D221="","","{""item_id"":"&amp;Catalog!A221&amp;",""title"":"""&amp;SUBSTITUTE(Catalog!D221,"""","\""")&amp;""",""creator"":"""&amp;SUBSTITUTE(Catalog!F221,"""","\""")&amp;""",""language"":"""&amp;Catalog!M221&amp;""",""identifier"":"""&amp;Catalog!C221&amp;"""}")</f>
        <v/>
      </c>
    </row>
    <row r="226" spans="1:4" x14ac:dyDescent="0.25">
      <c r="A226" s="16" t="str">
        <f>Catalog!A222</f>
        <v/>
      </c>
      <c r="B226" s="16">
        <f>Catalog!D222</f>
        <v>0</v>
      </c>
      <c r="C226" s="16">
        <f>Catalog!F222</f>
        <v>0</v>
      </c>
      <c r="D226" s="19" t="str">
        <f>IF(Catalog!D222="","","{""item_id"":"&amp;Catalog!A222&amp;",""title"":"""&amp;SUBSTITUTE(Catalog!D222,"""","\""")&amp;""",""creator"":"""&amp;SUBSTITUTE(Catalog!F222,"""","\""")&amp;""",""language"":"""&amp;Catalog!M222&amp;""",""identifier"":"""&amp;Catalog!C222&amp;"""}")</f>
        <v/>
      </c>
    </row>
    <row r="227" spans="1:4" x14ac:dyDescent="0.25">
      <c r="A227" s="16" t="str">
        <f>Catalog!A223</f>
        <v/>
      </c>
      <c r="B227" s="16">
        <f>Catalog!D223</f>
        <v>0</v>
      </c>
      <c r="C227" s="16">
        <f>Catalog!F223</f>
        <v>0</v>
      </c>
      <c r="D227" s="19" t="str">
        <f>IF(Catalog!D223="","","{""item_id"":"&amp;Catalog!A223&amp;",""title"":"""&amp;SUBSTITUTE(Catalog!D223,"""","\""")&amp;""",""creator"":"""&amp;SUBSTITUTE(Catalog!F223,"""","\""")&amp;""",""language"":"""&amp;Catalog!M223&amp;""",""identifier"":"""&amp;Catalog!C223&amp;"""}")</f>
        <v/>
      </c>
    </row>
    <row r="228" spans="1:4" x14ac:dyDescent="0.25">
      <c r="A228" s="16" t="str">
        <f>Catalog!A224</f>
        <v/>
      </c>
      <c r="B228" s="16">
        <f>Catalog!D224</f>
        <v>0</v>
      </c>
      <c r="C228" s="16">
        <f>Catalog!F224</f>
        <v>0</v>
      </c>
      <c r="D228" s="19" t="str">
        <f>IF(Catalog!D224="","","{""item_id"":"&amp;Catalog!A224&amp;",""title"":"""&amp;SUBSTITUTE(Catalog!D224,"""","\""")&amp;""",""creator"":"""&amp;SUBSTITUTE(Catalog!F224,"""","\""")&amp;""",""language"":"""&amp;Catalog!M224&amp;""",""identifier"":"""&amp;Catalog!C224&amp;"""}")</f>
        <v/>
      </c>
    </row>
    <row r="229" spans="1:4" x14ac:dyDescent="0.25">
      <c r="A229" s="16" t="str">
        <f>Catalog!A225</f>
        <v/>
      </c>
      <c r="B229" s="16">
        <f>Catalog!D225</f>
        <v>0</v>
      </c>
      <c r="C229" s="16">
        <f>Catalog!F225</f>
        <v>0</v>
      </c>
      <c r="D229" s="19" t="str">
        <f>IF(Catalog!D225="","","{""item_id"":"&amp;Catalog!A225&amp;",""title"":"""&amp;SUBSTITUTE(Catalog!D225,"""","\""")&amp;""",""creator"":"""&amp;SUBSTITUTE(Catalog!F225,"""","\""")&amp;""",""language"":"""&amp;Catalog!M225&amp;""",""identifier"":"""&amp;Catalog!C225&amp;"""}")</f>
        <v/>
      </c>
    </row>
    <row r="230" spans="1:4" x14ac:dyDescent="0.25">
      <c r="A230" s="16" t="str">
        <f>Catalog!A226</f>
        <v/>
      </c>
      <c r="B230" s="16">
        <f>Catalog!D226</f>
        <v>0</v>
      </c>
      <c r="C230" s="16">
        <f>Catalog!F226</f>
        <v>0</v>
      </c>
      <c r="D230" s="19" t="str">
        <f>IF(Catalog!D226="","","{""item_id"":"&amp;Catalog!A226&amp;",""title"":"""&amp;SUBSTITUTE(Catalog!D226,"""","\""")&amp;""",""creator"":"""&amp;SUBSTITUTE(Catalog!F226,"""","\""")&amp;""",""language"":"""&amp;Catalog!M226&amp;""",""identifier"":"""&amp;Catalog!C226&amp;"""}")</f>
        <v/>
      </c>
    </row>
    <row r="231" spans="1:4" x14ac:dyDescent="0.25">
      <c r="A231" s="16" t="str">
        <f>Catalog!A227</f>
        <v/>
      </c>
      <c r="B231" s="16">
        <f>Catalog!D227</f>
        <v>0</v>
      </c>
      <c r="C231" s="16">
        <f>Catalog!F227</f>
        <v>0</v>
      </c>
      <c r="D231" s="19" t="str">
        <f>IF(Catalog!D227="","","{""item_id"":"&amp;Catalog!A227&amp;",""title"":"""&amp;SUBSTITUTE(Catalog!D227,"""","\""")&amp;""",""creator"":"""&amp;SUBSTITUTE(Catalog!F227,"""","\""")&amp;""",""language"":"""&amp;Catalog!M227&amp;""",""identifier"":"""&amp;Catalog!C227&amp;"""}")</f>
        <v/>
      </c>
    </row>
    <row r="232" spans="1:4" x14ac:dyDescent="0.25">
      <c r="A232" s="16" t="str">
        <f>Catalog!A228</f>
        <v/>
      </c>
      <c r="B232" s="16">
        <f>Catalog!D228</f>
        <v>0</v>
      </c>
      <c r="C232" s="16">
        <f>Catalog!F228</f>
        <v>0</v>
      </c>
      <c r="D232" s="19" t="str">
        <f>IF(Catalog!D228="","","{""item_id"":"&amp;Catalog!A228&amp;",""title"":"""&amp;SUBSTITUTE(Catalog!D228,"""","\""")&amp;""",""creator"":"""&amp;SUBSTITUTE(Catalog!F228,"""","\""")&amp;""",""language"":"""&amp;Catalog!M228&amp;""",""identifier"":"""&amp;Catalog!C228&amp;"""}")</f>
        <v/>
      </c>
    </row>
    <row r="233" spans="1:4" x14ac:dyDescent="0.25">
      <c r="A233" s="16" t="str">
        <f>Catalog!A229</f>
        <v/>
      </c>
      <c r="B233" s="16">
        <f>Catalog!D229</f>
        <v>0</v>
      </c>
      <c r="C233" s="16">
        <f>Catalog!F229</f>
        <v>0</v>
      </c>
      <c r="D233" s="19" t="str">
        <f>IF(Catalog!D229="","","{""item_id"":"&amp;Catalog!A229&amp;",""title"":"""&amp;SUBSTITUTE(Catalog!D229,"""","\""")&amp;""",""creator"":"""&amp;SUBSTITUTE(Catalog!F229,"""","\""")&amp;""",""language"":"""&amp;Catalog!M229&amp;""",""identifier"":"""&amp;Catalog!C229&amp;"""}")</f>
        <v/>
      </c>
    </row>
    <row r="234" spans="1:4" x14ac:dyDescent="0.25">
      <c r="A234" s="16" t="str">
        <f>Catalog!A230</f>
        <v/>
      </c>
      <c r="B234" s="16">
        <f>Catalog!D230</f>
        <v>0</v>
      </c>
      <c r="C234" s="16">
        <f>Catalog!F230</f>
        <v>0</v>
      </c>
      <c r="D234" s="19" t="str">
        <f>IF(Catalog!D230="","","{""item_id"":"&amp;Catalog!A230&amp;",""title"":"""&amp;SUBSTITUTE(Catalog!D230,"""","\""")&amp;""",""creator"":"""&amp;SUBSTITUTE(Catalog!F230,"""","\""")&amp;""",""language"":"""&amp;Catalog!M230&amp;""",""identifier"":"""&amp;Catalog!C230&amp;"""}")</f>
        <v/>
      </c>
    </row>
    <row r="235" spans="1:4" x14ac:dyDescent="0.25">
      <c r="A235" s="16" t="str">
        <f>Catalog!A231</f>
        <v/>
      </c>
      <c r="B235" s="16">
        <f>Catalog!D231</f>
        <v>0</v>
      </c>
      <c r="C235" s="16">
        <f>Catalog!F231</f>
        <v>0</v>
      </c>
      <c r="D235" s="19" t="str">
        <f>IF(Catalog!D231="","","{""item_id"":"&amp;Catalog!A231&amp;",""title"":"""&amp;SUBSTITUTE(Catalog!D231,"""","\""")&amp;""",""creator"":"""&amp;SUBSTITUTE(Catalog!F231,"""","\""")&amp;""",""language"":"""&amp;Catalog!M231&amp;""",""identifier"":"""&amp;Catalog!C231&amp;"""}")</f>
        <v/>
      </c>
    </row>
    <row r="236" spans="1:4" x14ac:dyDescent="0.25">
      <c r="A236" s="16" t="str">
        <f>Catalog!A232</f>
        <v/>
      </c>
      <c r="B236" s="16">
        <f>Catalog!D232</f>
        <v>0</v>
      </c>
      <c r="C236" s="16">
        <f>Catalog!F232</f>
        <v>0</v>
      </c>
      <c r="D236" s="19" t="str">
        <f>IF(Catalog!D232="","","{""item_id"":"&amp;Catalog!A232&amp;",""title"":"""&amp;SUBSTITUTE(Catalog!D232,"""","\""")&amp;""",""creator"":"""&amp;SUBSTITUTE(Catalog!F232,"""","\""")&amp;""",""language"":"""&amp;Catalog!M232&amp;""",""identifier"":"""&amp;Catalog!C232&amp;"""}")</f>
        <v/>
      </c>
    </row>
    <row r="237" spans="1:4" x14ac:dyDescent="0.25">
      <c r="A237" s="16" t="str">
        <f>Catalog!A233</f>
        <v/>
      </c>
      <c r="B237" s="16">
        <f>Catalog!D233</f>
        <v>0</v>
      </c>
      <c r="C237" s="16">
        <f>Catalog!F233</f>
        <v>0</v>
      </c>
      <c r="D237" s="19" t="str">
        <f>IF(Catalog!D233="","","{""item_id"":"&amp;Catalog!A233&amp;",""title"":"""&amp;SUBSTITUTE(Catalog!D233,"""","\""")&amp;""",""creator"":"""&amp;SUBSTITUTE(Catalog!F233,"""","\""")&amp;""",""language"":"""&amp;Catalog!M233&amp;""",""identifier"":"""&amp;Catalog!C233&amp;"""}")</f>
        <v/>
      </c>
    </row>
    <row r="238" spans="1:4" x14ac:dyDescent="0.25">
      <c r="A238" s="16" t="str">
        <f>Catalog!A234</f>
        <v/>
      </c>
      <c r="B238" s="16">
        <f>Catalog!D234</f>
        <v>0</v>
      </c>
      <c r="C238" s="16">
        <f>Catalog!F234</f>
        <v>0</v>
      </c>
      <c r="D238" s="19" t="str">
        <f>IF(Catalog!D234="","","{""item_id"":"&amp;Catalog!A234&amp;",""title"":"""&amp;SUBSTITUTE(Catalog!D234,"""","\""")&amp;""",""creator"":"""&amp;SUBSTITUTE(Catalog!F234,"""","\""")&amp;""",""language"":"""&amp;Catalog!M234&amp;""",""identifier"":"""&amp;Catalog!C234&amp;"""}")</f>
        <v/>
      </c>
    </row>
    <row r="239" spans="1:4" x14ac:dyDescent="0.25">
      <c r="A239" s="16" t="str">
        <f>Catalog!A235</f>
        <v/>
      </c>
      <c r="B239" s="16">
        <f>Catalog!D235</f>
        <v>0</v>
      </c>
      <c r="C239" s="16">
        <f>Catalog!F235</f>
        <v>0</v>
      </c>
      <c r="D239" s="19" t="str">
        <f>IF(Catalog!D235="","","{""item_id"":"&amp;Catalog!A235&amp;",""title"":"""&amp;SUBSTITUTE(Catalog!D235,"""","\""")&amp;""",""creator"":"""&amp;SUBSTITUTE(Catalog!F235,"""","\""")&amp;""",""language"":"""&amp;Catalog!M235&amp;""",""identifier"":"""&amp;Catalog!C235&amp;"""}")</f>
        <v/>
      </c>
    </row>
    <row r="240" spans="1:4" x14ac:dyDescent="0.25">
      <c r="A240" s="16" t="str">
        <f>Catalog!A236</f>
        <v/>
      </c>
      <c r="B240" s="16">
        <f>Catalog!D236</f>
        <v>0</v>
      </c>
      <c r="C240" s="16">
        <f>Catalog!F236</f>
        <v>0</v>
      </c>
      <c r="D240" s="19" t="str">
        <f>IF(Catalog!D236="","","{""item_id"":"&amp;Catalog!A236&amp;",""title"":"""&amp;SUBSTITUTE(Catalog!D236,"""","\""")&amp;""",""creator"":"""&amp;SUBSTITUTE(Catalog!F236,"""","\""")&amp;""",""language"":"""&amp;Catalog!M236&amp;""",""identifier"":"""&amp;Catalog!C236&amp;"""}")</f>
        <v/>
      </c>
    </row>
    <row r="241" spans="1:4" x14ac:dyDescent="0.25">
      <c r="A241" s="16" t="str">
        <f>Catalog!A237</f>
        <v/>
      </c>
      <c r="B241" s="16">
        <f>Catalog!D237</f>
        <v>0</v>
      </c>
      <c r="C241" s="16">
        <f>Catalog!F237</f>
        <v>0</v>
      </c>
      <c r="D241" s="19" t="str">
        <f>IF(Catalog!D237="","","{""item_id"":"&amp;Catalog!A237&amp;",""title"":"""&amp;SUBSTITUTE(Catalog!D237,"""","\""")&amp;""",""creator"":"""&amp;SUBSTITUTE(Catalog!F237,"""","\""")&amp;""",""language"":"""&amp;Catalog!M237&amp;""",""identifier"":"""&amp;Catalog!C237&amp;"""}")</f>
        <v/>
      </c>
    </row>
    <row r="242" spans="1:4" x14ac:dyDescent="0.25">
      <c r="A242" s="16" t="str">
        <f>Catalog!A238</f>
        <v/>
      </c>
      <c r="B242" s="16">
        <f>Catalog!D238</f>
        <v>0</v>
      </c>
      <c r="C242" s="16">
        <f>Catalog!F238</f>
        <v>0</v>
      </c>
      <c r="D242" s="19" t="str">
        <f>IF(Catalog!D238="","","{""item_id"":"&amp;Catalog!A238&amp;",""title"":"""&amp;SUBSTITUTE(Catalog!D238,"""","\""")&amp;""",""creator"":"""&amp;SUBSTITUTE(Catalog!F238,"""","\""")&amp;""",""language"":"""&amp;Catalog!M238&amp;""",""identifier"":"""&amp;Catalog!C238&amp;"""}")</f>
        <v/>
      </c>
    </row>
    <row r="243" spans="1:4" x14ac:dyDescent="0.25">
      <c r="A243" s="16" t="str">
        <f>Catalog!A239</f>
        <v/>
      </c>
      <c r="B243" s="16">
        <f>Catalog!D239</f>
        <v>0</v>
      </c>
      <c r="C243" s="16">
        <f>Catalog!F239</f>
        <v>0</v>
      </c>
      <c r="D243" s="19" t="str">
        <f>IF(Catalog!D239="","","{""item_id"":"&amp;Catalog!A239&amp;",""title"":"""&amp;SUBSTITUTE(Catalog!D239,"""","\""")&amp;""",""creator"":"""&amp;SUBSTITUTE(Catalog!F239,"""","\""")&amp;""",""language"":"""&amp;Catalog!M239&amp;""",""identifier"":"""&amp;Catalog!C239&amp;"""}")</f>
        <v/>
      </c>
    </row>
    <row r="244" spans="1:4" x14ac:dyDescent="0.25">
      <c r="A244" s="16" t="str">
        <f>Catalog!A240</f>
        <v/>
      </c>
      <c r="B244" s="16">
        <f>Catalog!D240</f>
        <v>0</v>
      </c>
      <c r="C244" s="16">
        <f>Catalog!F240</f>
        <v>0</v>
      </c>
      <c r="D244" s="19" t="str">
        <f>IF(Catalog!D240="","","{""item_id"":"&amp;Catalog!A240&amp;",""title"":"""&amp;SUBSTITUTE(Catalog!D240,"""","\""")&amp;""",""creator"":"""&amp;SUBSTITUTE(Catalog!F240,"""","\""")&amp;""",""language"":"""&amp;Catalog!M240&amp;""",""identifier"":"""&amp;Catalog!C240&amp;"""}")</f>
        <v/>
      </c>
    </row>
    <row r="245" spans="1:4" x14ac:dyDescent="0.25">
      <c r="A245" s="16" t="str">
        <f>Catalog!A241</f>
        <v/>
      </c>
      <c r="B245" s="16">
        <f>Catalog!D241</f>
        <v>0</v>
      </c>
      <c r="C245" s="16">
        <f>Catalog!F241</f>
        <v>0</v>
      </c>
      <c r="D245" s="19" t="str">
        <f>IF(Catalog!D241="","","{""item_id"":"&amp;Catalog!A241&amp;",""title"":"""&amp;SUBSTITUTE(Catalog!D241,"""","\""")&amp;""",""creator"":"""&amp;SUBSTITUTE(Catalog!F241,"""","\""")&amp;""",""language"":"""&amp;Catalog!M241&amp;""",""identifier"":"""&amp;Catalog!C241&amp;"""}")</f>
        <v/>
      </c>
    </row>
    <row r="246" spans="1:4" x14ac:dyDescent="0.25">
      <c r="A246" s="16" t="str">
        <f>Catalog!A242</f>
        <v/>
      </c>
      <c r="B246" s="16">
        <f>Catalog!D242</f>
        <v>0</v>
      </c>
      <c r="C246" s="16">
        <f>Catalog!F242</f>
        <v>0</v>
      </c>
      <c r="D246" s="19" t="str">
        <f>IF(Catalog!D242="","","{""item_id"":"&amp;Catalog!A242&amp;",""title"":"""&amp;SUBSTITUTE(Catalog!D242,"""","\""")&amp;""",""creator"":"""&amp;SUBSTITUTE(Catalog!F242,"""","\""")&amp;""",""language"":"""&amp;Catalog!M242&amp;""",""identifier"":"""&amp;Catalog!C242&amp;"""}")</f>
        <v/>
      </c>
    </row>
    <row r="247" spans="1:4" x14ac:dyDescent="0.25">
      <c r="A247" s="16" t="str">
        <f>Catalog!A243</f>
        <v/>
      </c>
      <c r="B247" s="16">
        <f>Catalog!D243</f>
        <v>0</v>
      </c>
      <c r="C247" s="16">
        <f>Catalog!F243</f>
        <v>0</v>
      </c>
      <c r="D247" s="19" t="str">
        <f>IF(Catalog!D243="","","{""item_id"":"&amp;Catalog!A243&amp;",""title"":"""&amp;SUBSTITUTE(Catalog!D243,"""","\""")&amp;""",""creator"":"""&amp;SUBSTITUTE(Catalog!F243,"""","\""")&amp;""",""language"":"""&amp;Catalog!M243&amp;""",""identifier"":"""&amp;Catalog!C243&amp;"""}")</f>
        <v/>
      </c>
    </row>
    <row r="248" spans="1:4" x14ac:dyDescent="0.25">
      <c r="A248" s="16" t="str">
        <f>Catalog!A244</f>
        <v/>
      </c>
      <c r="B248" s="16">
        <f>Catalog!D244</f>
        <v>0</v>
      </c>
      <c r="C248" s="16">
        <f>Catalog!F244</f>
        <v>0</v>
      </c>
      <c r="D248" s="19" t="str">
        <f>IF(Catalog!D244="","","{""item_id"":"&amp;Catalog!A244&amp;",""title"":"""&amp;SUBSTITUTE(Catalog!D244,"""","\""")&amp;""",""creator"":"""&amp;SUBSTITUTE(Catalog!F244,"""","\""")&amp;""",""language"":"""&amp;Catalog!M244&amp;""",""identifier"":"""&amp;Catalog!C244&amp;"""}")</f>
        <v/>
      </c>
    </row>
    <row r="249" spans="1:4" x14ac:dyDescent="0.25">
      <c r="A249" s="16" t="str">
        <f>Catalog!A245</f>
        <v/>
      </c>
      <c r="B249" s="16">
        <f>Catalog!D245</f>
        <v>0</v>
      </c>
      <c r="C249" s="16">
        <f>Catalog!F245</f>
        <v>0</v>
      </c>
      <c r="D249" s="19" t="str">
        <f>IF(Catalog!D245="","","{""item_id"":"&amp;Catalog!A245&amp;",""title"":"""&amp;SUBSTITUTE(Catalog!D245,"""","\""")&amp;""",""creator"":"""&amp;SUBSTITUTE(Catalog!F245,"""","\""")&amp;""",""language"":"""&amp;Catalog!M245&amp;""",""identifier"":"""&amp;Catalog!C245&amp;"""}")</f>
        <v/>
      </c>
    </row>
    <row r="250" spans="1:4" x14ac:dyDescent="0.25">
      <c r="A250" s="16" t="str">
        <f>Catalog!A246</f>
        <v/>
      </c>
      <c r="B250" s="16">
        <f>Catalog!D246</f>
        <v>0</v>
      </c>
      <c r="C250" s="16">
        <f>Catalog!F246</f>
        <v>0</v>
      </c>
      <c r="D250" s="19" t="str">
        <f>IF(Catalog!D246="","","{""item_id"":"&amp;Catalog!A246&amp;",""title"":"""&amp;SUBSTITUTE(Catalog!D246,"""","\""")&amp;""",""creator"":"""&amp;SUBSTITUTE(Catalog!F246,"""","\""")&amp;""",""language"":"""&amp;Catalog!M246&amp;""",""identifier"":"""&amp;Catalog!C246&amp;"""}")</f>
        <v/>
      </c>
    </row>
    <row r="251" spans="1:4" x14ac:dyDescent="0.25">
      <c r="A251" s="16" t="str">
        <f>Catalog!A247</f>
        <v/>
      </c>
      <c r="B251" s="16">
        <f>Catalog!D247</f>
        <v>0</v>
      </c>
      <c r="C251" s="16">
        <f>Catalog!F247</f>
        <v>0</v>
      </c>
      <c r="D251" s="19" t="str">
        <f>IF(Catalog!D247="","","{""item_id"":"&amp;Catalog!A247&amp;",""title"":"""&amp;SUBSTITUTE(Catalog!D247,"""","\""")&amp;""",""creator"":"""&amp;SUBSTITUTE(Catalog!F247,"""","\""")&amp;""",""language"":"""&amp;Catalog!M247&amp;""",""identifier"":"""&amp;Catalog!C247&amp;"""}")</f>
        <v/>
      </c>
    </row>
    <row r="252" spans="1:4" x14ac:dyDescent="0.25">
      <c r="A252" s="16" t="str">
        <f>Catalog!A248</f>
        <v/>
      </c>
      <c r="B252" s="16">
        <f>Catalog!D248</f>
        <v>0</v>
      </c>
      <c r="C252" s="16">
        <f>Catalog!F248</f>
        <v>0</v>
      </c>
      <c r="D252" s="19" t="str">
        <f>IF(Catalog!D248="","","{""item_id"":"&amp;Catalog!A248&amp;",""title"":"""&amp;SUBSTITUTE(Catalog!D248,"""","\""")&amp;""",""creator"":"""&amp;SUBSTITUTE(Catalog!F248,"""","\""")&amp;""",""language"":"""&amp;Catalog!M248&amp;""",""identifier"":"""&amp;Catalog!C248&amp;"""}")</f>
        <v/>
      </c>
    </row>
    <row r="253" spans="1:4" x14ac:dyDescent="0.25">
      <c r="A253" s="16" t="str">
        <f>Catalog!A249</f>
        <v/>
      </c>
      <c r="B253" s="16">
        <f>Catalog!D249</f>
        <v>0</v>
      </c>
      <c r="C253" s="16">
        <f>Catalog!F249</f>
        <v>0</v>
      </c>
      <c r="D253" s="19" t="str">
        <f>IF(Catalog!D249="","","{""item_id"":"&amp;Catalog!A249&amp;",""title"":"""&amp;SUBSTITUTE(Catalog!D249,"""","\""")&amp;""",""creator"":"""&amp;SUBSTITUTE(Catalog!F249,"""","\""")&amp;""",""language"":"""&amp;Catalog!M249&amp;""",""identifier"":"""&amp;Catalog!C249&amp;"""}")</f>
        <v/>
      </c>
    </row>
    <row r="254" spans="1:4" x14ac:dyDescent="0.25">
      <c r="A254" s="16" t="str">
        <f>Catalog!A250</f>
        <v/>
      </c>
      <c r="B254" s="16">
        <f>Catalog!D250</f>
        <v>0</v>
      </c>
      <c r="C254" s="16">
        <f>Catalog!F250</f>
        <v>0</v>
      </c>
      <c r="D254" s="19" t="str">
        <f>IF(Catalog!D250="","","{""item_id"":"&amp;Catalog!A250&amp;",""title"":"""&amp;SUBSTITUTE(Catalog!D250,"""","\""")&amp;""",""creator"":"""&amp;SUBSTITUTE(Catalog!F250,"""","\""")&amp;""",""language"":"""&amp;Catalog!M250&amp;""",""identifier"":"""&amp;Catalog!C250&amp;"""}")</f>
        <v/>
      </c>
    </row>
    <row r="255" spans="1:4" x14ac:dyDescent="0.25">
      <c r="A255" s="16" t="str">
        <f>Catalog!A251</f>
        <v/>
      </c>
      <c r="B255" s="16">
        <f>Catalog!D251</f>
        <v>0</v>
      </c>
      <c r="C255" s="16">
        <f>Catalog!F251</f>
        <v>0</v>
      </c>
      <c r="D255" s="19" t="str">
        <f>IF(Catalog!D251="","","{""item_id"":"&amp;Catalog!A251&amp;",""title"":"""&amp;SUBSTITUTE(Catalog!D251,"""","\""")&amp;""",""creator"":"""&amp;SUBSTITUTE(Catalog!F251,"""","\""")&amp;""",""language"":"""&amp;Catalog!M251&amp;""",""identifier"":"""&amp;Catalog!C251&amp;"""}")</f>
        <v/>
      </c>
    </row>
    <row r="256" spans="1:4" x14ac:dyDescent="0.25">
      <c r="A256" s="16" t="str">
        <f>Catalog!A252</f>
        <v/>
      </c>
      <c r="B256" s="16">
        <f>Catalog!D252</f>
        <v>0</v>
      </c>
      <c r="C256" s="16">
        <f>Catalog!F252</f>
        <v>0</v>
      </c>
      <c r="D256" s="19" t="str">
        <f>IF(Catalog!D252="","","{""item_id"":"&amp;Catalog!A252&amp;",""title"":"""&amp;SUBSTITUTE(Catalog!D252,"""","\""")&amp;""",""creator"":"""&amp;SUBSTITUTE(Catalog!F252,"""","\""")&amp;""",""language"":"""&amp;Catalog!M252&amp;""",""identifier"":"""&amp;Catalog!C252&amp;"""}")</f>
        <v/>
      </c>
    </row>
    <row r="257" spans="1:4" x14ac:dyDescent="0.25">
      <c r="A257" s="16" t="str">
        <f>Catalog!A253</f>
        <v/>
      </c>
      <c r="B257" s="16">
        <f>Catalog!D253</f>
        <v>0</v>
      </c>
      <c r="C257" s="16">
        <f>Catalog!F253</f>
        <v>0</v>
      </c>
      <c r="D257" s="19" t="str">
        <f>IF(Catalog!D253="","","{""item_id"":"&amp;Catalog!A253&amp;",""title"":"""&amp;SUBSTITUTE(Catalog!D253,"""","\""")&amp;""",""creator"":"""&amp;SUBSTITUTE(Catalog!F253,"""","\""")&amp;""",""language"":"""&amp;Catalog!M253&amp;""",""identifier"":"""&amp;Catalog!C253&amp;"""}")</f>
        <v/>
      </c>
    </row>
    <row r="258" spans="1:4" x14ac:dyDescent="0.25">
      <c r="A258" s="16" t="str">
        <f>Catalog!A254</f>
        <v/>
      </c>
      <c r="B258" s="16">
        <f>Catalog!D254</f>
        <v>0</v>
      </c>
      <c r="C258" s="16">
        <f>Catalog!F254</f>
        <v>0</v>
      </c>
      <c r="D258" s="19" t="str">
        <f>IF(Catalog!D254="","","{""item_id"":"&amp;Catalog!A254&amp;",""title"":"""&amp;SUBSTITUTE(Catalog!D254,"""","\""")&amp;""",""creator"":"""&amp;SUBSTITUTE(Catalog!F254,"""","\""")&amp;""",""language"":"""&amp;Catalog!M254&amp;""",""identifier"":"""&amp;Catalog!C254&amp;"""}")</f>
        <v/>
      </c>
    </row>
    <row r="259" spans="1:4" x14ac:dyDescent="0.25">
      <c r="A259" s="16" t="str">
        <f>Catalog!A255</f>
        <v/>
      </c>
      <c r="B259" s="16">
        <f>Catalog!D255</f>
        <v>0</v>
      </c>
      <c r="C259" s="16">
        <f>Catalog!F255</f>
        <v>0</v>
      </c>
      <c r="D259" s="19" t="str">
        <f>IF(Catalog!D255="","","{""item_id"":"&amp;Catalog!A255&amp;",""title"":"""&amp;SUBSTITUTE(Catalog!D255,"""","\""")&amp;""",""creator"":"""&amp;SUBSTITUTE(Catalog!F255,"""","\""")&amp;""",""language"":"""&amp;Catalog!M255&amp;""",""identifier"":"""&amp;Catalog!C255&amp;"""}")</f>
        <v/>
      </c>
    </row>
    <row r="260" spans="1:4" x14ac:dyDescent="0.25">
      <c r="A260" s="16" t="str">
        <f>Catalog!A256</f>
        <v/>
      </c>
      <c r="B260" s="16">
        <f>Catalog!D256</f>
        <v>0</v>
      </c>
      <c r="C260" s="16">
        <f>Catalog!F256</f>
        <v>0</v>
      </c>
      <c r="D260" s="19" t="str">
        <f>IF(Catalog!D256="","","{""item_id"":"&amp;Catalog!A256&amp;",""title"":"""&amp;SUBSTITUTE(Catalog!D256,"""","\""")&amp;""",""creator"":"""&amp;SUBSTITUTE(Catalog!F256,"""","\""")&amp;""",""language"":"""&amp;Catalog!M256&amp;""",""identifier"":"""&amp;Catalog!C256&amp;"""}")</f>
        <v/>
      </c>
    </row>
    <row r="261" spans="1:4" x14ac:dyDescent="0.25">
      <c r="A261" s="16" t="str">
        <f>Catalog!A257</f>
        <v/>
      </c>
      <c r="B261" s="16">
        <f>Catalog!D257</f>
        <v>0</v>
      </c>
      <c r="C261" s="16">
        <f>Catalog!F257</f>
        <v>0</v>
      </c>
      <c r="D261" s="19" t="str">
        <f>IF(Catalog!D257="","","{""item_id"":"&amp;Catalog!A257&amp;",""title"":"""&amp;SUBSTITUTE(Catalog!D257,"""","\""")&amp;""",""creator"":"""&amp;SUBSTITUTE(Catalog!F257,"""","\""")&amp;""",""language"":"""&amp;Catalog!M257&amp;""",""identifier"":"""&amp;Catalog!C257&amp;"""}")</f>
        <v/>
      </c>
    </row>
    <row r="262" spans="1:4" x14ac:dyDescent="0.25">
      <c r="A262" s="16" t="str">
        <f>Catalog!A258</f>
        <v/>
      </c>
      <c r="B262" s="16">
        <f>Catalog!D258</f>
        <v>0</v>
      </c>
      <c r="C262" s="16">
        <f>Catalog!F258</f>
        <v>0</v>
      </c>
      <c r="D262" s="19" t="str">
        <f>IF(Catalog!D258="","","{""item_id"":"&amp;Catalog!A258&amp;",""title"":"""&amp;SUBSTITUTE(Catalog!D258,"""","\""")&amp;""",""creator"":"""&amp;SUBSTITUTE(Catalog!F258,"""","\""")&amp;""",""language"":"""&amp;Catalog!M258&amp;""",""identifier"":"""&amp;Catalog!C258&amp;"""}")</f>
        <v/>
      </c>
    </row>
    <row r="263" spans="1:4" x14ac:dyDescent="0.25">
      <c r="A263" s="16" t="str">
        <f>Catalog!A259</f>
        <v/>
      </c>
      <c r="B263" s="16">
        <f>Catalog!D259</f>
        <v>0</v>
      </c>
      <c r="C263" s="16">
        <f>Catalog!F259</f>
        <v>0</v>
      </c>
      <c r="D263" s="19" t="str">
        <f>IF(Catalog!D259="","","{""item_id"":"&amp;Catalog!A259&amp;",""title"":"""&amp;SUBSTITUTE(Catalog!D259,"""","\""")&amp;""",""creator"":"""&amp;SUBSTITUTE(Catalog!F259,"""","\""")&amp;""",""language"":"""&amp;Catalog!M259&amp;""",""identifier"":"""&amp;Catalog!C259&amp;"""}")</f>
        <v/>
      </c>
    </row>
    <row r="264" spans="1:4" x14ac:dyDescent="0.25">
      <c r="A264" s="16" t="str">
        <f>Catalog!A260</f>
        <v/>
      </c>
      <c r="B264" s="16">
        <f>Catalog!D260</f>
        <v>0</v>
      </c>
      <c r="C264" s="16">
        <f>Catalog!F260</f>
        <v>0</v>
      </c>
      <c r="D264" s="19" t="str">
        <f>IF(Catalog!D260="","","{""item_id"":"&amp;Catalog!A260&amp;",""title"":"""&amp;SUBSTITUTE(Catalog!D260,"""","\""")&amp;""",""creator"":"""&amp;SUBSTITUTE(Catalog!F260,"""","\""")&amp;""",""language"":"""&amp;Catalog!M260&amp;""",""identifier"":"""&amp;Catalog!C260&amp;"""}")</f>
        <v/>
      </c>
    </row>
    <row r="265" spans="1:4" x14ac:dyDescent="0.25">
      <c r="A265" s="16" t="str">
        <f>Catalog!A261</f>
        <v/>
      </c>
      <c r="B265" s="16">
        <f>Catalog!D261</f>
        <v>0</v>
      </c>
      <c r="C265" s="16">
        <f>Catalog!F261</f>
        <v>0</v>
      </c>
      <c r="D265" s="19" t="str">
        <f>IF(Catalog!D261="","","{""item_id"":"&amp;Catalog!A261&amp;",""title"":"""&amp;SUBSTITUTE(Catalog!D261,"""","\""")&amp;""",""creator"":"""&amp;SUBSTITUTE(Catalog!F261,"""","\""")&amp;""",""language"":"""&amp;Catalog!M261&amp;""",""identifier"":"""&amp;Catalog!C261&amp;"""}")</f>
        <v/>
      </c>
    </row>
    <row r="266" spans="1:4" x14ac:dyDescent="0.25">
      <c r="A266" s="16" t="str">
        <f>Catalog!A262</f>
        <v/>
      </c>
      <c r="B266" s="16">
        <f>Catalog!D262</f>
        <v>0</v>
      </c>
      <c r="C266" s="16">
        <f>Catalog!F262</f>
        <v>0</v>
      </c>
      <c r="D266" s="19" t="str">
        <f>IF(Catalog!D262="","","{""item_id"":"&amp;Catalog!A262&amp;",""title"":"""&amp;SUBSTITUTE(Catalog!D262,"""","\""")&amp;""",""creator"":"""&amp;SUBSTITUTE(Catalog!F262,"""","\""")&amp;""",""language"":"""&amp;Catalog!M262&amp;""",""identifier"":"""&amp;Catalog!C262&amp;"""}")</f>
        <v/>
      </c>
    </row>
    <row r="267" spans="1:4" x14ac:dyDescent="0.25">
      <c r="A267" s="16" t="str">
        <f>Catalog!A263</f>
        <v/>
      </c>
      <c r="B267" s="16">
        <f>Catalog!D263</f>
        <v>0</v>
      </c>
      <c r="C267" s="16">
        <f>Catalog!F263</f>
        <v>0</v>
      </c>
      <c r="D267" s="19" t="str">
        <f>IF(Catalog!D263="","","{""item_id"":"&amp;Catalog!A263&amp;",""title"":"""&amp;SUBSTITUTE(Catalog!D263,"""","\""")&amp;""",""creator"":"""&amp;SUBSTITUTE(Catalog!F263,"""","\""")&amp;""",""language"":"""&amp;Catalog!M263&amp;""",""identifier"":"""&amp;Catalog!C263&amp;"""}")</f>
        <v/>
      </c>
    </row>
    <row r="268" spans="1:4" x14ac:dyDescent="0.25">
      <c r="A268" s="16" t="str">
        <f>Catalog!A264</f>
        <v/>
      </c>
      <c r="B268" s="16">
        <f>Catalog!D264</f>
        <v>0</v>
      </c>
      <c r="C268" s="16">
        <f>Catalog!F264</f>
        <v>0</v>
      </c>
      <c r="D268" s="19" t="str">
        <f>IF(Catalog!D264="","","{""item_id"":"&amp;Catalog!A264&amp;",""title"":"""&amp;SUBSTITUTE(Catalog!D264,"""","\""")&amp;""",""creator"":"""&amp;SUBSTITUTE(Catalog!F264,"""","\""")&amp;""",""language"":"""&amp;Catalog!M264&amp;""",""identifier"":"""&amp;Catalog!C264&amp;"""}")</f>
        <v/>
      </c>
    </row>
    <row r="269" spans="1:4" x14ac:dyDescent="0.25">
      <c r="A269" s="16" t="str">
        <f>Catalog!A265</f>
        <v/>
      </c>
      <c r="B269" s="16">
        <f>Catalog!D265</f>
        <v>0</v>
      </c>
      <c r="C269" s="16">
        <f>Catalog!F265</f>
        <v>0</v>
      </c>
      <c r="D269" s="19" t="str">
        <f>IF(Catalog!D265="","","{""item_id"":"&amp;Catalog!A265&amp;",""title"":"""&amp;SUBSTITUTE(Catalog!D265,"""","\""")&amp;""",""creator"":"""&amp;SUBSTITUTE(Catalog!F265,"""","\""")&amp;""",""language"":"""&amp;Catalog!M265&amp;""",""identifier"":"""&amp;Catalog!C265&amp;"""}")</f>
        <v/>
      </c>
    </row>
    <row r="270" spans="1:4" x14ac:dyDescent="0.25">
      <c r="A270" s="16" t="str">
        <f>Catalog!A266</f>
        <v/>
      </c>
      <c r="B270" s="16">
        <f>Catalog!D266</f>
        <v>0</v>
      </c>
      <c r="C270" s="16">
        <f>Catalog!F266</f>
        <v>0</v>
      </c>
      <c r="D270" s="19" t="str">
        <f>IF(Catalog!D266="","","{""item_id"":"&amp;Catalog!A266&amp;",""title"":"""&amp;SUBSTITUTE(Catalog!D266,"""","\""")&amp;""",""creator"":"""&amp;SUBSTITUTE(Catalog!F266,"""","\""")&amp;""",""language"":"""&amp;Catalog!M266&amp;""",""identifier"":"""&amp;Catalog!C266&amp;"""}")</f>
        <v/>
      </c>
    </row>
    <row r="271" spans="1:4" x14ac:dyDescent="0.25">
      <c r="A271" s="16" t="str">
        <f>Catalog!A267</f>
        <v/>
      </c>
      <c r="B271" s="16">
        <f>Catalog!D267</f>
        <v>0</v>
      </c>
      <c r="C271" s="16">
        <f>Catalog!F267</f>
        <v>0</v>
      </c>
      <c r="D271" s="19" t="str">
        <f>IF(Catalog!D267="","","{""item_id"":"&amp;Catalog!A267&amp;",""title"":"""&amp;SUBSTITUTE(Catalog!D267,"""","\""")&amp;""",""creator"":"""&amp;SUBSTITUTE(Catalog!F267,"""","\""")&amp;""",""language"":"""&amp;Catalog!M267&amp;""",""identifier"":"""&amp;Catalog!C267&amp;"""}")</f>
        <v/>
      </c>
    </row>
    <row r="272" spans="1:4" x14ac:dyDescent="0.25">
      <c r="A272" s="16" t="str">
        <f>Catalog!A268</f>
        <v/>
      </c>
      <c r="B272" s="16">
        <f>Catalog!D268</f>
        <v>0</v>
      </c>
      <c r="C272" s="16">
        <f>Catalog!F268</f>
        <v>0</v>
      </c>
      <c r="D272" s="19" t="str">
        <f>IF(Catalog!D268="","","{""item_id"":"&amp;Catalog!A268&amp;",""title"":"""&amp;SUBSTITUTE(Catalog!D268,"""","\""")&amp;""",""creator"":"""&amp;SUBSTITUTE(Catalog!F268,"""","\""")&amp;""",""language"":"""&amp;Catalog!M268&amp;""",""identifier"":"""&amp;Catalog!C268&amp;"""}")</f>
        <v/>
      </c>
    </row>
    <row r="273" spans="1:4" x14ac:dyDescent="0.25">
      <c r="A273" s="16" t="str">
        <f>Catalog!A269</f>
        <v/>
      </c>
      <c r="B273" s="16">
        <f>Catalog!D269</f>
        <v>0</v>
      </c>
      <c r="C273" s="16">
        <f>Catalog!F269</f>
        <v>0</v>
      </c>
      <c r="D273" s="19" t="str">
        <f>IF(Catalog!D269="","","{""item_id"":"&amp;Catalog!A269&amp;",""title"":"""&amp;SUBSTITUTE(Catalog!D269,"""","\""")&amp;""",""creator"":"""&amp;SUBSTITUTE(Catalog!F269,"""","\""")&amp;""",""language"":"""&amp;Catalog!M269&amp;""",""identifier"":"""&amp;Catalog!C269&amp;"""}")</f>
        <v/>
      </c>
    </row>
    <row r="274" spans="1:4" x14ac:dyDescent="0.25">
      <c r="A274" s="16" t="str">
        <f>Catalog!A270</f>
        <v/>
      </c>
      <c r="B274" s="16">
        <f>Catalog!D270</f>
        <v>0</v>
      </c>
      <c r="C274" s="16">
        <f>Catalog!F270</f>
        <v>0</v>
      </c>
      <c r="D274" s="19" t="str">
        <f>IF(Catalog!D270="","","{""item_id"":"&amp;Catalog!A270&amp;",""title"":"""&amp;SUBSTITUTE(Catalog!D270,"""","\""")&amp;""",""creator"":"""&amp;SUBSTITUTE(Catalog!F270,"""","\""")&amp;""",""language"":"""&amp;Catalog!M270&amp;""",""identifier"":"""&amp;Catalog!C270&amp;"""}")</f>
        <v/>
      </c>
    </row>
    <row r="275" spans="1:4" x14ac:dyDescent="0.25">
      <c r="A275" s="16" t="str">
        <f>Catalog!A271</f>
        <v/>
      </c>
      <c r="B275" s="16">
        <f>Catalog!D271</f>
        <v>0</v>
      </c>
      <c r="C275" s="16">
        <f>Catalog!F271</f>
        <v>0</v>
      </c>
      <c r="D275" s="19" t="str">
        <f>IF(Catalog!D271="","","{""item_id"":"&amp;Catalog!A271&amp;",""title"":"""&amp;SUBSTITUTE(Catalog!D271,"""","\""")&amp;""",""creator"":"""&amp;SUBSTITUTE(Catalog!F271,"""","\""")&amp;""",""language"":"""&amp;Catalog!M271&amp;""",""identifier"":"""&amp;Catalog!C271&amp;"""}")</f>
        <v/>
      </c>
    </row>
    <row r="276" spans="1:4" x14ac:dyDescent="0.25">
      <c r="A276" s="16" t="str">
        <f>Catalog!A272</f>
        <v/>
      </c>
      <c r="B276" s="16">
        <f>Catalog!D272</f>
        <v>0</v>
      </c>
      <c r="C276" s="16">
        <f>Catalog!F272</f>
        <v>0</v>
      </c>
      <c r="D276" s="19" t="str">
        <f>IF(Catalog!D272="","","{""item_id"":"&amp;Catalog!A272&amp;",""title"":"""&amp;SUBSTITUTE(Catalog!D272,"""","\""")&amp;""",""creator"":"""&amp;SUBSTITUTE(Catalog!F272,"""","\""")&amp;""",""language"":"""&amp;Catalog!M272&amp;""",""identifier"":"""&amp;Catalog!C272&amp;"""}")</f>
        <v/>
      </c>
    </row>
    <row r="277" spans="1:4" x14ac:dyDescent="0.25">
      <c r="A277" s="16" t="str">
        <f>Catalog!A273</f>
        <v/>
      </c>
      <c r="B277" s="16">
        <f>Catalog!D273</f>
        <v>0</v>
      </c>
      <c r="C277" s="16">
        <f>Catalog!F273</f>
        <v>0</v>
      </c>
      <c r="D277" s="19" t="str">
        <f>IF(Catalog!D273="","","{""item_id"":"&amp;Catalog!A273&amp;",""title"":"""&amp;SUBSTITUTE(Catalog!D273,"""","\""")&amp;""",""creator"":"""&amp;SUBSTITUTE(Catalog!F273,"""","\""")&amp;""",""language"":"""&amp;Catalog!M273&amp;""",""identifier"":"""&amp;Catalog!C273&amp;"""}")</f>
        <v/>
      </c>
    </row>
    <row r="278" spans="1:4" x14ac:dyDescent="0.25">
      <c r="A278" s="16" t="str">
        <f>Catalog!A274</f>
        <v/>
      </c>
      <c r="B278" s="16">
        <f>Catalog!D274</f>
        <v>0</v>
      </c>
      <c r="C278" s="16">
        <f>Catalog!F274</f>
        <v>0</v>
      </c>
      <c r="D278" s="19" t="str">
        <f>IF(Catalog!D274="","","{""item_id"":"&amp;Catalog!A274&amp;",""title"":"""&amp;SUBSTITUTE(Catalog!D274,"""","\""")&amp;""",""creator"":"""&amp;SUBSTITUTE(Catalog!F274,"""","\""")&amp;""",""language"":"""&amp;Catalog!M274&amp;""",""identifier"":"""&amp;Catalog!C274&amp;"""}")</f>
        <v/>
      </c>
    </row>
    <row r="279" spans="1:4" x14ac:dyDescent="0.25">
      <c r="A279" s="16" t="str">
        <f>Catalog!A275</f>
        <v/>
      </c>
      <c r="B279" s="16">
        <f>Catalog!D275</f>
        <v>0</v>
      </c>
      <c r="C279" s="16">
        <f>Catalog!F275</f>
        <v>0</v>
      </c>
      <c r="D279" s="19" t="str">
        <f>IF(Catalog!D275="","","{""item_id"":"&amp;Catalog!A275&amp;",""title"":"""&amp;SUBSTITUTE(Catalog!D275,"""","\""")&amp;""",""creator"":"""&amp;SUBSTITUTE(Catalog!F275,"""","\""")&amp;""",""language"":"""&amp;Catalog!M275&amp;""",""identifier"":"""&amp;Catalog!C275&amp;"""}")</f>
        <v/>
      </c>
    </row>
    <row r="280" spans="1:4" x14ac:dyDescent="0.25">
      <c r="A280" s="16" t="str">
        <f>Catalog!A276</f>
        <v/>
      </c>
      <c r="B280" s="16">
        <f>Catalog!D276</f>
        <v>0</v>
      </c>
      <c r="C280" s="16">
        <f>Catalog!F276</f>
        <v>0</v>
      </c>
      <c r="D280" s="19" t="str">
        <f>IF(Catalog!D276="","","{""item_id"":"&amp;Catalog!A276&amp;",""title"":"""&amp;SUBSTITUTE(Catalog!D276,"""","\""")&amp;""",""creator"":"""&amp;SUBSTITUTE(Catalog!F276,"""","\""")&amp;""",""language"":"""&amp;Catalog!M276&amp;""",""identifier"":"""&amp;Catalog!C276&amp;"""}")</f>
        <v/>
      </c>
    </row>
    <row r="281" spans="1:4" x14ac:dyDescent="0.25">
      <c r="A281" s="16" t="str">
        <f>Catalog!A277</f>
        <v/>
      </c>
      <c r="B281" s="16">
        <f>Catalog!D277</f>
        <v>0</v>
      </c>
      <c r="C281" s="16">
        <f>Catalog!F277</f>
        <v>0</v>
      </c>
      <c r="D281" s="19" t="str">
        <f>IF(Catalog!D277="","","{""item_id"":"&amp;Catalog!A277&amp;",""title"":"""&amp;SUBSTITUTE(Catalog!D277,"""","\""")&amp;""",""creator"":"""&amp;SUBSTITUTE(Catalog!F277,"""","\""")&amp;""",""language"":"""&amp;Catalog!M277&amp;""",""identifier"":"""&amp;Catalog!C277&amp;"""}")</f>
        <v/>
      </c>
    </row>
    <row r="282" spans="1:4" x14ac:dyDescent="0.25">
      <c r="A282" s="16" t="str">
        <f>Catalog!A278</f>
        <v/>
      </c>
      <c r="B282" s="16">
        <f>Catalog!D278</f>
        <v>0</v>
      </c>
      <c r="C282" s="16">
        <f>Catalog!F278</f>
        <v>0</v>
      </c>
      <c r="D282" s="19" t="str">
        <f>IF(Catalog!D278="","","{""item_id"":"&amp;Catalog!A278&amp;",""title"":"""&amp;SUBSTITUTE(Catalog!D278,"""","\""")&amp;""",""creator"":"""&amp;SUBSTITUTE(Catalog!F278,"""","\""")&amp;""",""language"":"""&amp;Catalog!M278&amp;""",""identifier"":"""&amp;Catalog!C278&amp;"""}")</f>
        <v/>
      </c>
    </row>
    <row r="283" spans="1:4" x14ac:dyDescent="0.25">
      <c r="A283" s="16" t="str">
        <f>Catalog!A279</f>
        <v/>
      </c>
      <c r="B283" s="16">
        <f>Catalog!D279</f>
        <v>0</v>
      </c>
      <c r="C283" s="16">
        <f>Catalog!F279</f>
        <v>0</v>
      </c>
      <c r="D283" s="19" t="str">
        <f>IF(Catalog!D279="","","{""item_id"":"&amp;Catalog!A279&amp;",""title"":"""&amp;SUBSTITUTE(Catalog!D279,"""","\""")&amp;""",""creator"":"""&amp;SUBSTITUTE(Catalog!F279,"""","\""")&amp;""",""language"":"""&amp;Catalog!M279&amp;""",""identifier"":"""&amp;Catalog!C279&amp;"""}")</f>
        <v/>
      </c>
    </row>
    <row r="284" spans="1:4" x14ac:dyDescent="0.25">
      <c r="A284" s="16" t="str">
        <f>Catalog!A280</f>
        <v/>
      </c>
      <c r="B284" s="16">
        <f>Catalog!D280</f>
        <v>0</v>
      </c>
      <c r="C284" s="16">
        <f>Catalog!F280</f>
        <v>0</v>
      </c>
      <c r="D284" s="19" t="str">
        <f>IF(Catalog!D280="","","{""item_id"":"&amp;Catalog!A280&amp;",""title"":"""&amp;SUBSTITUTE(Catalog!D280,"""","\""")&amp;""",""creator"":"""&amp;SUBSTITUTE(Catalog!F280,"""","\""")&amp;""",""language"":"""&amp;Catalog!M280&amp;""",""identifier"":"""&amp;Catalog!C280&amp;"""}")</f>
        <v/>
      </c>
    </row>
    <row r="285" spans="1:4" x14ac:dyDescent="0.25">
      <c r="A285" s="16" t="str">
        <f>Catalog!A281</f>
        <v/>
      </c>
      <c r="B285" s="16">
        <f>Catalog!D281</f>
        <v>0</v>
      </c>
      <c r="C285" s="16">
        <f>Catalog!F281</f>
        <v>0</v>
      </c>
      <c r="D285" s="19" t="str">
        <f>IF(Catalog!D281="","","{""item_id"":"&amp;Catalog!A281&amp;",""title"":"""&amp;SUBSTITUTE(Catalog!D281,"""","\""")&amp;""",""creator"":"""&amp;SUBSTITUTE(Catalog!F281,"""","\""")&amp;""",""language"":"""&amp;Catalog!M281&amp;""",""identifier"":"""&amp;Catalog!C281&amp;"""}")</f>
        <v/>
      </c>
    </row>
    <row r="286" spans="1:4" x14ac:dyDescent="0.25">
      <c r="A286" s="16" t="str">
        <f>Catalog!A282</f>
        <v/>
      </c>
      <c r="B286" s="16">
        <f>Catalog!D282</f>
        <v>0</v>
      </c>
      <c r="C286" s="16">
        <f>Catalog!F282</f>
        <v>0</v>
      </c>
      <c r="D286" s="19" t="str">
        <f>IF(Catalog!D282="","","{""item_id"":"&amp;Catalog!A282&amp;",""title"":"""&amp;SUBSTITUTE(Catalog!D282,"""","\""")&amp;""",""creator"":"""&amp;SUBSTITUTE(Catalog!F282,"""","\""")&amp;""",""language"":"""&amp;Catalog!M282&amp;""",""identifier"":"""&amp;Catalog!C282&amp;"""}")</f>
        <v/>
      </c>
    </row>
    <row r="287" spans="1:4" x14ac:dyDescent="0.25">
      <c r="A287" s="16" t="str">
        <f>Catalog!A283</f>
        <v/>
      </c>
      <c r="B287" s="16">
        <f>Catalog!D283</f>
        <v>0</v>
      </c>
      <c r="C287" s="16">
        <f>Catalog!F283</f>
        <v>0</v>
      </c>
      <c r="D287" s="19" t="str">
        <f>IF(Catalog!D283="","","{""item_id"":"&amp;Catalog!A283&amp;",""title"":"""&amp;SUBSTITUTE(Catalog!D283,"""","\""")&amp;""",""creator"":"""&amp;SUBSTITUTE(Catalog!F283,"""","\""")&amp;""",""language"":"""&amp;Catalog!M283&amp;""",""identifier"":"""&amp;Catalog!C283&amp;"""}")</f>
        <v/>
      </c>
    </row>
    <row r="288" spans="1:4" x14ac:dyDescent="0.25">
      <c r="A288" s="16" t="str">
        <f>Catalog!A284</f>
        <v/>
      </c>
      <c r="B288" s="16">
        <f>Catalog!D284</f>
        <v>0</v>
      </c>
      <c r="C288" s="16">
        <f>Catalog!F284</f>
        <v>0</v>
      </c>
      <c r="D288" s="19" t="str">
        <f>IF(Catalog!D284="","","{""item_id"":"&amp;Catalog!A284&amp;",""title"":"""&amp;SUBSTITUTE(Catalog!D284,"""","\""")&amp;""",""creator"":"""&amp;SUBSTITUTE(Catalog!F284,"""","\""")&amp;""",""language"":"""&amp;Catalog!M284&amp;""",""identifier"":"""&amp;Catalog!C284&amp;"""}")</f>
        <v/>
      </c>
    </row>
    <row r="289" spans="1:4" x14ac:dyDescent="0.25">
      <c r="A289" s="16" t="str">
        <f>Catalog!A285</f>
        <v/>
      </c>
      <c r="B289" s="16">
        <f>Catalog!D285</f>
        <v>0</v>
      </c>
      <c r="C289" s="16">
        <f>Catalog!F285</f>
        <v>0</v>
      </c>
      <c r="D289" s="19" t="str">
        <f>IF(Catalog!D285="","","{""item_id"":"&amp;Catalog!A285&amp;",""title"":"""&amp;SUBSTITUTE(Catalog!D285,"""","\""")&amp;""",""creator"":"""&amp;SUBSTITUTE(Catalog!F285,"""","\""")&amp;""",""language"":"""&amp;Catalog!M285&amp;""",""identifier"":"""&amp;Catalog!C285&amp;"""}")</f>
        <v/>
      </c>
    </row>
    <row r="290" spans="1:4" x14ac:dyDescent="0.25">
      <c r="A290" s="16" t="str">
        <f>Catalog!A286</f>
        <v/>
      </c>
      <c r="B290" s="16">
        <f>Catalog!D286</f>
        <v>0</v>
      </c>
      <c r="C290" s="16">
        <f>Catalog!F286</f>
        <v>0</v>
      </c>
      <c r="D290" s="19" t="str">
        <f>IF(Catalog!D286="","","{""item_id"":"&amp;Catalog!A286&amp;",""title"":"""&amp;SUBSTITUTE(Catalog!D286,"""","\""")&amp;""",""creator"":"""&amp;SUBSTITUTE(Catalog!F286,"""","\""")&amp;""",""language"":"""&amp;Catalog!M286&amp;""",""identifier"":"""&amp;Catalog!C286&amp;"""}")</f>
        <v/>
      </c>
    </row>
    <row r="291" spans="1:4" x14ac:dyDescent="0.25">
      <c r="A291" s="16" t="str">
        <f>Catalog!A287</f>
        <v/>
      </c>
      <c r="B291" s="16">
        <f>Catalog!D287</f>
        <v>0</v>
      </c>
      <c r="C291" s="16">
        <f>Catalog!F287</f>
        <v>0</v>
      </c>
      <c r="D291" s="19" t="str">
        <f>IF(Catalog!D287="","","{""item_id"":"&amp;Catalog!A287&amp;",""title"":"""&amp;SUBSTITUTE(Catalog!D287,"""","\""")&amp;""",""creator"":"""&amp;SUBSTITUTE(Catalog!F287,"""","\""")&amp;""",""language"":"""&amp;Catalog!M287&amp;""",""identifier"":"""&amp;Catalog!C287&amp;"""}")</f>
        <v/>
      </c>
    </row>
    <row r="292" spans="1:4" x14ac:dyDescent="0.25">
      <c r="A292" s="16" t="str">
        <f>Catalog!A288</f>
        <v/>
      </c>
      <c r="B292" s="16">
        <f>Catalog!D288</f>
        <v>0</v>
      </c>
      <c r="C292" s="16">
        <f>Catalog!F288</f>
        <v>0</v>
      </c>
      <c r="D292" s="19" t="str">
        <f>IF(Catalog!D288="","","{""item_id"":"&amp;Catalog!A288&amp;",""title"":"""&amp;SUBSTITUTE(Catalog!D288,"""","\""")&amp;""",""creator"":"""&amp;SUBSTITUTE(Catalog!F288,"""","\""")&amp;""",""language"":"""&amp;Catalog!M288&amp;""",""identifier"":"""&amp;Catalog!C288&amp;"""}")</f>
        <v/>
      </c>
    </row>
    <row r="293" spans="1:4" x14ac:dyDescent="0.25">
      <c r="A293" s="16" t="str">
        <f>Catalog!A289</f>
        <v/>
      </c>
      <c r="B293" s="16">
        <f>Catalog!D289</f>
        <v>0</v>
      </c>
      <c r="C293" s="16">
        <f>Catalog!F289</f>
        <v>0</v>
      </c>
      <c r="D293" s="19" t="str">
        <f>IF(Catalog!D289="","","{""item_id"":"&amp;Catalog!A289&amp;",""title"":"""&amp;SUBSTITUTE(Catalog!D289,"""","\""")&amp;""",""creator"":"""&amp;SUBSTITUTE(Catalog!F289,"""","\""")&amp;""",""language"":"""&amp;Catalog!M289&amp;""",""identifier"":"""&amp;Catalog!C289&amp;"""}")</f>
        <v/>
      </c>
    </row>
    <row r="294" spans="1:4" x14ac:dyDescent="0.25">
      <c r="A294" s="16" t="str">
        <f>Catalog!A290</f>
        <v/>
      </c>
      <c r="B294" s="16">
        <f>Catalog!D290</f>
        <v>0</v>
      </c>
      <c r="C294" s="16">
        <f>Catalog!F290</f>
        <v>0</v>
      </c>
      <c r="D294" s="19" t="str">
        <f>IF(Catalog!D290="","","{""item_id"":"&amp;Catalog!A290&amp;",""title"":"""&amp;SUBSTITUTE(Catalog!D290,"""","\""")&amp;""",""creator"":"""&amp;SUBSTITUTE(Catalog!F290,"""","\""")&amp;""",""language"":"""&amp;Catalog!M290&amp;""",""identifier"":"""&amp;Catalog!C290&amp;"""}")</f>
        <v/>
      </c>
    </row>
    <row r="295" spans="1:4" x14ac:dyDescent="0.25">
      <c r="A295" s="16" t="str">
        <f>Catalog!A291</f>
        <v/>
      </c>
      <c r="B295" s="16">
        <f>Catalog!D291</f>
        <v>0</v>
      </c>
      <c r="C295" s="16">
        <f>Catalog!F291</f>
        <v>0</v>
      </c>
      <c r="D295" s="19" t="str">
        <f>IF(Catalog!D291="","","{""item_id"":"&amp;Catalog!A291&amp;",""title"":"""&amp;SUBSTITUTE(Catalog!D291,"""","\""")&amp;""",""creator"":"""&amp;SUBSTITUTE(Catalog!F291,"""","\""")&amp;""",""language"":"""&amp;Catalog!M291&amp;""",""identifier"":"""&amp;Catalog!C291&amp;"""}")</f>
        <v/>
      </c>
    </row>
    <row r="296" spans="1:4" x14ac:dyDescent="0.25">
      <c r="A296" s="16" t="str">
        <f>Catalog!A292</f>
        <v/>
      </c>
      <c r="B296" s="16">
        <f>Catalog!D292</f>
        <v>0</v>
      </c>
      <c r="C296" s="16">
        <f>Catalog!F292</f>
        <v>0</v>
      </c>
      <c r="D296" s="19" t="str">
        <f>IF(Catalog!D292="","","{""item_id"":"&amp;Catalog!A292&amp;",""title"":"""&amp;SUBSTITUTE(Catalog!D292,"""","\""")&amp;""",""creator"":"""&amp;SUBSTITUTE(Catalog!F292,"""","\""")&amp;""",""language"":"""&amp;Catalog!M292&amp;""",""identifier"":"""&amp;Catalog!C292&amp;"""}")</f>
        <v/>
      </c>
    </row>
    <row r="297" spans="1:4" x14ac:dyDescent="0.25">
      <c r="A297" s="16" t="str">
        <f>Catalog!A293</f>
        <v/>
      </c>
      <c r="B297" s="16">
        <f>Catalog!D293</f>
        <v>0</v>
      </c>
      <c r="C297" s="16">
        <f>Catalog!F293</f>
        <v>0</v>
      </c>
      <c r="D297" s="19" t="str">
        <f>IF(Catalog!D293="","","{""item_id"":"&amp;Catalog!A293&amp;",""title"":"""&amp;SUBSTITUTE(Catalog!D293,"""","\""")&amp;""",""creator"":"""&amp;SUBSTITUTE(Catalog!F293,"""","\""")&amp;""",""language"":"""&amp;Catalog!M293&amp;""",""identifier"":"""&amp;Catalog!C293&amp;"""}")</f>
        <v/>
      </c>
    </row>
    <row r="298" spans="1:4" x14ac:dyDescent="0.25">
      <c r="A298" s="16" t="str">
        <f>Catalog!A294</f>
        <v/>
      </c>
      <c r="B298" s="16">
        <f>Catalog!D294</f>
        <v>0</v>
      </c>
      <c r="C298" s="16">
        <f>Catalog!F294</f>
        <v>0</v>
      </c>
      <c r="D298" s="19" t="str">
        <f>IF(Catalog!D294="","","{""item_id"":"&amp;Catalog!A294&amp;",""title"":"""&amp;SUBSTITUTE(Catalog!D294,"""","\""")&amp;""",""creator"":"""&amp;SUBSTITUTE(Catalog!F294,"""","\""")&amp;""",""language"":"""&amp;Catalog!M294&amp;""",""identifier"":"""&amp;Catalog!C294&amp;"""}")</f>
        <v/>
      </c>
    </row>
    <row r="299" spans="1:4" x14ac:dyDescent="0.25">
      <c r="A299" s="16" t="str">
        <f>Catalog!A295</f>
        <v/>
      </c>
      <c r="B299" s="16">
        <f>Catalog!D295</f>
        <v>0</v>
      </c>
      <c r="C299" s="16">
        <f>Catalog!F295</f>
        <v>0</v>
      </c>
      <c r="D299" s="19" t="str">
        <f>IF(Catalog!D295="","","{""item_id"":"&amp;Catalog!A295&amp;",""title"":"""&amp;SUBSTITUTE(Catalog!D295,"""","\""")&amp;""",""creator"":"""&amp;SUBSTITUTE(Catalog!F295,"""","\""")&amp;""",""language"":"""&amp;Catalog!M295&amp;""",""identifier"":"""&amp;Catalog!C295&amp;"""}")</f>
        <v/>
      </c>
    </row>
    <row r="300" spans="1:4" x14ac:dyDescent="0.25">
      <c r="A300" s="16" t="str">
        <f>Catalog!A296</f>
        <v/>
      </c>
      <c r="B300" s="16">
        <f>Catalog!D296</f>
        <v>0</v>
      </c>
      <c r="C300" s="16">
        <f>Catalog!F296</f>
        <v>0</v>
      </c>
      <c r="D300" s="19" t="str">
        <f>IF(Catalog!D296="","","{""item_id"":"&amp;Catalog!A296&amp;",""title"":"""&amp;SUBSTITUTE(Catalog!D296,"""","\""")&amp;""",""creator"":"""&amp;SUBSTITUTE(Catalog!F296,"""","\""")&amp;""",""language"":"""&amp;Catalog!M296&amp;""",""identifier"":"""&amp;Catalog!C296&amp;"""}")</f>
        <v/>
      </c>
    </row>
    <row r="301" spans="1:4" x14ac:dyDescent="0.25">
      <c r="A301" s="16" t="str">
        <f>Catalog!A297</f>
        <v/>
      </c>
      <c r="B301" s="16">
        <f>Catalog!D297</f>
        <v>0</v>
      </c>
      <c r="C301" s="16">
        <f>Catalog!F297</f>
        <v>0</v>
      </c>
      <c r="D301" s="19" t="str">
        <f>IF(Catalog!D297="","","{""item_id"":"&amp;Catalog!A297&amp;",""title"":"""&amp;SUBSTITUTE(Catalog!D297,"""","\""")&amp;""",""creator"":"""&amp;SUBSTITUTE(Catalog!F297,"""","\""")&amp;""",""language"":"""&amp;Catalog!M297&amp;""",""identifier"":"""&amp;Catalog!C297&amp;"""}")</f>
        <v/>
      </c>
    </row>
    <row r="302" spans="1:4" x14ac:dyDescent="0.25">
      <c r="A302" s="16" t="str">
        <f>Catalog!A298</f>
        <v/>
      </c>
      <c r="B302" s="16">
        <f>Catalog!D298</f>
        <v>0</v>
      </c>
      <c r="C302" s="16">
        <f>Catalog!F298</f>
        <v>0</v>
      </c>
      <c r="D302" s="19" t="str">
        <f>IF(Catalog!D298="","","{""item_id"":"&amp;Catalog!A298&amp;",""title"":"""&amp;SUBSTITUTE(Catalog!D298,"""","\""")&amp;""",""creator"":"""&amp;SUBSTITUTE(Catalog!F298,"""","\""")&amp;""",""language"":"""&amp;Catalog!M298&amp;""",""identifier"":"""&amp;Catalog!C298&amp;"""}")</f>
        <v/>
      </c>
    </row>
    <row r="303" spans="1:4" x14ac:dyDescent="0.25">
      <c r="A303" s="16" t="str">
        <f>Catalog!A299</f>
        <v/>
      </c>
      <c r="B303" s="16">
        <f>Catalog!D299</f>
        <v>0</v>
      </c>
      <c r="C303" s="16">
        <f>Catalog!F299</f>
        <v>0</v>
      </c>
      <c r="D303" s="19" t="str">
        <f>IF(Catalog!D299="","","{""item_id"":"&amp;Catalog!A299&amp;",""title"":"""&amp;SUBSTITUTE(Catalog!D299,"""","\""")&amp;""",""creator"":"""&amp;SUBSTITUTE(Catalog!F299,"""","\""")&amp;""",""language"":"""&amp;Catalog!M299&amp;""",""identifier"":"""&amp;Catalog!C299&amp;"""}")</f>
        <v/>
      </c>
    </row>
    <row r="304" spans="1:4" x14ac:dyDescent="0.25">
      <c r="A304" s="16" t="str">
        <f>Catalog!A300</f>
        <v/>
      </c>
      <c r="B304" s="16">
        <f>Catalog!D300</f>
        <v>0</v>
      </c>
      <c r="C304" s="16">
        <f>Catalog!F300</f>
        <v>0</v>
      </c>
      <c r="D304" s="19" t="str">
        <f>IF(Catalog!D300="","","{""item_id"":"&amp;Catalog!A300&amp;",""title"":"""&amp;SUBSTITUTE(Catalog!D300,"""","\""")&amp;""",""creator"":"""&amp;SUBSTITUTE(Catalog!F300,"""","\""")&amp;""",""language"":"""&amp;Catalog!M300&amp;""",""identifier"":"""&amp;Catalog!C300&amp;"""}")</f>
        <v/>
      </c>
    </row>
    <row r="305" spans="1:4" x14ac:dyDescent="0.25">
      <c r="A305" s="16" t="str">
        <f>Catalog!A301</f>
        <v/>
      </c>
      <c r="B305" s="16">
        <f>Catalog!D301</f>
        <v>0</v>
      </c>
      <c r="C305" s="16">
        <f>Catalog!F301</f>
        <v>0</v>
      </c>
      <c r="D305" s="19" t="str">
        <f>IF(Catalog!D301="","","{""item_id"":"&amp;Catalog!A301&amp;",""title"":"""&amp;SUBSTITUTE(Catalog!D301,"""","\""")&amp;""",""creator"":"""&amp;SUBSTITUTE(Catalog!F301,"""","\""")&amp;""",""language"":"""&amp;Catalog!M301&amp;""",""identifier"":"""&amp;Catalog!C301&amp;"""}")</f>
        <v/>
      </c>
    </row>
    <row r="306" spans="1:4" x14ac:dyDescent="0.25">
      <c r="A306" s="16" t="str">
        <f>Catalog!A302</f>
        <v/>
      </c>
      <c r="B306" s="16">
        <f>Catalog!D302</f>
        <v>0</v>
      </c>
      <c r="C306" s="16">
        <f>Catalog!F302</f>
        <v>0</v>
      </c>
      <c r="D306" s="19" t="str">
        <f>IF(Catalog!D302="","","{""item_id"":"&amp;Catalog!A302&amp;",""title"":"""&amp;SUBSTITUTE(Catalog!D302,"""","\""")&amp;""",""creator"":"""&amp;SUBSTITUTE(Catalog!F302,"""","\""")&amp;""",""language"":"""&amp;Catalog!M302&amp;""",""identifier"":"""&amp;Catalog!C302&amp;"""}")</f>
        <v/>
      </c>
    </row>
    <row r="307" spans="1:4" x14ac:dyDescent="0.25">
      <c r="A307" s="16" t="str">
        <f>Catalog!A303</f>
        <v/>
      </c>
      <c r="B307" s="16">
        <f>Catalog!D303</f>
        <v>0</v>
      </c>
      <c r="C307" s="16">
        <f>Catalog!F303</f>
        <v>0</v>
      </c>
      <c r="D307" s="19" t="str">
        <f>IF(Catalog!D303="","","{""item_id"":"&amp;Catalog!A303&amp;",""title"":"""&amp;SUBSTITUTE(Catalog!D303,"""","\""")&amp;""",""creator"":"""&amp;SUBSTITUTE(Catalog!F303,"""","\""")&amp;""",""language"":"""&amp;Catalog!M303&amp;""",""identifier"":"""&amp;Catalog!C303&amp;"""}")</f>
        <v/>
      </c>
    </row>
    <row r="308" spans="1:4" x14ac:dyDescent="0.25">
      <c r="A308" s="16" t="str">
        <f>Catalog!A304</f>
        <v/>
      </c>
      <c r="B308" s="16">
        <f>Catalog!D304</f>
        <v>0</v>
      </c>
      <c r="C308" s="16">
        <f>Catalog!F304</f>
        <v>0</v>
      </c>
      <c r="D308" s="19" t="str">
        <f>IF(Catalog!D304="","","{""item_id"":"&amp;Catalog!A304&amp;",""title"":"""&amp;SUBSTITUTE(Catalog!D304,"""","\""")&amp;""",""creator"":"""&amp;SUBSTITUTE(Catalog!F304,"""","\""")&amp;""",""language"":"""&amp;Catalog!M304&amp;""",""identifier"":"""&amp;Catalog!C304&amp;"""}")</f>
        <v/>
      </c>
    </row>
    <row r="309" spans="1:4" x14ac:dyDescent="0.25">
      <c r="A309" s="16" t="str">
        <f>Catalog!A305</f>
        <v/>
      </c>
      <c r="B309" s="16">
        <f>Catalog!D305</f>
        <v>0</v>
      </c>
      <c r="C309" s="16">
        <f>Catalog!F305</f>
        <v>0</v>
      </c>
      <c r="D309" s="19" t="str">
        <f>IF(Catalog!D305="","","{""item_id"":"&amp;Catalog!A305&amp;",""title"":"""&amp;SUBSTITUTE(Catalog!D305,"""","\""")&amp;""",""creator"":"""&amp;SUBSTITUTE(Catalog!F305,"""","\""")&amp;""",""language"":"""&amp;Catalog!M305&amp;""",""identifier"":"""&amp;Catalog!C305&amp;"""}")</f>
        <v/>
      </c>
    </row>
    <row r="310" spans="1:4" x14ac:dyDescent="0.25">
      <c r="A310" s="16" t="str">
        <f>Catalog!A306</f>
        <v/>
      </c>
      <c r="B310" s="16">
        <f>Catalog!D306</f>
        <v>0</v>
      </c>
      <c r="C310" s="16">
        <f>Catalog!F306</f>
        <v>0</v>
      </c>
      <c r="D310" s="19" t="str">
        <f>IF(Catalog!D306="","","{""item_id"":"&amp;Catalog!A306&amp;",""title"":"""&amp;SUBSTITUTE(Catalog!D306,"""","\""")&amp;""",""creator"":"""&amp;SUBSTITUTE(Catalog!F306,"""","\""")&amp;""",""language"":"""&amp;Catalog!M306&amp;""",""identifier"":"""&amp;Catalog!C306&amp;"""}")</f>
        <v/>
      </c>
    </row>
    <row r="311" spans="1:4" x14ac:dyDescent="0.25">
      <c r="A311" s="16" t="str">
        <f>Catalog!A307</f>
        <v/>
      </c>
      <c r="B311" s="16">
        <f>Catalog!D307</f>
        <v>0</v>
      </c>
      <c r="C311" s="16">
        <f>Catalog!F307</f>
        <v>0</v>
      </c>
      <c r="D311" s="19" t="str">
        <f>IF(Catalog!D307="","","{""item_id"":"&amp;Catalog!A307&amp;",""title"":"""&amp;SUBSTITUTE(Catalog!D307,"""","\""")&amp;""",""creator"":"""&amp;SUBSTITUTE(Catalog!F307,"""","\""")&amp;""",""language"":"""&amp;Catalog!M307&amp;""",""identifier"":"""&amp;Catalog!C307&amp;"""}")</f>
        <v/>
      </c>
    </row>
    <row r="312" spans="1:4" x14ac:dyDescent="0.25">
      <c r="A312" s="16" t="str">
        <f>Catalog!A308</f>
        <v/>
      </c>
      <c r="B312" s="16">
        <f>Catalog!D308</f>
        <v>0</v>
      </c>
      <c r="C312" s="16">
        <f>Catalog!F308</f>
        <v>0</v>
      </c>
      <c r="D312" s="19" t="str">
        <f>IF(Catalog!D308="","","{""item_id"":"&amp;Catalog!A308&amp;",""title"":"""&amp;SUBSTITUTE(Catalog!D308,"""","\""")&amp;""",""creator"":"""&amp;SUBSTITUTE(Catalog!F308,"""","\""")&amp;""",""language"":"""&amp;Catalog!M308&amp;""",""identifier"":"""&amp;Catalog!C308&amp;"""}")</f>
        <v/>
      </c>
    </row>
    <row r="313" spans="1:4" x14ac:dyDescent="0.25">
      <c r="A313" s="16" t="str">
        <f>Catalog!A309</f>
        <v/>
      </c>
      <c r="B313" s="16">
        <f>Catalog!D309</f>
        <v>0</v>
      </c>
      <c r="C313" s="16">
        <f>Catalog!F309</f>
        <v>0</v>
      </c>
      <c r="D313" s="19" t="str">
        <f>IF(Catalog!D309="","","{""item_id"":"&amp;Catalog!A309&amp;",""title"":"""&amp;SUBSTITUTE(Catalog!D309,"""","\""")&amp;""",""creator"":"""&amp;SUBSTITUTE(Catalog!F309,"""","\""")&amp;""",""language"":"""&amp;Catalog!M309&amp;""",""identifier"":"""&amp;Catalog!C309&amp;"""}")</f>
        <v/>
      </c>
    </row>
    <row r="314" spans="1:4" x14ac:dyDescent="0.25">
      <c r="A314" s="16" t="str">
        <f>Catalog!A310</f>
        <v/>
      </c>
      <c r="B314" s="16">
        <f>Catalog!D310</f>
        <v>0</v>
      </c>
      <c r="C314" s="16">
        <f>Catalog!F310</f>
        <v>0</v>
      </c>
      <c r="D314" s="19" t="str">
        <f>IF(Catalog!D310="","","{""item_id"":"&amp;Catalog!A310&amp;",""title"":"""&amp;SUBSTITUTE(Catalog!D310,"""","\""")&amp;""",""creator"":"""&amp;SUBSTITUTE(Catalog!F310,"""","\""")&amp;""",""language"":"""&amp;Catalog!M310&amp;""",""identifier"":"""&amp;Catalog!C310&amp;"""}")</f>
        <v/>
      </c>
    </row>
    <row r="315" spans="1:4" x14ac:dyDescent="0.25">
      <c r="A315" s="16" t="str">
        <f>Catalog!A311</f>
        <v/>
      </c>
      <c r="B315" s="16">
        <f>Catalog!D311</f>
        <v>0</v>
      </c>
      <c r="C315" s="16">
        <f>Catalog!F311</f>
        <v>0</v>
      </c>
      <c r="D315" s="19" t="str">
        <f>IF(Catalog!D311="","","{""item_id"":"&amp;Catalog!A311&amp;",""title"":"""&amp;SUBSTITUTE(Catalog!D311,"""","\""")&amp;""",""creator"":"""&amp;SUBSTITUTE(Catalog!F311,"""","\""")&amp;""",""language"":"""&amp;Catalog!M311&amp;""",""identifier"":"""&amp;Catalog!C311&amp;"""}")</f>
        <v/>
      </c>
    </row>
    <row r="316" spans="1:4" x14ac:dyDescent="0.25">
      <c r="A316" s="16" t="str">
        <f>Catalog!A312</f>
        <v/>
      </c>
      <c r="B316" s="16">
        <f>Catalog!D312</f>
        <v>0</v>
      </c>
      <c r="C316" s="16">
        <f>Catalog!F312</f>
        <v>0</v>
      </c>
      <c r="D316" s="19" t="str">
        <f>IF(Catalog!D312="","","{""item_id"":"&amp;Catalog!A312&amp;",""title"":"""&amp;SUBSTITUTE(Catalog!D312,"""","\""")&amp;""",""creator"":"""&amp;SUBSTITUTE(Catalog!F312,"""","\""")&amp;""",""language"":"""&amp;Catalog!M312&amp;""",""identifier"":"""&amp;Catalog!C312&amp;"""}")</f>
        <v/>
      </c>
    </row>
    <row r="317" spans="1:4" x14ac:dyDescent="0.25">
      <c r="A317" s="16" t="str">
        <f>Catalog!A313</f>
        <v/>
      </c>
      <c r="B317" s="16">
        <f>Catalog!D313</f>
        <v>0</v>
      </c>
      <c r="C317" s="16">
        <f>Catalog!F313</f>
        <v>0</v>
      </c>
      <c r="D317" s="19" t="str">
        <f>IF(Catalog!D313="","","{""item_id"":"&amp;Catalog!A313&amp;",""title"":"""&amp;SUBSTITUTE(Catalog!D313,"""","\""")&amp;""",""creator"":"""&amp;SUBSTITUTE(Catalog!F313,"""","\""")&amp;""",""language"":"""&amp;Catalog!M313&amp;""",""identifier"":"""&amp;Catalog!C313&amp;"""}")</f>
        <v/>
      </c>
    </row>
    <row r="318" spans="1:4" x14ac:dyDescent="0.25">
      <c r="A318" s="16" t="str">
        <f>Catalog!A314</f>
        <v/>
      </c>
      <c r="B318" s="16">
        <f>Catalog!D314</f>
        <v>0</v>
      </c>
      <c r="C318" s="16">
        <f>Catalog!F314</f>
        <v>0</v>
      </c>
      <c r="D318" s="19" t="str">
        <f>IF(Catalog!D314="","","{""item_id"":"&amp;Catalog!A314&amp;",""title"":"""&amp;SUBSTITUTE(Catalog!D314,"""","\""")&amp;""",""creator"":"""&amp;SUBSTITUTE(Catalog!F314,"""","\""")&amp;""",""language"":"""&amp;Catalog!M314&amp;""",""identifier"":"""&amp;Catalog!C314&amp;"""}")</f>
        <v/>
      </c>
    </row>
    <row r="319" spans="1:4" x14ac:dyDescent="0.25">
      <c r="A319" s="16" t="str">
        <f>Catalog!A315</f>
        <v/>
      </c>
      <c r="B319" s="16">
        <f>Catalog!D315</f>
        <v>0</v>
      </c>
      <c r="C319" s="16">
        <f>Catalog!F315</f>
        <v>0</v>
      </c>
      <c r="D319" s="19" t="str">
        <f>IF(Catalog!D315="","","{""item_id"":"&amp;Catalog!A315&amp;",""title"":"""&amp;SUBSTITUTE(Catalog!D315,"""","\""")&amp;""",""creator"":"""&amp;SUBSTITUTE(Catalog!F315,"""","\""")&amp;""",""language"":"""&amp;Catalog!M315&amp;""",""identifier"":"""&amp;Catalog!C315&amp;"""}")</f>
        <v/>
      </c>
    </row>
    <row r="320" spans="1:4" x14ac:dyDescent="0.25">
      <c r="A320" s="16" t="str">
        <f>Catalog!A316</f>
        <v/>
      </c>
      <c r="B320" s="16">
        <f>Catalog!D316</f>
        <v>0</v>
      </c>
      <c r="C320" s="16">
        <f>Catalog!F316</f>
        <v>0</v>
      </c>
      <c r="D320" s="19" t="str">
        <f>IF(Catalog!D316="","","{""item_id"":"&amp;Catalog!A316&amp;",""title"":"""&amp;SUBSTITUTE(Catalog!D316,"""","\""")&amp;""",""creator"":"""&amp;SUBSTITUTE(Catalog!F316,"""","\""")&amp;""",""language"":"""&amp;Catalog!M316&amp;""",""identifier"":"""&amp;Catalog!C316&amp;"""}")</f>
        <v/>
      </c>
    </row>
    <row r="321" spans="1:4" x14ac:dyDescent="0.25">
      <c r="A321" s="16" t="str">
        <f>Catalog!A317</f>
        <v/>
      </c>
      <c r="B321" s="16">
        <f>Catalog!D317</f>
        <v>0</v>
      </c>
      <c r="C321" s="16">
        <f>Catalog!F317</f>
        <v>0</v>
      </c>
      <c r="D321" s="19" t="str">
        <f>IF(Catalog!D317="","","{""item_id"":"&amp;Catalog!A317&amp;",""title"":"""&amp;SUBSTITUTE(Catalog!D317,"""","\""")&amp;""",""creator"":"""&amp;SUBSTITUTE(Catalog!F317,"""","\""")&amp;""",""language"":"""&amp;Catalog!M317&amp;""",""identifier"":"""&amp;Catalog!C317&amp;"""}")</f>
        <v/>
      </c>
    </row>
    <row r="322" spans="1:4" x14ac:dyDescent="0.25">
      <c r="A322" s="16" t="str">
        <f>Catalog!A318</f>
        <v/>
      </c>
      <c r="B322" s="16">
        <f>Catalog!D318</f>
        <v>0</v>
      </c>
      <c r="C322" s="16">
        <f>Catalog!F318</f>
        <v>0</v>
      </c>
      <c r="D322" s="19" t="str">
        <f>IF(Catalog!D318="","","{""item_id"":"&amp;Catalog!A318&amp;",""title"":"""&amp;SUBSTITUTE(Catalog!D318,"""","\""")&amp;""",""creator"":"""&amp;SUBSTITUTE(Catalog!F318,"""","\""")&amp;""",""language"":"""&amp;Catalog!M318&amp;""",""identifier"":"""&amp;Catalog!C318&amp;"""}")</f>
        <v/>
      </c>
    </row>
    <row r="323" spans="1:4" x14ac:dyDescent="0.25">
      <c r="A323" s="16" t="str">
        <f>Catalog!A319</f>
        <v/>
      </c>
      <c r="B323" s="16">
        <f>Catalog!D319</f>
        <v>0</v>
      </c>
      <c r="C323" s="16">
        <f>Catalog!F319</f>
        <v>0</v>
      </c>
      <c r="D323" s="19" t="str">
        <f>IF(Catalog!D319="","","{""item_id"":"&amp;Catalog!A319&amp;",""title"":"""&amp;SUBSTITUTE(Catalog!D319,"""","\""")&amp;""",""creator"":"""&amp;SUBSTITUTE(Catalog!F319,"""","\""")&amp;""",""language"":"""&amp;Catalog!M319&amp;""",""identifier"":"""&amp;Catalog!C319&amp;"""}")</f>
        <v/>
      </c>
    </row>
    <row r="324" spans="1:4" x14ac:dyDescent="0.25">
      <c r="A324" s="16" t="str">
        <f>Catalog!A320</f>
        <v/>
      </c>
      <c r="B324" s="16">
        <f>Catalog!D320</f>
        <v>0</v>
      </c>
      <c r="C324" s="16">
        <f>Catalog!F320</f>
        <v>0</v>
      </c>
      <c r="D324" s="19" t="str">
        <f>IF(Catalog!D320="","","{""item_id"":"&amp;Catalog!A320&amp;",""title"":"""&amp;SUBSTITUTE(Catalog!D320,"""","\""")&amp;""",""creator"":"""&amp;SUBSTITUTE(Catalog!F320,"""","\""")&amp;""",""language"":"""&amp;Catalog!M320&amp;""",""identifier"":"""&amp;Catalog!C320&amp;"""}")</f>
        <v/>
      </c>
    </row>
    <row r="325" spans="1:4" x14ac:dyDescent="0.25">
      <c r="A325" s="16" t="str">
        <f>Catalog!A321</f>
        <v/>
      </c>
      <c r="B325" s="16">
        <f>Catalog!D321</f>
        <v>0</v>
      </c>
      <c r="C325" s="16">
        <f>Catalog!F321</f>
        <v>0</v>
      </c>
      <c r="D325" s="19" t="str">
        <f>IF(Catalog!D321="","","{""item_id"":"&amp;Catalog!A321&amp;",""title"":"""&amp;SUBSTITUTE(Catalog!D321,"""","\""")&amp;""",""creator"":"""&amp;SUBSTITUTE(Catalog!F321,"""","\""")&amp;""",""language"":"""&amp;Catalog!M321&amp;""",""identifier"":"""&amp;Catalog!C321&amp;"""}")</f>
        <v/>
      </c>
    </row>
    <row r="326" spans="1:4" x14ac:dyDescent="0.25">
      <c r="A326" s="16" t="str">
        <f>Catalog!A322</f>
        <v/>
      </c>
      <c r="B326" s="16">
        <f>Catalog!D322</f>
        <v>0</v>
      </c>
      <c r="C326" s="16">
        <f>Catalog!F322</f>
        <v>0</v>
      </c>
      <c r="D326" s="19" t="str">
        <f>IF(Catalog!D322="","","{""item_id"":"&amp;Catalog!A322&amp;",""title"":"""&amp;SUBSTITUTE(Catalog!D322,"""","\""")&amp;""",""creator"":"""&amp;SUBSTITUTE(Catalog!F322,"""","\""")&amp;""",""language"":"""&amp;Catalog!M322&amp;""",""identifier"":"""&amp;Catalog!C322&amp;"""}")</f>
        <v/>
      </c>
    </row>
    <row r="327" spans="1:4" x14ac:dyDescent="0.25">
      <c r="A327" s="16" t="str">
        <f>Catalog!A323</f>
        <v/>
      </c>
      <c r="B327" s="16">
        <f>Catalog!D323</f>
        <v>0</v>
      </c>
      <c r="C327" s="16">
        <f>Catalog!F323</f>
        <v>0</v>
      </c>
      <c r="D327" s="19" t="str">
        <f>IF(Catalog!D323="","","{""item_id"":"&amp;Catalog!A323&amp;",""title"":"""&amp;SUBSTITUTE(Catalog!D323,"""","\""")&amp;""",""creator"":"""&amp;SUBSTITUTE(Catalog!F323,"""","\""")&amp;""",""language"":"""&amp;Catalog!M323&amp;""",""identifier"":"""&amp;Catalog!C323&amp;"""}")</f>
        <v/>
      </c>
    </row>
    <row r="328" spans="1:4" x14ac:dyDescent="0.25">
      <c r="A328" s="16" t="str">
        <f>Catalog!A324</f>
        <v/>
      </c>
      <c r="B328" s="16">
        <f>Catalog!D324</f>
        <v>0</v>
      </c>
      <c r="C328" s="16">
        <f>Catalog!F324</f>
        <v>0</v>
      </c>
      <c r="D328" s="19" t="str">
        <f>IF(Catalog!D324="","","{""item_id"":"&amp;Catalog!A324&amp;",""title"":"""&amp;SUBSTITUTE(Catalog!D324,"""","\""")&amp;""",""creator"":"""&amp;SUBSTITUTE(Catalog!F324,"""","\""")&amp;""",""language"":"""&amp;Catalog!M324&amp;""",""identifier"":"""&amp;Catalog!C324&amp;"""}")</f>
        <v/>
      </c>
    </row>
    <row r="329" spans="1:4" x14ac:dyDescent="0.25">
      <c r="A329" s="16" t="str">
        <f>Catalog!A325</f>
        <v/>
      </c>
      <c r="B329" s="16">
        <f>Catalog!D325</f>
        <v>0</v>
      </c>
      <c r="C329" s="16">
        <f>Catalog!F325</f>
        <v>0</v>
      </c>
      <c r="D329" s="19" t="str">
        <f>IF(Catalog!D325="","","{""item_id"":"&amp;Catalog!A325&amp;",""title"":"""&amp;SUBSTITUTE(Catalog!D325,"""","\""")&amp;""",""creator"":"""&amp;SUBSTITUTE(Catalog!F325,"""","\""")&amp;""",""language"":"""&amp;Catalog!M325&amp;""",""identifier"":"""&amp;Catalog!C325&amp;"""}")</f>
        <v/>
      </c>
    </row>
    <row r="330" spans="1:4" x14ac:dyDescent="0.25">
      <c r="A330" s="16" t="str">
        <f>Catalog!A326</f>
        <v/>
      </c>
      <c r="B330" s="16">
        <f>Catalog!D326</f>
        <v>0</v>
      </c>
      <c r="C330" s="16">
        <f>Catalog!F326</f>
        <v>0</v>
      </c>
      <c r="D330" s="19" t="str">
        <f>IF(Catalog!D326="","","{""item_id"":"&amp;Catalog!A326&amp;",""title"":"""&amp;SUBSTITUTE(Catalog!D326,"""","\""")&amp;""",""creator"":"""&amp;SUBSTITUTE(Catalog!F326,"""","\""")&amp;""",""language"":"""&amp;Catalog!M326&amp;""",""identifier"":"""&amp;Catalog!C326&amp;"""}")</f>
        <v/>
      </c>
    </row>
    <row r="331" spans="1:4" x14ac:dyDescent="0.25">
      <c r="A331" s="16" t="str">
        <f>Catalog!A327</f>
        <v/>
      </c>
      <c r="B331" s="16">
        <f>Catalog!D327</f>
        <v>0</v>
      </c>
      <c r="C331" s="16">
        <f>Catalog!F327</f>
        <v>0</v>
      </c>
      <c r="D331" s="19" t="str">
        <f>IF(Catalog!D327="","","{""item_id"":"&amp;Catalog!A327&amp;",""title"":"""&amp;SUBSTITUTE(Catalog!D327,"""","\""")&amp;""",""creator"":"""&amp;SUBSTITUTE(Catalog!F327,"""","\""")&amp;""",""language"":"""&amp;Catalog!M327&amp;""",""identifier"":"""&amp;Catalog!C327&amp;"""}")</f>
        <v/>
      </c>
    </row>
    <row r="332" spans="1:4" x14ac:dyDescent="0.25">
      <c r="A332" s="16" t="str">
        <f>Catalog!A328</f>
        <v/>
      </c>
      <c r="B332" s="16">
        <f>Catalog!D328</f>
        <v>0</v>
      </c>
      <c r="C332" s="16">
        <f>Catalog!F328</f>
        <v>0</v>
      </c>
      <c r="D332" s="19" t="str">
        <f>IF(Catalog!D328="","","{""item_id"":"&amp;Catalog!A328&amp;",""title"":"""&amp;SUBSTITUTE(Catalog!D328,"""","\""")&amp;""",""creator"":"""&amp;SUBSTITUTE(Catalog!F328,"""","\""")&amp;""",""language"":"""&amp;Catalog!M328&amp;""",""identifier"":"""&amp;Catalog!C328&amp;"""}")</f>
        <v/>
      </c>
    </row>
    <row r="333" spans="1:4" x14ac:dyDescent="0.25">
      <c r="A333" s="16" t="str">
        <f>Catalog!A329</f>
        <v/>
      </c>
      <c r="B333" s="16">
        <f>Catalog!D329</f>
        <v>0</v>
      </c>
      <c r="C333" s="16">
        <f>Catalog!F329</f>
        <v>0</v>
      </c>
      <c r="D333" s="19" t="str">
        <f>IF(Catalog!D329="","","{""item_id"":"&amp;Catalog!A329&amp;",""title"":"""&amp;SUBSTITUTE(Catalog!D329,"""","\""")&amp;""",""creator"":"""&amp;SUBSTITUTE(Catalog!F329,"""","\""")&amp;""",""language"":"""&amp;Catalog!M329&amp;""",""identifier"":"""&amp;Catalog!C329&amp;"""}")</f>
        <v/>
      </c>
    </row>
    <row r="334" spans="1:4" x14ac:dyDescent="0.25">
      <c r="A334" s="16" t="str">
        <f>Catalog!A330</f>
        <v/>
      </c>
      <c r="B334" s="16">
        <f>Catalog!D330</f>
        <v>0</v>
      </c>
      <c r="C334" s="16">
        <f>Catalog!F330</f>
        <v>0</v>
      </c>
      <c r="D334" s="19" t="str">
        <f>IF(Catalog!D330="","","{""item_id"":"&amp;Catalog!A330&amp;",""title"":"""&amp;SUBSTITUTE(Catalog!D330,"""","\""")&amp;""",""creator"":"""&amp;SUBSTITUTE(Catalog!F330,"""","\""")&amp;""",""language"":"""&amp;Catalog!M330&amp;""",""identifier"":"""&amp;Catalog!C330&amp;"""}")</f>
        <v/>
      </c>
    </row>
    <row r="335" spans="1:4" x14ac:dyDescent="0.25">
      <c r="A335" s="16" t="str">
        <f>Catalog!A331</f>
        <v/>
      </c>
      <c r="B335" s="16">
        <f>Catalog!D331</f>
        <v>0</v>
      </c>
      <c r="C335" s="16">
        <f>Catalog!F331</f>
        <v>0</v>
      </c>
      <c r="D335" s="19" t="str">
        <f>IF(Catalog!D331="","","{""item_id"":"&amp;Catalog!A331&amp;",""title"":"""&amp;SUBSTITUTE(Catalog!D331,"""","\""")&amp;""",""creator"":"""&amp;SUBSTITUTE(Catalog!F331,"""","\""")&amp;""",""language"":"""&amp;Catalog!M331&amp;""",""identifier"":"""&amp;Catalog!C331&amp;"""}")</f>
        <v/>
      </c>
    </row>
    <row r="336" spans="1:4" x14ac:dyDescent="0.25">
      <c r="A336" s="16" t="str">
        <f>Catalog!A332</f>
        <v/>
      </c>
      <c r="B336" s="16">
        <f>Catalog!D332</f>
        <v>0</v>
      </c>
      <c r="C336" s="16">
        <f>Catalog!F332</f>
        <v>0</v>
      </c>
      <c r="D336" s="19" t="str">
        <f>IF(Catalog!D332="","","{""item_id"":"&amp;Catalog!A332&amp;",""title"":"""&amp;SUBSTITUTE(Catalog!D332,"""","\""")&amp;""",""creator"":"""&amp;SUBSTITUTE(Catalog!F332,"""","\""")&amp;""",""language"":"""&amp;Catalog!M332&amp;""",""identifier"":"""&amp;Catalog!C332&amp;"""}")</f>
        <v/>
      </c>
    </row>
    <row r="337" spans="1:4" x14ac:dyDescent="0.25">
      <c r="A337" s="16" t="str">
        <f>Catalog!A333</f>
        <v/>
      </c>
      <c r="B337" s="16">
        <f>Catalog!D333</f>
        <v>0</v>
      </c>
      <c r="C337" s="16">
        <f>Catalog!F333</f>
        <v>0</v>
      </c>
      <c r="D337" s="19" t="str">
        <f>IF(Catalog!D333="","","{""item_id"":"&amp;Catalog!A333&amp;",""title"":"""&amp;SUBSTITUTE(Catalog!D333,"""","\""")&amp;""",""creator"":"""&amp;SUBSTITUTE(Catalog!F333,"""","\""")&amp;""",""language"":"""&amp;Catalog!M333&amp;""",""identifier"":"""&amp;Catalog!C333&amp;"""}")</f>
        <v/>
      </c>
    </row>
    <row r="338" spans="1:4" x14ac:dyDescent="0.25">
      <c r="A338" s="16" t="str">
        <f>Catalog!A334</f>
        <v/>
      </c>
      <c r="B338" s="16">
        <f>Catalog!D334</f>
        <v>0</v>
      </c>
      <c r="C338" s="16">
        <f>Catalog!F334</f>
        <v>0</v>
      </c>
      <c r="D338" s="19" t="str">
        <f>IF(Catalog!D334="","","{""item_id"":"&amp;Catalog!A334&amp;",""title"":"""&amp;SUBSTITUTE(Catalog!D334,"""","\""")&amp;""",""creator"":"""&amp;SUBSTITUTE(Catalog!F334,"""","\""")&amp;""",""language"":"""&amp;Catalog!M334&amp;""",""identifier"":"""&amp;Catalog!C334&amp;"""}")</f>
        <v/>
      </c>
    </row>
    <row r="339" spans="1:4" x14ac:dyDescent="0.25">
      <c r="A339" s="16" t="str">
        <f>Catalog!A335</f>
        <v/>
      </c>
      <c r="B339" s="16">
        <f>Catalog!D335</f>
        <v>0</v>
      </c>
      <c r="C339" s="16">
        <f>Catalog!F335</f>
        <v>0</v>
      </c>
      <c r="D339" s="19" t="str">
        <f>IF(Catalog!D335="","","{""item_id"":"&amp;Catalog!A335&amp;",""title"":"""&amp;SUBSTITUTE(Catalog!D335,"""","\""")&amp;""",""creator"":"""&amp;SUBSTITUTE(Catalog!F335,"""","\""")&amp;""",""language"":"""&amp;Catalog!M335&amp;""",""identifier"":"""&amp;Catalog!C335&amp;"""}")</f>
        <v/>
      </c>
    </row>
    <row r="340" spans="1:4" x14ac:dyDescent="0.25">
      <c r="A340" s="16" t="str">
        <f>Catalog!A336</f>
        <v/>
      </c>
      <c r="B340" s="16">
        <f>Catalog!D336</f>
        <v>0</v>
      </c>
      <c r="C340" s="16">
        <f>Catalog!F336</f>
        <v>0</v>
      </c>
      <c r="D340" s="19" t="str">
        <f>IF(Catalog!D336="","","{""item_id"":"&amp;Catalog!A336&amp;",""title"":"""&amp;SUBSTITUTE(Catalog!D336,"""","\""")&amp;""",""creator"":"""&amp;SUBSTITUTE(Catalog!F336,"""","\""")&amp;""",""language"":"""&amp;Catalog!M336&amp;""",""identifier"":"""&amp;Catalog!C336&amp;"""}")</f>
        <v/>
      </c>
    </row>
    <row r="341" spans="1:4" x14ac:dyDescent="0.25">
      <c r="A341" s="16" t="str">
        <f>Catalog!A337</f>
        <v/>
      </c>
      <c r="B341" s="16">
        <f>Catalog!D337</f>
        <v>0</v>
      </c>
      <c r="C341" s="16">
        <f>Catalog!F337</f>
        <v>0</v>
      </c>
      <c r="D341" s="19" t="str">
        <f>IF(Catalog!D337="","","{""item_id"":"&amp;Catalog!A337&amp;",""title"":"""&amp;SUBSTITUTE(Catalog!D337,"""","\""")&amp;""",""creator"":"""&amp;SUBSTITUTE(Catalog!F337,"""","\""")&amp;""",""language"":"""&amp;Catalog!M337&amp;""",""identifier"":"""&amp;Catalog!C337&amp;"""}")</f>
        <v/>
      </c>
    </row>
    <row r="342" spans="1:4" x14ac:dyDescent="0.25">
      <c r="A342" s="16" t="str">
        <f>Catalog!A338</f>
        <v/>
      </c>
      <c r="B342" s="16">
        <f>Catalog!D338</f>
        <v>0</v>
      </c>
      <c r="C342" s="16">
        <f>Catalog!F338</f>
        <v>0</v>
      </c>
      <c r="D342" s="19" t="str">
        <f>IF(Catalog!D338="","","{""item_id"":"&amp;Catalog!A338&amp;",""title"":"""&amp;SUBSTITUTE(Catalog!D338,"""","\""")&amp;""",""creator"":"""&amp;SUBSTITUTE(Catalog!F338,"""","\""")&amp;""",""language"":"""&amp;Catalog!M338&amp;""",""identifier"":"""&amp;Catalog!C338&amp;"""}")</f>
        <v/>
      </c>
    </row>
    <row r="343" spans="1:4" x14ac:dyDescent="0.25">
      <c r="A343" s="16" t="str">
        <f>Catalog!A339</f>
        <v/>
      </c>
      <c r="B343" s="16">
        <f>Catalog!D339</f>
        <v>0</v>
      </c>
      <c r="C343" s="16">
        <f>Catalog!F339</f>
        <v>0</v>
      </c>
      <c r="D343" s="19" t="str">
        <f>IF(Catalog!D339="","","{""item_id"":"&amp;Catalog!A339&amp;",""title"":"""&amp;SUBSTITUTE(Catalog!D339,"""","\""")&amp;""",""creator"":"""&amp;SUBSTITUTE(Catalog!F339,"""","\""")&amp;""",""language"":"""&amp;Catalog!M339&amp;""",""identifier"":"""&amp;Catalog!C339&amp;"""}")</f>
        <v/>
      </c>
    </row>
    <row r="344" spans="1:4" x14ac:dyDescent="0.25">
      <c r="A344" s="16" t="str">
        <f>Catalog!A340</f>
        <v/>
      </c>
      <c r="B344" s="16">
        <f>Catalog!D340</f>
        <v>0</v>
      </c>
      <c r="C344" s="16">
        <f>Catalog!F340</f>
        <v>0</v>
      </c>
      <c r="D344" s="19" t="str">
        <f>IF(Catalog!D340="","","{""item_id"":"&amp;Catalog!A340&amp;",""title"":"""&amp;SUBSTITUTE(Catalog!D340,"""","\""")&amp;""",""creator"":"""&amp;SUBSTITUTE(Catalog!F340,"""","\""")&amp;""",""language"":"""&amp;Catalog!M340&amp;""",""identifier"":"""&amp;Catalog!C340&amp;"""}")</f>
        <v/>
      </c>
    </row>
    <row r="345" spans="1:4" x14ac:dyDescent="0.25">
      <c r="A345" s="16" t="str">
        <f>Catalog!A341</f>
        <v/>
      </c>
      <c r="B345" s="16">
        <f>Catalog!D341</f>
        <v>0</v>
      </c>
      <c r="C345" s="16">
        <f>Catalog!F341</f>
        <v>0</v>
      </c>
      <c r="D345" s="19" t="str">
        <f>IF(Catalog!D341="","","{""item_id"":"&amp;Catalog!A341&amp;",""title"":"""&amp;SUBSTITUTE(Catalog!D341,"""","\""")&amp;""",""creator"":"""&amp;SUBSTITUTE(Catalog!F341,"""","\""")&amp;""",""language"":"""&amp;Catalog!M341&amp;""",""identifier"":"""&amp;Catalog!C341&amp;"""}")</f>
        <v/>
      </c>
    </row>
    <row r="346" spans="1:4" x14ac:dyDescent="0.25">
      <c r="A346" s="16" t="str">
        <f>Catalog!A342</f>
        <v/>
      </c>
      <c r="B346" s="16">
        <f>Catalog!D342</f>
        <v>0</v>
      </c>
      <c r="C346" s="16">
        <f>Catalog!F342</f>
        <v>0</v>
      </c>
      <c r="D346" s="19" t="str">
        <f>IF(Catalog!D342="","","{""item_id"":"&amp;Catalog!A342&amp;",""title"":"""&amp;SUBSTITUTE(Catalog!D342,"""","\""")&amp;""",""creator"":"""&amp;SUBSTITUTE(Catalog!F342,"""","\""")&amp;""",""language"":"""&amp;Catalog!M342&amp;""",""identifier"":"""&amp;Catalog!C342&amp;"""}")</f>
        <v/>
      </c>
    </row>
    <row r="347" spans="1:4" x14ac:dyDescent="0.25">
      <c r="A347" s="16" t="str">
        <f>Catalog!A343</f>
        <v/>
      </c>
      <c r="B347" s="16">
        <f>Catalog!D343</f>
        <v>0</v>
      </c>
      <c r="C347" s="16">
        <f>Catalog!F343</f>
        <v>0</v>
      </c>
      <c r="D347" s="19" t="str">
        <f>IF(Catalog!D343="","","{""item_id"":"&amp;Catalog!A343&amp;",""title"":"""&amp;SUBSTITUTE(Catalog!D343,"""","\""")&amp;""",""creator"":"""&amp;SUBSTITUTE(Catalog!F343,"""","\""")&amp;""",""language"":"""&amp;Catalog!M343&amp;""",""identifier"":"""&amp;Catalog!C343&amp;"""}")</f>
        <v/>
      </c>
    </row>
    <row r="348" spans="1:4" x14ac:dyDescent="0.25">
      <c r="A348" s="16" t="str">
        <f>Catalog!A344</f>
        <v/>
      </c>
      <c r="B348" s="16">
        <f>Catalog!D344</f>
        <v>0</v>
      </c>
      <c r="C348" s="16">
        <f>Catalog!F344</f>
        <v>0</v>
      </c>
      <c r="D348" s="19" t="str">
        <f>IF(Catalog!D344="","","{""item_id"":"&amp;Catalog!A344&amp;",""title"":"""&amp;SUBSTITUTE(Catalog!D344,"""","\""")&amp;""",""creator"":"""&amp;SUBSTITUTE(Catalog!F344,"""","\""")&amp;""",""language"":"""&amp;Catalog!M344&amp;""",""identifier"":"""&amp;Catalog!C344&amp;"""}")</f>
        <v/>
      </c>
    </row>
    <row r="349" spans="1:4" x14ac:dyDescent="0.25">
      <c r="A349" s="16" t="str">
        <f>Catalog!A345</f>
        <v/>
      </c>
      <c r="B349" s="16">
        <f>Catalog!D345</f>
        <v>0</v>
      </c>
      <c r="C349" s="16">
        <f>Catalog!F345</f>
        <v>0</v>
      </c>
      <c r="D349" s="19" t="str">
        <f>IF(Catalog!D345="","","{""item_id"":"&amp;Catalog!A345&amp;",""title"":"""&amp;SUBSTITUTE(Catalog!D345,"""","\""")&amp;""",""creator"":"""&amp;SUBSTITUTE(Catalog!F345,"""","\""")&amp;""",""language"":"""&amp;Catalog!M345&amp;""",""identifier"":"""&amp;Catalog!C345&amp;"""}")</f>
        <v/>
      </c>
    </row>
    <row r="350" spans="1:4" x14ac:dyDescent="0.25">
      <c r="A350" s="16" t="str">
        <f>Catalog!A346</f>
        <v/>
      </c>
      <c r="B350" s="16">
        <f>Catalog!D346</f>
        <v>0</v>
      </c>
      <c r="C350" s="16">
        <f>Catalog!F346</f>
        <v>0</v>
      </c>
      <c r="D350" s="19" t="str">
        <f>IF(Catalog!D346="","","{""item_id"":"&amp;Catalog!A346&amp;",""title"":"""&amp;SUBSTITUTE(Catalog!D346,"""","\""")&amp;""",""creator"":"""&amp;SUBSTITUTE(Catalog!F346,"""","\""")&amp;""",""language"":"""&amp;Catalog!M346&amp;""",""identifier"":"""&amp;Catalog!C346&amp;"""}")</f>
        <v/>
      </c>
    </row>
    <row r="351" spans="1:4" x14ac:dyDescent="0.25">
      <c r="A351" s="16" t="str">
        <f>Catalog!A347</f>
        <v/>
      </c>
      <c r="B351" s="16">
        <f>Catalog!D347</f>
        <v>0</v>
      </c>
      <c r="C351" s="16">
        <f>Catalog!F347</f>
        <v>0</v>
      </c>
      <c r="D351" s="19" t="str">
        <f>IF(Catalog!D347="","","{""item_id"":"&amp;Catalog!A347&amp;",""title"":"""&amp;SUBSTITUTE(Catalog!D347,"""","\""")&amp;""",""creator"":"""&amp;SUBSTITUTE(Catalog!F347,"""","\""")&amp;""",""language"":"""&amp;Catalog!M347&amp;""",""identifier"":"""&amp;Catalog!C347&amp;"""}")</f>
        <v/>
      </c>
    </row>
    <row r="352" spans="1:4" x14ac:dyDescent="0.25">
      <c r="A352" s="16" t="str">
        <f>Catalog!A348</f>
        <v/>
      </c>
      <c r="B352" s="16">
        <f>Catalog!D348</f>
        <v>0</v>
      </c>
      <c r="C352" s="16">
        <f>Catalog!F348</f>
        <v>0</v>
      </c>
      <c r="D352" s="19" t="str">
        <f>IF(Catalog!D348="","","{""item_id"":"&amp;Catalog!A348&amp;",""title"":"""&amp;SUBSTITUTE(Catalog!D348,"""","\""")&amp;""",""creator"":"""&amp;SUBSTITUTE(Catalog!F348,"""","\""")&amp;""",""language"":"""&amp;Catalog!M348&amp;""",""identifier"":"""&amp;Catalog!C348&amp;"""}")</f>
        <v/>
      </c>
    </row>
    <row r="353" spans="1:4" x14ac:dyDescent="0.25">
      <c r="A353" s="16" t="str">
        <f>Catalog!A349</f>
        <v/>
      </c>
      <c r="B353" s="16">
        <f>Catalog!D349</f>
        <v>0</v>
      </c>
      <c r="C353" s="16">
        <f>Catalog!F349</f>
        <v>0</v>
      </c>
      <c r="D353" s="19" t="str">
        <f>IF(Catalog!D349="","","{""item_id"":"&amp;Catalog!A349&amp;",""title"":"""&amp;SUBSTITUTE(Catalog!D349,"""","\""")&amp;""",""creator"":"""&amp;SUBSTITUTE(Catalog!F349,"""","\""")&amp;""",""language"":"""&amp;Catalog!M349&amp;""",""identifier"":"""&amp;Catalog!C349&amp;"""}")</f>
        <v/>
      </c>
    </row>
    <row r="354" spans="1:4" x14ac:dyDescent="0.25">
      <c r="A354" s="16" t="str">
        <f>Catalog!A350</f>
        <v/>
      </c>
      <c r="B354" s="16">
        <f>Catalog!D350</f>
        <v>0</v>
      </c>
      <c r="C354" s="16">
        <f>Catalog!F350</f>
        <v>0</v>
      </c>
      <c r="D354" s="19" t="str">
        <f>IF(Catalog!D350="","","{""item_id"":"&amp;Catalog!A350&amp;",""title"":"""&amp;SUBSTITUTE(Catalog!D350,"""","\""")&amp;""",""creator"":"""&amp;SUBSTITUTE(Catalog!F350,"""","\""")&amp;""",""language"":"""&amp;Catalog!M350&amp;""",""identifier"":"""&amp;Catalog!C350&amp;"""}")</f>
        <v/>
      </c>
    </row>
    <row r="355" spans="1:4" x14ac:dyDescent="0.25">
      <c r="A355" s="16" t="str">
        <f>Catalog!A351</f>
        <v/>
      </c>
      <c r="B355" s="16">
        <f>Catalog!D351</f>
        <v>0</v>
      </c>
      <c r="C355" s="16">
        <f>Catalog!F351</f>
        <v>0</v>
      </c>
      <c r="D355" s="19" t="str">
        <f>IF(Catalog!D351="","","{""item_id"":"&amp;Catalog!A351&amp;",""title"":"""&amp;SUBSTITUTE(Catalog!D351,"""","\""")&amp;""",""creator"":"""&amp;SUBSTITUTE(Catalog!F351,"""","\""")&amp;""",""language"":"""&amp;Catalog!M351&amp;""",""identifier"":"""&amp;Catalog!C351&amp;"""}")</f>
        <v/>
      </c>
    </row>
    <row r="356" spans="1:4" x14ac:dyDescent="0.25">
      <c r="A356" s="16" t="str">
        <f>Catalog!A352</f>
        <v/>
      </c>
      <c r="B356" s="16">
        <f>Catalog!D352</f>
        <v>0</v>
      </c>
      <c r="C356" s="16">
        <f>Catalog!F352</f>
        <v>0</v>
      </c>
      <c r="D356" s="19" t="str">
        <f>IF(Catalog!D352="","","{""item_id"":"&amp;Catalog!A352&amp;",""title"":"""&amp;SUBSTITUTE(Catalog!D352,"""","\""")&amp;""",""creator"":"""&amp;SUBSTITUTE(Catalog!F352,"""","\""")&amp;""",""language"":"""&amp;Catalog!M352&amp;""",""identifier"":"""&amp;Catalog!C352&amp;"""}")</f>
        <v/>
      </c>
    </row>
    <row r="357" spans="1:4" x14ac:dyDescent="0.25">
      <c r="A357" s="16" t="str">
        <f>Catalog!A353</f>
        <v/>
      </c>
      <c r="B357" s="16">
        <f>Catalog!D353</f>
        <v>0</v>
      </c>
      <c r="C357" s="16">
        <f>Catalog!F353</f>
        <v>0</v>
      </c>
      <c r="D357" s="19" t="str">
        <f>IF(Catalog!D353="","","{""item_id"":"&amp;Catalog!A353&amp;",""title"":"""&amp;SUBSTITUTE(Catalog!D353,"""","\""")&amp;""",""creator"":"""&amp;SUBSTITUTE(Catalog!F353,"""","\""")&amp;""",""language"":"""&amp;Catalog!M353&amp;""",""identifier"":"""&amp;Catalog!C353&amp;"""}")</f>
        <v/>
      </c>
    </row>
    <row r="358" spans="1:4" x14ac:dyDescent="0.25">
      <c r="A358" s="16" t="str">
        <f>Catalog!A354</f>
        <v/>
      </c>
      <c r="B358" s="16">
        <f>Catalog!D354</f>
        <v>0</v>
      </c>
      <c r="C358" s="16">
        <f>Catalog!F354</f>
        <v>0</v>
      </c>
      <c r="D358" s="19" t="str">
        <f>IF(Catalog!D354="","","{""item_id"":"&amp;Catalog!A354&amp;",""title"":"""&amp;SUBSTITUTE(Catalog!D354,"""","\""")&amp;""",""creator"":"""&amp;SUBSTITUTE(Catalog!F354,"""","\""")&amp;""",""language"":"""&amp;Catalog!M354&amp;""",""identifier"":"""&amp;Catalog!C354&amp;"""}")</f>
        <v/>
      </c>
    </row>
    <row r="359" spans="1:4" x14ac:dyDescent="0.25">
      <c r="A359" s="16" t="str">
        <f>Catalog!A355</f>
        <v/>
      </c>
      <c r="B359" s="16">
        <f>Catalog!D355</f>
        <v>0</v>
      </c>
      <c r="C359" s="16">
        <f>Catalog!F355</f>
        <v>0</v>
      </c>
      <c r="D359" s="19" t="str">
        <f>IF(Catalog!D355="","","{""item_id"":"&amp;Catalog!A355&amp;",""title"":"""&amp;SUBSTITUTE(Catalog!D355,"""","\""")&amp;""",""creator"":"""&amp;SUBSTITUTE(Catalog!F355,"""","\""")&amp;""",""language"":"""&amp;Catalog!M355&amp;""",""identifier"":"""&amp;Catalog!C355&amp;"""}")</f>
        <v/>
      </c>
    </row>
    <row r="360" spans="1:4" x14ac:dyDescent="0.25">
      <c r="A360" s="16" t="str">
        <f>Catalog!A356</f>
        <v/>
      </c>
      <c r="B360" s="16">
        <f>Catalog!D356</f>
        <v>0</v>
      </c>
      <c r="C360" s="16">
        <f>Catalog!F356</f>
        <v>0</v>
      </c>
      <c r="D360" s="19" t="str">
        <f>IF(Catalog!D356="","","{""item_id"":"&amp;Catalog!A356&amp;",""title"":"""&amp;SUBSTITUTE(Catalog!D356,"""","\""")&amp;""",""creator"":"""&amp;SUBSTITUTE(Catalog!F356,"""","\""")&amp;""",""language"":"""&amp;Catalog!M356&amp;""",""identifier"":"""&amp;Catalog!C356&amp;"""}")</f>
        <v/>
      </c>
    </row>
    <row r="361" spans="1:4" x14ac:dyDescent="0.25">
      <c r="A361" s="16" t="str">
        <f>Catalog!A357</f>
        <v/>
      </c>
      <c r="B361" s="16">
        <f>Catalog!D357</f>
        <v>0</v>
      </c>
      <c r="C361" s="16">
        <f>Catalog!F357</f>
        <v>0</v>
      </c>
      <c r="D361" s="19" t="str">
        <f>IF(Catalog!D357="","","{""item_id"":"&amp;Catalog!A357&amp;",""title"":"""&amp;SUBSTITUTE(Catalog!D357,"""","\""")&amp;""",""creator"":"""&amp;SUBSTITUTE(Catalog!F357,"""","\""")&amp;""",""language"":"""&amp;Catalog!M357&amp;""",""identifier"":"""&amp;Catalog!C357&amp;"""}")</f>
        <v/>
      </c>
    </row>
    <row r="362" spans="1:4" x14ac:dyDescent="0.25">
      <c r="A362" s="16" t="str">
        <f>Catalog!A358</f>
        <v/>
      </c>
      <c r="B362" s="16">
        <f>Catalog!D358</f>
        <v>0</v>
      </c>
      <c r="C362" s="16">
        <f>Catalog!F358</f>
        <v>0</v>
      </c>
      <c r="D362" s="19" t="str">
        <f>IF(Catalog!D358="","","{""item_id"":"&amp;Catalog!A358&amp;",""title"":"""&amp;SUBSTITUTE(Catalog!D358,"""","\""")&amp;""",""creator"":"""&amp;SUBSTITUTE(Catalog!F358,"""","\""")&amp;""",""language"":"""&amp;Catalog!M358&amp;""",""identifier"":"""&amp;Catalog!C358&amp;"""}")</f>
        <v/>
      </c>
    </row>
    <row r="363" spans="1:4" x14ac:dyDescent="0.25">
      <c r="A363" s="16" t="str">
        <f>Catalog!A359</f>
        <v/>
      </c>
      <c r="B363" s="16">
        <f>Catalog!D359</f>
        <v>0</v>
      </c>
      <c r="C363" s="16">
        <f>Catalog!F359</f>
        <v>0</v>
      </c>
      <c r="D363" s="19" t="str">
        <f>IF(Catalog!D359="","","{""item_id"":"&amp;Catalog!A359&amp;",""title"":"""&amp;SUBSTITUTE(Catalog!D359,"""","\""")&amp;""",""creator"":"""&amp;SUBSTITUTE(Catalog!F359,"""","\""")&amp;""",""language"":"""&amp;Catalog!M359&amp;""",""identifier"":"""&amp;Catalog!C359&amp;"""}")</f>
        <v/>
      </c>
    </row>
    <row r="364" spans="1:4" x14ac:dyDescent="0.25">
      <c r="A364" s="16" t="str">
        <f>Catalog!A360</f>
        <v/>
      </c>
      <c r="B364" s="16">
        <f>Catalog!D360</f>
        <v>0</v>
      </c>
      <c r="C364" s="16">
        <f>Catalog!F360</f>
        <v>0</v>
      </c>
      <c r="D364" s="19" t="str">
        <f>IF(Catalog!D360="","","{""item_id"":"&amp;Catalog!A360&amp;",""title"":"""&amp;SUBSTITUTE(Catalog!D360,"""","\""")&amp;""",""creator"":"""&amp;SUBSTITUTE(Catalog!F360,"""","\""")&amp;""",""language"":"""&amp;Catalog!M360&amp;""",""identifier"":"""&amp;Catalog!C360&amp;"""}")</f>
        <v/>
      </c>
    </row>
    <row r="365" spans="1:4" x14ac:dyDescent="0.25">
      <c r="A365" s="16" t="str">
        <f>Catalog!A361</f>
        <v/>
      </c>
      <c r="B365" s="16">
        <f>Catalog!D361</f>
        <v>0</v>
      </c>
      <c r="C365" s="16">
        <f>Catalog!F361</f>
        <v>0</v>
      </c>
      <c r="D365" s="19" t="str">
        <f>IF(Catalog!D361="","","{""item_id"":"&amp;Catalog!A361&amp;",""title"":"""&amp;SUBSTITUTE(Catalog!D361,"""","\""")&amp;""",""creator"":"""&amp;SUBSTITUTE(Catalog!F361,"""","\""")&amp;""",""language"":"""&amp;Catalog!M361&amp;""",""identifier"":"""&amp;Catalog!C361&amp;"""}")</f>
        <v/>
      </c>
    </row>
    <row r="366" spans="1:4" x14ac:dyDescent="0.25">
      <c r="A366" s="16" t="str">
        <f>Catalog!A362</f>
        <v/>
      </c>
      <c r="B366" s="16">
        <f>Catalog!D362</f>
        <v>0</v>
      </c>
      <c r="C366" s="16">
        <f>Catalog!F362</f>
        <v>0</v>
      </c>
      <c r="D366" s="19" t="str">
        <f>IF(Catalog!D362="","","{""item_id"":"&amp;Catalog!A362&amp;",""title"":"""&amp;SUBSTITUTE(Catalog!D362,"""","\""")&amp;""",""creator"":"""&amp;SUBSTITUTE(Catalog!F362,"""","\""")&amp;""",""language"":"""&amp;Catalog!M362&amp;""",""identifier"":"""&amp;Catalog!C362&amp;"""}")</f>
        <v/>
      </c>
    </row>
    <row r="367" spans="1:4" x14ac:dyDescent="0.25">
      <c r="A367" s="16" t="str">
        <f>Catalog!A363</f>
        <v/>
      </c>
      <c r="B367" s="16">
        <f>Catalog!D363</f>
        <v>0</v>
      </c>
      <c r="C367" s="16">
        <f>Catalog!F363</f>
        <v>0</v>
      </c>
      <c r="D367" s="19" t="str">
        <f>IF(Catalog!D363="","","{""item_id"":"&amp;Catalog!A363&amp;",""title"":"""&amp;SUBSTITUTE(Catalog!D363,"""","\""")&amp;""",""creator"":"""&amp;SUBSTITUTE(Catalog!F363,"""","\""")&amp;""",""language"":"""&amp;Catalog!M363&amp;""",""identifier"":"""&amp;Catalog!C363&amp;"""}")</f>
        <v/>
      </c>
    </row>
    <row r="368" spans="1:4" x14ac:dyDescent="0.25">
      <c r="A368" s="16" t="str">
        <f>Catalog!A364</f>
        <v/>
      </c>
      <c r="B368" s="16">
        <f>Catalog!D364</f>
        <v>0</v>
      </c>
      <c r="C368" s="16">
        <f>Catalog!F364</f>
        <v>0</v>
      </c>
      <c r="D368" s="19" t="str">
        <f>IF(Catalog!D364="","","{""item_id"":"&amp;Catalog!A364&amp;",""title"":"""&amp;SUBSTITUTE(Catalog!D364,"""","\""")&amp;""",""creator"":"""&amp;SUBSTITUTE(Catalog!F364,"""","\""")&amp;""",""language"":"""&amp;Catalog!M364&amp;""",""identifier"":"""&amp;Catalog!C364&amp;"""}")</f>
        <v/>
      </c>
    </row>
    <row r="369" spans="1:4" x14ac:dyDescent="0.25">
      <c r="A369" s="16" t="str">
        <f>Catalog!A365</f>
        <v/>
      </c>
      <c r="B369" s="16">
        <f>Catalog!D365</f>
        <v>0</v>
      </c>
      <c r="C369" s="16">
        <f>Catalog!F365</f>
        <v>0</v>
      </c>
      <c r="D369" s="19" t="str">
        <f>IF(Catalog!D365="","","{""item_id"":"&amp;Catalog!A365&amp;",""title"":"""&amp;SUBSTITUTE(Catalog!D365,"""","\""")&amp;""",""creator"":"""&amp;SUBSTITUTE(Catalog!F365,"""","\""")&amp;""",""language"":"""&amp;Catalog!M365&amp;""",""identifier"":"""&amp;Catalog!C365&amp;"""}")</f>
        <v/>
      </c>
    </row>
    <row r="370" spans="1:4" x14ac:dyDescent="0.25">
      <c r="A370" s="16" t="str">
        <f>Catalog!A366</f>
        <v/>
      </c>
      <c r="B370" s="16">
        <f>Catalog!D366</f>
        <v>0</v>
      </c>
      <c r="C370" s="16">
        <f>Catalog!F366</f>
        <v>0</v>
      </c>
      <c r="D370" s="19" t="str">
        <f>IF(Catalog!D366="","","{""item_id"":"&amp;Catalog!A366&amp;",""title"":"""&amp;SUBSTITUTE(Catalog!D366,"""","\""")&amp;""",""creator"":"""&amp;SUBSTITUTE(Catalog!F366,"""","\""")&amp;""",""language"":"""&amp;Catalog!M366&amp;""",""identifier"":"""&amp;Catalog!C366&amp;"""}")</f>
        <v/>
      </c>
    </row>
    <row r="371" spans="1:4" x14ac:dyDescent="0.25">
      <c r="A371" s="16" t="str">
        <f>Catalog!A367</f>
        <v/>
      </c>
      <c r="B371" s="16">
        <f>Catalog!D367</f>
        <v>0</v>
      </c>
      <c r="C371" s="16">
        <f>Catalog!F367</f>
        <v>0</v>
      </c>
      <c r="D371" s="19" t="str">
        <f>IF(Catalog!D367="","","{""item_id"":"&amp;Catalog!A367&amp;",""title"":"""&amp;SUBSTITUTE(Catalog!D367,"""","\""")&amp;""",""creator"":"""&amp;SUBSTITUTE(Catalog!F367,"""","\""")&amp;""",""language"":"""&amp;Catalog!M367&amp;""",""identifier"":"""&amp;Catalog!C367&amp;"""}")</f>
        <v/>
      </c>
    </row>
    <row r="372" spans="1:4" x14ac:dyDescent="0.25">
      <c r="A372" s="16" t="str">
        <f>Catalog!A368</f>
        <v/>
      </c>
      <c r="B372" s="16">
        <f>Catalog!D368</f>
        <v>0</v>
      </c>
      <c r="C372" s="16">
        <f>Catalog!F368</f>
        <v>0</v>
      </c>
      <c r="D372" s="19" t="str">
        <f>IF(Catalog!D368="","","{""item_id"":"&amp;Catalog!A368&amp;",""title"":"""&amp;SUBSTITUTE(Catalog!D368,"""","\""")&amp;""",""creator"":"""&amp;SUBSTITUTE(Catalog!F368,"""","\""")&amp;""",""language"":"""&amp;Catalog!M368&amp;""",""identifier"":"""&amp;Catalog!C368&amp;"""}")</f>
        <v/>
      </c>
    </row>
    <row r="373" spans="1:4" x14ac:dyDescent="0.25">
      <c r="A373" s="16" t="str">
        <f>Catalog!A369</f>
        <v/>
      </c>
      <c r="B373" s="16">
        <f>Catalog!D369</f>
        <v>0</v>
      </c>
      <c r="C373" s="16">
        <f>Catalog!F369</f>
        <v>0</v>
      </c>
      <c r="D373" s="19" t="str">
        <f>IF(Catalog!D369="","","{""item_id"":"&amp;Catalog!A369&amp;",""title"":"""&amp;SUBSTITUTE(Catalog!D369,"""","\""")&amp;""",""creator"":"""&amp;SUBSTITUTE(Catalog!F369,"""","\""")&amp;""",""language"":"""&amp;Catalog!M369&amp;""",""identifier"":"""&amp;Catalog!C369&amp;"""}")</f>
        <v/>
      </c>
    </row>
    <row r="374" spans="1:4" x14ac:dyDescent="0.25">
      <c r="A374" s="16" t="str">
        <f>Catalog!A370</f>
        <v/>
      </c>
      <c r="B374" s="16">
        <f>Catalog!D370</f>
        <v>0</v>
      </c>
      <c r="C374" s="16">
        <f>Catalog!F370</f>
        <v>0</v>
      </c>
      <c r="D374" s="19" t="str">
        <f>IF(Catalog!D370="","","{""item_id"":"&amp;Catalog!A370&amp;",""title"":"""&amp;SUBSTITUTE(Catalog!D370,"""","\""")&amp;""",""creator"":"""&amp;SUBSTITUTE(Catalog!F370,"""","\""")&amp;""",""language"":"""&amp;Catalog!M370&amp;""",""identifier"":"""&amp;Catalog!C370&amp;"""}")</f>
        <v/>
      </c>
    </row>
    <row r="375" spans="1:4" x14ac:dyDescent="0.25">
      <c r="A375" s="16" t="str">
        <f>Catalog!A371</f>
        <v/>
      </c>
      <c r="B375" s="16">
        <f>Catalog!D371</f>
        <v>0</v>
      </c>
      <c r="C375" s="16">
        <f>Catalog!F371</f>
        <v>0</v>
      </c>
      <c r="D375" s="19" t="str">
        <f>IF(Catalog!D371="","","{""item_id"":"&amp;Catalog!A371&amp;",""title"":"""&amp;SUBSTITUTE(Catalog!D371,"""","\""")&amp;""",""creator"":"""&amp;SUBSTITUTE(Catalog!F371,"""","\""")&amp;""",""language"":"""&amp;Catalog!M371&amp;""",""identifier"":"""&amp;Catalog!C371&amp;"""}")</f>
        <v/>
      </c>
    </row>
    <row r="376" spans="1:4" x14ac:dyDescent="0.25">
      <c r="A376" s="16" t="str">
        <f>Catalog!A372</f>
        <v/>
      </c>
      <c r="B376" s="16">
        <f>Catalog!D372</f>
        <v>0</v>
      </c>
      <c r="C376" s="16">
        <f>Catalog!F372</f>
        <v>0</v>
      </c>
      <c r="D376" s="19" t="str">
        <f>IF(Catalog!D372="","","{""item_id"":"&amp;Catalog!A372&amp;",""title"":"""&amp;SUBSTITUTE(Catalog!D372,"""","\""")&amp;""",""creator"":"""&amp;SUBSTITUTE(Catalog!F372,"""","\""")&amp;""",""language"":"""&amp;Catalog!M372&amp;""",""identifier"":"""&amp;Catalog!C372&amp;"""}")</f>
        <v/>
      </c>
    </row>
    <row r="377" spans="1:4" x14ac:dyDescent="0.25">
      <c r="A377" s="16" t="str">
        <f>Catalog!A373</f>
        <v/>
      </c>
      <c r="B377" s="16">
        <f>Catalog!D373</f>
        <v>0</v>
      </c>
      <c r="C377" s="16">
        <f>Catalog!F373</f>
        <v>0</v>
      </c>
      <c r="D377" s="19" t="str">
        <f>IF(Catalog!D373="","","{""item_id"":"&amp;Catalog!A373&amp;",""title"":"""&amp;SUBSTITUTE(Catalog!D373,"""","\""")&amp;""",""creator"":"""&amp;SUBSTITUTE(Catalog!F373,"""","\""")&amp;""",""language"":"""&amp;Catalog!M373&amp;""",""identifier"":"""&amp;Catalog!C373&amp;"""}")</f>
        <v/>
      </c>
    </row>
    <row r="378" spans="1:4" x14ac:dyDescent="0.25">
      <c r="A378" s="16" t="str">
        <f>Catalog!A374</f>
        <v/>
      </c>
      <c r="B378" s="16">
        <f>Catalog!D374</f>
        <v>0</v>
      </c>
      <c r="C378" s="16">
        <f>Catalog!F374</f>
        <v>0</v>
      </c>
      <c r="D378" s="19" t="str">
        <f>IF(Catalog!D374="","","{""item_id"":"&amp;Catalog!A374&amp;",""title"":"""&amp;SUBSTITUTE(Catalog!D374,"""","\""")&amp;""",""creator"":"""&amp;SUBSTITUTE(Catalog!F374,"""","\""")&amp;""",""language"":"""&amp;Catalog!M374&amp;""",""identifier"":"""&amp;Catalog!C374&amp;"""}")</f>
        <v/>
      </c>
    </row>
    <row r="379" spans="1:4" x14ac:dyDescent="0.25">
      <c r="A379" s="16" t="str">
        <f>Catalog!A375</f>
        <v/>
      </c>
      <c r="B379" s="16">
        <f>Catalog!D375</f>
        <v>0</v>
      </c>
      <c r="C379" s="16">
        <f>Catalog!F375</f>
        <v>0</v>
      </c>
      <c r="D379" s="19" t="str">
        <f>IF(Catalog!D375="","","{""item_id"":"&amp;Catalog!A375&amp;",""title"":"""&amp;SUBSTITUTE(Catalog!D375,"""","\""")&amp;""",""creator"":"""&amp;SUBSTITUTE(Catalog!F375,"""","\""")&amp;""",""language"":"""&amp;Catalog!M375&amp;""",""identifier"":"""&amp;Catalog!C375&amp;"""}")</f>
        <v/>
      </c>
    </row>
    <row r="380" spans="1:4" x14ac:dyDescent="0.25">
      <c r="A380" s="16" t="str">
        <f>Catalog!A376</f>
        <v/>
      </c>
      <c r="B380" s="16">
        <f>Catalog!D376</f>
        <v>0</v>
      </c>
      <c r="C380" s="16">
        <f>Catalog!F376</f>
        <v>0</v>
      </c>
      <c r="D380" s="19" t="str">
        <f>IF(Catalog!D376="","","{""item_id"":"&amp;Catalog!A376&amp;",""title"":"""&amp;SUBSTITUTE(Catalog!D376,"""","\""")&amp;""",""creator"":"""&amp;SUBSTITUTE(Catalog!F376,"""","\""")&amp;""",""language"":"""&amp;Catalog!M376&amp;""",""identifier"":"""&amp;Catalog!C376&amp;"""}")</f>
        <v/>
      </c>
    </row>
    <row r="381" spans="1:4" x14ac:dyDescent="0.25">
      <c r="A381" s="16" t="str">
        <f>Catalog!A377</f>
        <v/>
      </c>
      <c r="B381" s="16">
        <f>Catalog!D377</f>
        <v>0</v>
      </c>
      <c r="C381" s="16">
        <f>Catalog!F377</f>
        <v>0</v>
      </c>
      <c r="D381" s="19" t="str">
        <f>IF(Catalog!D377="","","{""item_id"":"&amp;Catalog!A377&amp;",""title"":"""&amp;SUBSTITUTE(Catalog!D377,"""","\""")&amp;""",""creator"":"""&amp;SUBSTITUTE(Catalog!F377,"""","\""")&amp;""",""language"":"""&amp;Catalog!M377&amp;""",""identifier"":"""&amp;Catalog!C377&amp;"""}")</f>
        <v/>
      </c>
    </row>
    <row r="382" spans="1:4" x14ac:dyDescent="0.25">
      <c r="A382" s="16" t="str">
        <f>Catalog!A378</f>
        <v/>
      </c>
      <c r="B382" s="16">
        <f>Catalog!D378</f>
        <v>0</v>
      </c>
      <c r="C382" s="16">
        <f>Catalog!F378</f>
        <v>0</v>
      </c>
      <c r="D382" s="19" t="str">
        <f>IF(Catalog!D378="","","{""item_id"":"&amp;Catalog!A378&amp;",""title"":"""&amp;SUBSTITUTE(Catalog!D378,"""","\""")&amp;""",""creator"":"""&amp;SUBSTITUTE(Catalog!F378,"""","\""")&amp;""",""language"":"""&amp;Catalog!M378&amp;""",""identifier"":"""&amp;Catalog!C378&amp;"""}")</f>
        <v/>
      </c>
    </row>
    <row r="383" spans="1:4" x14ac:dyDescent="0.25">
      <c r="A383" s="16" t="str">
        <f>Catalog!A379</f>
        <v/>
      </c>
      <c r="B383" s="16">
        <f>Catalog!D379</f>
        <v>0</v>
      </c>
      <c r="C383" s="16">
        <f>Catalog!F379</f>
        <v>0</v>
      </c>
      <c r="D383" s="19" t="str">
        <f>IF(Catalog!D379="","","{""item_id"":"&amp;Catalog!A379&amp;",""title"":"""&amp;SUBSTITUTE(Catalog!D379,"""","\""")&amp;""",""creator"":"""&amp;SUBSTITUTE(Catalog!F379,"""","\""")&amp;""",""language"":"""&amp;Catalog!M379&amp;""",""identifier"":"""&amp;Catalog!C379&amp;"""}")</f>
        <v/>
      </c>
    </row>
    <row r="384" spans="1:4" x14ac:dyDescent="0.25">
      <c r="A384" s="16" t="str">
        <f>Catalog!A380</f>
        <v/>
      </c>
      <c r="B384" s="16">
        <f>Catalog!D380</f>
        <v>0</v>
      </c>
      <c r="C384" s="16">
        <f>Catalog!F380</f>
        <v>0</v>
      </c>
      <c r="D384" s="19" t="str">
        <f>IF(Catalog!D380="","","{""item_id"":"&amp;Catalog!A380&amp;",""title"":"""&amp;SUBSTITUTE(Catalog!D380,"""","\""")&amp;""",""creator"":"""&amp;SUBSTITUTE(Catalog!F380,"""","\""")&amp;""",""language"":"""&amp;Catalog!M380&amp;""",""identifier"":"""&amp;Catalog!C380&amp;"""}")</f>
        <v/>
      </c>
    </row>
    <row r="385" spans="1:4" x14ac:dyDescent="0.25">
      <c r="A385" s="16" t="str">
        <f>Catalog!A381</f>
        <v/>
      </c>
      <c r="B385" s="16">
        <f>Catalog!D381</f>
        <v>0</v>
      </c>
      <c r="C385" s="16">
        <f>Catalog!F381</f>
        <v>0</v>
      </c>
      <c r="D385" s="19" t="str">
        <f>IF(Catalog!D381="","","{""item_id"":"&amp;Catalog!A381&amp;",""title"":"""&amp;SUBSTITUTE(Catalog!D381,"""","\""")&amp;""",""creator"":"""&amp;SUBSTITUTE(Catalog!F381,"""","\""")&amp;""",""language"":"""&amp;Catalog!M381&amp;""",""identifier"":"""&amp;Catalog!C381&amp;"""}")</f>
        <v/>
      </c>
    </row>
    <row r="386" spans="1:4" x14ac:dyDescent="0.25">
      <c r="A386" s="16" t="str">
        <f>Catalog!A382</f>
        <v/>
      </c>
      <c r="B386" s="16">
        <f>Catalog!D382</f>
        <v>0</v>
      </c>
      <c r="C386" s="16">
        <f>Catalog!F382</f>
        <v>0</v>
      </c>
      <c r="D386" s="19" t="str">
        <f>IF(Catalog!D382="","","{""item_id"":"&amp;Catalog!A382&amp;",""title"":"""&amp;SUBSTITUTE(Catalog!D382,"""","\""")&amp;""",""creator"":"""&amp;SUBSTITUTE(Catalog!F382,"""","\""")&amp;""",""language"":"""&amp;Catalog!M382&amp;""",""identifier"":"""&amp;Catalog!C382&amp;"""}")</f>
        <v/>
      </c>
    </row>
    <row r="387" spans="1:4" x14ac:dyDescent="0.25">
      <c r="A387" s="16" t="str">
        <f>Catalog!A383</f>
        <v/>
      </c>
      <c r="B387" s="16">
        <f>Catalog!D383</f>
        <v>0</v>
      </c>
      <c r="C387" s="16">
        <f>Catalog!F383</f>
        <v>0</v>
      </c>
      <c r="D387" s="19" t="str">
        <f>IF(Catalog!D383="","","{""item_id"":"&amp;Catalog!A383&amp;",""title"":"""&amp;SUBSTITUTE(Catalog!D383,"""","\""")&amp;""",""creator"":"""&amp;SUBSTITUTE(Catalog!F383,"""","\""")&amp;""",""language"":"""&amp;Catalog!M383&amp;""",""identifier"":"""&amp;Catalog!C383&amp;"""}")</f>
        <v/>
      </c>
    </row>
    <row r="388" spans="1:4" x14ac:dyDescent="0.25">
      <c r="A388" s="16" t="str">
        <f>Catalog!A384</f>
        <v/>
      </c>
      <c r="B388" s="16">
        <f>Catalog!D384</f>
        <v>0</v>
      </c>
      <c r="C388" s="16">
        <f>Catalog!F384</f>
        <v>0</v>
      </c>
      <c r="D388" s="19" t="str">
        <f>IF(Catalog!D384="","","{""item_id"":"&amp;Catalog!A384&amp;",""title"":"""&amp;SUBSTITUTE(Catalog!D384,"""","\""")&amp;""",""creator"":"""&amp;SUBSTITUTE(Catalog!F384,"""","\""")&amp;""",""language"":"""&amp;Catalog!M384&amp;""",""identifier"":"""&amp;Catalog!C384&amp;"""}")</f>
        <v/>
      </c>
    </row>
    <row r="389" spans="1:4" x14ac:dyDescent="0.25">
      <c r="A389" s="16" t="str">
        <f>Catalog!A385</f>
        <v/>
      </c>
      <c r="B389" s="16">
        <f>Catalog!D385</f>
        <v>0</v>
      </c>
      <c r="C389" s="16">
        <f>Catalog!F385</f>
        <v>0</v>
      </c>
      <c r="D389" s="19" t="str">
        <f>IF(Catalog!D385="","","{""item_id"":"&amp;Catalog!A385&amp;",""title"":"""&amp;SUBSTITUTE(Catalog!D385,"""","\""")&amp;""",""creator"":"""&amp;SUBSTITUTE(Catalog!F385,"""","\""")&amp;""",""language"":"""&amp;Catalog!M385&amp;""",""identifier"":"""&amp;Catalog!C385&amp;"""}")</f>
        <v/>
      </c>
    </row>
    <row r="390" spans="1:4" x14ac:dyDescent="0.25">
      <c r="A390" s="16" t="str">
        <f>Catalog!A386</f>
        <v/>
      </c>
      <c r="B390" s="16">
        <f>Catalog!D386</f>
        <v>0</v>
      </c>
      <c r="C390" s="16">
        <f>Catalog!F386</f>
        <v>0</v>
      </c>
      <c r="D390" s="19" t="str">
        <f>IF(Catalog!D386="","","{""item_id"":"&amp;Catalog!A386&amp;",""title"":"""&amp;SUBSTITUTE(Catalog!D386,"""","\""")&amp;""",""creator"":"""&amp;SUBSTITUTE(Catalog!F386,"""","\""")&amp;""",""language"":"""&amp;Catalog!M386&amp;""",""identifier"":"""&amp;Catalog!C386&amp;"""}")</f>
        <v/>
      </c>
    </row>
    <row r="391" spans="1:4" x14ac:dyDescent="0.25">
      <c r="A391" s="16" t="str">
        <f>Catalog!A387</f>
        <v/>
      </c>
      <c r="B391" s="16">
        <f>Catalog!D387</f>
        <v>0</v>
      </c>
      <c r="C391" s="16">
        <f>Catalog!F387</f>
        <v>0</v>
      </c>
      <c r="D391" s="19" t="str">
        <f>IF(Catalog!D387="","","{""item_id"":"&amp;Catalog!A387&amp;",""title"":"""&amp;SUBSTITUTE(Catalog!D387,"""","\""")&amp;""",""creator"":"""&amp;SUBSTITUTE(Catalog!F387,"""","\""")&amp;""",""language"":"""&amp;Catalog!M387&amp;""",""identifier"":"""&amp;Catalog!C387&amp;"""}")</f>
        <v/>
      </c>
    </row>
    <row r="392" spans="1:4" x14ac:dyDescent="0.25">
      <c r="A392" s="16" t="str">
        <f>Catalog!A388</f>
        <v/>
      </c>
      <c r="B392" s="16">
        <f>Catalog!D388</f>
        <v>0</v>
      </c>
      <c r="C392" s="16">
        <f>Catalog!F388</f>
        <v>0</v>
      </c>
      <c r="D392" s="19" t="str">
        <f>IF(Catalog!D388="","","{""item_id"":"&amp;Catalog!A388&amp;",""title"":"""&amp;SUBSTITUTE(Catalog!D388,"""","\""")&amp;""",""creator"":"""&amp;SUBSTITUTE(Catalog!F388,"""","\""")&amp;""",""language"":"""&amp;Catalog!M388&amp;""",""identifier"":"""&amp;Catalog!C388&amp;"""}")</f>
        <v/>
      </c>
    </row>
    <row r="393" spans="1:4" x14ac:dyDescent="0.25">
      <c r="A393" s="16" t="str">
        <f>Catalog!A389</f>
        <v/>
      </c>
      <c r="B393" s="16">
        <f>Catalog!D389</f>
        <v>0</v>
      </c>
      <c r="C393" s="16">
        <f>Catalog!F389</f>
        <v>0</v>
      </c>
      <c r="D393" s="19" t="str">
        <f>IF(Catalog!D389="","","{""item_id"":"&amp;Catalog!A389&amp;",""title"":"""&amp;SUBSTITUTE(Catalog!D389,"""","\""")&amp;""",""creator"":"""&amp;SUBSTITUTE(Catalog!F389,"""","\""")&amp;""",""language"":"""&amp;Catalog!M389&amp;""",""identifier"":"""&amp;Catalog!C389&amp;"""}")</f>
        <v/>
      </c>
    </row>
    <row r="394" spans="1:4" x14ac:dyDescent="0.25">
      <c r="A394" s="16" t="str">
        <f>Catalog!A390</f>
        <v/>
      </c>
      <c r="B394" s="16">
        <f>Catalog!D390</f>
        <v>0</v>
      </c>
      <c r="C394" s="16">
        <f>Catalog!F390</f>
        <v>0</v>
      </c>
      <c r="D394" s="19" t="str">
        <f>IF(Catalog!D390="","","{""item_id"":"&amp;Catalog!A390&amp;",""title"":"""&amp;SUBSTITUTE(Catalog!D390,"""","\""")&amp;""",""creator"":"""&amp;SUBSTITUTE(Catalog!F390,"""","\""")&amp;""",""language"":"""&amp;Catalog!M390&amp;""",""identifier"":"""&amp;Catalog!C390&amp;"""}")</f>
        <v/>
      </c>
    </row>
    <row r="395" spans="1:4" x14ac:dyDescent="0.25">
      <c r="A395" s="16" t="str">
        <f>Catalog!A391</f>
        <v/>
      </c>
      <c r="B395" s="16">
        <f>Catalog!D391</f>
        <v>0</v>
      </c>
      <c r="C395" s="16">
        <f>Catalog!F391</f>
        <v>0</v>
      </c>
      <c r="D395" s="19" t="str">
        <f>IF(Catalog!D391="","","{""item_id"":"&amp;Catalog!A391&amp;",""title"":"""&amp;SUBSTITUTE(Catalog!D391,"""","\""")&amp;""",""creator"":"""&amp;SUBSTITUTE(Catalog!F391,"""","\""")&amp;""",""language"":"""&amp;Catalog!M391&amp;""",""identifier"":"""&amp;Catalog!C391&amp;"""}")</f>
        <v/>
      </c>
    </row>
    <row r="396" spans="1:4" x14ac:dyDescent="0.25">
      <c r="A396" s="16" t="str">
        <f>Catalog!A392</f>
        <v/>
      </c>
      <c r="B396" s="16">
        <f>Catalog!D392</f>
        <v>0</v>
      </c>
      <c r="C396" s="16">
        <f>Catalog!F392</f>
        <v>0</v>
      </c>
      <c r="D396" s="19" t="str">
        <f>IF(Catalog!D392="","","{""item_id"":"&amp;Catalog!A392&amp;",""title"":"""&amp;SUBSTITUTE(Catalog!D392,"""","\""")&amp;""",""creator"":"""&amp;SUBSTITUTE(Catalog!F392,"""","\""")&amp;""",""language"":"""&amp;Catalog!M392&amp;""",""identifier"":"""&amp;Catalog!C392&amp;"""}")</f>
        <v/>
      </c>
    </row>
    <row r="397" spans="1:4" x14ac:dyDescent="0.25">
      <c r="A397" s="16" t="str">
        <f>Catalog!A393</f>
        <v/>
      </c>
      <c r="B397" s="16">
        <f>Catalog!D393</f>
        <v>0</v>
      </c>
      <c r="C397" s="16">
        <f>Catalog!F393</f>
        <v>0</v>
      </c>
      <c r="D397" s="19" t="str">
        <f>IF(Catalog!D393="","","{""item_id"":"&amp;Catalog!A393&amp;",""title"":"""&amp;SUBSTITUTE(Catalog!D393,"""","\""")&amp;""",""creator"":"""&amp;SUBSTITUTE(Catalog!F393,"""","\""")&amp;""",""language"":"""&amp;Catalog!M393&amp;""",""identifier"":"""&amp;Catalog!C393&amp;"""}")</f>
        <v/>
      </c>
    </row>
    <row r="398" spans="1:4" x14ac:dyDescent="0.25">
      <c r="A398" s="16" t="str">
        <f>Catalog!A394</f>
        <v/>
      </c>
      <c r="B398" s="16">
        <f>Catalog!D394</f>
        <v>0</v>
      </c>
      <c r="C398" s="16">
        <f>Catalog!F394</f>
        <v>0</v>
      </c>
      <c r="D398" s="19" t="str">
        <f>IF(Catalog!D394="","","{""item_id"":"&amp;Catalog!A394&amp;",""title"":"""&amp;SUBSTITUTE(Catalog!D394,"""","\""")&amp;""",""creator"":"""&amp;SUBSTITUTE(Catalog!F394,"""","\""")&amp;""",""language"":"""&amp;Catalog!M394&amp;""",""identifier"":"""&amp;Catalog!C394&amp;"""}")</f>
        <v/>
      </c>
    </row>
    <row r="399" spans="1:4" x14ac:dyDescent="0.25">
      <c r="A399" s="16" t="str">
        <f>Catalog!A395</f>
        <v/>
      </c>
      <c r="B399" s="16">
        <f>Catalog!D395</f>
        <v>0</v>
      </c>
      <c r="C399" s="16">
        <f>Catalog!F395</f>
        <v>0</v>
      </c>
      <c r="D399" s="19" t="str">
        <f>IF(Catalog!D395="","","{""item_id"":"&amp;Catalog!A395&amp;",""title"":"""&amp;SUBSTITUTE(Catalog!D395,"""","\""")&amp;""",""creator"":"""&amp;SUBSTITUTE(Catalog!F395,"""","\""")&amp;""",""language"":"""&amp;Catalog!M395&amp;""",""identifier"":"""&amp;Catalog!C395&amp;"""}")</f>
        <v/>
      </c>
    </row>
    <row r="400" spans="1:4" x14ac:dyDescent="0.25">
      <c r="A400" s="16" t="str">
        <f>Catalog!A396</f>
        <v/>
      </c>
      <c r="B400" s="16">
        <f>Catalog!D396</f>
        <v>0</v>
      </c>
      <c r="C400" s="16">
        <f>Catalog!F396</f>
        <v>0</v>
      </c>
      <c r="D400" s="19" t="str">
        <f>IF(Catalog!D396="","","{""item_id"":"&amp;Catalog!A396&amp;",""title"":"""&amp;SUBSTITUTE(Catalog!D396,"""","\""")&amp;""",""creator"":"""&amp;SUBSTITUTE(Catalog!F396,"""","\""")&amp;""",""language"":"""&amp;Catalog!M396&amp;""",""identifier"":"""&amp;Catalog!C396&amp;"""}")</f>
        <v/>
      </c>
    </row>
    <row r="401" spans="1:4" x14ac:dyDescent="0.25">
      <c r="A401" s="16" t="str">
        <f>Catalog!A397</f>
        <v/>
      </c>
      <c r="B401" s="16">
        <f>Catalog!D397</f>
        <v>0</v>
      </c>
      <c r="C401" s="16">
        <f>Catalog!F397</f>
        <v>0</v>
      </c>
      <c r="D401" s="19" t="str">
        <f>IF(Catalog!D397="","","{""item_id"":"&amp;Catalog!A397&amp;",""title"":"""&amp;SUBSTITUTE(Catalog!D397,"""","\""")&amp;""",""creator"":"""&amp;SUBSTITUTE(Catalog!F397,"""","\""")&amp;""",""language"":"""&amp;Catalog!M397&amp;""",""identifier"":"""&amp;Catalog!C397&amp;"""}")</f>
        <v/>
      </c>
    </row>
    <row r="402" spans="1:4" x14ac:dyDescent="0.25">
      <c r="A402" s="16" t="str">
        <f>Catalog!A398</f>
        <v/>
      </c>
      <c r="B402" s="16">
        <f>Catalog!D398</f>
        <v>0</v>
      </c>
      <c r="C402" s="16">
        <f>Catalog!F398</f>
        <v>0</v>
      </c>
      <c r="D402" s="19" t="str">
        <f>IF(Catalog!D398="","","{""item_id"":"&amp;Catalog!A398&amp;",""title"":"""&amp;SUBSTITUTE(Catalog!D398,"""","\""")&amp;""",""creator"":"""&amp;SUBSTITUTE(Catalog!F398,"""","\""")&amp;""",""language"":"""&amp;Catalog!M398&amp;""",""identifier"":"""&amp;Catalog!C398&amp;"""}")</f>
        <v/>
      </c>
    </row>
    <row r="403" spans="1:4" x14ac:dyDescent="0.25">
      <c r="A403" s="16" t="str">
        <f>Catalog!A399</f>
        <v/>
      </c>
      <c r="B403" s="16">
        <f>Catalog!D399</f>
        <v>0</v>
      </c>
      <c r="C403" s="16">
        <f>Catalog!F399</f>
        <v>0</v>
      </c>
      <c r="D403" s="19" t="str">
        <f>IF(Catalog!D399="","","{""item_id"":"&amp;Catalog!A399&amp;",""title"":"""&amp;SUBSTITUTE(Catalog!D399,"""","\""")&amp;""",""creator"":"""&amp;SUBSTITUTE(Catalog!F399,"""","\""")&amp;""",""language"":"""&amp;Catalog!M399&amp;""",""identifier"":"""&amp;Catalog!C399&amp;"""}")</f>
        <v/>
      </c>
    </row>
    <row r="404" spans="1:4" x14ac:dyDescent="0.25">
      <c r="A404" s="16" t="str">
        <f>Catalog!A400</f>
        <v/>
      </c>
      <c r="B404" s="16">
        <f>Catalog!D400</f>
        <v>0</v>
      </c>
      <c r="C404" s="16">
        <f>Catalog!F400</f>
        <v>0</v>
      </c>
      <c r="D404" s="19" t="str">
        <f>IF(Catalog!D400="","","{""item_id"":"&amp;Catalog!A400&amp;",""title"":"""&amp;SUBSTITUTE(Catalog!D400,"""","\""")&amp;""",""creator"":"""&amp;SUBSTITUTE(Catalog!F400,"""","\""")&amp;""",""language"":"""&amp;Catalog!M400&amp;""",""identifier"":"""&amp;Catalog!C400&amp;"""}")</f>
        <v/>
      </c>
    </row>
    <row r="405" spans="1:4" x14ac:dyDescent="0.25">
      <c r="A405" s="16" t="str">
        <f>Catalog!A401</f>
        <v/>
      </c>
      <c r="B405" s="16">
        <f>Catalog!D401</f>
        <v>0</v>
      </c>
      <c r="C405" s="16">
        <f>Catalog!F401</f>
        <v>0</v>
      </c>
      <c r="D405" s="19" t="str">
        <f>IF(Catalog!D401="","","{""item_id"":"&amp;Catalog!A401&amp;",""title"":"""&amp;SUBSTITUTE(Catalog!D401,"""","\""")&amp;""",""creator"":"""&amp;SUBSTITUTE(Catalog!F401,"""","\""")&amp;""",""language"":"""&amp;Catalog!M401&amp;""",""identifier"":"""&amp;Catalog!C401&amp;"""}")</f>
        <v/>
      </c>
    </row>
    <row r="406" spans="1:4" x14ac:dyDescent="0.25">
      <c r="A406" s="16" t="str">
        <f>Catalog!A402</f>
        <v/>
      </c>
      <c r="B406" s="16">
        <f>Catalog!D402</f>
        <v>0</v>
      </c>
      <c r="C406" s="16">
        <f>Catalog!F402</f>
        <v>0</v>
      </c>
      <c r="D406" s="19" t="str">
        <f>IF(Catalog!D402="","","{""item_id"":"&amp;Catalog!A402&amp;",""title"":"""&amp;SUBSTITUTE(Catalog!D402,"""","\""")&amp;""",""creator"":"""&amp;SUBSTITUTE(Catalog!F402,"""","\""")&amp;""",""language"":"""&amp;Catalog!M402&amp;""",""identifier"":"""&amp;Catalog!C402&amp;"""}")</f>
        <v/>
      </c>
    </row>
    <row r="407" spans="1:4" x14ac:dyDescent="0.25">
      <c r="A407" s="16" t="str">
        <f>Catalog!A403</f>
        <v/>
      </c>
      <c r="B407" s="16">
        <f>Catalog!D403</f>
        <v>0</v>
      </c>
      <c r="C407" s="16">
        <f>Catalog!F403</f>
        <v>0</v>
      </c>
      <c r="D407" s="19" t="str">
        <f>IF(Catalog!D403="","","{""item_id"":"&amp;Catalog!A403&amp;",""title"":"""&amp;SUBSTITUTE(Catalog!D403,"""","\""")&amp;""",""creator"":"""&amp;SUBSTITUTE(Catalog!F403,"""","\""")&amp;""",""language"":"""&amp;Catalog!M403&amp;""",""identifier"":"""&amp;Catalog!C403&amp;"""}")</f>
        <v/>
      </c>
    </row>
    <row r="408" spans="1:4" x14ac:dyDescent="0.25">
      <c r="A408" s="16" t="str">
        <f>Catalog!A404</f>
        <v/>
      </c>
      <c r="B408" s="16">
        <f>Catalog!D404</f>
        <v>0</v>
      </c>
      <c r="C408" s="16">
        <f>Catalog!F404</f>
        <v>0</v>
      </c>
      <c r="D408" s="19" t="str">
        <f>IF(Catalog!D404="","","{""item_id"":"&amp;Catalog!A404&amp;",""title"":"""&amp;SUBSTITUTE(Catalog!D404,"""","\""")&amp;""",""creator"":"""&amp;SUBSTITUTE(Catalog!F404,"""","\""")&amp;""",""language"":"""&amp;Catalog!M404&amp;""",""identifier"":"""&amp;Catalog!C404&amp;"""}")</f>
        <v/>
      </c>
    </row>
    <row r="409" spans="1:4" x14ac:dyDescent="0.25">
      <c r="A409" s="16" t="str">
        <f>Catalog!A405</f>
        <v/>
      </c>
      <c r="B409" s="16">
        <f>Catalog!D405</f>
        <v>0</v>
      </c>
      <c r="C409" s="16">
        <f>Catalog!F405</f>
        <v>0</v>
      </c>
      <c r="D409" s="19" t="str">
        <f>IF(Catalog!D405="","","{""item_id"":"&amp;Catalog!A405&amp;",""title"":"""&amp;SUBSTITUTE(Catalog!D405,"""","\""")&amp;""",""creator"":"""&amp;SUBSTITUTE(Catalog!F405,"""","\""")&amp;""",""language"":"""&amp;Catalog!M405&amp;""",""identifier"":"""&amp;Catalog!C405&amp;"""}")</f>
        <v/>
      </c>
    </row>
    <row r="410" spans="1:4" x14ac:dyDescent="0.25">
      <c r="A410" s="16" t="str">
        <f>Catalog!A406</f>
        <v/>
      </c>
      <c r="B410" s="16">
        <f>Catalog!D406</f>
        <v>0</v>
      </c>
      <c r="C410" s="16">
        <f>Catalog!F406</f>
        <v>0</v>
      </c>
      <c r="D410" s="19" t="str">
        <f>IF(Catalog!D406="","","{""item_id"":"&amp;Catalog!A406&amp;",""title"":"""&amp;SUBSTITUTE(Catalog!D406,"""","\""")&amp;""",""creator"":"""&amp;SUBSTITUTE(Catalog!F406,"""","\""")&amp;""",""language"":"""&amp;Catalog!M406&amp;""",""identifier"":"""&amp;Catalog!C406&amp;"""}")</f>
        <v/>
      </c>
    </row>
    <row r="411" spans="1:4" x14ac:dyDescent="0.25">
      <c r="A411" s="16" t="str">
        <f>Catalog!A407</f>
        <v/>
      </c>
      <c r="B411" s="16">
        <f>Catalog!D407</f>
        <v>0</v>
      </c>
      <c r="C411" s="16">
        <f>Catalog!F407</f>
        <v>0</v>
      </c>
      <c r="D411" s="19" t="str">
        <f>IF(Catalog!D407="","","{""item_id"":"&amp;Catalog!A407&amp;",""title"":"""&amp;SUBSTITUTE(Catalog!D407,"""","\""")&amp;""",""creator"":"""&amp;SUBSTITUTE(Catalog!F407,"""","\""")&amp;""",""language"":"""&amp;Catalog!M407&amp;""",""identifier"":"""&amp;Catalog!C407&amp;"""}")</f>
        <v/>
      </c>
    </row>
    <row r="412" spans="1:4" x14ac:dyDescent="0.25">
      <c r="A412" s="16" t="str">
        <f>Catalog!A408</f>
        <v/>
      </c>
      <c r="B412" s="16">
        <f>Catalog!D408</f>
        <v>0</v>
      </c>
      <c r="C412" s="16">
        <f>Catalog!F408</f>
        <v>0</v>
      </c>
      <c r="D412" s="19" t="str">
        <f>IF(Catalog!D408="","","{""item_id"":"&amp;Catalog!A408&amp;",""title"":"""&amp;SUBSTITUTE(Catalog!D408,"""","\""")&amp;""",""creator"":"""&amp;SUBSTITUTE(Catalog!F408,"""","\""")&amp;""",""language"":"""&amp;Catalog!M408&amp;""",""identifier"":"""&amp;Catalog!C408&amp;"""}")</f>
        <v/>
      </c>
    </row>
    <row r="413" spans="1:4" x14ac:dyDescent="0.25">
      <c r="A413" s="16" t="str">
        <f>Catalog!A409</f>
        <v/>
      </c>
      <c r="B413" s="16">
        <f>Catalog!D409</f>
        <v>0</v>
      </c>
      <c r="C413" s="16">
        <f>Catalog!F409</f>
        <v>0</v>
      </c>
      <c r="D413" s="19" t="str">
        <f>IF(Catalog!D409="","","{""item_id"":"&amp;Catalog!A409&amp;",""title"":"""&amp;SUBSTITUTE(Catalog!D409,"""","\""")&amp;""",""creator"":"""&amp;SUBSTITUTE(Catalog!F409,"""","\""")&amp;""",""language"":"""&amp;Catalog!M409&amp;""",""identifier"":"""&amp;Catalog!C409&amp;"""}")</f>
        <v/>
      </c>
    </row>
    <row r="414" spans="1:4" x14ac:dyDescent="0.25">
      <c r="A414" s="16" t="str">
        <f>Catalog!A410</f>
        <v/>
      </c>
      <c r="B414" s="16">
        <f>Catalog!D410</f>
        <v>0</v>
      </c>
      <c r="C414" s="16">
        <f>Catalog!F410</f>
        <v>0</v>
      </c>
      <c r="D414" s="19" t="str">
        <f>IF(Catalog!D410="","","{""item_id"":"&amp;Catalog!A410&amp;",""title"":"""&amp;SUBSTITUTE(Catalog!D410,"""","\""")&amp;""",""creator"":"""&amp;SUBSTITUTE(Catalog!F410,"""","\""")&amp;""",""language"":"""&amp;Catalog!M410&amp;""",""identifier"":"""&amp;Catalog!C410&amp;"""}")</f>
        <v/>
      </c>
    </row>
    <row r="415" spans="1:4" x14ac:dyDescent="0.25">
      <c r="A415" s="16" t="str">
        <f>Catalog!A411</f>
        <v/>
      </c>
      <c r="B415" s="16">
        <f>Catalog!D411</f>
        <v>0</v>
      </c>
      <c r="C415" s="16">
        <f>Catalog!F411</f>
        <v>0</v>
      </c>
      <c r="D415" s="19" t="str">
        <f>IF(Catalog!D411="","","{""item_id"":"&amp;Catalog!A411&amp;",""title"":"""&amp;SUBSTITUTE(Catalog!D411,"""","\""")&amp;""",""creator"":"""&amp;SUBSTITUTE(Catalog!F411,"""","\""")&amp;""",""language"":"""&amp;Catalog!M411&amp;""",""identifier"":"""&amp;Catalog!C411&amp;"""}")</f>
        <v/>
      </c>
    </row>
    <row r="416" spans="1:4" x14ac:dyDescent="0.25">
      <c r="A416" s="16" t="str">
        <f>Catalog!A412</f>
        <v/>
      </c>
      <c r="B416" s="16">
        <f>Catalog!D412</f>
        <v>0</v>
      </c>
      <c r="C416" s="16">
        <f>Catalog!F412</f>
        <v>0</v>
      </c>
      <c r="D416" s="19" t="str">
        <f>IF(Catalog!D412="","","{""item_id"":"&amp;Catalog!A412&amp;",""title"":"""&amp;SUBSTITUTE(Catalog!D412,"""","\""")&amp;""",""creator"":"""&amp;SUBSTITUTE(Catalog!F412,"""","\""")&amp;""",""language"":"""&amp;Catalog!M412&amp;""",""identifier"":"""&amp;Catalog!C412&amp;"""}")</f>
        <v/>
      </c>
    </row>
    <row r="417" spans="1:4" x14ac:dyDescent="0.25">
      <c r="A417" s="16" t="str">
        <f>Catalog!A413</f>
        <v/>
      </c>
      <c r="B417" s="16">
        <f>Catalog!D413</f>
        <v>0</v>
      </c>
      <c r="C417" s="16">
        <f>Catalog!F413</f>
        <v>0</v>
      </c>
      <c r="D417" s="19" t="str">
        <f>IF(Catalog!D413="","","{""item_id"":"&amp;Catalog!A413&amp;",""title"":"""&amp;SUBSTITUTE(Catalog!D413,"""","\""")&amp;""",""creator"":"""&amp;SUBSTITUTE(Catalog!F413,"""","\""")&amp;""",""language"":"""&amp;Catalog!M413&amp;""",""identifier"":"""&amp;Catalog!C413&amp;"""}")</f>
        <v/>
      </c>
    </row>
    <row r="418" spans="1:4" x14ac:dyDescent="0.25">
      <c r="A418" s="16" t="str">
        <f>Catalog!A414</f>
        <v/>
      </c>
      <c r="B418" s="16">
        <f>Catalog!D414</f>
        <v>0</v>
      </c>
      <c r="C418" s="16">
        <f>Catalog!F414</f>
        <v>0</v>
      </c>
      <c r="D418" s="19" t="str">
        <f>IF(Catalog!D414="","","{""item_id"":"&amp;Catalog!A414&amp;",""title"":"""&amp;SUBSTITUTE(Catalog!D414,"""","\""")&amp;""",""creator"":"""&amp;SUBSTITUTE(Catalog!F414,"""","\""")&amp;""",""language"":"""&amp;Catalog!M414&amp;""",""identifier"":"""&amp;Catalog!C414&amp;"""}")</f>
        <v/>
      </c>
    </row>
    <row r="419" spans="1:4" x14ac:dyDescent="0.25">
      <c r="A419" s="16" t="str">
        <f>Catalog!A415</f>
        <v/>
      </c>
      <c r="B419" s="16">
        <f>Catalog!D415</f>
        <v>0</v>
      </c>
      <c r="C419" s="16">
        <f>Catalog!F415</f>
        <v>0</v>
      </c>
      <c r="D419" s="19" t="str">
        <f>IF(Catalog!D415="","","{""item_id"":"&amp;Catalog!A415&amp;",""title"":"""&amp;SUBSTITUTE(Catalog!D415,"""","\""")&amp;""",""creator"":"""&amp;SUBSTITUTE(Catalog!F415,"""","\""")&amp;""",""language"":"""&amp;Catalog!M415&amp;""",""identifier"":"""&amp;Catalog!C415&amp;"""}")</f>
        <v/>
      </c>
    </row>
    <row r="420" spans="1:4" x14ac:dyDescent="0.25">
      <c r="A420" s="16" t="str">
        <f>Catalog!A416</f>
        <v/>
      </c>
      <c r="B420" s="16">
        <f>Catalog!D416</f>
        <v>0</v>
      </c>
      <c r="C420" s="16">
        <f>Catalog!F416</f>
        <v>0</v>
      </c>
      <c r="D420" s="19" t="str">
        <f>IF(Catalog!D416="","","{""item_id"":"&amp;Catalog!A416&amp;",""title"":"""&amp;SUBSTITUTE(Catalog!D416,"""","\""")&amp;""",""creator"":"""&amp;SUBSTITUTE(Catalog!F416,"""","\""")&amp;""",""language"":"""&amp;Catalog!M416&amp;""",""identifier"":"""&amp;Catalog!C416&amp;"""}")</f>
        <v/>
      </c>
    </row>
    <row r="421" spans="1:4" x14ac:dyDescent="0.25">
      <c r="A421" s="16" t="str">
        <f>Catalog!A417</f>
        <v/>
      </c>
      <c r="B421" s="16">
        <f>Catalog!D417</f>
        <v>0</v>
      </c>
      <c r="C421" s="16">
        <f>Catalog!F417</f>
        <v>0</v>
      </c>
      <c r="D421" s="19" t="str">
        <f>IF(Catalog!D417="","","{""item_id"":"&amp;Catalog!A417&amp;",""title"":"""&amp;SUBSTITUTE(Catalog!D417,"""","\""")&amp;""",""creator"":"""&amp;SUBSTITUTE(Catalog!F417,"""","\""")&amp;""",""language"":"""&amp;Catalog!M417&amp;""",""identifier"":"""&amp;Catalog!C417&amp;"""}")</f>
        <v/>
      </c>
    </row>
    <row r="422" spans="1:4" x14ac:dyDescent="0.25">
      <c r="A422" s="16" t="str">
        <f>Catalog!A418</f>
        <v/>
      </c>
      <c r="B422" s="16">
        <f>Catalog!D418</f>
        <v>0</v>
      </c>
      <c r="C422" s="16">
        <f>Catalog!F418</f>
        <v>0</v>
      </c>
      <c r="D422" s="19" t="str">
        <f>IF(Catalog!D418="","","{""item_id"":"&amp;Catalog!A418&amp;",""title"":"""&amp;SUBSTITUTE(Catalog!D418,"""","\""")&amp;""",""creator"":"""&amp;SUBSTITUTE(Catalog!F418,"""","\""")&amp;""",""language"":"""&amp;Catalog!M418&amp;""",""identifier"":"""&amp;Catalog!C418&amp;"""}")</f>
        <v/>
      </c>
    </row>
    <row r="423" spans="1:4" x14ac:dyDescent="0.25">
      <c r="A423" s="16" t="str">
        <f>Catalog!A419</f>
        <v/>
      </c>
      <c r="B423" s="16">
        <f>Catalog!D419</f>
        <v>0</v>
      </c>
      <c r="C423" s="16">
        <f>Catalog!F419</f>
        <v>0</v>
      </c>
      <c r="D423" s="19" t="str">
        <f>IF(Catalog!D419="","","{""item_id"":"&amp;Catalog!A419&amp;",""title"":"""&amp;SUBSTITUTE(Catalog!D419,"""","\""")&amp;""",""creator"":"""&amp;SUBSTITUTE(Catalog!F419,"""","\""")&amp;""",""language"":"""&amp;Catalog!M419&amp;""",""identifier"":"""&amp;Catalog!C419&amp;"""}")</f>
        <v/>
      </c>
    </row>
    <row r="424" spans="1:4" x14ac:dyDescent="0.25">
      <c r="A424" s="16" t="str">
        <f>Catalog!A420</f>
        <v/>
      </c>
      <c r="B424" s="16">
        <f>Catalog!D420</f>
        <v>0</v>
      </c>
      <c r="C424" s="16">
        <f>Catalog!F420</f>
        <v>0</v>
      </c>
      <c r="D424" s="19" t="str">
        <f>IF(Catalog!D420="","","{""item_id"":"&amp;Catalog!A420&amp;",""title"":"""&amp;SUBSTITUTE(Catalog!D420,"""","\""")&amp;""",""creator"":"""&amp;SUBSTITUTE(Catalog!F420,"""","\""")&amp;""",""language"":"""&amp;Catalog!M420&amp;""",""identifier"":"""&amp;Catalog!C420&amp;"""}")</f>
        <v/>
      </c>
    </row>
    <row r="425" spans="1:4" x14ac:dyDescent="0.25">
      <c r="A425" s="16" t="str">
        <f>Catalog!A421</f>
        <v/>
      </c>
      <c r="B425" s="16">
        <f>Catalog!D421</f>
        <v>0</v>
      </c>
      <c r="C425" s="16">
        <f>Catalog!F421</f>
        <v>0</v>
      </c>
      <c r="D425" s="19" t="str">
        <f>IF(Catalog!D421="","","{""item_id"":"&amp;Catalog!A421&amp;",""title"":"""&amp;SUBSTITUTE(Catalog!D421,"""","\""")&amp;""",""creator"":"""&amp;SUBSTITUTE(Catalog!F421,"""","\""")&amp;""",""language"":"""&amp;Catalog!M421&amp;""",""identifier"":"""&amp;Catalog!C421&amp;"""}")</f>
        <v/>
      </c>
    </row>
    <row r="426" spans="1:4" x14ac:dyDescent="0.25">
      <c r="A426" s="16" t="str">
        <f>Catalog!A422</f>
        <v/>
      </c>
      <c r="B426" s="16">
        <f>Catalog!D422</f>
        <v>0</v>
      </c>
      <c r="C426" s="16">
        <f>Catalog!F422</f>
        <v>0</v>
      </c>
      <c r="D426" s="19" t="str">
        <f>IF(Catalog!D422="","","{""item_id"":"&amp;Catalog!A422&amp;",""title"":"""&amp;SUBSTITUTE(Catalog!D422,"""","\""")&amp;""",""creator"":"""&amp;SUBSTITUTE(Catalog!F422,"""","\""")&amp;""",""language"":"""&amp;Catalog!M422&amp;""",""identifier"":"""&amp;Catalog!C422&amp;"""}")</f>
        <v/>
      </c>
    </row>
    <row r="427" spans="1:4" x14ac:dyDescent="0.25">
      <c r="A427" s="16" t="str">
        <f>Catalog!A423</f>
        <v/>
      </c>
      <c r="B427" s="16">
        <f>Catalog!D423</f>
        <v>0</v>
      </c>
      <c r="C427" s="16">
        <f>Catalog!F423</f>
        <v>0</v>
      </c>
      <c r="D427" s="19" t="str">
        <f>IF(Catalog!D423="","","{""item_id"":"&amp;Catalog!A423&amp;",""title"":"""&amp;SUBSTITUTE(Catalog!D423,"""","\""")&amp;""",""creator"":"""&amp;SUBSTITUTE(Catalog!F423,"""","\""")&amp;""",""language"":"""&amp;Catalog!M423&amp;""",""identifier"":"""&amp;Catalog!C423&amp;"""}")</f>
        <v/>
      </c>
    </row>
    <row r="428" spans="1:4" x14ac:dyDescent="0.25">
      <c r="A428" s="16" t="str">
        <f>Catalog!A424</f>
        <v/>
      </c>
      <c r="B428" s="16">
        <f>Catalog!D424</f>
        <v>0</v>
      </c>
      <c r="C428" s="16">
        <f>Catalog!F424</f>
        <v>0</v>
      </c>
      <c r="D428" s="19" t="str">
        <f>IF(Catalog!D424="","","{""item_id"":"&amp;Catalog!A424&amp;",""title"":"""&amp;SUBSTITUTE(Catalog!D424,"""","\""")&amp;""",""creator"":"""&amp;SUBSTITUTE(Catalog!F424,"""","\""")&amp;""",""language"":"""&amp;Catalog!M424&amp;""",""identifier"":"""&amp;Catalog!C424&amp;"""}")</f>
        <v/>
      </c>
    </row>
    <row r="429" spans="1:4" x14ac:dyDescent="0.25">
      <c r="A429" s="16" t="str">
        <f>Catalog!A425</f>
        <v/>
      </c>
      <c r="B429" s="16">
        <f>Catalog!D425</f>
        <v>0</v>
      </c>
      <c r="C429" s="16">
        <f>Catalog!F425</f>
        <v>0</v>
      </c>
      <c r="D429" s="19" t="str">
        <f>IF(Catalog!D425="","","{""item_id"":"&amp;Catalog!A425&amp;",""title"":"""&amp;SUBSTITUTE(Catalog!D425,"""","\""")&amp;""",""creator"":"""&amp;SUBSTITUTE(Catalog!F425,"""","\""")&amp;""",""language"":"""&amp;Catalog!M425&amp;""",""identifier"":"""&amp;Catalog!C425&amp;"""}")</f>
        <v/>
      </c>
    </row>
    <row r="430" spans="1:4" x14ac:dyDescent="0.25">
      <c r="A430" s="16" t="str">
        <f>Catalog!A426</f>
        <v/>
      </c>
      <c r="B430" s="16">
        <f>Catalog!D426</f>
        <v>0</v>
      </c>
      <c r="C430" s="16">
        <f>Catalog!F426</f>
        <v>0</v>
      </c>
      <c r="D430" s="19" t="str">
        <f>IF(Catalog!D426="","","{""item_id"":"&amp;Catalog!A426&amp;",""title"":"""&amp;SUBSTITUTE(Catalog!D426,"""","\""")&amp;""",""creator"":"""&amp;SUBSTITUTE(Catalog!F426,"""","\""")&amp;""",""language"":"""&amp;Catalog!M426&amp;""",""identifier"":"""&amp;Catalog!C426&amp;"""}")</f>
        <v/>
      </c>
    </row>
    <row r="431" spans="1:4" x14ac:dyDescent="0.25">
      <c r="A431" s="16" t="str">
        <f>Catalog!A427</f>
        <v/>
      </c>
      <c r="B431" s="16">
        <f>Catalog!D427</f>
        <v>0</v>
      </c>
      <c r="C431" s="16">
        <f>Catalog!F427</f>
        <v>0</v>
      </c>
      <c r="D431" s="19" t="str">
        <f>IF(Catalog!D427="","","{""item_id"":"&amp;Catalog!A427&amp;",""title"":"""&amp;SUBSTITUTE(Catalog!D427,"""","\""")&amp;""",""creator"":"""&amp;SUBSTITUTE(Catalog!F427,"""","\""")&amp;""",""language"":"""&amp;Catalog!M427&amp;""",""identifier"":"""&amp;Catalog!C427&amp;"""}")</f>
        <v/>
      </c>
    </row>
    <row r="432" spans="1:4" x14ac:dyDescent="0.25">
      <c r="A432" s="16" t="str">
        <f>Catalog!A428</f>
        <v/>
      </c>
      <c r="B432" s="16">
        <f>Catalog!D428</f>
        <v>0</v>
      </c>
      <c r="C432" s="16">
        <f>Catalog!F428</f>
        <v>0</v>
      </c>
      <c r="D432" s="19" t="str">
        <f>IF(Catalog!D428="","","{""item_id"":"&amp;Catalog!A428&amp;",""title"":"""&amp;SUBSTITUTE(Catalog!D428,"""","\""")&amp;""",""creator"":"""&amp;SUBSTITUTE(Catalog!F428,"""","\""")&amp;""",""language"":"""&amp;Catalog!M428&amp;""",""identifier"":"""&amp;Catalog!C428&amp;"""}")</f>
        <v/>
      </c>
    </row>
    <row r="433" spans="1:4" x14ac:dyDescent="0.25">
      <c r="A433" s="16" t="str">
        <f>Catalog!A429</f>
        <v/>
      </c>
      <c r="B433" s="16">
        <f>Catalog!D429</f>
        <v>0</v>
      </c>
      <c r="C433" s="16">
        <f>Catalog!F429</f>
        <v>0</v>
      </c>
      <c r="D433" s="19" t="str">
        <f>IF(Catalog!D429="","","{""item_id"":"&amp;Catalog!A429&amp;",""title"":"""&amp;SUBSTITUTE(Catalog!D429,"""","\""")&amp;""",""creator"":"""&amp;SUBSTITUTE(Catalog!F429,"""","\""")&amp;""",""language"":"""&amp;Catalog!M429&amp;""",""identifier"":"""&amp;Catalog!C429&amp;"""}")</f>
        <v/>
      </c>
    </row>
    <row r="434" spans="1:4" x14ac:dyDescent="0.25">
      <c r="A434" s="16" t="str">
        <f>Catalog!A430</f>
        <v/>
      </c>
      <c r="B434" s="16">
        <f>Catalog!D430</f>
        <v>0</v>
      </c>
      <c r="C434" s="16">
        <f>Catalog!F430</f>
        <v>0</v>
      </c>
      <c r="D434" s="19" t="str">
        <f>IF(Catalog!D430="","","{""item_id"":"&amp;Catalog!A430&amp;",""title"":"""&amp;SUBSTITUTE(Catalog!D430,"""","\""")&amp;""",""creator"":"""&amp;SUBSTITUTE(Catalog!F430,"""","\""")&amp;""",""language"":"""&amp;Catalog!M430&amp;""",""identifier"":"""&amp;Catalog!C430&amp;"""}")</f>
        <v/>
      </c>
    </row>
    <row r="435" spans="1:4" x14ac:dyDescent="0.25">
      <c r="A435" s="16" t="str">
        <f>Catalog!A431</f>
        <v/>
      </c>
      <c r="B435" s="16">
        <f>Catalog!D431</f>
        <v>0</v>
      </c>
      <c r="C435" s="16">
        <f>Catalog!F431</f>
        <v>0</v>
      </c>
      <c r="D435" s="19" t="str">
        <f>IF(Catalog!D431="","","{""item_id"":"&amp;Catalog!A431&amp;",""title"":"""&amp;SUBSTITUTE(Catalog!D431,"""","\""")&amp;""",""creator"":"""&amp;SUBSTITUTE(Catalog!F431,"""","\""")&amp;""",""language"":"""&amp;Catalog!M431&amp;""",""identifier"":"""&amp;Catalog!C431&amp;"""}")</f>
        <v/>
      </c>
    </row>
    <row r="436" spans="1:4" x14ac:dyDescent="0.25">
      <c r="A436" s="16" t="str">
        <f>Catalog!A432</f>
        <v/>
      </c>
      <c r="B436" s="16">
        <f>Catalog!D432</f>
        <v>0</v>
      </c>
      <c r="C436" s="16">
        <f>Catalog!F432</f>
        <v>0</v>
      </c>
      <c r="D436" s="19" t="str">
        <f>IF(Catalog!D432="","","{""item_id"":"&amp;Catalog!A432&amp;",""title"":"""&amp;SUBSTITUTE(Catalog!D432,"""","\""")&amp;""",""creator"":"""&amp;SUBSTITUTE(Catalog!F432,"""","\""")&amp;""",""language"":"""&amp;Catalog!M432&amp;""",""identifier"":"""&amp;Catalog!C432&amp;"""}")</f>
        <v/>
      </c>
    </row>
    <row r="437" spans="1:4" x14ac:dyDescent="0.25">
      <c r="A437" s="16" t="str">
        <f>Catalog!A433</f>
        <v/>
      </c>
      <c r="B437" s="16">
        <f>Catalog!D433</f>
        <v>0</v>
      </c>
      <c r="C437" s="16">
        <f>Catalog!F433</f>
        <v>0</v>
      </c>
      <c r="D437" s="19" t="str">
        <f>IF(Catalog!D433="","","{""item_id"":"&amp;Catalog!A433&amp;",""title"":"""&amp;SUBSTITUTE(Catalog!D433,"""","\""")&amp;""",""creator"":"""&amp;SUBSTITUTE(Catalog!F433,"""","\""")&amp;""",""language"":"""&amp;Catalog!M433&amp;""",""identifier"":"""&amp;Catalog!C433&amp;"""}")</f>
        <v/>
      </c>
    </row>
    <row r="438" spans="1:4" x14ac:dyDescent="0.25">
      <c r="A438" s="16" t="str">
        <f>Catalog!A434</f>
        <v/>
      </c>
      <c r="B438" s="16">
        <f>Catalog!D434</f>
        <v>0</v>
      </c>
      <c r="C438" s="16">
        <f>Catalog!F434</f>
        <v>0</v>
      </c>
      <c r="D438" s="19" t="str">
        <f>IF(Catalog!D434="","","{""item_id"":"&amp;Catalog!A434&amp;",""title"":"""&amp;SUBSTITUTE(Catalog!D434,"""","\""")&amp;""",""creator"":"""&amp;SUBSTITUTE(Catalog!F434,"""","\""")&amp;""",""language"":"""&amp;Catalog!M434&amp;""",""identifier"":"""&amp;Catalog!C434&amp;"""}")</f>
        <v/>
      </c>
    </row>
    <row r="439" spans="1:4" x14ac:dyDescent="0.25">
      <c r="A439" s="16" t="str">
        <f>Catalog!A435</f>
        <v/>
      </c>
      <c r="B439" s="16">
        <f>Catalog!D435</f>
        <v>0</v>
      </c>
      <c r="C439" s="16">
        <f>Catalog!F435</f>
        <v>0</v>
      </c>
      <c r="D439" s="19" t="str">
        <f>IF(Catalog!D435="","","{""item_id"":"&amp;Catalog!A435&amp;",""title"":"""&amp;SUBSTITUTE(Catalog!D435,"""","\""")&amp;""",""creator"":"""&amp;SUBSTITUTE(Catalog!F435,"""","\""")&amp;""",""language"":"""&amp;Catalog!M435&amp;""",""identifier"":"""&amp;Catalog!C435&amp;"""}")</f>
        <v/>
      </c>
    </row>
    <row r="440" spans="1:4" x14ac:dyDescent="0.25">
      <c r="A440" s="16" t="str">
        <f>Catalog!A436</f>
        <v/>
      </c>
      <c r="B440" s="16">
        <f>Catalog!D436</f>
        <v>0</v>
      </c>
      <c r="C440" s="16">
        <f>Catalog!F436</f>
        <v>0</v>
      </c>
      <c r="D440" s="19" t="str">
        <f>IF(Catalog!D436="","","{""item_id"":"&amp;Catalog!A436&amp;",""title"":"""&amp;SUBSTITUTE(Catalog!D436,"""","\""")&amp;""",""creator"":"""&amp;SUBSTITUTE(Catalog!F436,"""","\""")&amp;""",""language"":"""&amp;Catalog!M436&amp;""",""identifier"":"""&amp;Catalog!C436&amp;"""}")</f>
        <v/>
      </c>
    </row>
    <row r="441" spans="1:4" x14ac:dyDescent="0.25">
      <c r="A441" s="16" t="str">
        <f>Catalog!A437</f>
        <v/>
      </c>
      <c r="B441" s="16">
        <f>Catalog!D437</f>
        <v>0</v>
      </c>
      <c r="C441" s="16">
        <f>Catalog!F437</f>
        <v>0</v>
      </c>
      <c r="D441" s="19" t="str">
        <f>IF(Catalog!D437="","","{""item_id"":"&amp;Catalog!A437&amp;",""title"":"""&amp;SUBSTITUTE(Catalog!D437,"""","\""")&amp;""",""creator"":"""&amp;SUBSTITUTE(Catalog!F437,"""","\""")&amp;""",""language"":"""&amp;Catalog!M437&amp;""",""identifier"":"""&amp;Catalog!C437&amp;"""}")</f>
        <v/>
      </c>
    </row>
    <row r="442" spans="1:4" x14ac:dyDescent="0.25">
      <c r="A442" s="16" t="str">
        <f>Catalog!A438</f>
        <v/>
      </c>
      <c r="B442" s="16">
        <f>Catalog!D438</f>
        <v>0</v>
      </c>
      <c r="C442" s="16">
        <f>Catalog!F438</f>
        <v>0</v>
      </c>
      <c r="D442" s="19" t="str">
        <f>IF(Catalog!D438="","","{""item_id"":"&amp;Catalog!A438&amp;",""title"":"""&amp;SUBSTITUTE(Catalog!D438,"""","\""")&amp;""",""creator"":"""&amp;SUBSTITUTE(Catalog!F438,"""","\""")&amp;""",""language"":"""&amp;Catalog!M438&amp;""",""identifier"":"""&amp;Catalog!C438&amp;"""}")</f>
        <v/>
      </c>
    </row>
    <row r="443" spans="1:4" x14ac:dyDescent="0.25">
      <c r="A443" s="16" t="str">
        <f>Catalog!A439</f>
        <v/>
      </c>
      <c r="B443" s="16">
        <f>Catalog!D439</f>
        <v>0</v>
      </c>
      <c r="C443" s="16">
        <f>Catalog!F439</f>
        <v>0</v>
      </c>
      <c r="D443" s="19" t="str">
        <f>IF(Catalog!D439="","","{""item_id"":"&amp;Catalog!A439&amp;",""title"":"""&amp;SUBSTITUTE(Catalog!D439,"""","\""")&amp;""",""creator"":"""&amp;SUBSTITUTE(Catalog!F439,"""","\""")&amp;""",""language"":"""&amp;Catalog!M439&amp;""",""identifier"":"""&amp;Catalog!C439&amp;"""}")</f>
        <v/>
      </c>
    </row>
    <row r="444" spans="1:4" x14ac:dyDescent="0.25">
      <c r="A444" s="16" t="str">
        <f>Catalog!A440</f>
        <v/>
      </c>
      <c r="B444" s="16">
        <f>Catalog!D440</f>
        <v>0</v>
      </c>
      <c r="C444" s="16">
        <f>Catalog!F440</f>
        <v>0</v>
      </c>
      <c r="D444" s="19" t="str">
        <f>IF(Catalog!D440="","","{""item_id"":"&amp;Catalog!A440&amp;",""title"":"""&amp;SUBSTITUTE(Catalog!D440,"""","\""")&amp;""",""creator"":"""&amp;SUBSTITUTE(Catalog!F440,"""","\""")&amp;""",""language"":"""&amp;Catalog!M440&amp;""",""identifier"":"""&amp;Catalog!C440&amp;"""}")</f>
        <v/>
      </c>
    </row>
    <row r="445" spans="1:4" x14ac:dyDescent="0.25">
      <c r="A445" s="16" t="str">
        <f>Catalog!A441</f>
        <v/>
      </c>
      <c r="B445" s="16">
        <f>Catalog!D441</f>
        <v>0</v>
      </c>
      <c r="C445" s="16">
        <f>Catalog!F441</f>
        <v>0</v>
      </c>
      <c r="D445" s="19" t="str">
        <f>IF(Catalog!D441="","","{""item_id"":"&amp;Catalog!A441&amp;",""title"":"""&amp;SUBSTITUTE(Catalog!D441,"""","\""")&amp;""",""creator"":"""&amp;SUBSTITUTE(Catalog!F441,"""","\""")&amp;""",""language"":"""&amp;Catalog!M441&amp;""",""identifier"":"""&amp;Catalog!C441&amp;"""}")</f>
        <v/>
      </c>
    </row>
    <row r="446" spans="1:4" x14ac:dyDescent="0.25">
      <c r="A446" s="16" t="str">
        <f>Catalog!A442</f>
        <v/>
      </c>
      <c r="B446" s="16">
        <f>Catalog!D442</f>
        <v>0</v>
      </c>
      <c r="C446" s="16">
        <f>Catalog!F442</f>
        <v>0</v>
      </c>
      <c r="D446" s="19" t="str">
        <f>IF(Catalog!D442="","","{""item_id"":"&amp;Catalog!A442&amp;",""title"":"""&amp;SUBSTITUTE(Catalog!D442,"""","\""")&amp;""",""creator"":"""&amp;SUBSTITUTE(Catalog!F442,"""","\""")&amp;""",""language"":"""&amp;Catalog!M442&amp;""",""identifier"":"""&amp;Catalog!C442&amp;"""}")</f>
        <v/>
      </c>
    </row>
    <row r="447" spans="1:4" x14ac:dyDescent="0.25">
      <c r="A447" s="16" t="str">
        <f>Catalog!A443</f>
        <v/>
      </c>
      <c r="B447" s="16">
        <f>Catalog!D443</f>
        <v>0</v>
      </c>
      <c r="C447" s="16">
        <f>Catalog!F443</f>
        <v>0</v>
      </c>
      <c r="D447" s="19" t="str">
        <f>IF(Catalog!D443="","","{""item_id"":"&amp;Catalog!A443&amp;",""title"":"""&amp;SUBSTITUTE(Catalog!D443,"""","\""")&amp;""",""creator"":"""&amp;SUBSTITUTE(Catalog!F443,"""","\""")&amp;""",""language"":"""&amp;Catalog!M443&amp;""",""identifier"":"""&amp;Catalog!C443&amp;"""}")</f>
        <v/>
      </c>
    </row>
    <row r="448" spans="1:4" x14ac:dyDescent="0.25">
      <c r="A448" s="16" t="str">
        <f>Catalog!A444</f>
        <v/>
      </c>
      <c r="B448" s="16">
        <f>Catalog!D444</f>
        <v>0</v>
      </c>
      <c r="C448" s="16">
        <f>Catalog!F444</f>
        <v>0</v>
      </c>
      <c r="D448" s="19" t="str">
        <f>IF(Catalog!D444="","","{""item_id"":"&amp;Catalog!A444&amp;",""title"":"""&amp;SUBSTITUTE(Catalog!D444,"""","\""")&amp;""",""creator"":"""&amp;SUBSTITUTE(Catalog!F444,"""","\""")&amp;""",""language"":"""&amp;Catalog!M444&amp;""",""identifier"":"""&amp;Catalog!C444&amp;"""}")</f>
        <v/>
      </c>
    </row>
    <row r="449" spans="1:4" x14ac:dyDescent="0.25">
      <c r="A449" s="16" t="str">
        <f>Catalog!A445</f>
        <v/>
      </c>
      <c r="B449" s="16">
        <f>Catalog!D445</f>
        <v>0</v>
      </c>
      <c r="C449" s="16">
        <f>Catalog!F445</f>
        <v>0</v>
      </c>
      <c r="D449" s="19" t="str">
        <f>IF(Catalog!D445="","","{""item_id"":"&amp;Catalog!A445&amp;",""title"":"""&amp;SUBSTITUTE(Catalog!D445,"""","\""")&amp;""",""creator"":"""&amp;SUBSTITUTE(Catalog!F445,"""","\""")&amp;""",""language"":"""&amp;Catalog!M445&amp;""",""identifier"":"""&amp;Catalog!C445&amp;"""}")</f>
        <v/>
      </c>
    </row>
    <row r="450" spans="1:4" x14ac:dyDescent="0.25">
      <c r="A450" s="16" t="str">
        <f>Catalog!A446</f>
        <v/>
      </c>
      <c r="B450" s="16">
        <f>Catalog!D446</f>
        <v>0</v>
      </c>
      <c r="C450" s="16">
        <f>Catalog!F446</f>
        <v>0</v>
      </c>
      <c r="D450" s="19" t="str">
        <f>IF(Catalog!D446="","","{""item_id"":"&amp;Catalog!A446&amp;",""title"":"""&amp;SUBSTITUTE(Catalog!D446,"""","\""")&amp;""",""creator"":"""&amp;SUBSTITUTE(Catalog!F446,"""","\""")&amp;""",""language"":"""&amp;Catalog!M446&amp;""",""identifier"":"""&amp;Catalog!C446&amp;"""}")</f>
        <v/>
      </c>
    </row>
    <row r="451" spans="1:4" x14ac:dyDescent="0.25">
      <c r="A451" s="16" t="str">
        <f>Catalog!A447</f>
        <v/>
      </c>
      <c r="B451" s="16">
        <f>Catalog!D447</f>
        <v>0</v>
      </c>
      <c r="C451" s="16">
        <f>Catalog!F447</f>
        <v>0</v>
      </c>
      <c r="D451" s="19" t="str">
        <f>IF(Catalog!D447="","","{""item_id"":"&amp;Catalog!A447&amp;",""title"":"""&amp;SUBSTITUTE(Catalog!D447,"""","\""")&amp;""",""creator"":"""&amp;SUBSTITUTE(Catalog!F447,"""","\""")&amp;""",""language"":"""&amp;Catalog!M447&amp;""",""identifier"":"""&amp;Catalog!C447&amp;"""}")</f>
        <v/>
      </c>
    </row>
    <row r="452" spans="1:4" x14ac:dyDescent="0.25">
      <c r="A452" s="16" t="str">
        <f>Catalog!A448</f>
        <v/>
      </c>
      <c r="B452" s="16">
        <f>Catalog!D448</f>
        <v>0</v>
      </c>
      <c r="C452" s="16">
        <f>Catalog!F448</f>
        <v>0</v>
      </c>
      <c r="D452" s="19" t="str">
        <f>IF(Catalog!D448="","","{""item_id"":"&amp;Catalog!A448&amp;",""title"":"""&amp;SUBSTITUTE(Catalog!D448,"""","\""")&amp;""",""creator"":"""&amp;SUBSTITUTE(Catalog!F448,"""","\""")&amp;""",""language"":"""&amp;Catalog!M448&amp;""",""identifier"":"""&amp;Catalog!C448&amp;"""}")</f>
        <v/>
      </c>
    </row>
    <row r="453" spans="1:4" x14ac:dyDescent="0.25">
      <c r="A453" s="16" t="str">
        <f>Catalog!A449</f>
        <v/>
      </c>
      <c r="B453" s="16">
        <f>Catalog!D449</f>
        <v>0</v>
      </c>
      <c r="C453" s="16">
        <f>Catalog!F449</f>
        <v>0</v>
      </c>
      <c r="D453" s="19" t="str">
        <f>IF(Catalog!D449="","","{""item_id"":"&amp;Catalog!A449&amp;",""title"":"""&amp;SUBSTITUTE(Catalog!D449,"""","\""")&amp;""",""creator"":"""&amp;SUBSTITUTE(Catalog!F449,"""","\""")&amp;""",""language"":"""&amp;Catalog!M449&amp;""",""identifier"":"""&amp;Catalog!C449&amp;"""}")</f>
        <v/>
      </c>
    </row>
    <row r="454" spans="1:4" x14ac:dyDescent="0.25">
      <c r="A454" s="16" t="str">
        <f>Catalog!A450</f>
        <v/>
      </c>
      <c r="B454" s="16">
        <f>Catalog!D450</f>
        <v>0</v>
      </c>
      <c r="C454" s="16">
        <f>Catalog!F450</f>
        <v>0</v>
      </c>
      <c r="D454" s="19" t="str">
        <f>IF(Catalog!D450="","","{""item_id"":"&amp;Catalog!A450&amp;",""title"":"""&amp;SUBSTITUTE(Catalog!D450,"""","\""")&amp;""",""creator"":"""&amp;SUBSTITUTE(Catalog!F450,"""","\""")&amp;""",""language"":"""&amp;Catalog!M450&amp;""",""identifier"":"""&amp;Catalog!C450&amp;"""}")</f>
        <v/>
      </c>
    </row>
    <row r="455" spans="1:4" x14ac:dyDescent="0.25">
      <c r="A455" s="16" t="str">
        <f>Catalog!A451</f>
        <v/>
      </c>
      <c r="B455" s="16">
        <f>Catalog!D451</f>
        <v>0</v>
      </c>
      <c r="C455" s="16">
        <f>Catalog!F451</f>
        <v>0</v>
      </c>
      <c r="D455" s="19" t="str">
        <f>IF(Catalog!D451="","","{""item_id"":"&amp;Catalog!A451&amp;",""title"":"""&amp;SUBSTITUTE(Catalog!D451,"""","\""")&amp;""",""creator"":"""&amp;SUBSTITUTE(Catalog!F451,"""","\""")&amp;""",""language"":"""&amp;Catalog!M451&amp;""",""identifier"":"""&amp;Catalog!C451&amp;"""}")</f>
        <v/>
      </c>
    </row>
    <row r="456" spans="1:4" x14ac:dyDescent="0.25">
      <c r="A456" s="16" t="str">
        <f>Catalog!A452</f>
        <v/>
      </c>
      <c r="B456" s="16">
        <f>Catalog!D452</f>
        <v>0</v>
      </c>
      <c r="C456" s="16">
        <f>Catalog!F452</f>
        <v>0</v>
      </c>
      <c r="D456" s="19" t="str">
        <f>IF(Catalog!D452="","","{""item_id"":"&amp;Catalog!A452&amp;",""title"":"""&amp;SUBSTITUTE(Catalog!D452,"""","\""")&amp;""",""creator"":"""&amp;SUBSTITUTE(Catalog!F452,"""","\""")&amp;""",""language"":"""&amp;Catalog!M452&amp;""",""identifier"":"""&amp;Catalog!C452&amp;"""}")</f>
        <v/>
      </c>
    </row>
    <row r="457" spans="1:4" x14ac:dyDescent="0.25">
      <c r="A457" s="16" t="str">
        <f>Catalog!A453</f>
        <v/>
      </c>
      <c r="B457" s="16">
        <f>Catalog!D453</f>
        <v>0</v>
      </c>
      <c r="C457" s="16">
        <f>Catalog!F453</f>
        <v>0</v>
      </c>
      <c r="D457" s="19" t="str">
        <f>IF(Catalog!D453="","","{""item_id"":"&amp;Catalog!A453&amp;",""title"":"""&amp;SUBSTITUTE(Catalog!D453,"""","\""")&amp;""",""creator"":"""&amp;SUBSTITUTE(Catalog!F453,"""","\""")&amp;""",""language"":"""&amp;Catalog!M453&amp;""",""identifier"":"""&amp;Catalog!C453&amp;"""}")</f>
        <v/>
      </c>
    </row>
    <row r="458" spans="1:4" x14ac:dyDescent="0.25">
      <c r="A458" s="16" t="str">
        <f>Catalog!A454</f>
        <v/>
      </c>
      <c r="B458" s="16">
        <f>Catalog!D454</f>
        <v>0</v>
      </c>
      <c r="C458" s="16">
        <f>Catalog!F454</f>
        <v>0</v>
      </c>
      <c r="D458" s="19" t="str">
        <f>IF(Catalog!D454="","","{""item_id"":"&amp;Catalog!A454&amp;",""title"":"""&amp;SUBSTITUTE(Catalog!D454,"""","\""")&amp;""",""creator"":"""&amp;SUBSTITUTE(Catalog!F454,"""","\""")&amp;""",""language"":"""&amp;Catalog!M454&amp;""",""identifier"":"""&amp;Catalog!C454&amp;"""}")</f>
        <v/>
      </c>
    </row>
    <row r="459" spans="1:4" x14ac:dyDescent="0.25">
      <c r="A459" s="16" t="str">
        <f>Catalog!A455</f>
        <v/>
      </c>
      <c r="B459" s="16">
        <f>Catalog!D455</f>
        <v>0</v>
      </c>
      <c r="C459" s="16">
        <f>Catalog!F455</f>
        <v>0</v>
      </c>
      <c r="D459" s="19" t="str">
        <f>IF(Catalog!D455="","","{""item_id"":"&amp;Catalog!A455&amp;",""title"":"""&amp;SUBSTITUTE(Catalog!D455,"""","\""")&amp;""",""creator"":"""&amp;SUBSTITUTE(Catalog!F455,"""","\""")&amp;""",""language"":"""&amp;Catalog!M455&amp;""",""identifier"":"""&amp;Catalog!C455&amp;"""}")</f>
        <v/>
      </c>
    </row>
    <row r="460" spans="1:4" x14ac:dyDescent="0.25">
      <c r="A460" s="16" t="str">
        <f>Catalog!A456</f>
        <v/>
      </c>
      <c r="B460" s="16">
        <f>Catalog!D456</f>
        <v>0</v>
      </c>
      <c r="C460" s="16">
        <f>Catalog!F456</f>
        <v>0</v>
      </c>
      <c r="D460" s="19" t="str">
        <f>IF(Catalog!D456="","","{""item_id"":"&amp;Catalog!A456&amp;",""title"":"""&amp;SUBSTITUTE(Catalog!D456,"""","\""")&amp;""",""creator"":"""&amp;SUBSTITUTE(Catalog!F456,"""","\""")&amp;""",""language"":"""&amp;Catalog!M456&amp;""",""identifier"":"""&amp;Catalog!C456&amp;"""}")</f>
        <v/>
      </c>
    </row>
    <row r="461" spans="1:4" x14ac:dyDescent="0.25">
      <c r="A461" s="16" t="str">
        <f>Catalog!A457</f>
        <v/>
      </c>
      <c r="B461" s="16">
        <f>Catalog!D457</f>
        <v>0</v>
      </c>
      <c r="C461" s="16">
        <f>Catalog!F457</f>
        <v>0</v>
      </c>
      <c r="D461" s="19" t="str">
        <f>IF(Catalog!D457="","","{""item_id"":"&amp;Catalog!A457&amp;",""title"":"""&amp;SUBSTITUTE(Catalog!D457,"""","\""")&amp;""",""creator"":"""&amp;SUBSTITUTE(Catalog!F457,"""","\""")&amp;""",""language"":"""&amp;Catalog!M457&amp;""",""identifier"":"""&amp;Catalog!C457&amp;"""}")</f>
        <v/>
      </c>
    </row>
    <row r="462" spans="1:4" x14ac:dyDescent="0.25">
      <c r="A462" s="16" t="str">
        <f>Catalog!A458</f>
        <v/>
      </c>
      <c r="B462" s="16">
        <f>Catalog!D458</f>
        <v>0</v>
      </c>
      <c r="C462" s="16">
        <f>Catalog!F458</f>
        <v>0</v>
      </c>
      <c r="D462" s="19" t="str">
        <f>IF(Catalog!D458="","","{""item_id"":"&amp;Catalog!A458&amp;",""title"":"""&amp;SUBSTITUTE(Catalog!D458,"""","\""")&amp;""",""creator"":"""&amp;SUBSTITUTE(Catalog!F458,"""","\""")&amp;""",""language"":"""&amp;Catalog!M458&amp;""",""identifier"":"""&amp;Catalog!C458&amp;"""}")</f>
        <v/>
      </c>
    </row>
    <row r="463" spans="1:4" x14ac:dyDescent="0.25">
      <c r="A463" s="16" t="str">
        <f>Catalog!A459</f>
        <v/>
      </c>
      <c r="B463" s="16">
        <f>Catalog!D459</f>
        <v>0</v>
      </c>
      <c r="C463" s="16">
        <f>Catalog!F459</f>
        <v>0</v>
      </c>
      <c r="D463" s="19" t="str">
        <f>IF(Catalog!D459="","","{""item_id"":"&amp;Catalog!A459&amp;",""title"":"""&amp;SUBSTITUTE(Catalog!D459,"""","\""")&amp;""",""creator"":"""&amp;SUBSTITUTE(Catalog!F459,"""","\""")&amp;""",""language"":"""&amp;Catalog!M459&amp;""",""identifier"":"""&amp;Catalog!C459&amp;"""}")</f>
        <v/>
      </c>
    </row>
    <row r="464" spans="1:4" x14ac:dyDescent="0.25">
      <c r="A464" s="16" t="str">
        <f>Catalog!A460</f>
        <v/>
      </c>
      <c r="B464" s="16">
        <f>Catalog!D460</f>
        <v>0</v>
      </c>
      <c r="C464" s="16">
        <f>Catalog!F460</f>
        <v>0</v>
      </c>
      <c r="D464" s="19" t="str">
        <f>IF(Catalog!D460="","","{""item_id"":"&amp;Catalog!A460&amp;",""title"":"""&amp;SUBSTITUTE(Catalog!D460,"""","\""")&amp;""",""creator"":"""&amp;SUBSTITUTE(Catalog!F460,"""","\""")&amp;""",""language"":"""&amp;Catalog!M460&amp;""",""identifier"":"""&amp;Catalog!C460&amp;"""}")</f>
        <v/>
      </c>
    </row>
    <row r="465" spans="1:4" x14ac:dyDescent="0.25">
      <c r="A465" s="16" t="str">
        <f>Catalog!A461</f>
        <v/>
      </c>
      <c r="B465" s="16">
        <f>Catalog!D461</f>
        <v>0</v>
      </c>
      <c r="C465" s="16">
        <f>Catalog!F461</f>
        <v>0</v>
      </c>
      <c r="D465" s="19" t="str">
        <f>IF(Catalog!D461="","","{""item_id"":"&amp;Catalog!A461&amp;",""title"":"""&amp;SUBSTITUTE(Catalog!D461,"""","\""")&amp;""",""creator"":"""&amp;SUBSTITUTE(Catalog!F461,"""","\""")&amp;""",""language"":"""&amp;Catalog!M461&amp;""",""identifier"":"""&amp;Catalog!C461&amp;"""}")</f>
        <v/>
      </c>
    </row>
    <row r="466" spans="1:4" x14ac:dyDescent="0.25">
      <c r="A466" s="16" t="str">
        <f>Catalog!A462</f>
        <v/>
      </c>
      <c r="B466" s="16">
        <f>Catalog!D462</f>
        <v>0</v>
      </c>
      <c r="C466" s="16">
        <f>Catalog!F462</f>
        <v>0</v>
      </c>
      <c r="D466" s="19" t="str">
        <f>IF(Catalog!D462="","","{""item_id"":"&amp;Catalog!A462&amp;",""title"":"""&amp;SUBSTITUTE(Catalog!D462,"""","\""")&amp;""",""creator"":"""&amp;SUBSTITUTE(Catalog!F462,"""","\""")&amp;""",""language"":"""&amp;Catalog!M462&amp;""",""identifier"":"""&amp;Catalog!C462&amp;"""}")</f>
        <v/>
      </c>
    </row>
    <row r="467" spans="1:4" x14ac:dyDescent="0.25">
      <c r="A467" s="16" t="str">
        <f>Catalog!A463</f>
        <v/>
      </c>
      <c r="B467" s="16">
        <f>Catalog!D463</f>
        <v>0</v>
      </c>
      <c r="C467" s="16">
        <f>Catalog!F463</f>
        <v>0</v>
      </c>
      <c r="D467" s="19" t="str">
        <f>IF(Catalog!D463="","","{""item_id"":"&amp;Catalog!A463&amp;",""title"":"""&amp;SUBSTITUTE(Catalog!D463,"""","\""")&amp;""",""creator"":"""&amp;SUBSTITUTE(Catalog!F463,"""","\""")&amp;""",""language"":"""&amp;Catalog!M463&amp;""",""identifier"":"""&amp;Catalog!C463&amp;"""}")</f>
        <v/>
      </c>
    </row>
    <row r="468" spans="1:4" x14ac:dyDescent="0.25">
      <c r="A468" s="16" t="str">
        <f>Catalog!A464</f>
        <v/>
      </c>
      <c r="B468" s="16">
        <f>Catalog!D464</f>
        <v>0</v>
      </c>
      <c r="C468" s="16">
        <f>Catalog!F464</f>
        <v>0</v>
      </c>
      <c r="D468" s="19" t="str">
        <f>IF(Catalog!D464="","","{""item_id"":"&amp;Catalog!A464&amp;",""title"":"""&amp;SUBSTITUTE(Catalog!D464,"""","\""")&amp;""",""creator"":"""&amp;SUBSTITUTE(Catalog!F464,"""","\""")&amp;""",""language"":"""&amp;Catalog!M464&amp;""",""identifier"":"""&amp;Catalog!C464&amp;"""}")</f>
        <v/>
      </c>
    </row>
    <row r="469" spans="1:4" x14ac:dyDescent="0.25">
      <c r="A469" s="16" t="str">
        <f>Catalog!A465</f>
        <v/>
      </c>
      <c r="B469" s="16">
        <f>Catalog!D465</f>
        <v>0</v>
      </c>
      <c r="C469" s="16">
        <f>Catalog!F465</f>
        <v>0</v>
      </c>
      <c r="D469" s="19" t="str">
        <f>IF(Catalog!D465="","","{""item_id"":"&amp;Catalog!A465&amp;",""title"":"""&amp;SUBSTITUTE(Catalog!D465,"""","\""")&amp;""",""creator"":"""&amp;SUBSTITUTE(Catalog!F465,"""","\""")&amp;""",""language"":"""&amp;Catalog!M465&amp;""",""identifier"":"""&amp;Catalog!C465&amp;"""}")</f>
        <v/>
      </c>
    </row>
    <row r="470" spans="1:4" x14ac:dyDescent="0.25">
      <c r="A470" s="16" t="str">
        <f>Catalog!A466</f>
        <v/>
      </c>
      <c r="B470" s="16">
        <f>Catalog!D466</f>
        <v>0</v>
      </c>
      <c r="C470" s="16">
        <f>Catalog!F466</f>
        <v>0</v>
      </c>
      <c r="D470" s="19" t="str">
        <f>IF(Catalog!D466="","","{""item_id"":"&amp;Catalog!A466&amp;",""title"":"""&amp;SUBSTITUTE(Catalog!D466,"""","\""")&amp;""",""creator"":"""&amp;SUBSTITUTE(Catalog!F466,"""","\""")&amp;""",""language"":"""&amp;Catalog!M466&amp;""",""identifier"":"""&amp;Catalog!C466&amp;"""}")</f>
        <v/>
      </c>
    </row>
    <row r="471" spans="1:4" x14ac:dyDescent="0.25">
      <c r="A471" s="16" t="str">
        <f>Catalog!A467</f>
        <v/>
      </c>
      <c r="B471" s="16">
        <f>Catalog!D467</f>
        <v>0</v>
      </c>
      <c r="C471" s="16">
        <f>Catalog!F467</f>
        <v>0</v>
      </c>
      <c r="D471" s="19" t="str">
        <f>IF(Catalog!D467="","","{""item_id"":"&amp;Catalog!A467&amp;",""title"":"""&amp;SUBSTITUTE(Catalog!D467,"""","\""")&amp;""",""creator"":"""&amp;SUBSTITUTE(Catalog!F467,"""","\""")&amp;""",""language"":"""&amp;Catalog!M467&amp;""",""identifier"":"""&amp;Catalog!C467&amp;"""}")</f>
        <v/>
      </c>
    </row>
    <row r="472" spans="1:4" x14ac:dyDescent="0.25">
      <c r="A472" s="16" t="str">
        <f>Catalog!A468</f>
        <v/>
      </c>
      <c r="B472" s="16">
        <f>Catalog!D468</f>
        <v>0</v>
      </c>
      <c r="C472" s="16">
        <f>Catalog!F468</f>
        <v>0</v>
      </c>
      <c r="D472" s="19" t="str">
        <f>IF(Catalog!D468="","","{""item_id"":"&amp;Catalog!A468&amp;",""title"":"""&amp;SUBSTITUTE(Catalog!D468,"""","\""")&amp;""",""creator"":"""&amp;SUBSTITUTE(Catalog!F468,"""","\""")&amp;""",""language"":"""&amp;Catalog!M468&amp;""",""identifier"":"""&amp;Catalog!C468&amp;"""}")</f>
        <v/>
      </c>
    </row>
    <row r="473" spans="1:4" x14ac:dyDescent="0.25">
      <c r="A473" s="16" t="str">
        <f>Catalog!A469</f>
        <v/>
      </c>
      <c r="B473" s="16">
        <f>Catalog!D469</f>
        <v>0</v>
      </c>
      <c r="C473" s="16">
        <f>Catalog!F469</f>
        <v>0</v>
      </c>
      <c r="D473" s="19" t="str">
        <f>IF(Catalog!D469="","","{""item_id"":"&amp;Catalog!A469&amp;",""title"":"""&amp;SUBSTITUTE(Catalog!D469,"""","\""")&amp;""",""creator"":"""&amp;SUBSTITUTE(Catalog!F469,"""","\""")&amp;""",""language"":"""&amp;Catalog!M469&amp;""",""identifier"":"""&amp;Catalog!C469&amp;"""}")</f>
        <v/>
      </c>
    </row>
    <row r="474" spans="1:4" x14ac:dyDescent="0.25">
      <c r="A474" s="16" t="str">
        <f>Catalog!A470</f>
        <v/>
      </c>
      <c r="B474" s="16">
        <f>Catalog!D470</f>
        <v>0</v>
      </c>
      <c r="C474" s="16">
        <f>Catalog!F470</f>
        <v>0</v>
      </c>
      <c r="D474" s="19" t="str">
        <f>IF(Catalog!D470="","","{""item_id"":"&amp;Catalog!A470&amp;",""title"":"""&amp;SUBSTITUTE(Catalog!D470,"""","\""")&amp;""",""creator"":"""&amp;SUBSTITUTE(Catalog!F470,"""","\""")&amp;""",""language"":"""&amp;Catalog!M470&amp;""",""identifier"":"""&amp;Catalog!C470&amp;"""}")</f>
        <v/>
      </c>
    </row>
    <row r="475" spans="1:4" x14ac:dyDescent="0.25">
      <c r="A475" s="16" t="str">
        <f>Catalog!A471</f>
        <v/>
      </c>
      <c r="B475" s="16">
        <f>Catalog!D471</f>
        <v>0</v>
      </c>
      <c r="C475" s="16">
        <f>Catalog!F471</f>
        <v>0</v>
      </c>
      <c r="D475" s="19" t="str">
        <f>IF(Catalog!D471="","","{""item_id"":"&amp;Catalog!A471&amp;",""title"":"""&amp;SUBSTITUTE(Catalog!D471,"""","\""")&amp;""",""creator"":"""&amp;SUBSTITUTE(Catalog!F471,"""","\""")&amp;""",""language"":"""&amp;Catalog!M471&amp;""",""identifier"":"""&amp;Catalog!C471&amp;"""}")</f>
        <v/>
      </c>
    </row>
    <row r="476" spans="1:4" x14ac:dyDescent="0.25">
      <c r="A476" s="16" t="str">
        <f>Catalog!A472</f>
        <v/>
      </c>
      <c r="B476" s="16">
        <f>Catalog!D472</f>
        <v>0</v>
      </c>
      <c r="C476" s="16">
        <f>Catalog!F472</f>
        <v>0</v>
      </c>
      <c r="D476" s="19" t="str">
        <f>IF(Catalog!D472="","","{""item_id"":"&amp;Catalog!A472&amp;",""title"":"""&amp;SUBSTITUTE(Catalog!D472,"""","\""")&amp;""",""creator"":"""&amp;SUBSTITUTE(Catalog!F472,"""","\""")&amp;""",""language"":"""&amp;Catalog!M472&amp;""",""identifier"":"""&amp;Catalog!C472&amp;"""}")</f>
        <v/>
      </c>
    </row>
    <row r="477" spans="1:4" x14ac:dyDescent="0.25">
      <c r="A477" s="16" t="str">
        <f>Catalog!A473</f>
        <v/>
      </c>
      <c r="B477" s="16">
        <f>Catalog!D473</f>
        <v>0</v>
      </c>
      <c r="C477" s="16">
        <f>Catalog!F473</f>
        <v>0</v>
      </c>
      <c r="D477" s="19" t="str">
        <f>IF(Catalog!D473="","","{""item_id"":"&amp;Catalog!A473&amp;",""title"":"""&amp;SUBSTITUTE(Catalog!D473,"""","\""")&amp;""",""creator"":"""&amp;SUBSTITUTE(Catalog!F473,"""","\""")&amp;""",""language"":"""&amp;Catalog!M473&amp;""",""identifier"":"""&amp;Catalog!C473&amp;"""}")</f>
        <v/>
      </c>
    </row>
    <row r="478" spans="1:4" x14ac:dyDescent="0.25">
      <c r="A478" s="16" t="str">
        <f>Catalog!A474</f>
        <v/>
      </c>
      <c r="B478" s="16">
        <f>Catalog!D474</f>
        <v>0</v>
      </c>
      <c r="C478" s="16">
        <f>Catalog!F474</f>
        <v>0</v>
      </c>
      <c r="D478" s="19" t="str">
        <f>IF(Catalog!D474="","","{""item_id"":"&amp;Catalog!A474&amp;",""title"":"""&amp;SUBSTITUTE(Catalog!D474,"""","\""")&amp;""",""creator"":"""&amp;SUBSTITUTE(Catalog!F474,"""","\""")&amp;""",""language"":"""&amp;Catalog!M474&amp;""",""identifier"":"""&amp;Catalog!C474&amp;"""}")</f>
        <v/>
      </c>
    </row>
    <row r="479" spans="1:4" x14ac:dyDescent="0.25">
      <c r="A479" s="16" t="str">
        <f>Catalog!A475</f>
        <v/>
      </c>
      <c r="B479" s="16">
        <f>Catalog!D475</f>
        <v>0</v>
      </c>
      <c r="C479" s="16">
        <f>Catalog!F475</f>
        <v>0</v>
      </c>
      <c r="D479" s="19" t="str">
        <f>IF(Catalog!D475="","","{""item_id"":"&amp;Catalog!A475&amp;",""title"":"""&amp;SUBSTITUTE(Catalog!D475,"""","\""")&amp;""",""creator"":"""&amp;SUBSTITUTE(Catalog!F475,"""","\""")&amp;""",""language"":"""&amp;Catalog!M475&amp;""",""identifier"":"""&amp;Catalog!C475&amp;"""}")</f>
        <v/>
      </c>
    </row>
    <row r="480" spans="1:4" x14ac:dyDescent="0.25">
      <c r="A480" s="16" t="str">
        <f>Catalog!A476</f>
        <v/>
      </c>
      <c r="B480" s="16">
        <f>Catalog!D476</f>
        <v>0</v>
      </c>
      <c r="C480" s="16">
        <f>Catalog!F476</f>
        <v>0</v>
      </c>
      <c r="D480" s="19" t="str">
        <f>IF(Catalog!D476="","","{""item_id"":"&amp;Catalog!A476&amp;",""title"":"""&amp;SUBSTITUTE(Catalog!D476,"""","\""")&amp;""",""creator"":"""&amp;SUBSTITUTE(Catalog!F476,"""","\""")&amp;""",""language"":"""&amp;Catalog!M476&amp;""",""identifier"":"""&amp;Catalog!C476&amp;"""}")</f>
        <v/>
      </c>
    </row>
    <row r="481" spans="1:4" x14ac:dyDescent="0.25">
      <c r="A481" s="16" t="str">
        <f>Catalog!A477</f>
        <v/>
      </c>
      <c r="B481" s="16">
        <f>Catalog!D477</f>
        <v>0</v>
      </c>
      <c r="C481" s="16">
        <f>Catalog!F477</f>
        <v>0</v>
      </c>
      <c r="D481" s="19" t="str">
        <f>IF(Catalog!D477="","","{""item_id"":"&amp;Catalog!A477&amp;",""title"":"""&amp;SUBSTITUTE(Catalog!D477,"""","\""")&amp;""",""creator"":"""&amp;SUBSTITUTE(Catalog!F477,"""","\""")&amp;""",""language"":"""&amp;Catalog!M477&amp;""",""identifier"":"""&amp;Catalog!C477&amp;"""}")</f>
        <v/>
      </c>
    </row>
    <row r="482" spans="1:4" x14ac:dyDescent="0.25">
      <c r="A482" s="16" t="str">
        <f>Catalog!A478</f>
        <v/>
      </c>
      <c r="B482" s="16">
        <f>Catalog!D478</f>
        <v>0</v>
      </c>
      <c r="C482" s="16">
        <f>Catalog!F478</f>
        <v>0</v>
      </c>
      <c r="D482" s="19" t="str">
        <f>IF(Catalog!D478="","","{""item_id"":"&amp;Catalog!A478&amp;",""title"":"""&amp;SUBSTITUTE(Catalog!D478,"""","\""")&amp;""",""creator"":"""&amp;SUBSTITUTE(Catalog!F478,"""","\""")&amp;""",""language"":"""&amp;Catalog!M478&amp;""",""identifier"":"""&amp;Catalog!C478&amp;"""}")</f>
        <v/>
      </c>
    </row>
    <row r="483" spans="1:4" x14ac:dyDescent="0.25">
      <c r="A483" s="16" t="str">
        <f>Catalog!A479</f>
        <v/>
      </c>
      <c r="B483" s="16">
        <f>Catalog!D479</f>
        <v>0</v>
      </c>
      <c r="C483" s="16">
        <f>Catalog!F479</f>
        <v>0</v>
      </c>
      <c r="D483" s="19" t="str">
        <f>IF(Catalog!D479="","","{""item_id"":"&amp;Catalog!A479&amp;",""title"":"""&amp;SUBSTITUTE(Catalog!D479,"""","\""")&amp;""",""creator"":"""&amp;SUBSTITUTE(Catalog!F479,"""","\""")&amp;""",""language"":"""&amp;Catalog!M479&amp;""",""identifier"":"""&amp;Catalog!C479&amp;"""}")</f>
        <v/>
      </c>
    </row>
    <row r="484" spans="1:4" x14ac:dyDescent="0.25">
      <c r="A484" s="16" t="str">
        <f>Catalog!A480</f>
        <v/>
      </c>
      <c r="B484" s="16">
        <f>Catalog!D480</f>
        <v>0</v>
      </c>
      <c r="C484" s="16">
        <f>Catalog!F480</f>
        <v>0</v>
      </c>
      <c r="D484" s="19" t="str">
        <f>IF(Catalog!D480="","","{""item_id"":"&amp;Catalog!A480&amp;",""title"":"""&amp;SUBSTITUTE(Catalog!D480,"""","\""")&amp;""",""creator"":"""&amp;SUBSTITUTE(Catalog!F480,"""","\""")&amp;""",""language"":"""&amp;Catalog!M480&amp;""",""identifier"":"""&amp;Catalog!C480&amp;"""}")</f>
        <v/>
      </c>
    </row>
    <row r="485" spans="1:4" x14ac:dyDescent="0.25">
      <c r="A485" s="16" t="str">
        <f>Catalog!A481</f>
        <v/>
      </c>
      <c r="B485" s="16">
        <f>Catalog!D481</f>
        <v>0</v>
      </c>
      <c r="C485" s="16">
        <f>Catalog!F481</f>
        <v>0</v>
      </c>
      <c r="D485" s="19" t="str">
        <f>IF(Catalog!D481="","","{""item_id"":"&amp;Catalog!A481&amp;",""title"":"""&amp;SUBSTITUTE(Catalog!D481,"""","\""")&amp;""",""creator"":"""&amp;SUBSTITUTE(Catalog!F481,"""","\""")&amp;""",""language"":"""&amp;Catalog!M481&amp;""",""identifier"":"""&amp;Catalog!C481&amp;"""}")</f>
        <v/>
      </c>
    </row>
    <row r="486" spans="1:4" x14ac:dyDescent="0.25">
      <c r="A486" s="16" t="str">
        <f>Catalog!A482</f>
        <v/>
      </c>
      <c r="B486" s="16">
        <f>Catalog!D482</f>
        <v>0</v>
      </c>
      <c r="C486" s="16">
        <f>Catalog!F482</f>
        <v>0</v>
      </c>
      <c r="D486" s="19" t="str">
        <f>IF(Catalog!D482="","","{""item_id"":"&amp;Catalog!A482&amp;",""title"":"""&amp;SUBSTITUTE(Catalog!D482,"""","\""")&amp;""",""creator"":"""&amp;SUBSTITUTE(Catalog!F482,"""","\""")&amp;""",""language"":"""&amp;Catalog!M482&amp;""",""identifier"":"""&amp;Catalog!C482&amp;"""}")</f>
        <v/>
      </c>
    </row>
    <row r="487" spans="1:4" x14ac:dyDescent="0.25">
      <c r="A487" s="16" t="str">
        <f>Catalog!A483</f>
        <v/>
      </c>
      <c r="B487" s="16">
        <f>Catalog!D483</f>
        <v>0</v>
      </c>
      <c r="C487" s="16">
        <f>Catalog!F483</f>
        <v>0</v>
      </c>
      <c r="D487" s="19" t="str">
        <f>IF(Catalog!D483="","","{""item_id"":"&amp;Catalog!A483&amp;",""title"":"""&amp;SUBSTITUTE(Catalog!D483,"""","\""")&amp;""",""creator"":"""&amp;SUBSTITUTE(Catalog!F483,"""","\""")&amp;""",""language"":"""&amp;Catalog!M483&amp;""",""identifier"":"""&amp;Catalog!C483&amp;"""}")</f>
        <v/>
      </c>
    </row>
    <row r="488" spans="1:4" x14ac:dyDescent="0.25">
      <c r="A488" s="16" t="str">
        <f>Catalog!A484</f>
        <v/>
      </c>
      <c r="B488" s="16">
        <f>Catalog!D484</f>
        <v>0</v>
      </c>
      <c r="C488" s="16">
        <f>Catalog!F484</f>
        <v>0</v>
      </c>
      <c r="D488" s="19" t="str">
        <f>IF(Catalog!D484="","","{""item_id"":"&amp;Catalog!A484&amp;",""title"":"""&amp;SUBSTITUTE(Catalog!D484,"""","\""")&amp;""",""creator"":"""&amp;SUBSTITUTE(Catalog!F484,"""","\""")&amp;""",""language"":"""&amp;Catalog!M484&amp;""",""identifier"":"""&amp;Catalog!C484&amp;"""}")</f>
        <v/>
      </c>
    </row>
    <row r="489" spans="1:4" x14ac:dyDescent="0.25">
      <c r="A489" s="16" t="str">
        <f>Catalog!A485</f>
        <v/>
      </c>
      <c r="B489" s="16">
        <f>Catalog!D485</f>
        <v>0</v>
      </c>
      <c r="C489" s="16">
        <f>Catalog!F485</f>
        <v>0</v>
      </c>
      <c r="D489" s="19" t="str">
        <f>IF(Catalog!D485="","","{""item_id"":"&amp;Catalog!A485&amp;",""title"":"""&amp;SUBSTITUTE(Catalog!D485,"""","\""")&amp;""",""creator"":"""&amp;SUBSTITUTE(Catalog!F485,"""","\""")&amp;""",""language"":"""&amp;Catalog!M485&amp;""",""identifier"":"""&amp;Catalog!C485&amp;"""}")</f>
        <v/>
      </c>
    </row>
    <row r="490" spans="1:4" x14ac:dyDescent="0.25">
      <c r="A490" s="16" t="str">
        <f>Catalog!A486</f>
        <v/>
      </c>
      <c r="B490" s="16">
        <f>Catalog!D486</f>
        <v>0</v>
      </c>
      <c r="C490" s="16">
        <f>Catalog!F486</f>
        <v>0</v>
      </c>
      <c r="D490" s="19" t="str">
        <f>IF(Catalog!D486="","","{""item_id"":"&amp;Catalog!A486&amp;",""title"":"""&amp;SUBSTITUTE(Catalog!D486,"""","\""")&amp;""",""creator"":"""&amp;SUBSTITUTE(Catalog!F486,"""","\""")&amp;""",""language"":"""&amp;Catalog!M486&amp;""",""identifier"":"""&amp;Catalog!C486&amp;"""}")</f>
        <v/>
      </c>
    </row>
    <row r="491" spans="1:4" x14ac:dyDescent="0.25">
      <c r="A491" s="16" t="str">
        <f>Catalog!A487</f>
        <v/>
      </c>
      <c r="B491" s="16">
        <f>Catalog!D487</f>
        <v>0</v>
      </c>
      <c r="C491" s="16">
        <f>Catalog!F487</f>
        <v>0</v>
      </c>
      <c r="D491" s="19" t="str">
        <f>IF(Catalog!D487="","","{""item_id"":"&amp;Catalog!A487&amp;",""title"":"""&amp;SUBSTITUTE(Catalog!D487,"""","\""")&amp;""",""creator"":"""&amp;SUBSTITUTE(Catalog!F487,"""","\""")&amp;""",""language"":"""&amp;Catalog!M487&amp;""",""identifier"":"""&amp;Catalog!C487&amp;"""}")</f>
        <v/>
      </c>
    </row>
    <row r="492" spans="1:4" x14ac:dyDescent="0.25">
      <c r="A492" s="16" t="str">
        <f>Catalog!A488</f>
        <v/>
      </c>
      <c r="B492" s="16">
        <f>Catalog!D488</f>
        <v>0</v>
      </c>
      <c r="C492" s="16">
        <f>Catalog!F488</f>
        <v>0</v>
      </c>
      <c r="D492" s="19" t="str">
        <f>IF(Catalog!D488="","","{""item_id"":"&amp;Catalog!A488&amp;",""title"":"""&amp;SUBSTITUTE(Catalog!D488,"""","\""")&amp;""",""creator"":"""&amp;SUBSTITUTE(Catalog!F488,"""","\""")&amp;""",""language"":"""&amp;Catalog!M488&amp;""",""identifier"":"""&amp;Catalog!C488&amp;"""}")</f>
        <v/>
      </c>
    </row>
    <row r="493" spans="1:4" x14ac:dyDescent="0.25">
      <c r="A493" s="16" t="str">
        <f>Catalog!A489</f>
        <v/>
      </c>
      <c r="B493" s="16">
        <f>Catalog!D489</f>
        <v>0</v>
      </c>
      <c r="C493" s="16">
        <f>Catalog!F489</f>
        <v>0</v>
      </c>
      <c r="D493" s="19" t="str">
        <f>IF(Catalog!D489="","","{""item_id"":"&amp;Catalog!A489&amp;",""title"":"""&amp;SUBSTITUTE(Catalog!D489,"""","\""")&amp;""",""creator"":"""&amp;SUBSTITUTE(Catalog!F489,"""","\""")&amp;""",""language"":"""&amp;Catalog!M489&amp;""",""identifier"":"""&amp;Catalog!C489&amp;"""}")</f>
        <v/>
      </c>
    </row>
    <row r="494" spans="1:4" x14ac:dyDescent="0.25">
      <c r="A494" s="16" t="str">
        <f>Catalog!A490</f>
        <v/>
      </c>
      <c r="B494" s="16">
        <f>Catalog!D490</f>
        <v>0</v>
      </c>
      <c r="C494" s="16">
        <f>Catalog!F490</f>
        <v>0</v>
      </c>
      <c r="D494" s="19" t="str">
        <f>IF(Catalog!D490="","","{""item_id"":"&amp;Catalog!A490&amp;",""title"":"""&amp;SUBSTITUTE(Catalog!D490,"""","\""")&amp;""",""creator"":"""&amp;SUBSTITUTE(Catalog!F490,"""","\""")&amp;""",""language"":"""&amp;Catalog!M490&amp;""",""identifier"":"""&amp;Catalog!C490&amp;"""}")</f>
        <v/>
      </c>
    </row>
    <row r="495" spans="1:4" x14ac:dyDescent="0.25">
      <c r="A495" s="16" t="str">
        <f>Catalog!A491</f>
        <v/>
      </c>
      <c r="B495" s="16">
        <f>Catalog!D491</f>
        <v>0</v>
      </c>
      <c r="C495" s="16">
        <f>Catalog!F491</f>
        <v>0</v>
      </c>
      <c r="D495" s="19" t="str">
        <f>IF(Catalog!D491="","","{""item_id"":"&amp;Catalog!A491&amp;",""title"":"""&amp;SUBSTITUTE(Catalog!D491,"""","\""")&amp;""",""creator"":"""&amp;SUBSTITUTE(Catalog!F491,"""","\""")&amp;""",""language"":"""&amp;Catalog!M491&amp;""",""identifier"":"""&amp;Catalog!C491&amp;"""}")</f>
        <v/>
      </c>
    </row>
    <row r="496" spans="1:4" x14ac:dyDescent="0.25">
      <c r="A496" s="16" t="str">
        <f>Catalog!A492</f>
        <v/>
      </c>
      <c r="B496" s="16">
        <f>Catalog!D492</f>
        <v>0</v>
      </c>
      <c r="C496" s="16">
        <f>Catalog!F492</f>
        <v>0</v>
      </c>
      <c r="D496" s="19" t="str">
        <f>IF(Catalog!D492="","","{""item_id"":"&amp;Catalog!A492&amp;",""title"":"""&amp;SUBSTITUTE(Catalog!D492,"""","\""")&amp;""",""creator"":"""&amp;SUBSTITUTE(Catalog!F492,"""","\""")&amp;""",""language"":"""&amp;Catalog!M492&amp;""",""identifier"":"""&amp;Catalog!C492&amp;"""}")</f>
        <v/>
      </c>
    </row>
    <row r="497" spans="1:4" x14ac:dyDescent="0.25">
      <c r="A497" s="16" t="str">
        <f>Catalog!A493</f>
        <v/>
      </c>
      <c r="B497" s="16">
        <f>Catalog!D493</f>
        <v>0</v>
      </c>
      <c r="C497" s="16">
        <f>Catalog!F493</f>
        <v>0</v>
      </c>
      <c r="D497" s="19" t="str">
        <f>IF(Catalog!D493="","","{""item_id"":"&amp;Catalog!A493&amp;",""title"":"""&amp;SUBSTITUTE(Catalog!D493,"""","\""")&amp;""",""creator"":"""&amp;SUBSTITUTE(Catalog!F493,"""","\""")&amp;""",""language"":"""&amp;Catalog!M493&amp;""",""identifier"":"""&amp;Catalog!C493&amp;"""}")</f>
        <v/>
      </c>
    </row>
    <row r="498" spans="1:4" x14ac:dyDescent="0.25">
      <c r="A498" s="16" t="str">
        <f>Catalog!A494</f>
        <v/>
      </c>
      <c r="B498" s="16">
        <f>Catalog!D494</f>
        <v>0</v>
      </c>
      <c r="C498" s="16">
        <f>Catalog!F494</f>
        <v>0</v>
      </c>
      <c r="D498" s="19" t="str">
        <f>IF(Catalog!D494="","","{""item_id"":"&amp;Catalog!A494&amp;",""title"":"""&amp;SUBSTITUTE(Catalog!D494,"""","\""")&amp;""",""creator"":"""&amp;SUBSTITUTE(Catalog!F494,"""","\""")&amp;""",""language"":"""&amp;Catalog!M494&amp;""",""identifier"":"""&amp;Catalog!C494&amp;"""}")</f>
        <v/>
      </c>
    </row>
    <row r="499" spans="1:4" x14ac:dyDescent="0.25">
      <c r="A499" s="16" t="str">
        <f>Catalog!A495</f>
        <v/>
      </c>
      <c r="B499" s="16">
        <f>Catalog!D495</f>
        <v>0</v>
      </c>
      <c r="C499" s="16">
        <f>Catalog!F495</f>
        <v>0</v>
      </c>
      <c r="D499" s="19" t="str">
        <f>IF(Catalog!D495="","","{""item_id"":"&amp;Catalog!A495&amp;",""title"":"""&amp;SUBSTITUTE(Catalog!D495,"""","\""")&amp;""",""creator"":"""&amp;SUBSTITUTE(Catalog!F495,"""","\""")&amp;""",""language"":"""&amp;Catalog!M495&amp;""",""identifier"":"""&amp;Catalog!C495&amp;"""}")</f>
        <v/>
      </c>
    </row>
    <row r="500" spans="1:4" x14ac:dyDescent="0.25">
      <c r="A500" s="16" t="str">
        <f>Catalog!A496</f>
        <v/>
      </c>
      <c r="B500" s="16">
        <f>Catalog!D496</f>
        <v>0</v>
      </c>
      <c r="C500" s="16">
        <f>Catalog!F496</f>
        <v>0</v>
      </c>
      <c r="D500" s="19" t="str">
        <f>IF(Catalog!D496="","","{""item_id"":"&amp;Catalog!A496&amp;",""title"":"""&amp;SUBSTITUTE(Catalog!D496,"""","\""")&amp;""",""creator"":"""&amp;SUBSTITUTE(Catalog!F496,"""","\""")&amp;""",""language"":"""&amp;Catalog!M496&amp;""",""identifier"":"""&amp;Catalog!C496&amp;"""}")</f>
        <v/>
      </c>
    </row>
    <row r="501" spans="1:4" x14ac:dyDescent="0.25">
      <c r="A501" s="16" t="str">
        <f>Catalog!A497</f>
        <v/>
      </c>
      <c r="B501" s="16">
        <f>Catalog!D497</f>
        <v>0</v>
      </c>
      <c r="C501" s="16">
        <f>Catalog!F497</f>
        <v>0</v>
      </c>
      <c r="D501" s="19" t="str">
        <f>IF(Catalog!D497="","","{""item_id"":"&amp;Catalog!A497&amp;",""title"":"""&amp;SUBSTITUTE(Catalog!D497,"""","\""")&amp;""",""creator"":"""&amp;SUBSTITUTE(Catalog!F497,"""","\""")&amp;""",""language"":"""&amp;Catalog!M497&amp;""",""identifier"":"""&amp;Catalog!C497&amp;"""}")</f>
        <v/>
      </c>
    </row>
    <row r="502" spans="1:4" x14ac:dyDescent="0.25">
      <c r="A502" s="16" t="str">
        <f>Catalog!A498</f>
        <v/>
      </c>
      <c r="B502" s="16">
        <f>Catalog!D498</f>
        <v>0</v>
      </c>
      <c r="C502" s="16">
        <f>Catalog!F498</f>
        <v>0</v>
      </c>
      <c r="D502" s="19" t="str">
        <f>IF(Catalog!D498="","","{""item_id"":"&amp;Catalog!A498&amp;",""title"":"""&amp;SUBSTITUTE(Catalog!D498,"""","\""")&amp;""",""creator"":"""&amp;SUBSTITUTE(Catalog!F498,"""","\""")&amp;""",""language"":"""&amp;Catalog!M498&amp;""",""identifier"":"""&amp;Catalog!C498&amp;"""}")</f>
        <v/>
      </c>
    </row>
    <row r="503" spans="1:4" x14ac:dyDescent="0.25">
      <c r="A503" s="16" t="str">
        <f>Catalog!A499</f>
        <v/>
      </c>
      <c r="B503" s="16">
        <f>Catalog!D499</f>
        <v>0</v>
      </c>
      <c r="C503" s="16">
        <f>Catalog!F499</f>
        <v>0</v>
      </c>
      <c r="D503" s="19" t="str">
        <f>IF(Catalog!D499="","","{""item_id"":"&amp;Catalog!A499&amp;",""title"":"""&amp;SUBSTITUTE(Catalog!D499,"""","\""")&amp;""",""creator"":"""&amp;SUBSTITUTE(Catalog!F499,"""","\""")&amp;""",""language"":"""&amp;Catalog!M499&amp;""",""identifier"":"""&amp;Catalog!C499&amp;"""}")</f>
        <v/>
      </c>
    </row>
    <row r="504" spans="1:4" x14ac:dyDescent="0.25">
      <c r="A504" s="16" t="str">
        <f>Catalog!A500</f>
        <v/>
      </c>
      <c r="B504" s="16">
        <f>Catalog!D500</f>
        <v>0</v>
      </c>
      <c r="C504" s="16">
        <f>Catalog!F500</f>
        <v>0</v>
      </c>
      <c r="D504" s="19" t="str">
        <f>IF(Catalog!D500="","","{""item_id"":"&amp;Catalog!A500&amp;",""title"":"""&amp;SUBSTITUTE(Catalog!D500,"""","\""")&amp;""",""creator"":"""&amp;SUBSTITUTE(Catalog!F500,"""","\""")&amp;""",""language"":"""&amp;Catalog!M500&amp;""",""identifier"":"""&amp;Catalog!C500&amp;"""}")</f>
        <v/>
      </c>
    </row>
    <row r="505" spans="1:4" x14ac:dyDescent="0.25">
      <c r="A505" s="16" t="str">
        <f>Catalog!A501</f>
        <v/>
      </c>
      <c r="B505" s="16">
        <f>Catalog!D501</f>
        <v>0</v>
      </c>
      <c r="C505" s="16">
        <f>Catalog!F501</f>
        <v>0</v>
      </c>
      <c r="D505" s="19" t="str">
        <f>IF(Catalog!D501="","","{""item_id"":"&amp;Catalog!A501&amp;",""title"":"""&amp;SUBSTITUTE(Catalog!D501,"""","\""")&amp;""",""creator"":"""&amp;SUBSTITUTE(Catalog!F501,"""","\""")&amp;""",""language"":"""&amp;Catalog!M501&amp;""",""identifier"":"""&amp;Catalog!C501&amp;"""}")</f>
        <v/>
      </c>
    </row>
  </sheetData>
  <sheetProtection password="E720" sheet="1"/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24</vt:i4>
      </vt:variant>
    </vt:vector>
  </HeadingPairs>
  <TitlesOfParts>
    <vt:vector size="37" baseType="lpstr">
      <vt:lpstr>README</vt:lpstr>
      <vt:lpstr>Catalog</vt:lpstr>
      <vt:lpstr>Digital_Catalog</vt:lpstr>
      <vt:lpstr>Archive</vt:lpstr>
      <vt:lpstr>Circulation</vt:lpstr>
      <vt:lpstr>Members</vt:lpstr>
      <vt:lpstr>Spine_Labels</vt:lpstr>
      <vt:lpstr>Settings</vt:lpstr>
      <vt:lpstr>Lookup_Codes</vt:lpstr>
      <vt:lpstr>Dublin_Core</vt:lpstr>
      <vt:lpstr>Data_Quality</vt:lpstr>
      <vt:lpstr>Dashboard</vt:lpstr>
      <vt:lpstr>JSON_Export</vt:lpstr>
      <vt:lpstr>AccessLevelList</vt:lpstr>
      <vt:lpstr>AccPrefix</vt:lpstr>
      <vt:lpstr>AcqTypeList</vt:lpstr>
      <vt:lpstr>AuthorCodeLen</vt:lpstr>
      <vt:lpstr>CirculationList</vt:lpstr>
      <vt:lpstr>CollectionName</vt:lpstr>
      <vt:lpstr>ConditionList</vt:lpstr>
      <vt:lpstr>DefaultLang</vt:lpstr>
      <vt:lpstr>DigitisationList</vt:lpstr>
      <vt:lpstr>FormatList</vt:lpstr>
      <vt:lpstr>FrequencyList</vt:lpstr>
      <vt:lpstr>GenreList</vt:lpstr>
      <vt:lpstr>LanguageList</vt:lpstr>
      <vt:lpstr>LibraryName</vt:lpstr>
      <vt:lpstr>LoanPeriod</vt:lpstr>
      <vt:lpstr>LocationTypeList</vt:lpstr>
      <vt:lpstr>MembershipList</vt:lpstr>
      <vt:lpstr>MemberStatusList</vt:lpstr>
      <vt:lpstr>OCRStatusList</vt:lpstr>
      <vt:lpstr>PhysDigiList</vt:lpstr>
      <vt:lpstr>PreservationList</vt:lpstr>
      <vt:lpstr>ReadingStatusList</vt:lpstr>
      <vt:lpstr>ResourceTypeList</vt:lpstr>
      <vt:lpstr>RightsList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Masud Rana Mondal</cp:lastModifiedBy>
  <dcterms:created xsi:type="dcterms:W3CDTF">2026-09-26T10:10:00Z</dcterms:created>
  <dcterms:modified xsi:type="dcterms:W3CDTF">2026-09-26T10:52:11Z</dcterms:modified>
</cp:coreProperties>
</file>