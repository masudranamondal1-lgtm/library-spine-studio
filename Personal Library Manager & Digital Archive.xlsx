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c4f5a8831a08579/Desktop/DH Project/library-spine-studio-main/"/>
    </mc:Choice>
  </mc:AlternateContent>
  <xr:revisionPtr revIDLastSave="1" documentId="11_7AC21C438E3D997A05D18720125C9DCA337DEF52" xr6:coauthVersionLast="47" xr6:coauthVersionMax="47" xr10:uidLastSave="{31B46DAA-FA90-4FF4-B565-0F6655264A63}"/>
  <bookViews>
    <workbookView xWindow="-120" yWindow="-120" windowWidth="20730" windowHeight="11760" firstSheet="8" activeTab="12" xr2:uid="{00000000-000D-0000-FFFF-FFFF00000000}"/>
  </bookViews>
  <sheets>
    <sheet name="README" sheetId="1" r:id="rId1"/>
    <sheet name="Settings" sheetId="2" r:id="rId2"/>
    <sheet name="Lookup_Codes" sheetId="3" r:id="rId3"/>
    <sheet name="Catalog" sheetId="4" r:id="rId4"/>
    <sheet name="Digital_Catalog" sheetId="5" r:id="rId5"/>
    <sheet name="Archive" sheetId="6" r:id="rId6"/>
    <sheet name="Circulation" sheetId="7" r:id="rId7"/>
    <sheet name="Members" sheetId="8" r:id="rId8"/>
    <sheet name="Spine_Labels" sheetId="9" r:id="rId9"/>
    <sheet name="Dublin_Core" sheetId="10" r:id="rId10"/>
    <sheet name="Data_Quality" sheetId="11" r:id="rId11"/>
    <sheet name="Dashboard" sheetId="12" r:id="rId12"/>
    <sheet name="Formulas" sheetId="13" r:id="rId13"/>
    <sheet name="JSON_Export" sheetId="14" r:id="rId14"/>
  </sheets>
  <definedNames>
    <definedName name="_xlnm._FilterDatabase" localSheetId="5" hidden="1">Archive!$A$1:$AB$201</definedName>
    <definedName name="_xlnm._FilterDatabase" localSheetId="3" hidden="1">Catalog!$A$1:$AH$501</definedName>
    <definedName name="_xlnm._FilterDatabase" localSheetId="6" hidden="1">Circulation!$A$1:$I$501</definedName>
    <definedName name="_xlnm._FilterDatabase" localSheetId="4" hidden="1">Digital_Catalog!$A$1:$AB$501</definedName>
    <definedName name="AccessLevelList">Lookup_Codes!$P$2:$P$6</definedName>
    <definedName name="AccPrefix">Settings!$B$8</definedName>
    <definedName name="AcqTypeList">Lookup_Codes!$R$2:$R$8</definedName>
    <definedName name="ArcItemTypeList">Lookup_Codes!$E$2:$E$23</definedName>
    <definedName name="ArcItemTypeLookup">Lookup_Codes!$E$2:$F$23</definedName>
    <definedName name="AuthorCodeLen">Settings!$B$9</definedName>
    <definedName name="CatItemTypeList">Lookup_Codes!$A$2:$A$15</definedName>
    <definedName name="CatItemTypeLookup">Lookup_Codes!$A$2:$B$15</definedName>
    <definedName name="CirculationList">Lookup_Codes!$Z$2:$Z$6</definedName>
    <definedName name="CollectionList">Lookup_Codes!$X$2:$X$16</definedName>
    <definedName name="CollectionName">Settings!$B$5</definedName>
    <definedName name="ConditionList">Lookup_Codes!$N$2:$N$8</definedName>
    <definedName name="DefaultLang">Settings!$B$6</definedName>
    <definedName name="DigItemTypeList">Lookup_Codes!$C$2:$C$18</definedName>
    <definedName name="DigItemTypeLookup">Lookup_Codes!$C$2:$D$18</definedName>
    <definedName name="DigitisationList">Lookup_Codes!$AB$2:$AB$7</definedName>
    <definedName name="FormatList">Lookup_Codes!$L$2:$L$31</definedName>
    <definedName name="FrequencyList">Lookup_Codes!$AA$2:$AA$9</definedName>
    <definedName name="GenreList">Lookup_Codes!$I$2:$I$21</definedName>
    <definedName name="GenreLookup">Lookup_Codes!$I$2:$J$21</definedName>
    <definedName name="LanguageList">Lookup_Codes!$K$2:$K$6</definedName>
    <definedName name="LibraryName">Settings!$B$4</definedName>
    <definedName name="LoanPeriod">Settings!$B$7</definedName>
    <definedName name="LocationTypeList">Lookup_Codes!$O$2:$O$11</definedName>
    <definedName name="MediaTypeList">Lookup_Codes!$Y$2:$Y$7</definedName>
    <definedName name="MembershipList">Lookup_Codes!$T$2:$T$6</definedName>
    <definedName name="MemberStatusList">Lookup_Codes!$U$2:$U$4</definedName>
    <definedName name="OCRStatusList">Lookup_Codes!$M$2:$M$8</definedName>
    <definedName name="PhysDigiList">Lookup_Codes!$S$2:$S$4</definedName>
    <definedName name="PreservationList">Lookup_Codes!$W$2:$W$5</definedName>
    <definedName name="ReadingStatusList">Lookup_Codes!$V$2:$V$5</definedName>
    <definedName name="RightsList">Lookup_Codes!$Q$2:$Q$8</definedName>
    <definedName name="SubjectList">Lookup_Codes!$G$2:$G$17</definedName>
    <definedName name="SubjectLookup">Lookup_Codes!$G$2:$H$17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5" i="14" l="1"/>
  <c r="C505" i="14"/>
  <c r="B505" i="14"/>
  <c r="D504" i="14"/>
  <c r="C504" i="14"/>
  <c r="B504" i="14"/>
  <c r="D503" i="14"/>
  <c r="C503" i="14"/>
  <c r="B503" i="14"/>
  <c r="D502" i="14"/>
  <c r="C502" i="14"/>
  <c r="B502" i="14"/>
  <c r="D501" i="14"/>
  <c r="C501" i="14"/>
  <c r="B501" i="14"/>
  <c r="D500" i="14"/>
  <c r="C500" i="14"/>
  <c r="B500" i="14"/>
  <c r="D499" i="14"/>
  <c r="C499" i="14"/>
  <c r="B499" i="14"/>
  <c r="D498" i="14"/>
  <c r="C498" i="14"/>
  <c r="B498" i="14"/>
  <c r="D497" i="14"/>
  <c r="C497" i="14"/>
  <c r="B497" i="14"/>
  <c r="D496" i="14"/>
  <c r="C496" i="14"/>
  <c r="B496" i="14"/>
  <c r="D495" i="14"/>
  <c r="C495" i="14"/>
  <c r="B495" i="14"/>
  <c r="D494" i="14"/>
  <c r="C494" i="14"/>
  <c r="B494" i="14"/>
  <c r="D493" i="14"/>
  <c r="C493" i="14"/>
  <c r="B493" i="14"/>
  <c r="D492" i="14"/>
  <c r="C492" i="14"/>
  <c r="B492" i="14"/>
  <c r="D491" i="14"/>
  <c r="C491" i="14"/>
  <c r="B491" i="14"/>
  <c r="D490" i="14"/>
  <c r="C490" i="14"/>
  <c r="B490" i="14"/>
  <c r="D489" i="14"/>
  <c r="C489" i="14"/>
  <c r="B489" i="14"/>
  <c r="D488" i="14"/>
  <c r="C488" i="14"/>
  <c r="B488" i="14"/>
  <c r="D487" i="14"/>
  <c r="C487" i="14"/>
  <c r="B487" i="14"/>
  <c r="D486" i="14"/>
  <c r="C486" i="14"/>
  <c r="B486" i="14"/>
  <c r="D485" i="14"/>
  <c r="C485" i="14"/>
  <c r="B485" i="14"/>
  <c r="D484" i="14"/>
  <c r="C484" i="14"/>
  <c r="B484" i="14"/>
  <c r="D483" i="14"/>
  <c r="C483" i="14"/>
  <c r="B483" i="14"/>
  <c r="D482" i="14"/>
  <c r="C482" i="14"/>
  <c r="B482" i="14"/>
  <c r="D481" i="14"/>
  <c r="C481" i="14"/>
  <c r="B481" i="14"/>
  <c r="D480" i="14"/>
  <c r="C480" i="14"/>
  <c r="B480" i="14"/>
  <c r="D479" i="14"/>
  <c r="C479" i="14"/>
  <c r="B479" i="14"/>
  <c r="D478" i="14"/>
  <c r="C478" i="14"/>
  <c r="B478" i="14"/>
  <c r="D477" i="14"/>
  <c r="C477" i="14"/>
  <c r="B477" i="14"/>
  <c r="D476" i="14"/>
  <c r="C476" i="14"/>
  <c r="B476" i="14"/>
  <c r="D475" i="14"/>
  <c r="C475" i="14"/>
  <c r="B475" i="14"/>
  <c r="D474" i="14"/>
  <c r="C474" i="14"/>
  <c r="B474" i="14"/>
  <c r="D473" i="14"/>
  <c r="C473" i="14"/>
  <c r="B473" i="14"/>
  <c r="D472" i="14"/>
  <c r="C472" i="14"/>
  <c r="B472" i="14"/>
  <c r="D471" i="14"/>
  <c r="C471" i="14"/>
  <c r="B471" i="14"/>
  <c r="D470" i="14"/>
  <c r="C470" i="14"/>
  <c r="B470" i="14"/>
  <c r="D469" i="14"/>
  <c r="C469" i="14"/>
  <c r="B469" i="14"/>
  <c r="D468" i="14"/>
  <c r="C468" i="14"/>
  <c r="B468" i="14"/>
  <c r="D467" i="14"/>
  <c r="C467" i="14"/>
  <c r="B467" i="14"/>
  <c r="D466" i="14"/>
  <c r="C466" i="14"/>
  <c r="B466" i="14"/>
  <c r="D465" i="14"/>
  <c r="C465" i="14"/>
  <c r="B465" i="14"/>
  <c r="D464" i="14"/>
  <c r="C464" i="14"/>
  <c r="B464" i="14"/>
  <c r="D463" i="14"/>
  <c r="C463" i="14"/>
  <c r="B463" i="14"/>
  <c r="D462" i="14"/>
  <c r="C462" i="14"/>
  <c r="B462" i="14"/>
  <c r="D461" i="14"/>
  <c r="C461" i="14"/>
  <c r="B461" i="14"/>
  <c r="D460" i="14"/>
  <c r="C460" i="14"/>
  <c r="B460" i="14"/>
  <c r="D459" i="14"/>
  <c r="C459" i="14"/>
  <c r="B459" i="14"/>
  <c r="D458" i="14"/>
  <c r="C458" i="14"/>
  <c r="B458" i="14"/>
  <c r="D457" i="14"/>
  <c r="C457" i="14"/>
  <c r="B457" i="14"/>
  <c r="D456" i="14"/>
  <c r="C456" i="14"/>
  <c r="B456" i="14"/>
  <c r="D455" i="14"/>
  <c r="C455" i="14"/>
  <c r="B455" i="14"/>
  <c r="D454" i="14"/>
  <c r="C454" i="14"/>
  <c r="B454" i="14"/>
  <c r="D453" i="14"/>
  <c r="C453" i="14"/>
  <c r="B453" i="14"/>
  <c r="D452" i="14"/>
  <c r="C452" i="14"/>
  <c r="B452" i="14"/>
  <c r="D451" i="14"/>
  <c r="C451" i="14"/>
  <c r="B451" i="14"/>
  <c r="D450" i="14"/>
  <c r="C450" i="14"/>
  <c r="B450" i="14"/>
  <c r="D449" i="14"/>
  <c r="C449" i="14"/>
  <c r="B449" i="14"/>
  <c r="D448" i="14"/>
  <c r="C448" i="14"/>
  <c r="B448" i="14"/>
  <c r="D447" i="14"/>
  <c r="C447" i="14"/>
  <c r="B447" i="14"/>
  <c r="D446" i="14"/>
  <c r="C446" i="14"/>
  <c r="B446" i="14"/>
  <c r="D445" i="14"/>
  <c r="C445" i="14"/>
  <c r="B445" i="14"/>
  <c r="D444" i="14"/>
  <c r="C444" i="14"/>
  <c r="B444" i="14"/>
  <c r="D443" i="14"/>
  <c r="C443" i="14"/>
  <c r="B443" i="14"/>
  <c r="D442" i="14"/>
  <c r="C442" i="14"/>
  <c r="B442" i="14"/>
  <c r="D441" i="14"/>
  <c r="C441" i="14"/>
  <c r="B441" i="14"/>
  <c r="D440" i="14"/>
  <c r="C440" i="14"/>
  <c r="B440" i="14"/>
  <c r="D439" i="14"/>
  <c r="C439" i="14"/>
  <c r="B439" i="14"/>
  <c r="D438" i="14"/>
  <c r="C438" i="14"/>
  <c r="B438" i="14"/>
  <c r="D437" i="14"/>
  <c r="C437" i="14"/>
  <c r="B437" i="14"/>
  <c r="D436" i="14"/>
  <c r="C436" i="14"/>
  <c r="B436" i="14"/>
  <c r="D435" i="14"/>
  <c r="C435" i="14"/>
  <c r="B435" i="14"/>
  <c r="D434" i="14"/>
  <c r="C434" i="14"/>
  <c r="B434" i="14"/>
  <c r="D433" i="14"/>
  <c r="C433" i="14"/>
  <c r="B433" i="14"/>
  <c r="D432" i="14"/>
  <c r="C432" i="14"/>
  <c r="B432" i="14"/>
  <c r="D431" i="14"/>
  <c r="C431" i="14"/>
  <c r="B431" i="14"/>
  <c r="D430" i="14"/>
  <c r="C430" i="14"/>
  <c r="B430" i="14"/>
  <c r="D429" i="14"/>
  <c r="C429" i="14"/>
  <c r="B429" i="14"/>
  <c r="D428" i="14"/>
  <c r="C428" i="14"/>
  <c r="B428" i="14"/>
  <c r="D427" i="14"/>
  <c r="C427" i="14"/>
  <c r="B427" i="14"/>
  <c r="D426" i="14"/>
  <c r="C426" i="14"/>
  <c r="B426" i="14"/>
  <c r="D425" i="14"/>
  <c r="C425" i="14"/>
  <c r="B425" i="14"/>
  <c r="D424" i="14"/>
  <c r="C424" i="14"/>
  <c r="B424" i="14"/>
  <c r="D423" i="14"/>
  <c r="C423" i="14"/>
  <c r="B423" i="14"/>
  <c r="D422" i="14"/>
  <c r="C422" i="14"/>
  <c r="B422" i="14"/>
  <c r="D421" i="14"/>
  <c r="C421" i="14"/>
  <c r="B421" i="14"/>
  <c r="D420" i="14"/>
  <c r="C420" i="14"/>
  <c r="B420" i="14"/>
  <c r="D419" i="14"/>
  <c r="C419" i="14"/>
  <c r="B419" i="14"/>
  <c r="D418" i="14"/>
  <c r="C418" i="14"/>
  <c r="B418" i="14"/>
  <c r="D417" i="14"/>
  <c r="C417" i="14"/>
  <c r="B417" i="14"/>
  <c r="D416" i="14"/>
  <c r="C416" i="14"/>
  <c r="B416" i="14"/>
  <c r="D415" i="14"/>
  <c r="C415" i="14"/>
  <c r="B415" i="14"/>
  <c r="D414" i="14"/>
  <c r="C414" i="14"/>
  <c r="B414" i="14"/>
  <c r="D413" i="14"/>
  <c r="C413" i="14"/>
  <c r="B413" i="14"/>
  <c r="D412" i="14"/>
  <c r="C412" i="14"/>
  <c r="B412" i="14"/>
  <c r="D411" i="14"/>
  <c r="C411" i="14"/>
  <c r="B411" i="14"/>
  <c r="D410" i="14"/>
  <c r="C410" i="14"/>
  <c r="B410" i="14"/>
  <c r="D409" i="14"/>
  <c r="C409" i="14"/>
  <c r="B409" i="14"/>
  <c r="D408" i="14"/>
  <c r="C408" i="14"/>
  <c r="B408" i="14"/>
  <c r="D407" i="14"/>
  <c r="C407" i="14"/>
  <c r="B407" i="14"/>
  <c r="D406" i="14"/>
  <c r="C406" i="14"/>
  <c r="B406" i="14"/>
  <c r="D405" i="14"/>
  <c r="C405" i="14"/>
  <c r="B405" i="14"/>
  <c r="D404" i="14"/>
  <c r="C404" i="14"/>
  <c r="B404" i="14"/>
  <c r="D403" i="14"/>
  <c r="C403" i="14"/>
  <c r="B403" i="14"/>
  <c r="D402" i="14"/>
  <c r="C402" i="14"/>
  <c r="B402" i="14"/>
  <c r="D401" i="14"/>
  <c r="C401" i="14"/>
  <c r="B401" i="14"/>
  <c r="D400" i="14"/>
  <c r="C400" i="14"/>
  <c r="B400" i="14"/>
  <c r="D399" i="14"/>
  <c r="C399" i="14"/>
  <c r="B399" i="14"/>
  <c r="D398" i="14"/>
  <c r="C398" i="14"/>
  <c r="B398" i="14"/>
  <c r="D397" i="14"/>
  <c r="C397" i="14"/>
  <c r="B397" i="14"/>
  <c r="D396" i="14"/>
  <c r="C396" i="14"/>
  <c r="B396" i="14"/>
  <c r="D395" i="14"/>
  <c r="C395" i="14"/>
  <c r="B395" i="14"/>
  <c r="D394" i="14"/>
  <c r="C394" i="14"/>
  <c r="B394" i="14"/>
  <c r="D393" i="14"/>
  <c r="C393" i="14"/>
  <c r="B393" i="14"/>
  <c r="D392" i="14"/>
  <c r="C392" i="14"/>
  <c r="B392" i="14"/>
  <c r="D391" i="14"/>
  <c r="C391" i="14"/>
  <c r="B391" i="14"/>
  <c r="D390" i="14"/>
  <c r="C390" i="14"/>
  <c r="B390" i="14"/>
  <c r="D389" i="14"/>
  <c r="C389" i="14"/>
  <c r="B389" i="14"/>
  <c r="D388" i="14"/>
  <c r="C388" i="14"/>
  <c r="B388" i="14"/>
  <c r="D387" i="14"/>
  <c r="C387" i="14"/>
  <c r="B387" i="14"/>
  <c r="D386" i="14"/>
  <c r="C386" i="14"/>
  <c r="B386" i="14"/>
  <c r="D385" i="14"/>
  <c r="C385" i="14"/>
  <c r="B385" i="14"/>
  <c r="D384" i="14"/>
  <c r="C384" i="14"/>
  <c r="B384" i="14"/>
  <c r="D383" i="14"/>
  <c r="C383" i="14"/>
  <c r="B383" i="14"/>
  <c r="D382" i="14"/>
  <c r="C382" i="14"/>
  <c r="B382" i="14"/>
  <c r="D381" i="14"/>
  <c r="C381" i="14"/>
  <c r="B381" i="14"/>
  <c r="D380" i="14"/>
  <c r="C380" i="14"/>
  <c r="B380" i="14"/>
  <c r="D379" i="14"/>
  <c r="C379" i="14"/>
  <c r="B379" i="14"/>
  <c r="D378" i="14"/>
  <c r="C378" i="14"/>
  <c r="B378" i="14"/>
  <c r="D377" i="14"/>
  <c r="C377" i="14"/>
  <c r="B377" i="14"/>
  <c r="D376" i="14"/>
  <c r="C376" i="14"/>
  <c r="B376" i="14"/>
  <c r="D375" i="14"/>
  <c r="C375" i="14"/>
  <c r="B375" i="14"/>
  <c r="D374" i="14"/>
  <c r="C374" i="14"/>
  <c r="B374" i="14"/>
  <c r="D373" i="14"/>
  <c r="C373" i="14"/>
  <c r="B373" i="14"/>
  <c r="D372" i="14"/>
  <c r="C372" i="14"/>
  <c r="B372" i="14"/>
  <c r="D371" i="14"/>
  <c r="C371" i="14"/>
  <c r="B371" i="14"/>
  <c r="D370" i="14"/>
  <c r="C370" i="14"/>
  <c r="B370" i="14"/>
  <c r="D369" i="14"/>
  <c r="C369" i="14"/>
  <c r="B369" i="14"/>
  <c r="D368" i="14"/>
  <c r="C368" i="14"/>
  <c r="B368" i="14"/>
  <c r="D367" i="14"/>
  <c r="C367" i="14"/>
  <c r="B367" i="14"/>
  <c r="D366" i="14"/>
  <c r="C366" i="14"/>
  <c r="B366" i="14"/>
  <c r="D365" i="14"/>
  <c r="C365" i="14"/>
  <c r="B365" i="14"/>
  <c r="D364" i="14"/>
  <c r="C364" i="14"/>
  <c r="B364" i="14"/>
  <c r="D363" i="14"/>
  <c r="C363" i="14"/>
  <c r="B363" i="14"/>
  <c r="D362" i="14"/>
  <c r="C362" i="14"/>
  <c r="B362" i="14"/>
  <c r="D361" i="14"/>
  <c r="C361" i="14"/>
  <c r="B361" i="14"/>
  <c r="D360" i="14"/>
  <c r="C360" i="14"/>
  <c r="B360" i="14"/>
  <c r="D359" i="14"/>
  <c r="C359" i="14"/>
  <c r="B359" i="14"/>
  <c r="D358" i="14"/>
  <c r="C358" i="14"/>
  <c r="B358" i="14"/>
  <c r="D357" i="14"/>
  <c r="C357" i="14"/>
  <c r="B357" i="14"/>
  <c r="D356" i="14"/>
  <c r="C356" i="14"/>
  <c r="B356" i="14"/>
  <c r="D355" i="14"/>
  <c r="C355" i="14"/>
  <c r="B355" i="14"/>
  <c r="D354" i="14"/>
  <c r="C354" i="14"/>
  <c r="B354" i="14"/>
  <c r="D353" i="14"/>
  <c r="C353" i="14"/>
  <c r="B353" i="14"/>
  <c r="D352" i="14"/>
  <c r="C352" i="14"/>
  <c r="B352" i="14"/>
  <c r="D351" i="14"/>
  <c r="C351" i="14"/>
  <c r="B351" i="14"/>
  <c r="D350" i="14"/>
  <c r="C350" i="14"/>
  <c r="B350" i="14"/>
  <c r="D349" i="14"/>
  <c r="C349" i="14"/>
  <c r="B349" i="14"/>
  <c r="D348" i="14"/>
  <c r="C348" i="14"/>
  <c r="B348" i="14"/>
  <c r="D347" i="14"/>
  <c r="C347" i="14"/>
  <c r="B347" i="14"/>
  <c r="D346" i="14"/>
  <c r="C346" i="14"/>
  <c r="B346" i="14"/>
  <c r="D345" i="14"/>
  <c r="C345" i="14"/>
  <c r="B345" i="14"/>
  <c r="D344" i="14"/>
  <c r="C344" i="14"/>
  <c r="B344" i="14"/>
  <c r="D343" i="14"/>
  <c r="C343" i="14"/>
  <c r="B343" i="14"/>
  <c r="D342" i="14"/>
  <c r="C342" i="14"/>
  <c r="B342" i="14"/>
  <c r="D341" i="14"/>
  <c r="C341" i="14"/>
  <c r="B341" i="14"/>
  <c r="D340" i="14"/>
  <c r="C340" i="14"/>
  <c r="B340" i="14"/>
  <c r="D339" i="14"/>
  <c r="C339" i="14"/>
  <c r="B339" i="14"/>
  <c r="D338" i="14"/>
  <c r="C338" i="14"/>
  <c r="B338" i="14"/>
  <c r="D337" i="14"/>
  <c r="C337" i="14"/>
  <c r="B337" i="14"/>
  <c r="D336" i="14"/>
  <c r="C336" i="14"/>
  <c r="B336" i="14"/>
  <c r="D335" i="14"/>
  <c r="C335" i="14"/>
  <c r="B335" i="14"/>
  <c r="D334" i="14"/>
  <c r="C334" i="14"/>
  <c r="B334" i="14"/>
  <c r="D333" i="14"/>
  <c r="C333" i="14"/>
  <c r="B333" i="14"/>
  <c r="D332" i="14"/>
  <c r="C332" i="14"/>
  <c r="B332" i="14"/>
  <c r="D331" i="14"/>
  <c r="C331" i="14"/>
  <c r="B331" i="14"/>
  <c r="D330" i="14"/>
  <c r="C330" i="14"/>
  <c r="B330" i="14"/>
  <c r="D329" i="14"/>
  <c r="C329" i="14"/>
  <c r="B329" i="14"/>
  <c r="D328" i="14"/>
  <c r="C328" i="14"/>
  <c r="B328" i="14"/>
  <c r="D327" i="14"/>
  <c r="C327" i="14"/>
  <c r="B327" i="14"/>
  <c r="D326" i="14"/>
  <c r="C326" i="14"/>
  <c r="B326" i="14"/>
  <c r="D325" i="14"/>
  <c r="C325" i="14"/>
  <c r="B325" i="14"/>
  <c r="D324" i="14"/>
  <c r="C324" i="14"/>
  <c r="B324" i="14"/>
  <c r="D323" i="14"/>
  <c r="C323" i="14"/>
  <c r="B323" i="14"/>
  <c r="D322" i="14"/>
  <c r="C322" i="14"/>
  <c r="B322" i="14"/>
  <c r="D321" i="14"/>
  <c r="C321" i="14"/>
  <c r="B321" i="14"/>
  <c r="D320" i="14"/>
  <c r="C320" i="14"/>
  <c r="B320" i="14"/>
  <c r="D319" i="14"/>
  <c r="C319" i="14"/>
  <c r="B319" i="14"/>
  <c r="D318" i="14"/>
  <c r="C318" i="14"/>
  <c r="B318" i="14"/>
  <c r="D317" i="14"/>
  <c r="C317" i="14"/>
  <c r="B317" i="14"/>
  <c r="D316" i="14"/>
  <c r="C316" i="14"/>
  <c r="B316" i="14"/>
  <c r="D315" i="14"/>
  <c r="C315" i="14"/>
  <c r="B315" i="14"/>
  <c r="D314" i="14"/>
  <c r="C314" i="14"/>
  <c r="B314" i="14"/>
  <c r="D313" i="14"/>
  <c r="C313" i="14"/>
  <c r="B313" i="14"/>
  <c r="D312" i="14"/>
  <c r="C312" i="14"/>
  <c r="B312" i="14"/>
  <c r="D311" i="14"/>
  <c r="C311" i="14"/>
  <c r="B311" i="14"/>
  <c r="D310" i="14"/>
  <c r="C310" i="14"/>
  <c r="B310" i="14"/>
  <c r="D309" i="14"/>
  <c r="C309" i="14"/>
  <c r="B309" i="14"/>
  <c r="D308" i="14"/>
  <c r="C308" i="14"/>
  <c r="B308" i="14"/>
  <c r="D307" i="14"/>
  <c r="C307" i="14"/>
  <c r="B307" i="14"/>
  <c r="D306" i="14"/>
  <c r="C306" i="14"/>
  <c r="B306" i="14"/>
  <c r="D305" i="14"/>
  <c r="C305" i="14"/>
  <c r="B305" i="14"/>
  <c r="D304" i="14"/>
  <c r="C304" i="14"/>
  <c r="B304" i="14"/>
  <c r="D303" i="14"/>
  <c r="C303" i="14"/>
  <c r="B303" i="14"/>
  <c r="D302" i="14"/>
  <c r="C302" i="14"/>
  <c r="B302" i="14"/>
  <c r="D301" i="14"/>
  <c r="C301" i="14"/>
  <c r="B301" i="14"/>
  <c r="D300" i="14"/>
  <c r="C300" i="14"/>
  <c r="B300" i="14"/>
  <c r="D299" i="14"/>
  <c r="C299" i="14"/>
  <c r="B299" i="14"/>
  <c r="D298" i="14"/>
  <c r="C298" i="14"/>
  <c r="B298" i="14"/>
  <c r="D297" i="14"/>
  <c r="C297" i="14"/>
  <c r="B297" i="14"/>
  <c r="D296" i="14"/>
  <c r="C296" i="14"/>
  <c r="B296" i="14"/>
  <c r="D295" i="14"/>
  <c r="C295" i="14"/>
  <c r="B295" i="14"/>
  <c r="D294" i="14"/>
  <c r="C294" i="14"/>
  <c r="B294" i="14"/>
  <c r="D293" i="14"/>
  <c r="C293" i="14"/>
  <c r="B293" i="14"/>
  <c r="D292" i="14"/>
  <c r="C292" i="14"/>
  <c r="B292" i="14"/>
  <c r="D291" i="14"/>
  <c r="C291" i="14"/>
  <c r="B291" i="14"/>
  <c r="D290" i="14"/>
  <c r="C290" i="14"/>
  <c r="B290" i="14"/>
  <c r="D289" i="14"/>
  <c r="C289" i="14"/>
  <c r="B289" i="14"/>
  <c r="D288" i="14"/>
  <c r="C288" i="14"/>
  <c r="B288" i="14"/>
  <c r="D287" i="14"/>
  <c r="C287" i="14"/>
  <c r="B287" i="14"/>
  <c r="D286" i="14"/>
  <c r="C286" i="14"/>
  <c r="B286" i="14"/>
  <c r="D285" i="14"/>
  <c r="C285" i="14"/>
  <c r="B285" i="14"/>
  <c r="D284" i="14"/>
  <c r="C284" i="14"/>
  <c r="B284" i="14"/>
  <c r="D283" i="14"/>
  <c r="C283" i="14"/>
  <c r="B283" i="14"/>
  <c r="D282" i="14"/>
  <c r="C282" i="14"/>
  <c r="B282" i="14"/>
  <c r="D281" i="14"/>
  <c r="C281" i="14"/>
  <c r="B281" i="14"/>
  <c r="D280" i="14"/>
  <c r="C280" i="14"/>
  <c r="B280" i="14"/>
  <c r="D279" i="14"/>
  <c r="C279" i="14"/>
  <c r="B279" i="14"/>
  <c r="D278" i="14"/>
  <c r="C278" i="14"/>
  <c r="B278" i="14"/>
  <c r="D277" i="14"/>
  <c r="C277" i="14"/>
  <c r="B277" i="14"/>
  <c r="D276" i="14"/>
  <c r="C276" i="14"/>
  <c r="B276" i="14"/>
  <c r="D275" i="14"/>
  <c r="C275" i="14"/>
  <c r="B275" i="14"/>
  <c r="D274" i="14"/>
  <c r="C274" i="14"/>
  <c r="B274" i="14"/>
  <c r="D273" i="14"/>
  <c r="C273" i="14"/>
  <c r="B273" i="14"/>
  <c r="D272" i="14"/>
  <c r="C272" i="14"/>
  <c r="B272" i="14"/>
  <c r="D271" i="14"/>
  <c r="C271" i="14"/>
  <c r="B271" i="14"/>
  <c r="D270" i="14"/>
  <c r="C270" i="14"/>
  <c r="B270" i="14"/>
  <c r="D269" i="14"/>
  <c r="C269" i="14"/>
  <c r="B269" i="14"/>
  <c r="D268" i="14"/>
  <c r="C268" i="14"/>
  <c r="B268" i="14"/>
  <c r="D267" i="14"/>
  <c r="C267" i="14"/>
  <c r="B267" i="14"/>
  <c r="D266" i="14"/>
  <c r="C266" i="14"/>
  <c r="B266" i="14"/>
  <c r="D265" i="14"/>
  <c r="C265" i="14"/>
  <c r="B265" i="14"/>
  <c r="D264" i="14"/>
  <c r="C264" i="14"/>
  <c r="B264" i="14"/>
  <c r="D263" i="14"/>
  <c r="C263" i="14"/>
  <c r="B263" i="14"/>
  <c r="D262" i="14"/>
  <c r="C262" i="14"/>
  <c r="B262" i="14"/>
  <c r="D261" i="14"/>
  <c r="C261" i="14"/>
  <c r="B261" i="14"/>
  <c r="D260" i="14"/>
  <c r="C260" i="14"/>
  <c r="B260" i="14"/>
  <c r="D259" i="14"/>
  <c r="C259" i="14"/>
  <c r="B259" i="14"/>
  <c r="D258" i="14"/>
  <c r="C258" i="14"/>
  <c r="B258" i="14"/>
  <c r="D257" i="14"/>
  <c r="C257" i="14"/>
  <c r="B257" i="14"/>
  <c r="D256" i="14"/>
  <c r="C256" i="14"/>
  <c r="B256" i="14"/>
  <c r="D255" i="14"/>
  <c r="C255" i="14"/>
  <c r="B255" i="14"/>
  <c r="D254" i="14"/>
  <c r="C254" i="14"/>
  <c r="B254" i="14"/>
  <c r="D253" i="14"/>
  <c r="C253" i="14"/>
  <c r="B253" i="14"/>
  <c r="D252" i="14"/>
  <c r="C252" i="14"/>
  <c r="B252" i="14"/>
  <c r="D251" i="14"/>
  <c r="C251" i="14"/>
  <c r="B251" i="14"/>
  <c r="D250" i="14"/>
  <c r="C250" i="14"/>
  <c r="B250" i="14"/>
  <c r="D249" i="14"/>
  <c r="C249" i="14"/>
  <c r="B249" i="14"/>
  <c r="D248" i="14"/>
  <c r="C248" i="14"/>
  <c r="B248" i="14"/>
  <c r="D247" i="14"/>
  <c r="C247" i="14"/>
  <c r="B247" i="14"/>
  <c r="D246" i="14"/>
  <c r="C246" i="14"/>
  <c r="B246" i="14"/>
  <c r="D245" i="14"/>
  <c r="C245" i="14"/>
  <c r="B245" i="14"/>
  <c r="D244" i="14"/>
  <c r="C244" i="14"/>
  <c r="B244" i="14"/>
  <c r="D243" i="14"/>
  <c r="C243" i="14"/>
  <c r="B243" i="14"/>
  <c r="D242" i="14"/>
  <c r="C242" i="14"/>
  <c r="B242" i="14"/>
  <c r="D241" i="14"/>
  <c r="C241" i="14"/>
  <c r="B241" i="14"/>
  <c r="D240" i="14"/>
  <c r="C240" i="14"/>
  <c r="B240" i="14"/>
  <c r="D239" i="14"/>
  <c r="C239" i="14"/>
  <c r="B239" i="14"/>
  <c r="D238" i="14"/>
  <c r="C238" i="14"/>
  <c r="B238" i="14"/>
  <c r="D237" i="14"/>
  <c r="C237" i="14"/>
  <c r="B237" i="14"/>
  <c r="D236" i="14"/>
  <c r="C236" i="14"/>
  <c r="B236" i="14"/>
  <c r="D235" i="14"/>
  <c r="C235" i="14"/>
  <c r="B235" i="14"/>
  <c r="D234" i="14"/>
  <c r="C234" i="14"/>
  <c r="B234" i="14"/>
  <c r="D233" i="14"/>
  <c r="C233" i="14"/>
  <c r="B233" i="14"/>
  <c r="D232" i="14"/>
  <c r="C232" i="14"/>
  <c r="B232" i="14"/>
  <c r="D231" i="14"/>
  <c r="C231" i="14"/>
  <c r="B231" i="14"/>
  <c r="D230" i="14"/>
  <c r="C230" i="14"/>
  <c r="B230" i="14"/>
  <c r="D229" i="14"/>
  <c r="C229" i="14"/>
  <c r="B229" i="14"/>
  <c r="D228" i="14"/>
  <c r="C228" i="14"/>
  <c r="B228" i="14"/>
  <c r="D227" i="14"/>
  <c r="C227" i="14"/>
  <c r="B227" i="14"/>
  <c r="D226" i="14"/>
  <c r="C226" i="14"/>
  <c r="B226" i="14"/>
  <c r="D225" i="14"/>
  <c r="C225" i="14"/>
  <c r="B225" i="14"/>
  <c r="D224" i="14"/>
  <c r="C224" i="14"/>
  <c r="B224" i="14"/>
  <c r="D223" i="14"/>
  <c r="C223" i="14"/>
  <c r="B223" i="14"/>
  <c r="D222" i="14"/>
  <c r="C222" i="14"/>
  <c r="B222" i="14"/>
  <c r="D221" i="14"/>
  <c r="C221" i="14"/>
  <c r="B221" i="14"/>
  <c r="D220" i="14"/>
  <c r="C220" i="14"/>
  <c r="B220" i="14"/>
  <c r="D219" i="14"/>
  <c r="C219" i="14"/>
  <c r="B219" i="14"/>
  <c r="D218" i="14"/>
  <c r="C218" i="14"/>
  <c r="B218" i="14"/>
  <c r="D217" i="14"/>
  <c r="C217" i="14"/>
  <c r="B217" i="14"/>
  <c r="D216" i="14"/>
  <c r="C216" i="14"/>
  <c r="B216" i="14"/>
  <c r="D215" i="14"/>
  <c r="C215" i="14"/>
  <c r="B215" i="14"/>
  <c r="D214" i="14"/>
  <c r="C214" i="14"/>
  <c r="B214" i="14"/>
  <c r="D213" i="14"/>
  <c r="C213" i="14"/>
  <c r="B213" i="14"/>
  <c r="D212" i="14"/>
  <c r="C212" i="14"/>
  <c r="B212" i="14"/>
  <c r="D211" i="14"/>
  <c r="C211" i="14"/>
  <c r="B211" i="14"/>
  <c r="D210" i="14"/>
  <c r="C210" i="14"/>
  <c r="B210" i="14"/>
  <c r="D209" i="14"/>
  <c r="C209" i="14"/>
  <c r="B209" i="14"/>
  <c r="D208" i="14"/>
  <c r="C208" i="14"/>
  <c r="B208" i="14"/>
  <c r="D207" i="14"/>
  <c r="C207" i="14"/>
  <c r="B207" i="14"/>
  <c r="D206" i="14"/>
  <c r="C206" i="14"/>
  <c r="B206" i="14"/>
  <c r="D205" i="14"/>
  <c r="C205" i="14"/>
  <c r="B205" i="14"/>
  <c r="D204" i="14"/>
  <c r="C204" i="14"/>
  <c r="B204" i="14"/>
  <c r="D203" i="14"/>
  <c r="C203" i="14"/>
  <c r="B203" i="14"/>
  <c r="D202" i="14"/>
  <c r="C202" i="14"/>
  <c r="B202" i="14"/>
  <c r="D201" i="14"/>
  <c r="C201" i="14"/>
  <c r="B201" i="14"/>
  <c r="D200" i="14"/>
  <c r="C200" i="14"/>
  <c r="B200" i="14"/>
  <c r="D199" i="14"/>
  <c r="C199" i="14"/>
  <c r="B199" i="14"/>
  <c r="D198" i="14"/>
  <c r="C198" i="14"/>
  <c r="B198" i="14"/>
  <c r="D197" i="14"/>
  <c r="C197" i="14"/>
  <c r="B197" i="14"/>
  <c r="D196" i="14"/>
  <c r="C196" i="14"/>
  <c r="B196" i="14"/>
  <c r="D195" i="14"/>
  <c r="C195" i="14"/>
  <c r="B195" i="14"/>
  <c r="D194" i="14"/>
  <c r="C194" i="14"/>
  <c r="B194" i="14"/>
  <c r="D193" i="14"/>
  <c r="C193" i="14"/>
  <c r="B193" i="14"/>
  <c r="D192" i="14"/>
  <c r="C192" i="14"/>
  <c r="B192" i="14"/>
  <c r="D191" i="14"/>
  <c r="C191" i="14"/>
  <c r="B191" i="14"/>
  <c r="D190" i="14"/>
  <c r="C190" i="14"/>
  <c r="B190" i="14"/>
  <c r="D189" i="14"/>
  <c r="C189" i="14"/>
  <c r="B189" i="14"/>
  <c r="D188" i="14"/>
  <c r="C188" i="14"/>
  <c r="B188" i="14"/>
  <c r="D187" i="14"/>
  <c r="C187" i="14"/>
  <c r="B187" i="14"/>
  <c r="D186" i="14"/>
  <c r="C186" i="14"/>
  <c r="B186" i="14"/>
  <c r="D185" i="14"/>
  <c r="C185" i="14"/>
  <c r="B185" i="14"/>
  <c r="D184" i="14"/>
  <c r="C184" i="14"/>
  <c r="B184" i="14"/>
  <c r="D183" i="14"/>
  <c r="C183" i="14"/>
  <c r="B183" i="14"/>
  <c r="D182" i="14"/>
  <c r="C182" i="14"/>
  <c r="B182" i="14"/>
  <c r="D181" i="14"/>
  <c r="C181" i="14"/>
  <c r="B181" i="14"/>
  <c r="D180" i="14"/>
  <c r="C180" i="14"/>
  <c r="B180" i="14"/>
  <c r="D179" i="14"/>
  <c r="C179" i="14"/>
  <c r="B179" i="14"/>
  <c r="D178" i="14"/>
  <c r="C178" i="14"/>
  <c r="B178" i="14"/>
  <c r="D177" i="14"/>
  <c r="C177" i="14"/>
  <c r="B177" i="14"/>
  <c r="D176" i="14"/>
  <c r="C176" i="14"/>
  <c r="B176" i="14"/>
  <c r="D175" i="14"/>
  <c r="C175" i="14"/>
  <c r="B175" i="14"/>
  <c r="D174" i="14"/>
  <c r="C174" i="14"/>
  <c r="B174" i="14"/>
  <c r="D173" i="14"/>
  <c r="C173" i="14"/>
  <c r="B173" i="14"/>
  <c r="D172" i="14"/>
  <c r="C172" i="14"/>
  <c r="B172" i="14"/>
  <c r="D171" i="14"/>
  <c r="C171" i="14"/>
  <c r="B171" i="14"/>
  <c r="D170" i="14"/>
  <c r="C170" i="14"/>
  <c r="B170" i="14"/>
  <c r="D169" i="14"/>
  <c r="C169" i="14"/>
  <c r="B169" i="14"/>
  <c r="D168" i="14"/>
  <c r="C168" i="14"/>
  <c r="B168" i="14"/>
  <c r="D167" i="14"/>
  <c r="C167" i="14"/>
  <c r="B167" i="14"/>
  <c r="D166" i="14"/>
  <c r="C166" i="14"/>
  <c r="B166" i="14"/>
  <c r="D165" i="14"/>
  <c r="C165" i="14"/>
  <c r="B165" i="14"/>
  <c r="D164" i="14"/>
  <c r="C164" i="14"/>
  <c r="B164" i="14"/>
  <c r="D163" i="14"/>
  <c r="C163" i="14"/>
  <c r="B163" i="14"/>
  <c r="D162" i="14"/>
  <c r="C162" i="14"/>
  <c r="B162" i="14"/>
  <c r="D161" i="14"/>
  <c r="C161" i="14"/>
  <c r="B161" i="14"/>
  <c r="D160" i="14"/>
  <c r="C160" i="14"/>
  <c r="B160" i="14"/>
  <c r="D159" i="14"/>
  <c r="C159" i="14"/>
  <c r="B159" i="14"/>
  <c r="D158" i="14"/>
  <c r="C158" i="14"/>
  <c r="B158" i="14"/>
  <c r="D157" i="14"/>
  <c r="C157" i="14"/>
  <c r="B157" i="14"/>
  <c r="D156" i="14"/>
  <c r="C156" i="14"/>
  <c r="B156" i="14"/>
  <c r="D155" i="14"/>
  <c r="C155" i="14"/>
  <c r="B155" i="14"/>
  <c r="D154" i="14"/>
  <c r="C154" i="14"/>
  <c r="B154" i="14"/>
  <c r="D153" i="14"/>
  <c r="C153" i="14"/>
  <c r="B153" i="14"/>
  <c r="D152" i="14"/>
  <c r="C152" i="14"/>
  <c r="B152" i="14"/>
  <c r="D151" i="14"/>
  <c r="C151" i="14"/>
  <c r="B151" i="14"/>
  <c r="D150" i="14"/>
  <c r="C150" i="14"/>
  <c r="B150" i="14"/>
  <c r="D149" i="14"/>
  <c r="C149" i="14"/>
  <c r="B149" i="14"/>
  <c r="D148" i="14"/>
  <c r="C148" i="14"/>
  <c r="B148" i="14"/>
  <c r="D147" i="14"/>
  <c r="C147" i="14"/>
  <c r="B147" i="14"/>
  <c r="D146" i="14"/>
  <c r="C146" i="14"/>
  <c r="B146" i="14"/>
  <c r="D145" i="14"/>
  <c r="C145" i="14"/>
  <c r="B145" i="14"/>
  <c r="D144" i="14"/>
  <c r="C144" i="14"/>
  <c r="B144" i="14"/>
  <c r="D143" i="14"/>
  <c r="C143" i="14"/>
  <c r="B143" i="14"/>
  <c r="D142" i="14"/>
  <c r="C142" i="14"/>
  <c r="B142" i="14"/>
  <c r="D141" i="14"/>
  <c r="C141" i="14"/>
  <c r="B141" i="14"/>
  <c r="D140" i="14"/>
  <c r="C140" i="14"/>
  <c r="B140" i="14"/>
  <c r="D139" i="14"/>
  <c r="C139" i="14"/>
  <c r="B139" i="14"/>
  <c r="D138" i="14"/>
  <c r="C138" i="14"/>
  <c r="B138" i="14"/>
  <c r="D137" i="14"/>
  <c r="C137" i="14"/>
  <c r="B137" i="14"/>
  <c r="D136" i="14"/>
  <c r="C136" i="14"/>
  <c r="B136" i="14"/>
  <c r="D135" i="14"/>
  <c r="C135" i="14"/>
  <c r="B135" i="14"/>
  <c r="D134" i="14"/>
  <c r="C134" i="14"/>
  <c r="B134" i="14"/>
  <c r="D133" i="14"/>
  <c r="C133" i="14"/>
  <c r="B133" i="14"/>
  <c r="D132" i="14"/>
  <c r="C132" i="14"/>
  <c r="B132" i="14"/>
  <c r="D131" i="14"/>
  <c r="C131" i="14"/>
  <c r="B131" i="14"/>
  <c r="D130" i="14"/>
  <c r="C130" i="14"/>
  <c r="B130" i="14"/>
  <c r="D129" i="14"/>
  <c r="C129" i="14"/>
  <c r="B129" i="14"/>
  <c r="D128" i="14"/>
  <c r="C128" i="14"/>
  <c r="B128" i="14"/>
  <c r="D127" i="14"/>
  <c r="C127" i="14"/>
  <c r="B127" i="14"/>
  <c r="D126" i="14"/>
  <c r="C126" i="14"/>
  <c r="B126" i="14"/>
  <c r="D125" i="14"/>
  <c r="C125" i="14"/>
  <c r="B125" i="14"/>
  <c r="D124" i="14"/>
  <c r="C124" i="14"/>
  <c r="B124" i="14"/>
  <c r="D123" i="14"/>
  <c r="C123" i="14"/>
  <c r="B123" i="14"/>
  <c r="D122" i="14"/>
  <c r="C122" i="14"/>
  <c r="B122" i="14"/>
  <c r="D121" i="14"/>
  <c r="C121" i="14"/>
  <c r="B121" i="14"/>
  <c r="D120" i="14"/>
  <c r="C120" i="14"/>
  <c r="B120" i="14"/>
  <c r="D119" i="14"/>
  <c r="C119" i="14"/>
  <c r="B119" i="14"/>
  <c r="D118" i="14"/>
  <c r="C118" i="14"/>
  <c r="B118" i="14"/>
  <c r="D117" i="14"/>
  <c r="C117" i="14"/>
  <c r="B117" i="14"/>
  <c r="D116" i="14"/>
  <c r="C116" i="14"/>
  <c r="B116" i="14"/>
  <c r="D115" i="14"/>
  <c r="C115" i="14"/>
  <c r="B115" i="14"/>
  <c r="D114" i="14"/>
  <c r="C114" i="14"/>
  <c r="B114" i="14"/>
  <c r="D113" i="14"/>
  <c r="C113" i="14"/>
  <c r="B113" i="14"/>
  <c r="D112" i="14"/>
  <c r="C112" i="14"/>
  <c r="B112" i="14"/>
  <c r="D111" i="14"/>
  <c r="C111" i="14"/>
  <c r="B111" i="14"/>
  <c r="D110" i="14"/>
  <c r="C110" i="14"/>
  <c r="B110" i="14"/>
  <c r="D109" i="14"/>
  <c r="C109" i="14"/>
  <c r="B109" i="14"/>
  <c r="D108" i="14"/>
  <c r="C108" i="14"/>
  <c r="B108" i="14"/>
  <c r="D107" i="14"/>
  <c r="C107" i="14"/>
  <c r="B107" i="14"/>
  <c r="D106" i="14"/>
  <c r="C106" i="14"/>
  <c r="B106" i="14"/>
  <c r="D105" i="14"/>
  <c r="C105" i="14"/>
  <c r="B105" i="14"/>
  <c r="D104" i="14"/>
  <c r="C104" i="14"/>
  <c r="B104" i="14"/>
  <c r="D103" i="14"/>
  <c r="C103" i="14"/>
  <c r="B103" i="14"/>
  <c r="D102" i="14"/>
  <c r="C102" i="14"/>
  <c r="B102" i="14"/>
  <c r="D101" i="14"/>
  <c r="C101" i="14"/>
  <c r="B101" i="14"/>
  <c r="D100" i="14"/>
  <c r="C100" i="14"/>
  <c r="B100" i="14"/>
  <c r="D99" i="14"/>
  <c r="C99" i="14"/>
  <c r="B99" i="14"/>
  <c r="D98" i="14"/>
  <c r="C98" i="14"/>
  <c r="B98" i="14"/>
  <c r="D97" i="14"/>
  <c r="C97" i="14"/>
  <c r="B97" i="14"/>
  <c r="D96" i="14"/>
  <c r="C96" i="14"/>
  <c r="B96" i="14"/>
  <c r="D95" i="14"/>
  <c r="C95" i="14"/>
  <c r="B95" i="14"/>
  <c r="D94" i="14"/>
  <c r="C94" i="14"/>
  <c r="B94" i="14"/>
  <c r="D93" i="14"/>
  <c r="C93" i="14"/>
  <c r="B93" i="14"/>
  <c r="D92" i="14"/>
  <c r="C92" i="14"/>
  <c r="B92" i="14"/>
  <c r="D91" i="14"/>
  <c r="C91" i="14"/>
  <c r="B91" i="14"/>
  <c r="D90" i="14"/>
  <c r="C90" i="14"/>
  <c r="B90" i="14"/>
  <c r="D89" i="14"/>
  <c r="C89" i="14"/>
  <c r="B89" i="14"/>
  <c r="D88" i="14"/>
  <c r="C88" i="14"/>
  <c r="B88" i="14"/>
  <c r="D87" i="14"/>
  <c r="C87" i="14"/>
  <c r="B87" i="14"/>
  <c r="D86" i="14"/>
  <c r="C86" i="14"/>
  <c r="B86" i="14"/>
  <c r="D85" i="14"/>
  <c r="C85" i="14"/>
  <c r="B85" i="14"/>
  <c r="D84" i="14"/>
  <c r="C84" i="14"/>
  <c r="B84" i="14"/>
  <c r="D83" i="14"/>
  <c r="C83" i="14"/>
  <c r="B83" i="14"/>
  <c r="D82" i="14"/>
  <c r="C82" i="14"/>
  <c r="B82" i="14"/>
  <c r="D81" i="14"/>
  <c r="C81" i="14"/>
  <c r="B81" i="14"/>
  <c r="D80" i="14"/>
  <c r="C80" i="14"/>
  <c r="B80" i="14"/>
  <c r="D79" i="14"/>
  <c r="C79" i="14"/>
  <c r="B79" i="14"/>
  <c r="D78" i="14"/>
  <c r="C78" i="14"/>
  <c r="B78" i="14"/>
  <c r="D77" i="14"/>
  <c r="C77" i="14"/>
  <c r="B77" i="14"/>
  <c r="D76" i="14"/>
  <c r="C76" i="14"/>
  <c r="B76" i="14"/>
  <c r="D75" i="14"/>
  <c r="C75" i="14"/>
  <c r="B75" i="14"/>
  <c r="D74" i="14"/>
  <c r="C74" i="14"/>
  <c r="B74" i="14"/>
  <c r="D73" i="14"/>
  <c r="C73" i="14"/>
  <c r="B73" i="14"/>
  <c r="D72" i="14"/>
  <c r="C72" i="14"/>
  <c r="B72" i="14"/>
  <c r="D71" i="14"/>
  <c r="C71" i="14"/>
  <c r="B71" i="14"/>
  <c r="D70" i="14"/>
  <c r="C70" i="14"/>
  <c r="B70" i="14"/>
  <c r="D69" i="14"/>
  <c r="C69" i="14"/>
  <c r="B69" i="14"/>
  <c r="D68" i="14"/>
  <c r="C68" i="14"/>
  <c r="B68" i="14"/>
  <c r="D67" i="14"/>
  <c r="C67" i="14"/>
  <c r="B67" i="14"/>
  <c r="D66" i="14"/>
  <c r="C66" i="14"/>
  <c r="B66" i="14"/>
  <c r="D65" i="14"/>
  <c r="C65" i="14"/>
  <c r="B65" i="14"/>
  <c r="D64" i="14"/>
  <c r="C64" i="14"/>
  <c r="B64" i="14"/>
  <c r="D63" i="14"/>
  <c r="C63" i="14"/>
  <c r="B63" i="14"/>
  <c r="D62" i="14"/>
  <c r="C62" i="14"/>
  <c r="B62" i="14"/>
  <c r="D61" i="14"/>
  <c r="C61" i="14"/>
  <c r="B61" i="14"/>
  <c r="D60" i="14"/>
  <c r="C60" i="14"/>
  <c r="B60" i="14"/>
  <c r="D59" i="14"/>
  <c r="C59" i="14"/>
  <c r="B59" i="14"/>
  <c r="D58" i="14"/>
  <c r="C58" i="14"/>
  <c r="B58" i="14"/>
  <c r="D57" i="14"/>
  <c r="C57" i="14"/>
  <c r="B57" i="14"/>
  <c r="D56" i="14"/>
  <c r="C56" i="14"/>
  <c r="B56" i="14"/>
  <c r="D55" i="14"/>
  <c r="C55" i="14"/>
  <c r="B55" i="14"/>
  <c r="D54" i="14"/>
  <c r="C54" i="14"/>
  <c r="B54" i="14"/>
  <c r="D53" i="14"/>
  <c r="C53" i="14"/>
  <c r="B53" i="14"/>
  <c r="D52" i="14"/>
  <c r="C52" i="14"/>
  <c r="B52" i="14"/>
  <c r="D51" i="14"/>
  <c r="C51" i="14"/>
  <c r="B51" i="14"/>
  <c r="D50" i="14"/>
  <c r="C50" i="14"/>
  <c r="B50" i="14"/>
  <c r="D49" i="14"/>
  <c r="C49" i="14"/>
  <c r="B49" i="14"/>
  <c r="D48" i="14"/>
  <c r="C48" i="14"/>
  <c r="B48" i="14"/>
  <c r="D47" i="14"/>
  <c r="C47" i="14"/>
  <c r="B47" i="14"/>
  <c r="D46" i="14"/>
  <c r="C46" i="14"/>
  <c r="B46" i="14"/>
  <c r="D45" i="14"/>
  <c r="C45" i="14"/>
  <c r="B45" i="14"/>
  <c r="D44" i="14"/>
  <c r="C44" i="14"/>
  <c r="B44" i="14"/>
  <c r="D43" i="14"/>
  <c r="C43" i="14"/>
  <c r="B43" i="14"/>
  <c r="D42" i="14"/>
  <c r="C42" i="14"/>
  <c r="B42" i="14"/>
  <c r="D41" i="14"/>
  <c r="C41" i="14"/>
  <c r="B41" i="14"/>
  <c r="D40" i="14"/>
  <c r="C40" i="14"/>
  <c r="B40" i="14"/>
  <c r="D39" i="14"/>
  <c r="C39" i="14"/>
  <c r="B39" i="14"/>
  <c r="D38" i="14"/>
  <c r="C38" i="14"/>
  <c r="B38" i="14"/>
  <c r="D37" i="14"/>
  <c r="C37" i="14"/>
  <c r="B37" i="14"/>
  <c r="D36" i="14"/>
  <c r="C36" i="14"/>
  <c r="B36" i="14"/>
  <c r="D35" i="14"/>
  <c r="C35" i="14"/>
  <c r="B35" i="14"/>
  <c r="D34" i="14"/>
  <c r="C34" i="14"/>
  <c r="B34" i="14"/>
  <c r="D33" i="14"/>
  <c r="C33" i="14"/>
  <c r="B33" i="14"/>
  <c r="D32" i="14"/>
  <c r="C32" i="14"/>
  <c r="B32" i="14"/>
  <c r="D31" i="14"/>
  <c r="C31" i="14"/>
  <c r="B31" i="14"/>
  <c r="D30" i="14"/>
  <c r="C30" i="14"/>
  <c r="B30" i="14"/>
  <c r="D29" i="14"/>
  <c r="C29" i="14"/>
  <c r="B29" i="14"/>
  <c r="D28" i="14"/>
  <c r="C28" i="14"/>
  <c r="B28" i="14"/>
  <c r="D27" i="14"/>
  <c r="C27" i="14"/>
  <c r="B27" i="14"/>
  <c r="D26" i="14"/>
  <c r="C26" i="14"/>
  <c r="B26" i="14"/>
  <c r="C25" i="14"/>
  <c r="B25" i="14"/>
  <c r="C24" i="14"/>
  <c r="B24" i="14"/>
  <c r="C23" i="14"/>
  <c r="B23" i="14"/>
  <c r="C22" i="14"/>
  <c r="B22" i="14"/>
  <c r="C21" i="14"/>
  <c r="B21" i="14"/>
  <c r="C20" i="14"/>
  <c r="B20" i="14"/>
  <c r="C19" i="14"/>
  <c r="B19" i="14"/>
  <c r="C18" i="14"/>
  <c r="B18" i="14"/>
  <c r="C17" i="14"/>
  <c r="B17" i="14"/>
  <c r="C16" i="14"/>
  <c r="B16" i="14"/>
  <c r="C15" i="14"/>
  <c r="B15" i="14"/>
  <c r="C14" i="14"/>
  <c r="B14" i="14"/>
  <c r="C13" i="14"/>
  <c r="B13" i="14"/>
  <c r="C12" i="14"/>
  <c r="B12" i="14"/>
  <c r="C11" i="14"/>
  <c r="B11" i="14"/>
  <c r="C10" i="14"/>
  <c r="B10" i="14"/>
  <c r="C9" i="14"/>
  <c r="B9" i="14"/>
  <c r="C8" i="14"/>
  <c r="B8" i="14"/>
  <c r="C7" i="14"/>
  <c r="B7" i="14"/>
  <c r="C6" i="14"/>
  <c r="B6" i="14"/>
  <c r="C24" i="13"/>
  <c r="C23" i="13"/>
  <c r="C22" i="13"/>
  <c r="C21" i="13"/>
  <c r="C20" i="13"/>
  <c r="C18" i="13"/>
  <c r="C17" i="13"/>
  <c r="C16" i="13"/>
  <c r="C15" i="13"/>
  <c r="C14" i="13"/>
  <c r="C13" i="13"/>
  <c r="C12" i="13"/>
  <c r="C11" i="13"/>
  <c r="C10" i="13"/>
  <c r="C9" i="13"/>
  <c r="C8" i="13"/>
  <c r="C7" i="13"/>
  <c r="C6" i="13"/>
  <c r="C27" i="12"/>
  <c r="F26" i="12"/>
  <c r="C26" i="12"/>
  <c r="F25" i="12"/>
  <c r="C25" i="12"/>
  <c r="F24" i="12"/>
  <c r="C24" i="12"/>
  <c r="F23" i="12"/>
  <c r="C23" i="12"/>
  <c r="F22" i="12"/>
  <c r="C22" i="12"/>
  <c r="F18" i="12"/>
  <c r="C18" i="12"/>
  <c r="C17" i="12"/>
  <c r="C16" i="12"/>
  <c r="C14" i="12"/>
  <c r="C13" i="12"/>
  <c r="C12" i="12"/>
  <c r="F11" i="12"/>
  <c r="C11" i="12"/>
  <c r="F10" i="12"/>
  <c r="C10" i="12"/>
  <c r="F9" i="12"/>
  <c r="C9" i="12"/>
  <c r="F8" i="12"/>
  <c r="C8" i="12"/>
  <c r="F7" i="12"/>
  <c r="C7" i="12"/>
  <c r="F6" i="12"/>
  <c r="C6" i="12"/>
  <c r="C525" i="11"/>
  <c r="B525" i="11"/>
  <c r="A525" i="11"/>
  <c r="C524" i="11"/>
  <c r="B524" i="11"/>
  <c r="A524" i="11"/>
  <c r="C523" i="11"/>
  <c r="B523" i="11"/>
  <c r="A523" i="11"/>
  <c r="C522" i="11"/>
  <c r="B522" i="11"/>
  <c r="A522" i="11"/>
  <c r="C521" i="11"/>
  <c r="B521" i="11"/>
  <c r="A521" i="11"/>
  <c r="C520" i="11"/>
  <c r="B520" i="11"/>
  <c r="A520" i="11"/>
  <c r="C519" i="11"/>
  <c r="B519" i="11"/>
  <c r="A519" i="11"/>
  <c r="C518" i="11"/>
  <c r="B518" i="11"/>
  <c r="A518" i="11"/>
  <c r="C517" i="11"/>
  <c r="B517" i="11"/>
  <c r="A517" i="11"/>
  <c r="C516" i="11"/>
  <c r="B516" i="11"/>
  <c r="A516" i="11"/>
  <c r="C515" i="11"/>
  <c r="B515" i="11"/>
  <c r="A515" i="11"/>
  <c r="C514" i="11"/>
  <c r="B514" i="11"/>
  <c r="A514" i="11"/>
  <c r="C513" i="11"/>
  <c r="B513" i="11"/>
  <c r="A513" i="11"/>
  <c r="C512" i="11"/>
  <c r="B512" i="11"/>
  <c r="A512" i="11"/>
  <c r="C511" i="11"/>
  <c r="B511" i="11"/>
  <c r="A511" i="11"/>
  <c r="C510" i="11"/>
  <c r="B510" i="11"/>
  <c r="A510" i="11"/>
  <c r="C509" i="11"/>
  <c r="B509" i="11"/>
  <c r="A509" i="11"/>
  <c r="C508" i="11"/>
  <c r="B508" i="11"/>
  <c r="A508" i="11"/>
  <c r="C507" i="11"/>
  <c r="B507" i="11"/>
  <c r="A507" i="11"/>
  <c r="C506" i="11"/>
  <c r="B506" i="11"/>
  <c r="A506" i="11"/>
  <c r="C505" i="11"/>
  <c r="B505" i="11"/>
  <c r="A505" i="11"/>
  <c r="C504" i="11"/>
  <c r="B504" i="11"/>
  <c r="A504" i="11"/>
  <c r="C503" i="11"/>
  <c r="B503" i="11"/>
  <c r="A503" i="11"/>
  <c r="C502" i="11"/>
  <c r="B502" i="11"/>
  <c r="A502" i="11"/>
  <c r="C501" i="11"/>
  <c r="B501" i="11"/>
  <c r="A501" i="11"/>
  <c r="C500" i="11"/>
  <c r="B500" i="11"/>
  <c r="A500" i="11"/>
  <c r="C499" i="11"/>
  <c r="B499" i="11"/>
  <c r="A499" i="11"/>
  <c r="C498" i="11"/>
  <c r="B498" i="11"/>
  <c r="A498" i="11"/>
  <c r="C497" i="11"/>
  <c r="B497" i="11"/>
  <c r="A497" i="11"/>
  <c r="C496" i="11"/>
  <c r="B496" i="11"/>
  <c r="A496" i="11"/>
  <c r="C495" i="11"/>
  <c r="B495" i="11"/>
  <c r="A495" i="11"/>
  <c r="C494" i="11"/>
  <c r="B494" i="11"/>
  <c r="A494" i="11"/>
  <c r="C493" i="11"/>
  <c r="B493" i="11"/>
  <c r="A493" i="11"/>
  <c r="C492" i="11"/>
  <c r="B492" i="11"/>
  <c r="A492" i="11"/>
  <c r="C491" i="11"/>
  <c r="B491" i="11"/>
  <c r="A491" i="11"/>
  <c r="C490" i="11"/>
  <c r="B490" i="11"/>
  <c r="A490" i="11"/>
  <c r="C489" i="11"/>
  <c r="B489" i="11"/>
  <c r="A489" i="11"/>
  <c r="C488" i="11"/>
  <c r="B488" i="11"/>
  <c r="A488" i="11"/>
  <c r="C487" i="11"/>
  <c r="B487" i="11"/>
  <c r="A487" i="11"/>
  <c r="C486" i="11"/>
  <c r="B486" i="11"/>
  <c r="A486" i="11"/>
  <c r="C485" i="11"/>
  <c r="B485" i="11"/>
  <c r="A485" i="11"/>
  <c r="C484" i="11"/>
  <c r="B484" i="11"/>
  <c r="A484" i="11"/>
  <c r="C483" i="11"/>
  <c r="B483" i="11"/>
  <c r="A483" i="11"/>
  <c r="C482" i="11"/>
  <c r="B482" i="11"/>
  <c r="A482" i="11"/>
  <c r="C481" i="11"/>
  <c r="B481" i="11"/>
  <c r="A481" i="11"/>
  <c r="C480" i="11"/>
  <c r="B480" i="11"/>
  <c r="A480" i="11"/>
  <c r="C479" i="11"/>
  <c r="B479" i="11"/>
  <c r="A479" i="11"/>
  <c r="C478" i="11"/>
  <c r="B478" i="11"/>
  <c r="A478" i="11"/>
  <c r="C477" i="11"/>
  <c r="B477" i="11"/>
  <c r="A477" i="11"/>
  <c r="C476" i="11"/>
  <c r="B476" i="11"/>
  <c r="A476" i="11"/>
  <c r="C475" i="11"/>
  <c r="B475" i="11"/>
  <c r="A475" i="11"/>
  <c r="C474" i="11"/>
  <c r="B474" i="11"/>
  <c r="A474" i="11"/>
  <c r="C473" i="11"/>
  <c r="B473" i="11"/>
  <c r="A473" i="11"/>
  <c r="C472" i="11"/>
  <c r="B472" i="11"/>
  <c r="A472" i="11"/>
  <c r="C471" i="11"/>
  <c r="B471" i="11"/>
  <c r="A471" i="11"/>
  <c r="C470" i="11"/>
  <c r="B470" i="11"/>
  <c r="A470" i="11"/>
  <c r="C469" i="11"/>
  <c r="B469" i="11"/>
  <c r="A469" i="11"/>
  <c r="C468" i="11"/>
  <c r="B468" i="11"/>
  <c r="A468" i="11"/>
  <c r="C467" i="11"/>
  <c r="B467" i="11"/>
  <c r="A467" i="11"/>
  <c r="C466" i="11"/>
  <c r="B466" i="11"/>
  <c r="A466" i="11"/>
  <c r="C465" i="11"/>
  <c r="B465" i="11"/>
  <c r="A465" i="11"/>
  <c r="C464" i="11"/>
  <c r="B464" i="11"/>
  <c r="A464" i="11"/>
  <c r="C463" i="11"/>
  <c r="B463" i="11"/>
  <c r="A463" i="11"/>
  <c r="C462" i="11"/>
  <c r="B462" i="11"/>
  <c r="A462" i="11"/>
  <c r="C461" i="11"/>
  <c r="B461" i="11"/>
  <c r="A461" i="11"/>
  <c r="C460" i="11"/>
  <c r="B460" i="11"/>
  <c r="A460" i="11"/>
  <c r="C459" i="11"/>
  <c r="B459" i="11"/>
  <c r="A459" i="11"/>
  <c r="C458" i="11"/>
  <c r="B458" i="11"/>
  <c r="A458" i="11"/>
  <c r="C457" i="11"/>
  <c r="B457" i="11"/>
  <c r="A457" i="11"/>
  <c r="C456" i="11"/>
  <c r="B456" i="11"/>
  <c r="A456" i="11"/>
  <c r="C455" i="11"/>
  <c r="B455" i="11"/>
  <c r="A455" i="11"/>
  <c r="C454" i="11"/>
  <c r="B454" i="11"/>
  <c r="A454" i="11"/>
  <c r="C453" i="11"/>
  <c r="B453" i="11"/>
  <c r="A453" i="11"/>
  <c r="C452" i="11"/>
  <c r="B452" i="11"/>
  <c r="A452" i="11"/>
  <c r="C451" i="11"/>
  <c r="B451" i="11"/>
  <c r="A451" i="11"/>
  <c r="C450" i="11"/>
  <c r="B450" i="11"/>
  <c r="A450" i="11"/>
  <c r="C449" i="11"/>
  <c r="B449" i="11"/>
  <c r="A449" i="11"/>
  <c r="C448" i="11"/>
  <c r="B448" i="11"/>
  <c r="A448" i="11"/>
  <c r="C447" i="11"/>
  <c r="B447" i="11"/>
  <c r="A447" i="11"/>
  <c r="C446" i="11"/>
  <c r="B446" i="11"/>
  <c r="A446" i="11"/>
  <c r="C445" i="11"/>
  <c r="B445" i="11"/>
  <c r="A445" i="11"/>
  <c r="C444" i="11"/>
  <c r="B444" i="11"/>
  <c r="A444" i="11"/>
  <c r="C443" i="11"/>
  <c r="B443" i="11"/>
  <c r="A443" i="11"/>
  <c r="C442" i="11"/>
  <c r="B442" i="11"/>
  <c r="A442" i="11"/>
  <c r="C441" i="11"/>
  <c r="B441" i="11"/>
  <c r="A441" i="11"/>
  <c r="C440" i="11"/>
  <c r="B440" i="11"/>
  <c r="A440" i="11"/>
  <c r="C439" i="11"/>
  <c r="B439" i="11"/>
  <c r="A439" i="11"/>
  <c r="C438" i="11"/>
  <c r="B438" i="11"/>
  <c r="A438" i="11"/>
  <c r="C437" i="11"/>
  <c r="B437" i="11"/>
  <c r="A437" i="11"/>
  <c r="C436" i="11"/>
  <c r="B436" i="11"/>
  <c r="A436" i="11"/>
  <c r="C435" i="11"/>
  <c r="B435" i="11"/>
  <c r="A435" i="11"/>
  <c r="C434" i="11"/>
  <c r="B434" i="11"/>
  <c r="A434" i="11"/>
  <c r="C433" i="11"/>
  <c r="B433" i="11"/>
  <c r="A433" i="11"/>
  <c r="C432" i="11"/>
  <c r="B432" i="11"/>
  <c r="A432" i="11"/>
  <c r="C431" i="11"/>
  <c r="B431" i="11"/>
  <c r="A431" i="11"/>
  <c r="C430" i="11"/>
  <c r="B430" i="11"/>
  <c r="A430" i="11"/>
  <c r="C429" i="11"/>
  <c r="B429" i="11"/>
  <c r="A429" i="11"/>
  <c r="C428" i="11"/>
  <c r="B428" i="11"/>
  <c r="A428" i="11"/>
  <c r="C427" i="11"/>
  <c r="B427" i="11"/>
  <c r="A427" i="11"/>
  <c r="C426" i="11"/>
  <c r="B426" i="11"/>
  <c r="A426" i="11"/>
  <c r="C425" i="11"/>
  <c r="B425" i="11"/>
  <c r="A425" i="11"/>
  <c r="C424" i="11"/>
  <c r="B424" i="11"/>
  <c r="A424" i="11"/>
  <c r="C423" i="11"/>
  <c r="B423" i="11"/>
  <c r="A423" i="11"/>
  <c r="C422" i="11"/>
  <c r="B422" i="11"/>
  <c r="A422" i="11"/>
  <c r="C421" i="11"/>
  <c r="B421" i="11"/>
  <c r="A421" i="11"/>
  <c r="C420" i="11"/>
  <c r="B420" i="11"/>
  <c r="A420" i="11"/>
  <c r="C419" i="11"/>
  <c r="B419" i="11"/>
  <c r="A419" i="11"/>
  <c r="C418" i="11"/>
  <c r="B418" i="11"/>
  <c r="A418" i="11"/>
  <c r="C417" i="11"/>
  <c r="B417" i="11"/>
  <c r="A417" i="11"/>
  <c r="C416" i="11"/>
  <c r="B416" i="11"/>
  <c r="A416" i="11"/>
  <c r="C415" i="11"/>
  <c r="B415" i="11"/>
  <c r="A415" i="11"/>
  <c r="C414" i="11"/>
  <c r="B414" i="11"/>
  <c r="A414" i="11"/>
  <c r="C413" i="11"/>
  <c r="B413" i="11"/>
  <c r="A413" i="11"/>
  <c r="C412" i="11"/>
  <c r="B412" i="11"/>
  <c r="A412" i="11"/>
  <c r="C411" i="11"/>
  <c r="B411" i="11"/>
  <c r="A411" i="11"/>
  <c r="C410" i="11"/>
  <c r="B410" i="11"/>
  <c r="A410" i="11"/>
  <c r="C409" i="11"/>
  <c r="B409" i="11"/>
  <c r="A409" i="11"/>
  <c r="C408" i="11"/>
  <c r="B408" i="11"/>
  <c r="A408" i="11"/>
  <c r="C407" i="11"/>
  <c r="B407" i="11"/>
  <c r="A407" i="11"/>
  <c r="C406" i="11"/>
  <c r="B406" i="11"/>
  <c r="A406" i="11"/>
  <c r="C405" i="11"/>
  <c r="B405" i="11"/>
  <c r="A405" i="11"/>
  <c r="C404" i="11"/>
  <c r="B404" i="11"/>
  <c r="A404" i="11"/>
  <c r="C403" i="11"/>
  <c r="B403" i="11"/>
  <c r="A403" i="11"/>
  <c r="C402" i="11"/>
  <c r="B402" i="11"/>
  <c r="A402" i="11"/>
  <c r="C401" i="11"/>
  <c r="B401" i="11"/>
  <c r="A401" i="11"/>
  <c r="C400" i="11"/>
  <c r="B400" i="11"/>
  <c r="A400" i="11"/>
  <c r="C399" i="11"/>
  <c r="B399" i="11"/>
  <c r="A399" i="11"/>
  <c r="C398" i="11"/>
  <c r="B398" i="11"/>
  <c r="A398" i="11"/>
  <c r="C397" i="11"/>
  <c r="B397" i="11"/>
  <c r="A397" i="11"/>
  <c r="C396" i="11"/>
  <c r="B396" i="11"/>
  <c r="A396" i="11"/>
  <c r="C395" i="11"/>
  <c r="B395" i="11"/>
  <c r="A395" i="11"/>
  <c r="C394" i="11"/>
  <c r="B394" i="11"/>
  <c r="A394" i="11"/>
  <c r="C393" i="11"/>
  <c r="B393" i="11"/>
  <c r="A393" i="11"/>
  <c r="C392" i="11"/>
  <c r="B392" i="11"/>
  <c r="A392" i="11"/>
  <c r="C391" i="11"/>
  <c r="B391" i="11"/>
  <c r="A391" i="11"/>
  <c r="C390" i="11"/>
  <c r="B390" i="11"/>
  <c r="A390" i="11"/>
  <c r="C389" i="11"/>
  <c r="B389" i="11"/>
  <c r="A389" i="11"/>
  <c r="C388" i="11"/>
  <c r="B388" i="11"/>
  <c r="A388" i="11"/>
  <c r="C387" i="11"/>
  <c r="B387" i="11"/>
  <c r="A387" i="11"/>
  <c r="C386" i="11"/>
  <c r="B386" i="11"/>
  <c r="A386" i="11"/>
  <c r="C385" i="11"/>
  <c r="B385" i="11"/>
  <c r="A385" i="11"/>
  <c r="C384" i="11"/>
  <c r="B384" i="11"/>
  <c r="A384" i="11"/>
  <c r="C383" i="11"/>
  <c r="B383" i="11"/>
  <c r="A383" i="11"/>
  <c r="C382" i="11"/>
  <c r="B382" i="11"/>
  <c r="A382" i="11"/>
  <c r="C381" i="11"/>
  <c r="B381" i="11"/>
  <c r="A381" i="11"/>
  <c r="C380" i="11"/>
  <c r="B380" i="11"/>
  <c r="A380" i="11"/>
  <c r="C379" i="11"/>
  <c r="B379" i="11"/>
  <c r="A379" i="11"/>
  <c r="C378" i="11"/>
  <c r="B378" i="11"/>
  <c r="A378" i="11"/>
  <c r="C377" i="11"/>
  <c r="B377" i="11"/>
  <c r="A377" i="11"/>
  <c r="C376" i="11"/>
  <c r="B376" i="11"/>
  <c r="A376" i="11"/>
  <c r="C375" i="11"/>
  <c r="B375" i="11"/>
  <c r="A375" i="11"/>
  <c r="C374" i="11"/>
  <c r="B374" i="11"/>
  <c r="A374" i="11"/>
  <c r="C373" i="11"/>
  <c r="B373" i="11"/>
  <c r="A373" i="11"/>
  <c r="C372" i="11"/>
  <c r="B372" i="11"/>
  <c r="A372" i="11"/>
  <c r="C371" i="11"/>
  <c r="B371" i="11"/>
  <c r="A371" i="11"/>
  <c r="C370" i="11"/>
  <c r="B370" i="11"/>
  <c r="A370" i="11"/>
  <c r="C369" i="11"/>
  <c r="B369" i="11"/>
  <c r="A369" i="11"/>
  <c r="C368" i="11"/>
  <c r="B368" i="11"/>
  <c r="A368" i="11"/>
  <c r="C367" i="11"/>
  <c r="B367" i="11"/>
  <c r="A367" i="11"/>
  <c r="C366" i="11"/>
  <c r="B366" i="11"/>
  <c r="A366" i="11"/>
  <c r="C365" i="11"/>
  <c r="B365" i="11"/>
  <c r="A365" i="11"/>
  <c r="C364" i="11"/>
  <c r="B364" i="11"/>
  <c r="A364" i="11"/>
  <c r="C363" i="11"/>
  <c r="B363" i="11"/>
  <c r="A363" i="11"/>
  <c r="C362" i="11"/>
  <c r="B362" i="11"/>
  <c r="A362" i="11"/>
  <c r="C361" i="11"/>
  <c r="B361" i="11"/>
  <c r="A361" i="11"/>
  <c r="C360" i="11"/>
  <c r="B360" i="11"/>
  <c r="A360" i="11"/>
  <c r="C359" i="11"/>
  <c r="B359" i="11"/>
  <c r="A359" i="11"/>
  <c r="C358" i="11"/>
  <c r="B358" i="11"/>
  <c r="A358" i="11"/>
  <c r="C357" i="11"/>
  <c r="B357" i="11"/>
  <c r="A357" i="11"/>
  <c r="C356" i="11"/>
  <c r="B356" i="11"/>
  <c r="A356" i="11"/>
  <c r="C355" i="11"/>
  <c r="B355" i="11"/>
  <c r="A355" i="11"/>
  <c r="C354" i="11"/>
  <c r="B354" i="11"/>
  <c r="A354" i="11"/>
  <c r="C353" i="11"/>
  <c r="B353" i="11"/>
  <c r="A353" i="11"/>
  <c r="C352" i="11"/>
  <c r="B352" i="11"/>
  <c r="A352" i="11"/>
  <c r="C351" i="11"/>
  <c r="B351" i="11"/>
  <c r="A351" i="11"/>
  <c r="C350" i="11"/>
  <c r="B350" i="11"/>
  <c r="A350" i="11"/>
  <c r="C349" i="11"/>
  <c r="B349" i="11"/>
  <c r="A349" i="11"/>
  <c r="C348" i="11"/>
  <c r="B348" i="11"/>
  <c r="A348" i="11"/>
  <c r="C347" i="11"/>
  <c r="B347" i="11"/>
  <c r="A347" i="11"/>
  <c r="C346" i="11"/>
  <c r="B346" i="11"/>
  <c r="A346" i="11"/>
  <c r="C345" i="11"/>
  <c r="B345" i="11"/>
  <c r="A345" i="11"/>
  <c r="C344" i="11"/>
  <c r="B344" i="11"/>
  <c r="A344" i="11"/>
  <c r="C343" i="11"/>
  <c r="B343" i="11"/>
  <c r="A343" i="11"/>
  <c r="C342" i="11"/>
  <c r="B342" i="11"/>
  <c r="A342" i="11"/>
  <c r="C341" i="11"/>
  <c r="B341" i="11"/>
  <c r="A341" i="11"/>
  <c r="C340" i="11"/>
  <c r="B340" i="11"/>
  <c r="A340" i="11"/>
  <c r="C339" i="11"/>
  <c r="B339" i="11"/>
  <c r="A339" i="11"/>
  <c r="C338" i="11"/>
  <c r="B338" i="11"/>
  <c r="A338" i="11"/>
  <c r="C337" i="11"/>
  <c r="B337" i="11"/>
  <c r="A337" i="11"/>
  <c r="C336" i="11"/>
  <c r="B336" i="11"/>
  <c r="A336" i="11"/>
  <c r="C335" i="11"/>
  <c r="B335" i="11"/>
  <c r="A335" i="11"/>
  <c r="C334" i="11"/>
  <c r="B334" i="11"/>
  <c r="A334" i="11"/>
  <c r="C333" i="11"/>
  <c r="B333" i="11"/>
  <c r="A333" i="11"/>
  <c r="C332" i="11"/>
  <c r="B332" i="11"/>
  <c r="A332" i="11"/>
  <c r="C331" i="11"/>
  <c r="B331" i="11"/>
  <c r="A331" i="11"/>
  <c r="C330" i="11"/>
  <c r="B330" i="11"/>
  <c r="A330" i="11"/>
  <c r="C329" i="11"/>
  <c r="B329" i="11"/>
  <c r="A329" i="11"/>
  <c r="C328" i="11"/>
  <c r="B328" i="11"/>
  <c r="A328" i="11"/>
  <c r="C327" i="11"/>
  <c r="B327" i="11"/>
  <c r="A327" i="11"/>
  <c r="C326" i="11"/>
  <c r="B326" i="11"/>
  <c r="A326" i="11"/>
  <c r="C325" i="11"/>
  <c r="B325" i="11"/>
  <c r="A325" i="11"/>
  <c r="C324" i="11"/>
  <c r="B324" i="11"/>
  <c r="A324" i="11"/>
  <c r="C323" i="11"/>
  <c r="B323" i="11"/>
  <c r="A323" i="11"/>
  <c r="C322" i="11"/>
  <c r="B322" i="11"/>
  <c r="A322" i="11"/>
  <c r="C321" i="11"/>
  <c r="B321" i="11"/>
  <c r="A321" i="11"/>
  <c r="C320" i="11"/>
  <c r="B320" i="11"/>
  <c r="A320" i="11"/>
  <c r="C319" i="11"/>
  <c r="B319" i="11"/>
  <c r="A319" i="11"/>
  <c r="C318" i="11"/>
  <c r="B318" i="11"/>
  <c r="A318" i="11"/>
  <c r="C317" i="11"/>
  <c r="B317" i="11"/>
  <c r="A317" i="11"/>
  <c r="C316" i="11"/>
  <c r="B316" i="11"/>
  <c r="A316" i="11"/>
  <c r="C315" i="11"/>
  <c r="B315" i="11"/>
  <c r="A315" i="11"/>
  <c r="C314" i="11"/>
  <c r="B314" i="11"/>
  <c r="A314" i="11"/>
  <c r="C313" i="11"/>
  <c r="B313" i="11"/>
  <c r="A313" i="11"/>
  <c r="C312" i="11"/>
  <c r="B312" i="11"/>
  <c r="A312" i="11"/>
  <c r="C311" i="11"/>
  <c r="B311" i="11"/>
  <c r="A311" i="11"/>
  <c r="C310" i="11"/>
  <c r="B310" i="11"/>
  <c r="A310" i="11"/>
  <c r="C309" i="11"/>
  <c r="B309" i="11"/>
  <c r="A309" i="11"/>
  <c r="C308" i="11"/>
  <c r="B308" i="11"/>
  <c r="A308" i="11"/>
  <c r="C307" i="11"/>
  <c r="B307" i="11"/>
  <c r="A307" i="11"/>
  <c r="C306" i="11"/>
  <c r="B306" i="11"/>
  <c r="A306" i="11"/>
  <c r="C305" i="11"/>
  <c r="B305" i="11"/>
  <c r="A305" i="11"/>
  <c r="C304" i="11"/>
  <c r="B304" i="11"/>
  <c r="A304" i="11"/>
  <c r="C303" i="11"/>
  <c r="B303" i="11"/>
  <c r="A303" i="11"/>
  <c r="C302" i="11"/>
  <c r="B302" i="11"/>
  <c r="A302" i="11"/>
  <c r="C301" i="11"/>
  <c r="B301" i="11"/>
  <c r="A301" i="11"/>
  <c r="C300" i="11"/>
  <c r="B300" i="11"/>
  <c r="A300" i="11"/>
  <c r="C299" i="11"/>
  <c r="B299" i="11"/>
  <c r="A299" i="11"/>
  <c r="C298" i="11"/>
  <c r="B298" i="11"/>
  <c r="A298" i="11"/>
  <c r="C297" i="11"/>
  <c r="B297" i="11"/>
  <c r="A297" i="11"/>
  <c r="C296" i="11"/>
  <c r="B296" i="11"/>
  <c r="A296" i="11"/>
  <c r="C295" i="11"/>
  <c r="B295" i="11"/>
  <c r="A295" i="11"/>
  <c r="C294" i="11"/>
  <c r="B294" i="11"/>
  <c r="A294" i="11"/>
  <c r="C293" i="11"/>
  <c r="B293" i="11"/>
  <c r="A293" i="11"/>
  <c r="C292" i="11"/>
  <c r="B292" i="11"/>
  <c r="A292" i="11"/>
  <c r="C291" i="11"/>
  <c r="B291" i="11"/>
  <c r="A291" i="11"/>
  <c r="C290" i="11"/>
  <c r="B290" i="11"/>
  <c r="A290" i="11"/>
  <c r="C289" i="11"/>
  <c r="B289" i="11"/>
  <c r="A289" i="11"/>
  <c r="C288" i="11"/>
  <c r="B288" i="11"/>
  <c r="A288" i="11"/>
  <c r="C287" i="11"/>
  <c r="B287" i="11"/>
  <c r="A287" i="11"/>
  <c r="C286" i="11"/>
  <c r="B286" i="11"/>
  <c r="A286" i="11"/>
  <c r="C285" i="11"/>
  <c r="B285" i="11"/>
  <c r="A285" i="11"/>
  <c r="C284" i="11"/>
  <c r="B284" i="11"/>
  <c r="A284" i="11"/>
  <c r="C283" i="11"/>
  <c r="B283" i="11"/>
  <c r="A283" i="11"/>
  <c r="C282" i="11"/>
  <c r="B282" i="11"/>
  <c r="A282" i="11"/>
  <c r="C281" i="11"/>
  <c r="B281" i="11"/>
  <c r="A281" i="11"/>
  <c r="C280" i="11"/>
  <c r="B280" i="11"/>
  <c r="A280" i="11"/>
  <c r="C279" i="11"/>
  <c r="B279" i="11"/>
  <c r="A279" i="11"/>
  <c r="C278" i="11"/>
  <c r="B278" i="11"/>
  <c r="A278" i="11"/>
  <c r="C277" i="11"/>
  <c r="B277" i="11"/>
  <c r="A277" i="11"/>
  <c r="C276" i="11"/>
  <c r="B276" i="11"/>
  <c r="A276" i="11"/>
  <c r="C275" i="11"/>
  <c r="B275" i="11"/>
  <c r="A275" i="11"/>
  <c r="C274" i="11"/>
  <c r="B274" i="11"/>
  <c r="A274" i="11"/>
  <c r="C273" i="11"/>
  <c r="B273" i="11"/>
  <c r="A273" i="11"/>
  <c r="C272" i="11"/>
  <c r="B272" i="11"/>
  <c r="A272" i="11"/>
  <c r="C271" i="11"/>
  <c r="B271" i="11"/>
  <c r="A271" i="11"/>
  <c r="C270" i="11"/>
  <c r="B270" i="11"/>
  <c r="A270" i="11"/>
  <c r="C269" i="11"/>
  <c r="B269" i="11"/>
  <c r="A269" i="11"/>
  <c r="C268" i="11"/>
  <c r="B268" i="11"/>
  <c r="A268" i="11"/>
  <c r="C267" i="11"/>
  <c r="B267" i="11"/>
  <c r="A267" i="11"/>
  <c r="C266" i="11"/>
  <c r="B266" i="11"/>
  <c r="A266" i="11"/>
  <c r="C265" i="11"/>
  <c r="B265" i="11"/>
  <c r="A265" i="11"/>
  <c r="C264" i="11"/>
  <c r="B264" i="11"/>
  <c r="A264" i="11"/>
  <c r="C263" i="11"/>
  <c r="B263" i="11"/>
  <c r="A263" i="11"/>
  <c r="C262" i="11"/>
  <c r="B262" i="11"/>
  <c r="A262" i="11"/>
  <c r="C261" i="11"/>
  <c r="B261" i="11"/>
  <c r="A261" i="11"/>
  <c r="C260" i="11"/>
  <c r="B260" i="11"/>
  <c r="A260" i="11"/>
  <c r="C259" i="11"/>
  <c r="B259" i="11"/>
  <c r="A259" i="11"/>
  <c r="C258" i="11"/>
  <c r="B258" i="11"/>
  <c r="A258" i="11"/>
  <c r="C257" i="11"/>
  <c r="B257" i="11"/>
  <c r="A257" i="11"/>
  <c r="C256" i="11"/>
  <c r="B256" i="11"/>
  <c r="A256" i="11"/>
  <c r="C255" i="11"/>
  <c r="B255" i="11"/>
  <c r="A255" i="11"/>
  <c r="C254" i="11"/>
  <c r="B254" i="11"/>
  <c r="A254" i="11"/>
  <c r="C253" i="11"/>
  <c r="B253" i="11"/>
  <c r="A253" i="11"/>
  <c r="C252" i="11"/>
  <c r="B252" i="11"/>
  <c r="A252" i="11"/>
  <c r="C251" i="11"/>
  <c r="B251" i="11"/>
  <c r="A251" i="11"/>
  <c r="C250" i="11"/>
  <c r="B250" i="11"/>
  <c r="A250" i="11"/>
  <c r="C249" i="11"/>
  <c r="B249" i="11"/>
  <c r="A249" i="11"/>
  <c r="C248" i="11"/>
  <c r="B248" i="11"/>
  <c r="A248" i="11"/>
  <c r="C247" i="11"/>
  <c r="B247" i="11"/>
  <c r="A247" i="11"/>
  <c r="C246" i="11"/>
  <c r="B246" i="11"/>
  <c r="A246" i="11"/>
  <c r="C245" i="11"/>
  <c r="B245" i="11"/>
  <c r="A245" i="11"/>
  <c r="C244" i="11"/>
  <c r="B244" i="11"/>
  <c r="A244" i="11"/>
  <c r="C243" i="11"/>
  <c r="B243" i="11"/>
  <c r="A243" i="11"/>
  <c r="C242" i="11"/>
  <c r="B242" i="11"/>
  <c r="A242" i="11"/>
  <c r="C241" i="11"/>
  <c r="B241" i="11"/>
  <c r="A241" i="11"/>
  <c r="C240" i="11"/>
  <c r="B240" i="11"/>
  <c r="A240" i="11"/>
  <c r="C239" i="11"/>
  <c r="B239" i="11"/>
  <c r="A239" i="11"/>
  <c r="C238" i="11"/>
  <c r="B238" i="11"/>
  <c r="A238" i="11"/>
  <c r="C237" i="11"/>
  <c r="B237" i="11"/>
  <c r="A237" i="11"/>
  <c r="C236" i="11"/>
  <c r="B236" i="11"/>
  <c r="A236" i="11"/>
  <c r="C235" i="11"/>
  <c r="B235" i="11"/>
  <c r="A235" i="11"/>
  <c r="C234" i="11"/>
  <c r="B234" i="11"/>
  <c r="A234" i="11"/>
  <c r="C233" i="11"/>
  <c r="B233" i="11"/>
  <c r="A233" i="11"/>
  <c r="C232" i="11"/>
  <c r="B232" i="11"/>
  <c r="A232" i="11"/>
  <c r="C231" i="11"/>
  <c r="B231" i="11"/>
  <c r="A231" i="11"/>
  <c r="C230" i="11"/>
  <c r="B230" i="11"/>
  <c r="A230" i="11"/>
  <c r="C229" i="11"/>
  <c r="B229" i="11"/>
  <c r="A229" i="11"/>
  <c r="C228" i="11"/>
  <c r="B228" i="11"/>
  <c r="A228" i="11"/>
  <c r="C227" i="11"/>
  <c r="B227" i="11"/>
  <c r="A227" i="11"/>
  <c r="C226" i="11"/>
  <c r="B226" i="11"/>
  <c r="A226" i="11"/>
  <c r="C225" i="11"/>
  <c r="B225" i="11"/>
  <c r="A225" i="11"/>
  <c r="C224" i="11"/>
  <c r="B224" i="11"/>
  <c r="A224" i="11"/>
  <c r="C223" i="11"/>
  <c r="B223" i="11"/>
  <c r="A223" i="11"/>
  <c r="C222" i="11"/>
  <c r="B222" i="11"/>
  <c r="A222" i="11"/>
  <c r="C221" i="11"/>
  <c r="B221" i="11"/>
  <c r="A221" i="11"/>
  <c r="C220" i="11"/>
  <c r="B220" i="11"/>
  <c r="A220" i="11"/>
  <c r="C219" i="11"/>
  <c r="B219" i="11"/>
  <c r="A219" i="11"/>
  <c r="C218" i="11"/>
  <c r="B218" i="11"/>
  <c r="A218" i="11"/>
  <c r="C217" i="11"/>
  <c r="B217" i="11"/>
  <c r="A217" i="11"/>
  <c r="C216" i="11"/>
  <c r="B216" i="11"/>
  <c r="A216" i="11"/>
  <c r="C215" i="11"/>
  <c r="B215" i="11"/>
  <c r="A215" i="11"/>
  <c r="C214" i="11"/>
  <c r="B214" i="11"/>
  <c r="A214" i="11"/>
  <c r="C213" i="11"/>
  <c r="B213" i="11"/>
  <c r="A213" i="11"/>
  <c r="C212" i="11"/>
  <c r="B212" i="11"/>
  <c r="A212" i="11"/>
  <c r="C211" i="11"/>
  <c r="B211" i="11"/>
  <c r="A211" i="11"/>
  <c r="C210" i="11"/>
  <c r="B210" i="11"/>
  <c r="A210" i="11"/>
  <c r="C209" i="11"/>
  <c r="B209" i="11"/>
  <c r="A209" i="11"/>
  <c r="C208" i="11"/>
  <c r="B208" i="11"/>
  <c r="A208" i="11"/>
  <c r="C207" i="11"/>
  <c r="B207" i="11"/>
  <c r="A207" i="11"/>
  <c r="C206" i="11"/>
  <c r="B206" i="11"/>
  <c r="A206" i="11"/>
  <c r="C205" i="11"/>
  <c r="B205" i="11"/>
  <c r="A205" i="11"/>
  <c r="C204" i="11"/>
  <c r="B204" i="11"/>
  <c r="A204" i="11"/>
  <c r="C203" i="11"/>
  <c r="B203" i="11"/>
  <c r="A203" i="11"/>
  <c r="C202" i="11"/>
  <c r="B202" i="11"/>
  <c r="A202" i="11"/>
  <c r="C201" i="11"/>
  <c r="B201" i="11"/>
  <c r="A201" i="11"/>
  <c r="C200" i="11"/>
  <c r="B200" i="11"/>
  <c r="A200" i="11"/>
  <c r="C199" i="11"/>
  <c r="B199" i="11"/>
  <c r="A199" i="11"/>
  <c r="C198" i="11"/>
  <c r="B198" i="11"/>
  <c r="A198" i="11"/>
  <c r="C197" i="11"/>
  <c r="B197" i="11"/>
  <c r="A197" i="11"/>
  <c r="C196" i="11"/>
  <c r="B196" i="11"/>
  <c r="A196" i="11"/>
  <c r="C195" i="11"/>
  <c r="B195" i="11"/>
  <c r="A195" i="11"/>
  <c r="C194" i="11"/>
  <c r="B194" i="11"/>
  <c r="A194" i="11"/>
  <c r="C193" i="11"/>
  <c r="B193" i="11"/>
  <c r="A193" i="11"/>
  <c r="C192" i="11"/>
  <c r="B192" i="11"/>
  <c r="A192" i="11"/>
  <c r="C191" i="11"/>
  <c r="B191" i="11"/>
  <c r="A191" i="11"/>
  <c r="C190" i="11"/>
  <c r="B190" i="11"/>
  <c r="A190" i="11"/>
  <c r="C189" i="11"/>
  <c r="B189" i="11"/>
  <c r="A189" i="11"/>
  <c r="C188" i="11"/>
  <c r="B188" i="11"/>
  <c r="A188" i="11"/>
  <c r="C187" i="11"/>
  <c r="B187" i="11"/>
  <c r="A187" i="11"/>
  <c r="C186" i="11"/>
  <c r="B186" i="11"/>
  <c r="A186" i="11"/>
  <c r="C185" i="11"/>
  <c r="B185" i="11"/>
  <c r="A185" i="11"/>
  <c r="C184" i="11"/>
  <c r="B184" i="11"/>
  <c r="A184" i="11"/>
  <c r="C183" i="11"/>
  <c r="B183" i="11"/>
  <c r="A183" i="11"/>
  <c r="C182" i="11"/>
  <c r="B182" i="11"/>
  <c r="A182" i="11"/>
  <c r="C181" i="11"/>
  <c r="B181" i="11"/>
  <c r="A181" i="11"/>
  <c r="C180" i="11"/>
  <c r="B180" i="11"/>
  <c r="A180" i="11"/>
  <c r="C179" i="11"/>
  <c r="B179" i="11"/>
  <c r="A179" i="11"/>
  <c r="C178" i="11"/>
  <c r="B178" i="11"/>
  <c r="A178" i="11"/>
  <c r="C177" i="11"/>
  <c r="B177" i="11"/>
  <c r="A177" i="11"/>
  <c r="C176" i="11"/>
  <c r="B176" i="11"/>
  <c r="A176" i="11"/>
  <c r="C175" i="11"/>
  <c r="B175" i="11"/>
  <c r="A175" i="11"/>
  <c r="C174" i="11"/>
  <c r="B174" i="11"/>
  <c r="A174" i="11"/>
  <c r="C173" i="11"/>
  <c r="B173" i="11"/>
  <c r="A173" i="11"/>
  <c r="C172" i="11"/>
  <c r="B172" i="11"/>
  <c r="A172" i="11"/>
  <c r="C171" i="11"/>
  <c r="B171" i="11"/>
  <c r="A171" i="11"/>
  <c r="C170" i="11"/>
  <c r="B170" i="11"/>
  <c r="A170" i="11"/>
  <c r="C169" i="11"/>
  <c r="B169" i="11"/>
  <c r="A169" i="11"/>
  <c r="C168" i="11"/>
  <c r="B168" i="11"/>
  <c r="A168" i="11"/>
  <c r="C167" i="11"/>
  <c r="B167" i="11"/>
  <c r="A167" i="11"/>
  <c r="C166" i="11"/>
  <c r="B166" i="11"/>
  <c r="A166" i="11"/>
  <c r="C165" i="11"/>
  <c r="B165" i="11"/>
  <c r="A165" i="11"/>
  <c r="C164" i="11"/>
  <c r="B164" i="11"/>
  <c r="A164" i="11"/>
  <c r="C163" i="11"/>
  <c r="B163" i="11"/>
  <c r="A163" i="11"/>
  <c r="C162" i="11"/>
  <c r="B162" i="11"/>
  <c r="A162" i="11"/>
  <c r="C161" i="11"/>
  <c r="B161" i="11"/>
  <c r="A161" i="11"/>
  <c r="C160" i="11"/>
  <c r="B160" i="11"/>
  <c r="A160" i="11"/>
  <c r="C159" i="11"/>
  <c r="B159" i="11"/>
  <c r="A159" i="11"/>
  <c r="C158" i="11"/>
  <c r="B158" i="11"/>
  <c r="A158" i="11"/>
  <c r="C157" i="11"/>
  <c r="B157" i="11"/>
  <c r="A157" i="11"/>
  <c r="C156" i="11"/>
  <c r="B156" i="11"/>
  <c r="A156" i="11"/>
  <c r="C155" i="11"/>
  <c r="B155" i="11"/>
  <c r="A155" i="11"/>
  <c r="C154" i="11"/>
  <c r="B154" i="11"/>
  <c r="A154" i="11"/>
  <c r="C153" i="11"/>
  <c r="B153" i="11"/>
  <c r="A153" i="11"/>
  <c r="C152" i="11"/>
  <c r="B152" i="11"/>
  <c r="A152" i="11"/>
  <c r="C151" i="11"/>
  <c r="B151" i="11"/>
  <c r="A151" i="11"/>
  <c r="C150" i="11"/>
  <c r="B150" i="11"/>
  <c r="A150" i="11"/>
  <c r="C149" i="11"/>
  <c r="B149" i="11"/>
  <c r="A149" i="11"/>
  <c r="C148" i="11"/>
  <c r="B148" i="11"/>
  <c r="A148" i="11"/>
  <c r="C147" i="11"/>
  <c r="B147" i="11"/>
  <c r="A147" i="11"/>
  <c r="C146" i="11"/>
  <c r="B146" i="11"/>
  <c r="A146" i="11"/>
  <c r="C145" i="11"/>
  <c r="B145" i="11"/>
  <c r="A145" i="11"/>
  <c r="C144" i="11"/>
  <c r="B144" i="11"/>
  <c r="A144" i="11"/>
  <c r="C143" i="11"/>
  <c r="B143" i="11"/>
  <c r="A143" i="11"/>
  <c r="C142" i="11"/>
  <c r="B142" i="11"/>
  <c r="A142" i="11"/>
  <c r="C141" i="11"/>
  <c r="B141" i="11"/>
  <c r="A141" i="11"/>
  <c r="C140" i="11"/>
  <c r="B140" i="11"/>
  <c r="A140" i="11"/>
  <c r="C139" i="11"/>
  <c r="B139" i="11"/>
  <c r="A139" i="11"/>
  <c r="C138" i="11"/>
  <c r="B138" i="11"/>
  <c r="A138" i="11"/>
  <c r="C137" i="11"/>
  <c r="B137" i="11"/>
  <c r="A137" i="11"/>
  <c r="C136" i="11"/>
  <c r="B136" i="11"/>
  <c r="A136" i="11"/>
  <c r="C135" i="11"/>
  <c r="B135" i="11"/>
  <c r="A135" i="11"/>
  <c r="C134" i="11"/>
  <c r="B134" i="11"/>
  <c r="A134" i="11"/>
  <c r="C133" i="11"/>
  <c r="B133" i="11"/>
  <c r="A133" i="11"/>
  <c r="C132" i="11"/>
  <c r="B132" i="11"/>
  <c r="A132" i="11"/>
  <c r="C131" i="11"/>
  <c r="B131" i="11"/>
  <c r="A131" i="11"/>
  <c r="C130" i="11"/>
  <c r="B130" i="11"/>
  <c r="A130" i="11"/>
  <c r="C129" i="11"/>
  <c r="B129" i="11"/>
  <c r="A129" i="11"/>
  <c r="C128" i="11"/>
  <c r="B128" i="11"/>
  <c r="A128" i="11"/>
  <c r="C127" i="11"/>
  <c r="B127" i="11"/>
  <c r="A127" i="11"/>
  <c r="C126" i="11"/>
  <c r="B126" i="11"/>
  <c r="A126" i="11"/>
  <c r="C125" i="11"/>
  <c r="B125" i="11"/>
  <c r="A125" i="11"/>
  <c r="C124" i="11"/>
  <c r="B124" i="11"/>
  <c r="A124" i="11"/>
  <c r="C123" i="11"/>
  <c r="B123" i="11"/>
  <c r="A123" i="11"/>
  <c r="C122" i="11"/>
  <c r="B122" i="11"/>
  <c r="A122" i="11"/>
  <c r="C121" i="11"/>
  <c r="B121" i="11"/>
  <c r="A121" i="11"/>
  <c r="C120" i="11"/>
  <c r="B120" i="11"/>
  <c r="A120" i="11"/>
  <c r="C119" i="11"/>
  <c r="B119" i="11"/>
  <c r="A119" i="11"/>
  <c r="C118" i="11"/>
  <c r="B118" i="11"/>
  <c r="A118" i="11"/>
  <c r="C117" i="11"/>
  <c r="B117" i="11"/>
  <c r="A117" i="11"/>
  <c r="C116" i="11"/>
  <c r="B116" i="11"/>
  <c r="A116" i="11"/>
  <c r="C115" i="11"/>
  <c r="B115" i="11"/>
  <c r="A115" i="11"/>
  <c r="C114" i="11"/>
  <c r="B114" i="11"/>
  <c r="A114" i="11"/>
  <c r="C113" i="11"/>
  <c r="B113" i="11"/>
  <c r="A113" i="11"/>
  <c r="C112" i="11"/>
  <c r="B112" i="11"/>
  <c r="A112" i="11"/>
  <c r="C111" i="11"/>
  <c r="B111" i="11"/>
  <c r="A111" i="11"/>
  <c r="C110" i="11"/>
  <c r="B110" i="11"/>
  <c r="A110" i="11"/>
  <c r="C109" i="11"/>
  <c r="B109" i="11"/>
  <c r="A109" i="11"/>
  <c r="C108" i="11"/>
  <c r="B108" i="11"/>
  <c r="A108" i="11"/>
  <c r="C107" i="11"/>
  <c r="B107" i="11"/>
  <c r="A107" i="11"/>
  <c r="C106" i="11"/>
  <c r="B106" i="11"/>
  <c r="A106" i="11"/>
  <c r="C105" i="11"/>
  <c r="B105" i="11"/>
  <c r="A105" i="11"/>
  <c r="C104" i="11"/>
  <c r="B104" i="11"/>
  <c r="A104" i="11"/>
  <c r="C103" i="11"/>
  <c r="B103" i="11"/>
  <c r="A103" i="11"/>
  <c r="C102" i="11"/>
  <c r="B102" i="11"/>
  <c r="A102" i="11"/>
  <c r="C101" i="11"/>
  <c r="B101" i="11"/>
  <c r="A101" i="11"/>
  <c r="C100" i="11"/>
  <c r="B100" i="11"/>
  <c r="A100" i="11"/>
  <c r="C99" i="11"/>
  <c r="B99" i="11"/>
  <c r="A99" i="11"/>
  <c r="C98" i="11"/>
  <c r="B98" i="11"/>
  <c r="A98" i="11"/>
  <c r="C97" i="11"/>
  <c r="B97" i="11"/>
  <c r="A97" i="11"/>
  <c r="C96" i="11"/>
  <c r="B96" i="11"/>
  <c r="A96" i="11"/>
  <c r="C95" i="11"/>
  <c r="B95" i="11"/>
  <c r="A95" i="11"/>
  <c r="C94" i="11"/>
  <c r="B94" i="11"/>
  <c r="A94" i="11"/>
  <c r="C93" i="11"/>
  <c r="B93" i="11"/>
  <c r="A93" i="11"/>
  <c r="C92" i="11"/>
  <c r="B92" i="11"/>
  <c r="A92" i="11"/>
  <c r="C91" i="11"/>
  <c r="B91" i="11"/>
  <c r="A91" i="11"/>
  <c r="C90" i="11"/>
  <c r="B90" i="11"/>
  <c r="A90" i="11"/>
  <c r="C89" i="11"/>
  <c r="B89" i="11"/>
  <c r="A89" i="11"/>
  <c r="C88" i="11"/>
  <c r="B88" i="11"/>
  <c r="A88" i="11"/>
  <c r="C87" i="11"/>
  <c r="B87" i="11"/>
  <c r="A87" i="11"/>
  <c r="C86" i="11"/>
  <c r="B86" i="11"/>
  <c r="A86" i="11"/>
  <c r="C85" i="11"/>
  <c r="B85" i="11"/>
  <c r="A85" i="11"/>
  <c r="C84" i="11"/>
  <c r="B84" i="11"/>
  <c r="A84" i="11"/>
  <c r="C83" i="11"/>
  <c r="B83" i="11"/>
  <c r="A83" i="11"/>
  <c r="C82" i="11"/>
  <c r="B82" i="11"/>
  <c r="A82" i="11"/>
  <c r="C81" i="11"/>
  <c r="B81" i="11"/>
  <c r="A81" i="11"/>
  <c r="C80" i="11"/>
  <c r="B80" i="11"/>
  <c r="A80" i="11"/>
  <c r="C79" i="11"/>
  <c r="B79" i="11"/>
  <c r="A79" i="11"/>
  <c r="C78" i="11"/>
  <c r="B78" i="11"/>
  <c r="A78" i="11"/>
  <c r="C77" i="11"/>
  <c r="B77" i="11"/>
  <c r="A77" i="11"/>
  <c r="C76" i="11"/>
  <c r="B76" i="11"/>
  <c r="A76" i="11"/>
  <c r="C75" i="11"/>
  <c r="B75" i="11"/>
  <c r="A75" i="11"/>
  <c r="C74" i="11"/>
  <c r="B74" i="11"/>
  <c r="A74" i="11"/>
  <c r="C73" i="11"/>
  <c r="B73" i="11"/>
  <c r="A73" i="11"/>
  <c r="C72" i="11"/>
  <c r="B72" i="11"/>
  <c r="A72" i="11"/>
  <c r="C71" i="11"/>
  <c r="B71" i="11"/>
  <c r="A71" i="11"/>
  <c r="C70" i="11"/>
  <c r="B70" i="11"/>
  <c r="A70" i="11"/>
  <c r="C69" i="11"/>
  <c r="B69" i="11"/>
  <c r="A69" i="11"/>
  <c r="C68" i="11"/>
  <c r="B68" i="11"/>
  <c r="A68" i="11"/>
  <c r="C67" i="11"/>
  <c r="B67" i="11"/>
  <c r="A67" i="11"/>
  <c r="C66" i="11"/>
  <c r="B66" i="11"/>
  <c r="A66" i="11"/>
  <c r="C65" i="11"/>
  <c r="B65" i="11"/>
  <c r="A65" i="11"/>
  <c r="C64" i="11"/>
  <c r="B64" i="11"/>
  <c r="A64" i="11"/>
  <c r="C63" i="11"/>
  <c r="B63" i="11"/>
  <c r="A63" i="11"/>
  <c r="C62" i="11"/>
  <c r="B62" i="11"/>
  <c r="A62" i="11"/>
  <c r="C61" i="11"/>
  <c r="B61" i="11"/>
  <c r="A61" i="11"/>
  <c r="C60" i="11"/>
  <c r="B60" i="11"/>
  <c r="A60" i="11"/>
  <c r="C59" i="11"/>
  <c r="B59" i="11"/>
  <c r="A59" i="11"/>
  <c r="C58" i="11"/>
  <c r="B58" i="11"/>
  <c r="A58" i="11"/>
  <c r="C57" i="11"/>
  <c r="B57" i="11"/>
  <c r="A57" i="11"/>
  <c r="C56" i="11"/>
  <c r="B56" i="11"/>
  <c r="A56" i="11"/>
  <c r="C55" i="11"/>
  <c r="B55" i="11"/>
  <c r="A55" i="11"/>
  <c r="C54" i="11"/>
  <c r="B54" i="11"/>
  <c r="A54" i="11"/>
  <c r="C53" i="11"/>
  <c r="B53" i="11"/>
  <c r="A53" i="11"/>
  <c r="C52" i="11"/>
  <c r="B52" i="11"/>
  <c r="A52" i="11"/>
  <c r="C51" i="11"/>
  <c r="B51" i="11"/>
  <c r="A51" i="11"/>
  <c r="C50" i="11"/>
  <c r="B50" i="11"/>
  <c r="A50" i="11"/>
  <c r="C49" i="11"/>
  <c r="B49" i="11"/>
  <c r="A49" i="11"/>
  <c r="C48" i="11"/>
  <c r="B48" i="11"/>
  <c r="A48" i="11"/>
  <c r="C47" i="11"/>
  <c r="B47" i="11"/>
  <c r="A47" i="11"/>
  <c r="C46" i="11"/>
  <c r="B46" i="11"/>
  <c r="A46" i="11"/>
  <c r="C45" i="11"/>
  <c r="B45" i="11"/>
  <c r="A45" i="11"/>
  <c r="C44" i="11"/>
  <c r="B44" i="11"/>
  <c r="A44" i="11"/>
  <c r="C43" i="11"/>
  <c r="B43" i="11"/>
  <c r="A43" i="11"/>
  <c r="C42" i="11"/>
  <c r="B42" i="11"/>
  <c r="A42" i="11"/>
  <c r="C41" i="11"/>
  <c r="B41" i="11"/>
  <c r="A41" i="11"/>
  <c r="C40" i="11"/>
  <c r="B40" i="11"/>
  <c r="A40" i="11"/>
  <c r="C39" i="11"/>
  <c r="B39" i="11"/>
  <c r="A39" i="11"/>
  <c r="C38" i="11"/>
  <c r="B38" i="11"/>
  <c r="A38" i="11"/>
  <c r="C37" i="11"/>
  <c r="B37" i="11"/>
  <c r="A37" i="11"/>
  <c r="C36" i="11"/>
  <c r="B36" i="11"/>
  <c r="A36" i="11"/>
  <c r="C35" i="11"/>
  <c r="B35" i="11"/>
  <c r="A35" i="11"/>
  <c r="C34" i="11"/>
  <c r="B34" i="11"/>
  <c r="A34" i="11"/>
  <c r="C33" i="11"/>
  <c r="B33" i="11"/>
  <c r="A33" i="11"/>
  <c r="C32" i="11"/>
  <c r="B32" i="11"/>
  <c r="A32" i="11"/>
  <c r="C31" i="11"/>
  <c r="B31" i="11"/>
  <c r="A31" i="11"/>
  <c r="C30" i="11"/>
  <c r="B30" i="11"/>
  <c r="A30" i="11"/>
  <c r="C29" i="11"/>
  <c r="B29" i="11"/>
  <c r="A29" i="11"/>
  <c r="C28" i="11"/>
  <c r="B28" i="11"/>
  <c r="A28" i="11"/>
  <c r="C27" i="11"/>
  <c r="B27" i="11"/>
  <c r="A27" i="11"/>
  <c r="C26" i="11"/>
  <c r="B26" i="11"/>
  <c r="A26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O528" i="10"/>
  <c r="N528" i="10"/>
  <c r="M528" i="10"/>
  <c r="L528" i="10"/>
  <c r="K528" i="10"/>
  <c r="J528" i="10"/>
  <c r="I528" i="10"/>
  <c r="H528" i="10"/>
  <c r="G528" i="10"/>
  <c r="F528" i="10"/>
  <c r="E528" i="10"/>
  <c r="D528" i="10"/>
  <c r="C528" i="10"/>
  <c r="B528" i="10"/>
  <c r="A528" i="10"/>
  <c r="O527" i="10"/>
  <c r="N527" i="10"/>
  <c r="M527" i="10"/>
  <c r="L527" i="10"/>
  <c r="K527" i="10"/>
  <c r="J527" i="10"/>
  <c r="I527" i="10"/>
  <c r="H527" i="10"/>
  <c r="G527" i="10"/>
  <c r="F527" i="10"/>
  <c r="E527" i="10"/>
  <c r="D527" i="10"/>
  <c r="C527" i="10"/>
  <c r="B527" i="10"/>
  <c r="A527" i="10"/>
  <c r="O526" i="10"/>
  <c r="N526" i="10"/>
  <c r="M526" i="10"/>
  <c r="L526" i="10"/>
  <c r="K526" i="10"/>
  <c r="J526" i="10"/>
  <c r="I526" i="10"/>
  <c r="H526" i="10"/>
  <c r="G526" i="10"/>
  <c r="F526" i="10"/>
  <c r="E526" i="10"/>
  <c r="D526" i="10"/>
  <c r="C526" i="10"/>
  <c r="B526" i="10"/>
  <c r="A526" i="10"/>
  <c r="O525" i="10"/>
  <c r="N525" i="10"/>
  <c r="M525" i="10"/>
  <c r="L525" i="10"/>
  <c r="K525" i="10"/>
  <c r="J525" i="10"/>
  <c r="I525" i="10"/>
  <c r="H525" i="10"/>
  <c r="G525" i="10"/>
  <c r="F525" i="10"/>
  <c r="E525" i="10"/>
  <c r="D525" i="10"/>
  <c r="C525" i="10"/>
  <c r="B525" i="10"/>
  <c r="A525" i="10"/>
  <c r="O524" i="10"/>
  <c r="N524" i="10"/>
  <c r="M524" i="10"/>
  <c r="L524" i="10"/>
  <c r="K524" i="10"/>
  <c r="J524" i="10"/>
  <c r="I524" i="10"/>
  <c r="H524" i="10"/>
  <c r="G524" i="10"/>
  <c r="F524" i="10"/>
  <c r="E524" i="10"/>
  <c r="D524" i="10"/>
  <c r="C524" i="10"/>
  <c r="B524" i="10"/>
  <c r="A524" i="10"/>
  <c r="O523" i="10"/>
  <c r="N523" i="10"/>
  <c r="M523" i="10"/>
  <c r="L523" i="10"/>
  <c r="K523" i="10"/>
  <c r="J523" i="10"/>
  <c r="I523" i="10"/>
  <c r="H523" i="10"/>
  <c r="G523" i="10"/>
  <c r="F523" i="10"/>
  <c r="E523" i="10"/>
  <c r="D523" i="10"/>
  <c r="C523" i="10"/>
  <c r="B523" i="10"/>
  <c r="A523" i="10"/>
  <c r="O522" i="10"/>
  <c r="N522" i="10"/>
  <c r="M522" i="10"/>
  <c r="L522" i="10"/>
  <c r="K522" i="10"/>
  <c r="J522" i="10"/>
  <c r="I522" i="10"/>
  <c r="H522" i="10"/>
  <c r="G522" i="10"/>
  <c r="F522" i="10"/>
  <c r="E522" i="10"/>
  <c r="D522" i="10"/>
  <c r="C522" i="10"/>
  <c r="B522" i="10"/>
  <c r="A522" i="10"/>
  <c r="O521" i="10"/>
  <c r="N521" i="10"/>
  <c r="M521" i="10"/>
  <c r="L521" i="10"/>
  <c r="K521" i="10"/>
  <c r="J521" i="10"/>
  <c r="I521" i="10"/>
  <c r="H521" i="10"/>
  <c r="G521" i="10"/>
  <c r="F521" i="10"/>
  <c r="E521" i="10"/>
  <c r="D521" i="10"/>
  <c r="C521" i="10"/>
  <c r="B521" i="10"/>
  <c r="A521" i="10"/>
  <c r="O520" i="10"/>
  <c r="N520" i="10"/>
  <c r="M520" i="10"/>
  <c r="L520" i="10"/>
  <c r="K520" i="10"/>
  <c r="J520" i="10"/>
  <c r="I520" i="10"/>
  <c r="H520" i="10"/>
  <c r="G520" i="10"/>
  <c r="F520" i="10"/>
  <c r="E520" i="10"/>
  <c r="D520" i="10"/>
  <c r="C520" i="10"/>
  <c r="B520" i="10"/>
  <c r="A520" i="10"/>
  <c r="O519" i="10"/>
  <c r="N519" i="10"/>
  <c r="M519" i="10"/>
  <c r="L519" i="10"/>
  <c r="K519" i="10"/>
  <c r="J519" i="10"/>
  <c r="I519" i="10"/>
  <c r="H519" i="10"/>
  <c r="G519" i="10"/>
  <c r="F519" i="10"/>
  <c r="E519" i="10"/>
  <c r="D519" i="10"/>
  <c r="C519" i="10"/>
  <c r="B519" i="10"/>
  <c r="A519" i="10"/>
  <c r="O518" i="10"/>
  <c r="N518" i="10"/>
  <c r="M518" i="10"/>
  <c r="L518" i="10"/>
  <c r="K518" i="10"/>
  <c r="J518" i="10"/>
  <c r="I518" i="10"/>
  <c r="H518" i="10"/>
  <c r="G518" i="10"/>
  <c r="F518" i="10"/>
  <c r="E518" i="10"/>
  <c r="D518" i="10"/>
  <c r="C518" i="10"/>
  <c r="B518" i="10"/>
  <c r="A518" i="10"/>
  <c r="O517" i="10"/>
  <c r="N517" i="10"/>
  <c r="M517" i="10"/>
  <c r="L517" i="10"/>
  <c r="K517" i="10"/>
  <c r="J517" i="10"/>
  <c r="I517" i="10"/>
  <c r="H517" i="10"/>
  <c r="G517" i="10"/>
  <c r="F517" i="10"/>
  <c r="E517" i="10"/>
  <c r="D517" i="10"/>
  <c r="C517" i="10"/>
  <c r="B517" i="10"/>
  <c r="A517" i="10"/>
  <c r="O516" i="10"/>
  <c r="N516" i="10"/>
  <c r="M516" i="10"/>
  <c r="L516" i="10"/>
  <c r="K516" i="10"/>
  <c r="J516" i="10"/>
  <c r="I516" i="10"/>
  <c r="H516" i="10"/>
  <c r="G516" i="10"/>
  <c r="F516" i="10"/>
  <c r="E516" i="10"/>
  <c r="D516" i="10"/>
  <c r="C516" i="10"/>
  <c r="B516" i="10"/>
  <c r="A516" i="10"/>
  <c r="O515" i="10"/>
  <c r="N515" i="10"/>
  <c r="M515" i="10"/>
  <c r="L515" i="10"/>
  <c r="K515" i="10"/>
  <c r="J515" i="10"/>
  <c r="I515" i="10"/>
  <c r="H515" i="10"/>
  <c r="G515" i="10"/>
  <c r="F515" i="10"/>
  <c r="E515" i="10"/>
  <c r="D515" i="10"/>
  <c r="C515" i="10"/>
  <c r="B515" i="10"/>
  <c r="A515" i="10"/>
  <c r="O514" i="10"/>
  <c r="N514" i="10"/>
  <c r="M514" i="10"/>
  <c r="L514" i="10"/>
  <c r="K514" i="10"/>
  <c r="J514" i="10"/>
  <c r="I514" i="10"/>
  <c r="H514" i="10"/>
  <c r="G514" i="10"/>
  <c r="F514" i="10"/>
  <c r="E514" i="10"/>
  <c r="D514" i="10"/>
  <c r="C514" i="10"/>
  <c r="B514" i="10"/>
  <c r="A514" i="10"/>
  <c r="O513" i="10"/>
  <c r="N513" i="10"/>
  <c r="M513" i="10"/>
  <c r="L513" i="10"/>
  <c r="K513" i="10"/>
  <c r="J513" i="10"/>
  <c r="I513" i="10"/>
  <c r="H513" i="10"/>
  <c r="G513" i="10"/>
  <c r="F513" i="10"/>
  <c r="E513" i="10"/>
  <c r="D513" i="10"/>
  <c r="C513" i="10"/>
  <c r="B513" i="10"/>
  <c r="A513" i="10"/>
  <c r="O512" i="10"/>
  <c r="N512" i="10"/>
  <c r="M512" i="10"/>
  <c r="L512" i="10"/>
  <c r="K512" i="10"/>
  <c r="J512" i="10"/>
  <c r="I512" i="10"/>
  <c r="H512" i="10"/>
  <c r="G512" i="10"/>
  <c r="F512" i="10"/>
  <c r="E512" i="10"/>
  <c r="D512" i="10"/>
  <c r="C512" i="10"/>
  <c r="B512" i="10"/>
  <c r="A512" i="10"/>
  <c r="O511" i="10"/>
  <c r="N511" i="10"/>
  <c r="M511" i="10"/>
  <c r="L511" i="10"/>
  <c r="K511" i="10"/>
  <c r="J511" i="10"/>
  <c r="I511" i="10"/>
  <c r="H511" i="10"/>
  <c r="G511" i="10"/>
  <c r="F511" i="10"/>
  <c r="E511" i="10"/>
  <c r="D511" i="10"/>
  <c r="C511" i="10"/>
  <c r="B511" i="10"/>
  <c r="A511" i="10"/>
  <c r="O510" i="10"/>
  <c r="N510" i="10"/>
  <c r="M510" i="10"/>
  <c r="L510" i="10"/>
  <c r="K510" i="10"/>
  <c r="J510" i="10"/>
  <c r="I510" i="10"/>
  <c r="H510" i="10"/>
  <c r="G510" i="10"/>
  <c r="F510" i="10"/>
  <c r="E510" i="10"/>
  <c r="D510" i="10"/>
  <c r="C510" i="10"/>
  <c r="B510" i="10"/>
  <c r="A510" i="10"/>
  <c r="O509" i="10"/>
  <c r="N509" i="10"/>
  <c r="M509" i="10"/>
  <c r="L509" i="10"/>
  <c r="K509" i="10"/>
  <c r="J509" i="10"/>
  <c r="I509" i="10"/>
  <c r="H509" i="10"/>
  <c r="G509" i="10"/>
  <c r="F509" i="10"/>
  <c r="E509" i="10"/>
  <c r="D509" i="10"/>
  <c r="C509" i="10"/>
  <c r="B509" i="10"/>
  <c r="A509" i="10"/>
  <c r="O508" i="10"/>
  <c r="N508" i="10"/>
  <c r="M508" i="10"/>
  <c r="L508" i="10"/>
  <c r="K508" i="10"/>
  <c r="J508" i="10"/>
  <c r="I508" i="10"/>
  <c r="H508" i="10"/>
  <c r="G508" i="10"/>
  <c r="F508" i="10"/>
  <c r="E508" i="10"/>
  <c r="D508" i="10"/>
  <c r="C508" i="10"/>
  <c r="B508" i="10"/>
  <c r="A508" i="10"/>
  <c r="O507" i="10"/>
  <c r="N507" i="10"/>
  <c r="M507" i="10"/>
  <c r="L507" i="10"/>
  <c r="K507" i="10"/>
  <c r="J507" i="10"/>
  <c r="I507" i="10"/>
  <c r="H507" i="10"/>
  <c r="G507" i="10"/>
  <c r="F507" i="10"/>
  <c r="E507" i="10"/>
  <c r="D507" i="10"/>
  <c r="C507" i="10"/>
  <c r="B507" i="10"/>
  <c r="A507" i="10"/>
  <c r="O506" i="10"/>
  <c r="N506" i="10"/>
  <c r="M506" i="10"/>
  <c r="L506" i="10"/>
  <c r="K506" i="10"/>
  <c r="J506" i="10"/>
  <c r="I506" i="10"/>
  <c r="H506" i="10"/>
  <c r="G506" i="10"/>
  <c r="F506" i="10"/>
  <c r="E506" i="10"/>
  <c r="D506" i="10"/>
  <c r="C506" i="10"/>
  <c r="B506" i="10"/>
  <c r="A506" i="10"/>
  <c r="O505" i="10"/>
  <c r="N505" i="10"/>
  <c r="M505" i="10"/>
  <c r="L505" i="10"/>
  <c r="K505" i="10"/>
  <c r="J505" i="10"/>
  <c r="I505" i="10"/>
  <c r="H505" i="10"/>
  <c r="G505" i="10"/>
  <c r="F505" i="10"/>
  <c r="E505" i="10"/>
  <c r="D505" i="10"/>
  <c r="C505" i="10"/>
  <c r="B505" i="10"/>
  <c r="A505" i="10"/>
  <c r="O504" i="10"/>
  <c r="N504" i="10"/>
  <c r="M504" i="10"/>
  <c r="L504" i="10"/>
  <c r="K504" i="10"/>
  <c r="J504" i="10"/>
  <c r="I504" i="10"/>
  <c r="H504" i="10"/>
  <c r="G504" i="10"/>
  <c r="F504" i="10"/>
  <c r="E504" i="10"/>
  <c r="D504" i="10"/>
  <c r="C504" i="10"/>
  <c r="B504" i="10"/>
  <c r="A504" i="10"/>
  <c r="O503" i="10"/>
  <c r="N503" i="10"/>
  <c r="M503" i="10"/>
  <c r="L503" i="10"/>
  <c r="K503" i="10"/>
  <c r="J503" i="10"/>
  <c r="I503" i="10"/>
  <c r="H503" i="10"/>
  <c r="G503" i="10"/>
  <c r="F503" i="10"/>
  <c r="E503" i="10"/>
  <c r="D503" i="10"/>
  <c r="C503" i="10"/>
  <c r="B503" i="10"/>
  <c r="A503" i="10"/>
  <c r="O502" i="10"/>
  <c r="N502" i="10"/>
  <c r="M502" i="10"/>
  <c r="L502" i="10"/>
  <c r="K502" i="10"/>
  <c r="J502" i="10"/>
  <c r="I502" i="10"/>
  <c r="H502" i="10"/>
  <c r="G502" i="10"/>
  <c r="F502" i="10"/>
  <c r="E502" i="10"/>
  <c r="D502" i="10"/>
  <c r="C502" i="10"/>
  <c r="B502" i="10"/>
  <c r="A502" i="10"/>
  <c r="O501" i="10"/>
  <c r="N501" i="10"/>
  <c r="M501" i="10"/>
  <c r="L501" i="10"/>
  <c r="K501" i="10"/>
  <c r="J501" i="10"/>
  <c r="I501" i="10"/>
  <c r="H501" i="10"/>
  <c r="G501" i="10"/>
  <c r="F501" i="10"/>
  <c r="E501" i="10"/>
  <c r="D501" i="10"/>
  <c r="C501" i="10"/>
  <c r="B501" i="10"/>
  <c r="A501" i="10"/>
  <c r="O500" i="10"/>
  <c r="N500" i="10"/>
  <c r="M500" i="10"/>
  <c r="L500" i="10"/>
  <c r="K500" i="10"/>
  <c r="J500" i="10"/>
  <c r="I500" i="10"/>
  <c r="H500" i="10"/>
  <c r="G500" i="10"/>
  <c r="F500" i="10"/>
  <c r="E500" i="10"/>
  <c r="D500" i="10"/>
  <c r="C500" i="10"/>
  <c r="B500" i="10"/>
  <c r="A500" i="10"/>
  <c r="O499" i="10"/>
  <c r="N499" i="10"/>
  <c r="M499" i="10"/>
  <c r="L499" i="10"/>
  <c r="K499" i="10"/>
  <c r="J499" i="10"/>
  <c r="I499" i="10"/>
  <c r="H499" i="10"/>
  <c r="G499" i="10"/>
  <c r="F499" i="10"/>
  <c r="E499" i="10"/>
  <c r="D499" i="10"/>
  <c r="C499" i="10"/>
  <c r="B499" i="10"/>
  <c r="A499" i="10"/>
  <c r="O498" i="10"/>
  <c r="N498" i="10"/>
  <c r="M498" i="10"/>
  <c r="L498" i="10"/>
  <c r="K498" i="10"/>
  <c r="J498" i="10"/>
  <c r="I498" i="10"/>
  <c r="H498" i="10"/>
  <c r="G498" i="10"/>
  <c r="F498" i="10"/>
  <c r="E498" i="10"/>
  <c r="D498" i="10"/>
  <c r="C498" i="10"/>
  <c r="B498" i="10"/>
  <c r="A498" i="10"/>
  <c r="O497" i="10"/>
  <c r="N497" i="10"/>
  <c r="M497" i="10"/>
  <c r="L497" i="10"/>
  <c r="K497" i="10"/>
  <c r="J497" i="10"/>
  <c r="I497" i="10"/>
  <c r="H497" i="10"/>
  <c r="G497" i="10"/>
  <c r="F497" i="10"/>
  <c r="E497" i="10"/>
  <c r="D497" i="10"/>
  <c r="C497" i="10"/>
  <c r="B497" i="10"/>
  <c r="A497" i="10"/>
  <c r="O496" i="10"/>
  <c r="N496" i="10"/>
  <c r="M496" i="10"/>
  <c r="L496" i="10"/>
  <c r="K496" i="10"/>
  <c r="J496" i="10"/>
  <c r="I496" i="10"/>
  <c r="H496" i="10"/>
  <c r="G496" i="10"/>
  <c r="F496" i="10"/>
  <c r="E496" i="10"/>
  <c r="D496" i="10"/>
  <c r="C496" i="10"/>
  <c r="B496" i="10"/>
  <c r="A496" i="10"/>
  <c r="O495" i="10"/>
  <c r="N495" i="10"/>
  <c r="M495" i="10"/>
  <c r="L495" i="10"/>
  <c r="K495" i="10"/>
  <c r="J495" i="10"/>
  <c r="I495" i="10"/>
  <c r="H495" i="10"/>
  <c r="G495" i="10"/>
  <c r="F495" i="10"/>
  <c r="E495" i="10"/>
  <c r="D495" i="10"/>
  <c r="C495" i="10"/>
  <c r="B495" i="10"/>
  <c r="A495" i="10"/>
  <c r="O494" i="10"/>
  <c r="N494" i="10"/>
  <c r="M494" i="10"/>
  <c r="L494" i="10"/>
  <c r="K494" i="10"/>
  <c r="J494" i="10"/>
  <c r="I494" i="10"/>
  <c r="H494" i="10"/>
  <c r="G494" i="10"/>
  <c r="F494" i="10"/>
  <c r="E494" i="10"/>
  <c r="D494" i="10"/>
  <c r="C494" i="10"/>
  <c r="B494" i="10"/>
  <c r="A494" i="10"/>
  <c r="O493" i="10"/>
  <c r="N493" i="10"/>
  <c r="M493" i="10"/>
  <c r="L493" i="10"/>
  <c r="K493" i="10"/>
  <c r="J493" i="10"/>
  <c r="I493" i="10"/>
  <c r="H493" i="10"/>
  <c r="G493" i="10"/>
  <c r="F493" i="10"/>
  <c r="E493" i="10"/>
  <c r="D493" i="10"/>
  <c r="C493" i="10"/>
  <c r="B493" i="10"/>
  <c r="A493" i="10"/>
  <c r="O492" i="10"/>
  <c r="N492" i="10"/>
  <c r="M492" i="10"/>
  <c r="L492" i="10"/>
  <c r="K492" i="10"/>
  <c r="J492" i="10"/>
  <c r="I492" i="10"/>
  <c r="H492" i="10"/>
  <c r="G492" i="10"/>
  <c r="F492" i="10"/>
  <c r="E492" i="10"/>
  <c r="D492" i="10"/>
  <c r="C492" i="10"/>
  <c r="B492" i="10"/>
  <c r="A492" i="10"/>
  <c r="O491" i="10"/>
  <c r="N491" i="10"/>
  <c r="M491" i="10"/>
  <c r="L491" i="10"/>
  <c r="K491" i="10"/>
  <c r="J491" i="10"/>
  <c r="I491" i="10"/>
  <c r="H491" i="10"/>
  <c r="G491" i="10"/>
  <c r="F491" i="10"/>
  <c r="E491" i="10"/>
  <c r="D491" i="10"/>
  <c r="C491" i="10"/>
  <c r="B491" i="10"/>
  <c r="A491" i="10"/>
  <c r="O490" i="10"/>
  <c r="N490" i="10"/>
  <c r="M490" i="10"/>
  <c r="L490" i="10"/>
  <c r="K490" i="10"/>
  <c r="J490" i="10"/>
  <c r="I490" i="10"/>
  <c r="H490" i="10"/>
  <c r="G490" i="10"/>
  <c r="F490" i="10"/>
  <c r="E490" i="10"/>
  <c r="D490" i="10"/>
  <c r="C490" i="10"/>
  <c r="B490" i="10"/>
  <c r="A490" i="10"/>
  <c r="O489" i="10"/>
  <c r="N489" i="10"/>
  <c r="M489" i="10"/>
  <c r="L489" i="10"/>
  <c r="K489" i="10"/>
  <c r="J489" i="10"/>
  <c r="I489" i="10"/>
  <c r="H489" i="10"/>
  <c r="G489" i="10"/>
  <c r="F489" i="10"/>
  <c r="E489" i="10"/>
  <c r="D489" i="10"/>
  <c r="C489" i="10"/>
  <c r="B489" i="10"/>
  <c r="A489" i="10"/>
  <c r="O488" i="10"/>
  <c r="N488" i="10"/>
  <c r="M488" i="10"/>
  <c r="L488" i="10"/>
  <c r="K488" i="10"/>
  <c r="J488" i="10"/>
  <c r="I488" i="10"/>
  <c r="H488" i="10"/>
  <c r="G488" i="10"/>
  <c r="F488" i="10"/>
  <c r="E488" i="10"/>
  <c r="D488" i="10"/>
  <c r="C488" i="10"/>
  <c r="B488" i="10"/>
  <c r="A488" i="10"/>
  <c r="O487" i="10"/>
  <c r="N487" i="10"/>
  <c r="M487" i="10"/>
  <c r="L487" i="10"/>
  <c r="K487" i="10"/>
  <c r="J487" i="10"/>
  <c r="I487" i="10"/>
  <c r="H487" i="10"/>
  <c r="G487" i="10"/>
  <c r="F487" i="10"/>
  <c r="E487" i="10"/>
  <c r="D487" i="10"/>
  <c r="C487" i="10"/>
  <c r="B487" i="10"/>
  <c r="A487" i="10"/>
  <c r="O486" i="10"/>
  <c r="N486" i="10"/>
  <c r="M486" i="10"/>
  <c r="L486" i="10"/>
  <c r="K486" i="10"/>
  <c r="J486" i="10"/>
  <c r="I486" i="10"/>
  <c r="H486" i="10"/>
  <c r="G486" i="10"/>
  <c r="F486" i="10"/>
  <c r="E486" i="10"/>
  <c r="D486" i="10"/>
  <c r="C486" i="10"/>
  <c r="B486" i="10"/>
  <c r="A486" i="10"/>
  <c r="O485" i="10"/>
  <c r="N485" i="10"/>
  <c r="M485" i="10"/>
  <c r="L485" i="10"/>
  <c r="K485" i="10"/>
  <c r="J485" i="10"/>
  <c r="I485" i="10"/>
  <c r="H485" i="10"/>
  <c r="G485" i="10"/>
  <c r="F485" i="10"/>
  <c r="E485" i="10"/>
  <c r="D485" i="10"/>
  <c r="C485" i="10"/>
  <c r="B485" i="10"/>
  <c r="A485" i="10"/>
  <c r="O484" i="10"/>
  <c r="N484" i="10"/>
  <c r="M484" i="10"/>
  <c r="L484" i="10"/>
  <c r="K484" i="10"/>
  <c r="J484" i="10"/>
  <c r="I484" i="10"/>
  <c r="H484" i="10"/>
  <c r="G484" i="10"/>
  <c r="F484" i="10"/>
  <c r="E484" i="10"/>
  <c r="D484" i="10"/>
  <c r="C484" i="10"/>
  <c r="B484" i="10"/>
  <c r="A484" i="10"/>
  <c r="O483" i="10"/>
  <c r="N483" i="10"/>
  <c r="M483" i="10"/>
  <c r="L483" i="10"/>
  <c r="K483" i="10"/>
  <c r="J483" i="10"/>
  <c r="I483" i="10"/>
  <c r="H483" i="10"/>
  <c r="G483" i="10"/>
  <c r="F483" i="10"/>
  <c r="E483" i="10"/>
  <c r="D483" i="10"/>
  <c r="C483" i="10"/>
  <c r="B483" i="10"/>
  <c r="A483" i="10"/>
  <c r="O482" i="10"/>
  <c r="N482" i="10"/>
  <c r="M482" i="10"/>
  <c r="L482" i="10"/>
  <c r="K482" i="10"/>
  <c r="J482" i="10"/>
  <c r="I482" i="10"/>
  <c r="H482" i="10"/>
  <c r="G482" i="10"/>
  <c r="F482" i="10"/>
  <c r="E482" i="10"/>
  <c r="D482" i="10"/>
  <c r="C482" i="10"/>
  <c r="B482" i="10"/>
  <c r="A482" i="10"/>
  <c r="O481" i="10"/>
  <c r="N481" i="10"/>
  <c r="M481" i="10"/>
  <c r="L481" i="10"/>
  <c r="K481" i="10"/>
  <c r="J481" i="10"/>
  <c r="I481" i="10"/>
  <c r="H481" i="10"/>
  <c r="G481" i="10"/>
  <c r="F481" i="10"/>
  <c r="E481" i="10"/>
  <c r="D481" i="10"/>
  <c r="C481" i="10"/>
  <c r="B481" i="10"/>
  <c r="A481" i="10"/>
  <c r="O480" i="10"/>
  <c r="N480" i="10"/>
  <c r="M480" i="10"/>
  <c r="L480" i="10"/>
  <c r="K480" i="10"/>
  <c r="J480" i="10"/>
  <c r="I480" i="10"/>
  <c r="H480" i="10"/>
  <c r="G480" i="10"/>
  <c r="F480" i="10"/>
  <c r="E480" i="10"/>
  <c r="D480" i="10"/>
  <c r="C480" i="10"/>
  <c r="B480" i="10"/>
  <c r="A480" i="10"/>
  <c r="O479" i="10"/>
  <c r="N479" i="10"/>
  <c r="M479" i="10"/>
  <c r="L479" i="10"/>
  <c r="K479" i="10"/>
  <c r="J479" i="10"/>
  <c r="I479" i="10"/>
  <c r="H479" i="10"/>
  <c r="G479" i="10"/>
  <c r="F479" i="10"/>
  <c r="E479" i="10"/>
  <c r="D479" i="10"/>
  <c r="C479" i="10"/>
  <c r="B479" i="10"/>
  <c r="A479" i="10"/>
  <c r="O478" i="10"/>
  <c r="N478" i="10"/>
  <c r="M478" i="10"/>
  <c r="L478" i="10"/>
  <c r="K478" i="10"/>
  <c r="J478" i="10"/>
  <c r="I478" i="10"/>
  <c r="H478" i="10"/>
  <c r="G478" i="10"/>
  <c r="F478" i="10"/>
  <c r="E478" i="10"/>
  <c r="D478" i="10"/>
  <c r="C478" i="10"/>
  <c r="B478" i="10"/>
  <c r="A478" i="10"/>
  <c r="O477" i="10"/>
  <c r="N477" i="10"/>
  <c r="M477" i="10"/>
  <c r="L477" i="10"/>
  <c r="K477" i="10"/>
  <c r="J477" i="10"/>
  <c r="I477" i="10"/>
  <c r="H477" i="10"/>
  <c r="G477" i="10"/>
  <c r="F477" i="10"/>
  <c r="E477" i="10"/>
  <c r="D477" i="10"/>
  <c r="C477" i="10"/>
  <c r="B477" i="10"/>
  <c r="A477" i="10"/>
  <c r="O476" i="10"/>
  <c r="N476" i="10"/>
  <c r="M476" i="10"/>
  <c r="L476" i="10"/>
  <c r="K476" i="10"/>
  <c r="J476" i="10"/>
  <c r="I476" i="10"/>
  <c r="H476" i="10"/>
  <c r="G476" i="10"/>
  <c r="F476" i="10"/>
  <c r="E476" i="10"/>
  <c r="D476" i="10"/>
  <c r="C476" i="10"/>
  <c r="B476" i="10"/>
  <c r="A476" i="10"/>
  <c r="O475" i="10"/>
  <c r="N475" i="10"/>
  <c r="M475" i="10"/>
  <c r="L475" i="10"/>
  <c r="K475" i="10"/>
  <c r="J475" i="10"/>
  <c r="I475" i="10"/>
  <c r="H475" i="10"/>
  <c r="G475" i="10"/>
  <c r="F475" i="10"/>
  <c r="E475" i="10"/>
  <c r="D475" i="10"/>
  <c r="C475" i="10"/>
  <c r="B475" i="10"/>
  <c r="A475" i="10"/>
  <c r="O474" i="10"/>
  <c r="N474" i="10"/>
  <c r="M474" i="10"/>
  <c r="L474" i="10"/>
  <c r="K474" i="10"/>
  <c r="J474" i="10"/>
  <c r="I474" i="10"/>
  <c r="H474" i="10"/>
  <c r="G474" i="10"/>
  <c r="F474" i="10"/>
  <c r="E474" i="10"/>
  <c r="D474" i="10"/>
  <c r="C474" i="10"/>
  <c r="B474" i="10"/>
  <c r="A474" i="10"/>
  <c r="O473" i="10"/>
  <c r="N473" i="10"/>
  <c r="M473" i="10"/>
  <c r="L473" i="10"/>
  <c r="K473" i="10"/>
  <c r="J473" i="10"/>
  <c r="I473" i="10"/>
  <c r="H473" i="10"/>
  <c r="G473" i="10"/>
  <c r="F473" i="10"/>
  <c r="E473" i="10"/>
  <c r="D473" i="10"/>
  <c r="C473" i="10"/>
  <c r="B473" i="10"/>
  <c r="A473" i="10"/>
  <c r="O472" i="10"/>
  <c r="N472" i="10"/>
  <c r="M472" i="10"/>
  <c r="L472" i="10"/>
  <c r="K472" i="10"/>
  <c r="J472" i="10"/>
  <c r="I472" i="10"/>
  <c r="H472" i="10"/>
  <c r="G472" i="10"/>
  <c r="F472" i="10"/>
  <c r="E472" i="10"/>
  <c r="D472" i="10"/>
  <c r="C472" i="10"/>
  <c r="B472" i="10"/>
  <c r="A472" i="10"/>
  <c r="O471" i="10"/>
  <c r="N471" i="10"/>
  <c r="M471" i="10"/>
  <c r="L471" i="10"/>
  <c r="K471" i="10"/>
  <c r="J471" i="10"/>
  <c r="I471" i="10"/>
  <c r="H471" i="10"/>
  <c r="G471" i="10"/>
  <c r="F471" i="10"/>
  <c r="E471" i="10"/>
  <c r="D471" i="10"/>
  <c r="C471" i="10"/>
  <c r="B471" i="10"/>
  <c r="A471" i="10"/>
  <c r="O470" i="10"/>
  <c r="N470" i="10"/>
  <c r="M470" i="10"/>
  <c r="L470" i="10"/>
  <c r="K470" i="10"/>
  <c r="J470" i="10"/>
  <c r="I470" i="10"/>
  <c r="H470" i="10"/>
  <c r="G470" i="10"/>
  <c r="F470" i="10"/>
  <c r="E470" i="10"/>
  <c r="D470" i="10"/>
  <c r="C470" i="10"/>
  <c r="B470" i="10"/>
  <c r="A470" i="10"/>
  <c r="O469" i="10"/>
  <c r="N469" i="10"/>
  <c r="M469" i="10"/>
  <c r="L469" i="10"/>
  <c r="K469" i="10"/>
  <c r="J469" i="10"/>
  <c r="I469" i="10"/>
  <c r="H469" i="10"/>
  <c r="G469" i="10"/>
  <c r="F469" i="10"/>
  <c r="E469" i="10"/>
  <c r="D469" i="10"/>
  <c r="C469" i="10"/>
  <c r="B469" i="10"/>
  <c r="A469" i="10"/>
  <c r="O468" i="10"/>
  <c r="N468" i="10"/>
  <c r="M468" i="10"/>
  <c r="L468" i="10"/>
  <c r="K468" i="10"/>
  <c r="J468" i="10"/>
  <c r="I468" i="10"/>
  <c r="H468" i="10"/>
  <c r="G468" i="10"/>
  <c r="F468" i="10"/>
  <c r="E468" i="10"/>
  <c r="D468" i="10"/>
  <c r="C468" i="10"/>
  <c r="B468" i="10"/>
  <c r="A468" i="10"/>
  <c r="O467" i="10"/>
  <c r="N467" i="10"/>
  <c r="M467" i="10"/>
  <c r="L467" i="10"/>
  <c r="K467" i="10"/>
  <c r="J467" i="10"/>
  <c r="I467" i="10"/>
  <c r="H467" i="10"/>
  <c r="G467" i="10"/>
  <c r="F467" i="10"/>
  <c r="E467" i="10"/>
  <c r="D467" i="10"/>
  <c r="C467" i="10"/>
  <c r="B467" i="10"/>
  <c r="A467" i="10"/>
  <c r="O466" i="10"/>
  <c r="N466" i="10"/>
  <c r="M466" i="10"/>
  <c r="L466" i="10"/>
  <c r="K466" i="10"/>
  <c r="J466" i="10"/>
  <c r="I466" i="10"/>
  <c r="H466" i="10"/>
  <c r="G466" i="10"/>
  <c r="F466" i="10"/>
  <c r="E466" i="10"/>
  <c r="D466" i="10"/>
  <c r="C466" i="10"/>
  <c r="B466" i="10"/>
  <c r="A466" i="10"/>
  <c r="O465" i="10"/>
  <c r="N465" i="10"/>
  <c r="M465" i="10"/>
  <c r="L465" i="10"/>
  <c r="K465" i="10"/>
  <c r="J465" i="10"/>
  <c r="I465" i="10"/>
  <c r="H465" i="10"/>
  <c r="G465" i="10"/>
  <c r="F465" i="10"/>
  <c r="E465" i="10"/>
  <c r="D465" i="10"/>
  <c r="C465" i="10"/>
  <c r="B465" i="10"/>
  <c r="A465" i="10"/>
  <c r="O464" i="10"/>
  <c r="N464" i="10"/>
  <c r="M464" i="10"/>
  <c r="L464" i="10"/>
  <c r="K464" i="10"/>
  <c r="J464" i="10"/>
  <c r="I464" i="10"/>
  <c r="H464" i="10"/>
  <c r="G464" i="10"/>
  <c r="F464" i="10"/>
  <c r="E464" i="10"/>
  <c r="D464" i="10"/>
  <c r="C464" i="10"/>
  <c r="B464" i="10"/>
  <c r="A464" i="10"/>
  <c r="O463" i="10"/>
  <c r="N463" i="10"/>
  <c r="M463" i="10"/>
  <c r="L463" i="10"/>
  <c r="K463" i="10"/>
  <c r="J463" i="10"/>
  <c r="I463" i="10"/>
  <c r="H463" i="10"/>
  <c r="G463" i="10"/>
  <c r="F463" i="10"/>
  <c r="E463" i="10"/>
  <c r="D463" i="10"/>
  <c r="C463" i="10"/>
  <c r="B463" i="10"/>
  <c r="A463" i="10"/>
  <c r="O462" i="10"/>
  <c r="N462" i="10"/>
  <c r="M462" i="10"/>
  <c r="L462" i="10"/>
  <c r="K462" i="10"/>
  <c r="J462" i="10"/>
  <c r="I462" i="10"/>
  <c r="H462" i="10"/>
  <c r="G462" i="10"/>
  <c r="F462" i="10"/>
  <c r="E462" i="10"/>
  <c r="D462" i="10"/>
  <c r="C462" i="10"/>
  <c r="B462" i="10"/>
  <c r="A462" i="10"/>
  <c r="O461" i="10"/>
  <c r="N461" i="10"/>
  <c r="M461" i="10"/>
  <c r="L461" i="10"/>
  <c r="K461" i="10"/>
  <c r="J461" i="10"/>
  <c r="I461" i="10"/>
  <c r="H461" i="10"/>
  <c r="G461" i="10"/>
  <c r="F461" i="10"/>
  <c r="E461" i="10"/>
  <c r="D461" i="10"/>
  <c r="C461" i="10"/>
  <c r="B461" i="10"/>
  <c r="A461" i="10"/>
  <c r="O460" i="10"/>
  <c r="N460" i="10"/>
  <c r="M460" i="10"/>
  <c r="L460" i="10"/>
  <c r="K460" i="10"/>
  <c r="J460" i="10"/>
  <c r="I460" i="10"/>
  <c r="H460" i="10"/>
  <c r="G460" i="10"/>
  <c r="F460" i="10"/>
  <c r="E460" i="10"/>
  <c r="D460" i="10"/>
  <c r="C460" i="10"/>
  <c r="B460" i="10"/>
  <c r="A460" i="10"/>
  <c r="O459" i="10"/>
  <c r="N459" i="10"/>
  <c r="M459" i="10"/>
  <c r="L459" i="10"/>
  <c r="K459" i="10"/>
  <c r="J459" i="10"/>
  <c r="I459" i="10"/>
  <c r="H459" i="10"/>
  <c r="G459" i="10"/>
  <c r="F459" i="10"/>
  <c r="E459" i="10"/>
  <c r="D459" i="10"/>
  <c r="C459" i="10"/>
  <c r="B459" i="10"/>
  <c r="A459" i="10"/>
  <c r="O458" i="10"/>
  <c r="N458" i="10"/>
  <c r="M458" i="10"/>
  <c r="L458" i="10"/>
  <c r="K458" i="10"/>
  <c r="J458" i="10"/>
  <c r="I458" i="10"/>
  <c r="H458" i="10"/>
  <c r="G458" i="10"/>
  <c r="F458" i="10"/>
  <c r="E458" i="10"/>
  <c r="D458" i="10"/>
  <c r="C458" i="10"/>
  <c r="B458" i="10"/>
  <c r="A458" i="10"/>
  <c r="O457" i="10"/>
  <c r="N457" i="10"/>
  <c r="M457" i="10"/>
  <c r="L457" i="10"/>
  <c r="K457" i="10"/>
  <c r="J457" i="10"/>
  <c r="I457" i="10"/>
  <c r="H457" i="10"/>
  <c r="G457" i="10"/>
  <c r="F457" i="10"/>
  <c r="E457" i="10"/>
  <c r="D457" i="10"/>
  <c r="C457" i="10"/>
  <c r="B457" i="10"/>
  <c r="A457" i="10"/>
  <c r="O456" i="10"/>
  <c r="N456" i="10"/>
  <c r="M456" i="10"/>
  <c r="L456" i="10"/>
  <c r="K456" i="10"/>
  <c r="J456" i="10"/>
  <c r="I456" i="10"/>
  <c r="H456" i="10"/>
  <c r="G456" i="10"/>
  <c r="F456" i="10"/>
  <c r="E456" i="10"/>
  <c r="D456" i="10"/>
  <c r="C456" i="10"/>
  <c r="B456" i="10"/>
  <c r="A456" i="10"/>
  <c r="O455" i="10"/>
  <c r="N455" i="10"/>
  <c r="M455" i="10"/>
  <c r="L455" i="10"/>
  <c r="K455" i="10"/>
  <c r="J455" i="10"/>
  <c r="I455" i="10"/>
  <c r="H455" i="10"/>
  <c r="G455" i="10"/>
  <c r="F455" i="10"/>
  <c r="E455" i="10"/>
  <c r="D455" i="10"/>
  <c r="C455" i="10"/>
  <c r="B455" i="10"/>
  <c r="A455" i="10"/>
  <c r="O454" i="10"/>
  <c r="N454" i="10"/>
  <c r="M454" i="10"/>
  <c r="L454" i="10"/>
  <c r="K454" i="10"/>
  <c r="J454" i="10"/>
  <c r="I454" i="10"/>
  <c r="H454" i="10"/>
  <c r="G454" i="10"/>
  <c r="F454" i="10"/>
  <c r="E454" i="10"/>
  <c r="D454" i="10"/>
  <c r="C454" i="10"/>
  <c r="B454" i="10"/>
  <c r="A454" i="10"/>
  <c r="O453" i="10"/>
  <c r="N453" i="10"/>
  <c r="M453" i="10"/>
  <c r="L453" i="10"/>
  <c r="K453" i="10"/>
  <c r="J453" i="10"/>
  <c r="I453" i="10"/>
  <c r="H453" i="10"/>
  <c r="G453" i="10"/>
  <c r="F453" i="10"/>
  <c r="E453" i="10"/>
  <c r="D453" i="10"/>
  <c r="C453" i="10"/>
  <c r="B453" i="10"/>
  <c r="A453" i="10"/>
  <c r="O452" i="10"/>
  <c r="N452" i="10"/>
  <c r="M452" i="10"/>
  <c r="L452" i="10"/>
  <c r="K452" i="10"/>
  <c r="J452" i="10"/>
  <c r="I452" i="10"/>
  <c r="H452" i="10"/>
  <c r="G452" i="10"/>
  <c r="F452" i="10"/>
  <c r="E452" i="10"/>
  <c r="D452" i="10"/>
  <c r="C452" i="10"/>
  <c r="B452" i="10"/>
  <c r="A452" i="10"/>
  <c r="O451" i="10"/>
  <c r="N451" i="10"/>
  <c r="M451" i="10"/>
  <c r="L451" i="10"/>
  <c r="K451" i="10"/>
  <c r="J451" i="10"/>
  <c r="I451" i="10"/>
  <c r="H451" i="10"/>
  <c r="G451" i="10"/>
  <c r="F451" i="10"/>
  <c r="E451" i="10"/>
  <c r="D451" i="10"/>
  <c r="C451" i="10"/>
  <c r="B451" i="10"/>
  <c r="A451" i="10"/>
  <c r="O450" i="10"/>
  <c r="N450" i="10"/>
  <c r="M450" i="10"/>
  <c r="L450" i="10"/>
  <c r="K450" i="10"/>
  <c r="J450" i="10"/>
  <c r="I450" i="10"/>
  <c r="H450" i="10"/>
  <c r="G450" i="10"/>
  <c r="F450" i="10"/>
  <c r="E450" i="10"/>
  <c r="D450" i="10"/>
  <c r="C450" i="10"/>
  <c r="B450" i="10"/>
  <c r="A450" i="10"/>
  <c r="O449" i="10"/>
  <c r="N449" i="10"/>
  <c r="M449" i="10"/>
  <c r="L449" i="10"/>
  <c r="K449" i="10"/>
  <c r="J449" i="10"/>
  <c r="I449" i="10"/>
  <c r="H449" i="10"/>
  <c r="G449" i="10"/>
  <c r="F449" i="10"/>
  <c r="E449" i="10"/>
  <c r="D449" i="10"/>
  <c r="C449" i="10"/>
  <c r="B449" i="10"/>
  <c r="A449" i="10"/>
  <c r="O448" i="10"/>
  <c r="N448" i="10"/>
  <c r="M448" i="10"/>
  <c r="L448" i="10"/>
  <c r="K448" i="10"/>
  <c r="J448" i="10"/>
  <c r="I448" i="10"/>
  <c r="H448" i="10"/>
  <c r="G448" i="10"/>
  <c r="F448" i="10"/>
  <c r="E448" i="10"/>
  <c r="D448" i="10"/>
  <c r="C448" i="10"/>
  <c r="B448" i="10"/>
  <c r="A448" i="10"/>
  <c r="O447" i="10"/>
  <c r="N447" i="10"/>
  <c r="M447" i="10"/>
  <c r="L447" i="10"/>
  <c r="K447" i="10"/>
  <c r="J447" i="10"/>
  <c r="I447" i="10"/>
  <c r="H447" i="10"/>
  <c r="G447" i="10"/>
  <c r="F447" i="10"/>
  <c r="E447" i="10"/>
  <c r="D447" i="10"/>
  <c r="C447" i="10"/>
  <c r="B447" i="10"/>
  <c r="A447" i="10"/>
  <c r="O446" i="10"/>
  <c r="N446" i="10"/>
  <c r="M446" i="10"/>
  <c r="L446" i="10"/>
  <c r="K446" i="10"/>
  <c r="J446" i="10"/>
  <c r="I446" i="10"/>
  <c r="H446" i="10"/>
  <c r="G446" i="10"/>
  <c r="F446" i="10"/>
  <c r="E446" i="10"/>
  <c r="D446" i="10"/>
  <c r="C446" i="10"/>
  <c r="B446" i="10"/>
  <c r="A446" i="10"/>
  <c r="O445" i="10"/>
  <c r="N445" i="10"/>
  <c r="M445" i="10"/>
  <c r="L445" i="10"/>
  <c r="K445" i="10"/>
  <c r="J445" i="10"/>
  <c r="I445" i="10"/>
  <c r="H445" i="10"/>
  <c r="G445" i="10"/>
  <c r="F445" i="10"/>
  <c r="E445" i="10"/>
  <c r="D445" i="10"/>
  <c r="C445" i="10"/>
  <c r="B445" i="10"/>
  <c r="A445" i="10"/>
  <c r="O444" i="10"/>
  <c r="N444" i="10"/>
  <c r="M444" i="10"/>
  <c r="L444" i="10"/>
  <c r="K444" i="10"/>
  <c r="J444" i="10"/>
  <c r="I444" i="10"/>
  <c r="H444" i="10"/>
  <c r="G444" i="10"/>
  <c r="F444" i="10"/>
  <c r="E444" i="10"/>
  <c r="D444" i="10"/>
  <c r="C444" i="10"/>
  <c r="B444" i="10"/>
  <c r="A444" i="10"/>
  <c r="O443" i="10"/>
  <c r="N443" i="10"/>
  <c r="M443" i="10"/>
  <c r="L443" i="10"/>
  <c r="K443" i="10"/>
  <c r="J443" i="10"/>
  <c r="I443" i="10"/>
  <c r="H443" i="10"/>
  <c r="G443" i="10"/>
  <c r="F443" i="10"/>
  <c r="E443" i="10"/>
  <c r="D443" i="10"/>
  <c r="C443" i="10"/>
  <c r="B443" i="10"/>
  <c r="A443" i="10"/>
  <c r="O442" i="10"/>
  <c r="N442" i="10"/>
  <c r="M442" i="10"/>
  <c r="L442" i="10"/>
  <c r="K442" i="10"/>
  <c r="J442" i="10"/>
  <c r="I442" i="10"/>
  <c r="H442" i="10"/>
  <c r="G442" i="10"/>
  <c r="F442" i="10"/>
  <c r="E442" i="10"/>
  <c r="D442" i="10"/>
  <c r="C442" i="10"/>
  <c r="B442" i="10"/>
  <c r="A442" i="10"/>
  <c r="O441" i="10"/>
  <c r="N441" i="10"/>
  <c r="M441" i="10"/>
  <c r="L441" i="10"/>
  <c r="K441" i="10"/>
  <c r="J441" i="10"/>
  <c r="I441" i="10"/>
  <c r="H441" i="10"/>
  <c r="G441" i="10"/>
  <c r="F441" i="10"/>
  <c r="E441" i="10"/>
  <c r="D441" i="10"/>
  <c r="C441" i="10"/>
  <c r="B441" i="10"/>
  <c r="A441" i="10"/>
  <c r="O440" i="10"/>
  <c r="N440" i="10"/>
  <c r="M440" i="10"/>
  <c r="L440" i="10"/>
  <c r="K440" i="10"/>
  <c r="J440" i="10"/>
  <c r="I440" i="10"/>
  <c r="H440" i="10"/>
  <c r="G440" i="10"/>
  <c r="F440" i="10"/>
  <c r="E440" i="10"/>
  <c r="D440" i="10"/>
  <c r="C440" i="10"/>
  <c r="B440" i="10"/>
  <c r="A440" i="10"/>
  <c r="O439" i="10"/>
  <c r="N439" i="10"/>
  <c r="M439" i="10"/>
  <c r="L439" i="10"/>
  <c r="K439" i="10"/>
  <c r="J439" i="10"/>
  <c r="I439" i="10"/>
  <c r="H439" i="10"/>
  <c r="G439" i="10"/>
  <c r="F439" i="10"/>
  <c r="E439" i="10"/>
  <c r="D439" i="10"/>
  <c r="C439" i="10"/>
  <c r="B439" i="10"/>
  <c r="A439" i="10"/>
  <c r="O438" i="10"/>
  <c r="N438" i="10"/>
  <c r="M438" i="10"/>
  <c r="L438" i="10"/>
  <c r="K438" i="10"/>
  <c r="J438" i="10"/>
  <c r="I438" i="10"/>
  <c r="H438" i="10"/>
  <c r="G438" i="10"/>
  <c r="F438" i="10"/>
  <c r="E438" i="10"/>
  <c r="D438" i="10"/>
  <c r="C438" i="10"/>
  <c r="B438" i="10"/>
  <c r="A438" i="10"/>
  <c r="O437" i="10"/>
  <c r="N437" i="10"/>
  <c r="M437" i="10"/>
  <c r="L437" i="10"/>
  <c r="K437" i="10"/>
  <c r="J437" i="10"/>
  <c r="I437" i="10"/>
  <c r="H437" i="10"/>
  <c r="G437" i="10"/>
  <c r="F437" i="10"/>
  <c r="E437" i="10"/>
  <c r="D437" i="10"/>
  <c r="C437" i="10"/>
  <c r="B437" i="10"/>
  <c r="A437" i="10"/>
  <c r="O436" i="10"/>
  <c r="N436" i="10"/>
  <c r="M436" i="10"/>
  <c r="L436" i="10"/>
  <c r="K436" i="10"/>
  <c r="J436" i="10"/>
  <c r="I436" i="10"/>
  <c r="H436" i="10"/>
  <c r="G436" i="10"/>
  <c r="F436" i="10"/>
  <c r="E436" i="10"/>
  <c r="D436" i="10"/>
  <c r="C436" i="10"/>
  <c r="B436" i="10"/>
  <c r="A436" i="10"/>
  <c r="O435" i="10"/>
  <c r="N435" i="10"/>
  <c r="M435" i="10"/>
  <c r="L435" i="10"/>
  <c r="K435" i="10"/>
  <c r="J435" i="10"/>
  <c r="I435" i="10"/>
  <c r="H435" i="10"/>
  <c r="G435" i="10"/>
  <c r="F435" i="10"/>
  <c r="E435" i="10"/>
  <c r="D435" i="10"/>
  <c r="C435" i="10"/>
  <c r="B435" i="10"/>
  <c r="A435" i="10"/>
  <c r="O434" i="10"/>
  <c r="N434" i="10"/>
  <c r="M434" i="10"/>
  <c r="L434" i="10"/>
  <c r="K434" i="10"/>
  <c r="J434" i="10"/>
  <c r="I434" i="10"/>
  <c r="H434" i="10"/>
  <c r="G434" i="10"/>
  <c r="F434" i="10"/>
  <c r="E434" i="10"/>
  <c r="D434" i="10"/>
  <c r="C434" i="10"/>
  <c r="B434" i="10"/>
  <c r="A434" i="10"/>
  <c r="O433" i="10"/>
  <c r="N433" i="10"/>
  <c r="M433" i="10"/>
  <c r="L433" i="10"/>
  <c r="K433" i="10"/>
  <c r="J433" i="10"/>
  <c r="I433" i="10"/>
  <c r="H433" i="10"/>
  <c r="G433" i="10"/>
  <c r="F433" i="10"/>
  <c r="E433" i="10"/>
  <c r="D433" i="10"/>
  <c r="C433" i="10"/>
  <c r="B433" i="10"/>
  <c r="A433" i="10"/>
  <c r="O432" i="10"/>
  <c r="N432" i="10"/>
  <c r="M432" i="10"/>
  <c r="L432" i="10"/>
  <c r="K432" i="10"/>
  <c r="J432" i="10"/>
  <c r="I432" i="10"/>
  <c r="H432" i="10"/>
  <c r="G432" i="10"/>
  <c r="F432" i="10"/>
  <c r="E432" i="10"/>
  <c r="D432" i="10"/>
  <c r="C432" i="10"/>
  <c r="B432" i="10"/>
  <c r="A432" i="10"/>
  <c r="O431" i="10"/>
  <c r="N431" i="10"/>
  <c r="M431" i="10"/>
  <c r="L431" i="10"/>
  <c r="K431" i="10"/>
  <c r="J431" i="10"/>
  <c r="I431" i="10"/>
  <c r="H431" i="10"/>
  <c r="G431" i="10"/>
  <c r="F431" i="10"/>
  <c r="E431" i="10"/>
  <c r="D431" i="10"/>
  <c r="C431" i="10"/>
  <c r="B431" i="10"/>
  <c r="A431" i="10"/>
  <c r="O430" i="10"/>
  <c r="N430" i="10"/>
  <c r="M430" i="10"/>
  <c r="L430" i="10"/>
  <c r="K430" i="10"/>
  <c r="J430" i="10"/>
  <c r="I430" i="10"/>
  <c r="H430" i="10"/>
  <c r="G430" i="10"/>
  <c r="F430" i="10"/>
  <c r="E430" i="10"/>
  <c r="D430" i="10"/>
  <c r="C430" i="10"/>
  <c r="B430" i="10"/>
  <c r="A430" i="10"/>
  <c r="O429" i="10"/>
  <c r="N429" i="10"/>
  <c r="M429" i="10"/>
  <c r="L429" i="10"/>
  <c r="K429" i="10"/>
  <c r="J429" i="10"/>
  <c r="I429" i="10"/>
  <c r="H429" i="10"/>
  <c r="G429" i="10"/>
  <c r="F429" i="10"/>
  <c r="E429" i="10"/>
  <c r="D429" i="10"/>
  <c r="C429" i="10"/>
  <c r="B429" i="10"/>
  <c r="A429" i="10"/>
  <c r="O428" i="10"/>
  <c r="N428" i="10"/>
  <c r="M428" i="10"/>
  <c r="L428" i="10"/>
  <c r="K428" i="10"/>
  <c r="J428" i="10"/>
  <c r="I428" i="10"/>
  <c r="H428" i="10"/>
  <c r="G428" i="10"/>
  <c r="F428" i="10"/>
  <c r="E428" i="10"/>
  <c r="D428" i="10"/>
  <c r="C428" i="10"/>
  <c r="B428" i="10"/>
  <c r="A428" i="10"/>
  <c r="O427" i="10"/>
  <c r="N427" i="10"/>
  <c r="M427" i="10"/>
  <c r="L427" i="10"/>
  <c r="K427" i="10"/>
  <c r="J427" i="10"/>
  <c r="I427" i="10"/>
  <c r="H427" i="10"/>
  <c r="G427" i="10"/>
  <c r="F427" i="10"/>
  <c r="E427" i="10"/>
  <c r="D427" i="10"/>
  <c r="C427" i="10"/>
  <c r="B427" i="10"/>
  <c r="A427" i="10"/>
  <c r="O426" i="10"/>
  <c r="N426" i="10"/>
  <c r="M426" i="10"/>
  <c r="L426" i="10"/>
  <c r="K426" i="10"/>
  <c r="J426" i="10"/>
  <c r="I426" i="10"/>
  <c r="H426" i="10"/>
  <c r="G426" i="10"/>
  <c r="F426" i="10"/>
  <c r="E426" i="10"/>
  <c r="D426" i="10"/>
  <c r="C426" i="10"/>
  <c r="B426" i="10"/>
  <c r="A426" i="10"/>
  <c r="O425" i="10"/>
  <c r="N425" i="10"/>
  <c r="M425" i="10"/>
  <c r="L425" i="10"/>
  <c r="K425" i="10"/>
  <c r="J425" i="10"/>
  <c r="I425" i="10"/>
  <c r="H425" i="10"/>
  <c r="G425" i="10"/>
  <c r="F425" i="10"/>
  <c r="E425" i="10"/>
  <c r="D425" i="10"/>
  <c r="C425" i="10"/>
  <c r="B425" i="10"/>
  <c r="A425" i="10"/>
  <c r="O424" i="10"/>
  <c r="N424" i="10"/>
  <c r="M424" i="10"/>
  <c r="L424" i="10"/>
  <c r="K424" i="10"/>
  <c r="J424" i="10"/>
  <c r="I424" i="10"/>
  <c r="H424" i="10"/>
  <c r="G424" i="10"/>
  <c r="F424" i="10"/>
  <c r="E424" i="10"/>
  <c r="D424" i="10"/>
  <c r="C424" i="10"/>
  <c r="B424" i="10"/>
  <c r="A424" i="10"/>
  <c r="O423" i="10"/>
  <c r="N423" i="10"/>
  <c r="M423" i="10"/>
  <c r="L423" i="10"/>
  <c r="K423" i="10"/>
  <c r="J423" i="10"/>
  <c r="I423" i="10"/>
  <c r="H423" i="10"/>
  <c r="G423" i="10"/>
  <c r="F423" i="10"/>
  <c r="E423" i="10"/>
  <c r="D423" i="10"/>
  <c r="C423" i="10"/>
  <c r="B423" i="10"/>
  <c r="A423" i="10"/>
  <c r="O422" i="10"/>
  <c r="N422" i="10"/>
  <c r="M422" i="10"/>
  <c r="L422" i="10"/>
  <c r="K422" i="10"/>
  <c r="J422" i="10"/>
  <c r="I422" i="10"/>
  <c r="H422" i="10"/>
  <c r="G422" i="10"/>
  <c r="F422" i="10"/>
  <c r="E422" i="10"/>
  <c r="D422" i="10"/>
  <c r="C422" i="10"/>
  <c r="B422" i="10"/>
  <c r="A422" i="10"/>
  <c r="O421" i="10"/>
  <c r="N421" i="10"/>
  <c r="M421" i="10"/>
  <c r="L421" i="10"/>
  <c r="K421" i="10"/>
  <c r="J421" i="10"/>
  <c r="I421" i="10"/>
  <c r="H421" i="10"/>
  <c r="G421" i="10"/>
  <c r="F421" i="10"/>
  <c r="E421" i="10"/>
  <c r="D421" i="10"/>
  <c r="C421" i="10"/>
  <c r="B421" i="10"/>
  <c r="A421" i="10"/>
  <c r="O420" i="10"/>
  <c r="N420" i="10"/>
  <c r="M420" i="10"/>
  <c r="L420" i="10"/>
  <c r="K420" i="10"/>
  <c r="J420" i="10"/>
  <c r="I420" i="10"/>
  <c r="H420" i="10"/>
  <c r="G420" i="10"/>
  <c r="F420" i="10"/>
  <c r="E420" i="10"/>
  <c r="D420" i="10"/>
  <c r="C420" i="10"/>
  <c r="B420" i="10"/>
  <c r="A420" i="10"/>
  <c r="O419" i="10"/>
  <c r="N419" i="10"/>
  <c r="M419" i="10"/>
  <c r="L419" i="10"/>
  <c r="K419" i="10"/>
  <c r="J419" i="10"/>
  <c r="I419" i="10"/>
  <c r="H419" i="10"/>
  <c r="G419" i="10"/>
  <c r="F419" i="10"/>
  <c r="E419" i="10"/>
  <c r="D419" i="10"/>
  <c r="C419" i="10"/>
  <c r="B419" i="10"/>
  <c r="A419" i="10"/>
  <c r="O418" i="10"/>
  <c r="N418" i="10"/>
  <c r="M418" i="10"/>
  <c r="L418" i="10"/>
  <c r="K418" i="10"/>
  <c r="J418" i="10"/>
  <c r="I418" i="10"/>
  <c r="H418" i="10"/>
  <c r="G418" i="10"/>
  <c r="F418" i="10"/>
  <c r="E418" i="10"/>
  <c r="D418" i="10"/>
  <c r="C418" i="10"/>
  <c r="B418" i="10"/>
  <c r="A418" i="10"/>
  <c r="O417" i="10"/>
  <c r="N417" i="10"/>
  <c r="M417" i="10"/>
  <c r="L417" i="10"/>
  <c r="K417" i="10"/>
  <c r="J417" i="10"/>
  <c r="I417" i="10"/>
  <c r="H417" i="10"/>
  <c r="G417" i="10"/>
  <c r="F417" i="10"/>
  <c r="E417" i="10"/>
  <c r="D417" i="10"/>
  <c r="C417" i="10"/>
  <c r="B417" i="10"/>
  <c r="A417" i="10"/>
  <c r="O416" i="10"/>
  <c r="N416" i="10"/>
  <c r="M416" i="10"/>
  <c r="L416" i="10"/>
  <c r="K416" i="10"/>
  <c r="J416" i="10"/>
  <c r="I416" i="10"/>
  <c r="H416" i="10"/>
  <c r="G416" i="10"/>
  <c r="F416" i="10"/>
  <c r="E416" i="10"/>
  <c r="D416" i="10"/>
  <c r="C416" i="10"/>
  <c r="B416" i="10"/>
  <c r="A416" i="10"/>
  <c r="O415" i="10"/>
  <c r="N415" i="10"/>
  <c r="M415" i="10"/>
  <c r="L415" i="10"/>
  <c r="K415" i="10"/>
  <c r="J415" i="10"/>
  <c r="I415" i="10"/>
  <c r="H415" i="10"/>
  <c r="G415" i="10"/>
  <c r="F415" i="10"/>
  <c r="E415" i="10"/>
  <c r="D415" i="10"/>
  <c r="C415" i="10"/>
  <c r="B415" i="10"/>
  <c r="A415" i="10"/>
  <c r="O414" i="10"/>
  <c r="N414" i="10"/>
  <c r="M414" i="10"/>
  <c r="L414" i="10"/>
  <c r="K414" i="10"/>
  <c r="J414" i="10"/>
  <c r="I414" i="10"/>
  <c r="H414" i="10"/>
  <c r="G414" i="10"/>
  <c r="F414" i="10"/>
  <c r="E414" i="10"/>
  <c r="D414" i="10"/>
  <c r="C414" i="10"/>
  <c r="B414" i="10"/>
  <c r="A414" i="10"/>
  <c r="O413" i="10"/>
  <c r="N413" i="10"/>
  <c r="M413" i="10"/>
  <c r="L413" i="10"/>
  <c r="K413" i="10"/>
  <c r="J413" i="10"/>
  <c r="I413" i="10"/>
  <c r="H413" i="10"/>
  <c r="G413" i="10"/>
  <c r="F413" i="10"/>
  <c r="E413" i="10"/>
  <c r="D413" i="10"/>
  <c r="C413" i="10"/>
  <c r="B413" i="10"/>
  <c r="A413" i="10"/>
  <c r="O412" i="10"/>
  <c r="N412" i="10"/>
  <c r="M412" i="10"/>
  <c r="L412" i="10"/>
  <c r="K412" i="10"/>
  <c r="J412" i="10"/>
  <c r="I412" i="10"/>
  <c r="H412" i="10"/>
  <c r="G412" i="10"/>
  <c r="F412" i="10"/>
  <c r="E412" i="10"/>
  <c r="D412" i="10"/>
  <c r="C412" i="10"/>
  <c r="B412" i="10"/>
  <c r="A412" i="10"/>
  <c r="O411" i="10"/>
  <c r="N411" i="10"/>
  <c r="M411" i="10"/>
  <c r="L411" i="10"/>
  <c r="K411" i="10"/>
  <c r="J411" i="10"/>
  <c r="I411" i="10"/>
  <c r="H411" i="10"/>
  <c r="G411" i="10"/>
  <c r="F411" i="10"/>
  <c r="E411" i="10"/>
  <c r="D411" i="10"/>
  <c r="C411" i="10"/>
  <c r="B411" i="10"/>
  <c r="A411" i="10"/>
  <c r="O410" i="10"/>
  <c r="N410" i="10"/>
  <c r="M410" i="10"/>
  <c r="L410" i="10"/>
  <c r="K410" i="10"/>
  <c r="J410" i="10"/>
  <c r="I410" i="10"/>
  <c r="H410" i="10"/>
  <c r="G410" i="10"/>
  <c r="F410" i="10"/>
  <c r="E410" i="10"/>
  <c r="D410" i="10"/>
  <c r="C410" i="10"/>
  <c r="B410" i="10"/>
  <c r="A410" i="10"/>
  <c r="O409" i="10"/>
  <c r="N409" i="10"/>
  <c r="M409" i="10"/>
  <c r="L409" i="10"/>
  <c r="K409" i="10"/>
  <c r="J409" i="10"/>
  <c r="I409" i="10"/>
  <c r="H409" i="10"/>
  <c r="G409" i="10"/>
  <c r="F409" i="10"/>
  <c r="E409" i="10"/>
  <c r="D409" i="10"/>
  <c r="C409" i="10"/>
  <c r="B409" i="10"/>
  <c r="A409" i="10"/>
  <c r="O408" i="10"/>
  <c r="N408" i="10"/>
  <c r="M408" i="10"/>
  <c r="L408" i="10"/>
  <c r="K408" i="10"/>
  <c r="J408" i="10"/>
  <c r="I408" i="10"/>
  <c r="H408" i="10"/>
  <c r="G408" i="10"/>
  <c r="F408" i="10"/>
  <c r="E408" i="10"/>
  <c r="D408" i="10"/>
  <c r="C408" i="10"/>
  <c r="B408" i="10"/>
  <c r="A408" i="10"/>
  <c r="O407" i="10"/>
  <c r="N407" i="10"/>
  <c r="M407" i="10"/>
  <c r="L407" i="10"/>
  <c r="K407" i="10"/>
  <c r="J407" i="10"/>
  <c r="I407" i="10"/>
  <c r="H407" i="10"/>
  <c r="G407" i="10"/>
  <c r="F407" i="10"/>
  <c r="E407" i="10"/>
  <c r="D407" i="10"/>
  <c r="C407" i="10"/>
  <c r="B407" i="10"/>
  <c r="A407" i="10"/>
  <c r="O406" i="10"/>
  <c r="N406" i="10"/>
  <c r="M406" i="10"/>
  <c r="L406" i="10"/>
  <c r="K406" i="10"/>
  <c r="J406" i="10"/>
  <c r="I406" i="10"/>
  <c r="H406" i="10"/>
  <c r="G406" i="10"/>
  <c r="F406" i="10"/>
  <c r="E406" i="10"/>
  <c r="D406" i="10"/>
  <c r="C406" i="10"/>
  <c r="B406" i="10"/>
  <c r="A406" i="10"/>
  <c r="O405" i="10"/>
  <c r="N405" i="10"/>
  <c r="M405" i="10"/>
  <c r="L405" i="10"/>
  <c r="K405" i="10"/>
  <c r="J405" i="10"/>
  <c r="I405" i="10"/>
  <c r="H405" i="10"/>
  <c r="G405" i="10"/>
  <c r="F405" i="10"/>
  <c r="E405" i="10"/>
  <c r="D405" i="10"/>
  <c r="C405" i="10"/>
  <c r="B405" i="10"/>
  <c r="A405" i="10"/>
  <c r="O404" i="10"/>
  <c r="N404" i="10"/>
  <c r="M404" i="10"/>
  <c r="L404" i="10"/>
  <c r="K404" i="10"/>
  <c r="J404" i="10"/>
  <c r="I404" i="10"/>
  <c r="H404" i="10"/>
  <c r="G404" i="10"/>
  <c r="F404" i="10"/>
  <c r="E404" i="10"/>
  <c r="D404" i="10"/>
  <c r="C404" i="10"/>
  <c r="B404" i="10"/>
  <c r="A404" i="10"/>
  <c r="O403" i="10"/>
  <c r="N403" i="10"/>
  <c r="M403" i="10"/>
  <c r="L403" i="10"/>
  <c r="K403" i="10"/>
  <c r="J403" i="10"/>
  <c r="I403" i="10"/>
  <c r="H403" i="10"/>
  <c r="G403" i="10"/>
  <c r="F403" i="10"/>
  <c r="E403" i="10"/>
  <c r="D403" i="10"/>
  <c r="C403" i="10"/>
  <c r="B403" i="10"/>
  <c r="A403" i="10"/>
  <c r="O402" i="10"/>
  <c r="N402" i="10"/>
  <c r="M402" i="10"/>
  <c r="L402" i="10"/>
  <c r="K402" i="10"/>
  <c r="J402" i="10"/>
  <c r="I402" i="10"/>
  <c r="H402" i="10"/>
  <c r="G402" i="10"/>
  <c r="F402" i="10"/>
  <c r="E402" i="10"/>
  <c r="D402" i="10"/>
  <c r="C402" i="10"/>
  <c r="B402" i="10"/>
  <c r="A402" i="10"/>
  <c r="O401" i="10"/>
  <c r="N401" i="10"/>
  <c r="M401" i="10"/>
  <c r="L401" i="10"/>
  <c r="K401" i="10"/>
  <c r="J401" i="10"/>
  <c r="I401" i="10"/>
  <c r="H401" i="10"/>
  <c r="G401" i="10"/>
  <c r="F401" i="10"/>
  <c r="E401" i="10"/>
  <c r="D401" i="10"/>
  <c r="C401" i="10"/>
  <c r="B401" i="10"/>
  <c r="A401" i="10"/>
  <c r="O400" i="10"/>
  <c r="N400" i="10"/>
  <c r="M400" i="10"/>
  <c r="L400" i="10"/>
  <c r="K400" i="10"/>
  <c r="J400" i="10"/>
  <c r="I400" i="10"/>
  <c r="H400" i="10"/>
  <c r="G400" i="10"/>
  <c r="F400" i="10"/>
  <c r="E400" i="10"/>
  <c r="D400" i="10"/>
  <c r="C400" i="10"/>
  <c r="B400" i="10"/>
  <c r="A400" i="10"/>
  <c r="O399" i="10"/>
  <c r="N399" i="10"/>
  <c r="M399" i="10"/>
  <c r="L399" i="10"/>
  <c r="K399" i="10"/>
  <c r="J399" i="10"/>
  <c r="I399" i="10"/>
  <c r="H399" i="10"/>
  <c r="G399" i="10"/>
  <c r="F399" i="10"/>
  <c r="E399" i="10"/>
  <c r="D399" i="10"/>
  <c r="C399" i="10"/>
  <c r="B399" i="10"/>
  <c r="A399" i="10"/>
  <c r="O398" i="10"/>
  <c r="N398" i="10"/>
  <c r="M398" i="10"/>
  <c r="L398" i="10"/>
  <c r="K398" i="10"/>
  <c r="J398" i="10"/>
  <c r="I398" i="10"/>
  <c r="H398" i="10"/>
  <c r="G398" i="10"/>
  <c r="F398" i="10"/>
  <c r="E398" i="10"/>
  <c r="D398" i="10"/>
  <c r="C398" i="10"/>
  <c r="B398" i="10"/>
  <c r="A398" i="10"/>
  <c r="O397" i="10"/>
  <c r="N397" i="10"/>
  <c r="M397" i="10"/>
  <c r="L397" i="10"/>
  <c r="K397" i="10"/>
  <c r="J397" i="10"/>
  <c r="I397" i="10"/>
  <c r="H397" i="10"/>
  <c r="G397" i="10"/>
  <c r="F397" i="10"/>
  <c r="E397" i="10"/>
  <c r="D397" i="10"/>
  <c r="C397" i="10"/>
  <c r="B397" i="10"/>
  <c r="A397" i="10"/>
  <c r="O396" i="10"/>
  <c r="N396" i="10"/>
  <c r="M396" i="10"/>
  <c r="L396" i="10"/>
  <c r="K396" i="10"/>
  <c r="J396" i="10"/>
  <c r="I396" i="10"/>
  <c r="H396" i="10"/>
  <c r="G396" i="10"/>
  <c r="F396" i="10"/>
  <c r="E396" i="10"/>
  <c r="D396" i="10"/>
  <c r="C396" i="10"/>
  <c r="B396" i="10"/>
  <c r="A396" i="10"/>
  <c r="O395" i="10"/>
  <c r="N395" i="10"/>
  <c r="M395" i="10"/>
  <c r="L395" i="10"/>
  <c r="K395" i="10"/>
  <c r="J395" i="10"/>
  <c r="I395" i="10"/>
  <c r="H395" i="10"/>
  <c r="G395" i="10"/>
  <c r="F395" i="10"/>
  <c r="E395" i="10"/>
  <c r="D395" i="10"/>
  <c r="C395" i="10"/>
  <c r="B395" i="10"/>
  <c r="A395" i="10"/>
  <c r="O394" i="10"/>
  <c r="N394" i="10"/>
  <c r="M394" i="10"/>
  <c r="L394" i="10"/>
  <c r="K394" i="10"/>
  <c r="J394" i="10"/>
  <c r="I394" i="10"/>
  <c r="H394" i="10"/>
  <c r="G394" i="10"/>
  <c r="F394" i="10"/>
  <c r="E394" i="10"/>
  <c r="D394" i="10"/>
  <c r="C394" i="10"/>
  <c r="B394" i="10"/>
  <c r="A394" i="10"/>
  <c r="O393" i="10"/>
  <c r="N393" i="10"/>
  <c r="M393" i="10"/>
  <c r="L393" i="10"/>
  <c r="K393" i="10"/>
  <c r="J393" i="10"/>
  <c r="I393" i="10"/>
  <c r="H393" i="10"/>
  <c r="G393" i="10"/>
  <c r="F393" i="10"/>
  <c r="E393" i="10"/>
  <c r="D393" i="10"/>
  <c r="C393" i="10"/>
  <c r="B393" i="10"/>
  <c r="A393" i="10"/>
  <c r="O392" i="10"/>
  <c r="N392" i="10"/>
  <c r="M392" i="10"/>
  <c r="L392" i="10"/>
  <c r="K392" i="10"/>
  <c r="J392" i="10"/>
  <c r="I392" i="10"/>
  <c r="H392" i="10"/>
  <c r="G392" i="10"/>
  <c r="F392" i="10"/>
  <c r="E392" i="10"/>
  <c r="D392" i="10"/>
  <c r="C392" i="10"/>
  <c r="B392" i="10"/>
  <c r="A392" i="10"/>
  <c r="O391" i="10"/>
  <c r="N391" i="10"/>
  <c r="M391" i="10"/>
  <c r="L391" i="10"/>
  <c r="K391" i="10"/>
  <c r="J391" i="10"/>
  <c r="I391" i="10"/>
  <c r="H391" i="10"/>
  <c r="G391" i="10"/>
  <c r="F391" i="10"/>
  <c r="E391" i="10"/>
  <c r="D391" i="10"/>
  <c r="C391" i="10"/>
  <c r="B391" i="10"/>
  <c r="A391" i="10"/>
  <c r="O390" i="10"/>
  <c r="N390" i="10"/>
  <c r="M390" i="10"/>
  <c r="L390" i="10"/>
  <c r="K390" i="10"/>
  <c r="J390" i="10"/>
  <c r="I390" i="10"/>
  <c r="H390" i="10"/>
  <c r="G390" i="10"/>
  <c r="F390" i="10"/>
  <c r="E390" i="10"/>
  <c r="D390" i="10"/>
  <c r="C390" i="10"/>
  <c r="B390" i="10"/>
  <c r="A390" i="10"/>
  <c r="O389" i="10"/>
  <c r="N389" i="10"/>
  <c r="M389" i="10"/>
  <c r="L389" i="10"/>
  <c r="K389" i="10"/>
  <c r="J389" i="10"/>
  <c r="I389" i="10"/>
  <c r="H389" i="10"/>
  <c r="G389" i="10"/>
  <c r="F389" i="10"/>
  <c r="E389" i="10"/>
  <c r="D389" i="10"/>
  <c r="C389" i="10"/>
  <c r="B389" i="10"/>
  <c r="A389" i="10"/>
  <c r="O388" i="10"/>
  <c r="N388" i="10"/>
  <c r="M388" i="10"/>
  <c r="L388" i="10"/>
  <c r="K388" i="10"/>
  <c r="J388" i="10"/>
  <c r="I388" i="10"/>
  <c r="H388" i="10"/>
  <c r="G388" i="10"/>
  <c r="F388" i="10"/>
  <c r="E388" i="10"/>
  <c r="D388" i="10"/>
  <c r="C388" i="10"/>
  <c r="B388" i="10"/>
  <c r="A388" i="10"/>
  <c r="O387" i="10"/>
  <c r="N387" i="10"/>
  <c r="M387" i="10"/>
  <c r="L387" i="10"/>
  <c r="K387" i="10"/>
  <c r="J387" i="10"/>
  <c r="I387" i="10"/>
  <c r="H387" i="10"/>
  <c r="G387" i="10"/>
  <c r="F387" i="10"/>
  <c r="E387" i="10"/>
  <c r="D387" i="10"/>
  <c r="C387" i="10"/>
  <c r="B387" i="10"/>
  <c r="A387" i="10"/>
  <c r="O386" i="10"/>
  <c r="N386" i="10"/>
  <c r="M386" i="10"/>
  <c r="L386" i="10"/>
  <c r="K386" i="10"/>
  <c r="J386" i="10"/>
  <c r="I386" i="10"/>
  <c r="H386" i="10"/>
  <c r="G386" i="10"/>
  <c r="F386" i="10"/>
  <c r="E386" i="10"/>
  <c r="D386" i="10"/>
  <c r="C386" i="10"/>
  <c r="B386" i="10"/>
  <c r="A386" i="10"/>
  <c r="O385" i="10"/>
  <c r="N385" i="10"/>
  <c r="M385" i="10"/>
  <c r="L385" i="10"/>
  <c r="K385" i="10"/>
  <c r="J385" i="10"/>
  <c r="I385" i="10"/>
  <c r="H385" i="10"/>
  <c r="G385" i="10"/>
  <c r="F385" i="10"/>
  <c r="E385" i="10"/>
  <c r="D385" i="10"/>
  <c r="C385" i="10"/>
  <c r="B385" i="10"/>
  <c r="A385" i="10"/>
  <c r="O384" i="10"/>
  <c r="N384" i="10"/>
  <c r="M384" i="10"/>
  <c r="L384" i="10"/>
  <c r="K384" i="10"/>
  <c r="J384" i="10"/>
  <c r="I384" i="10"/>
  <c r="H384" i="10"/>
  <c r="G384" i="10"/>
  <c r="F384" i="10"/>
  <c r="E384" i="10"/>
  <c r="D384" i="10"/>
  <c r="C384" i="10"/>
  <c r="B384" i="10"/>
  <c r="A384" i="10"/>
  <c r="O383" i="10"/>
  <c r="N383" i="10"/>
  <c r="M383" i="10"/>
  <c r="L383" i="10"/>
  <c r="K383" i="10"/>
  <c r="J383" i="10"/>
  <c r="I383" i="10"/>
  <c r="H383" i="10"/>
  <c r="G383" i="10"/>
  <c r="F383" i="10"/>
  <c r="E383" i="10"/>
  <c r="D383" i="10"/>
  <c r="C383" i="10"/>
  <c r="B383" i="10"/>
  <c r="A383" i="10"/>
  <c r="O382" i="10"/>
  <c r="N382" i="10"/>
  <c r="M382" i="10"/>
  <c r="L382" i="10"/>
  <c r="K382" i="10"/>
  <c r="J382" i="10"/>
  <c r="I382" i="10"/>
  <c r="H382" i="10"/>
  <c r="G382" i="10"/>
  <c r="F382" i="10"/>
  <c r="E382" i="10"/>
  <c r="D382" i="10"/>
  <c r="C382" i="10"/>
  <c r="B382" i="10"/>
  <c r="A382" i="10"/>
  <c r="O381" i="10"/>
  <c r="N381" i="10"/>
  <c r="M381" i="10"/>
  <c r="L381" i="10"/>
  <c r="K381" i="10"/>
  <c r="J381" i="10"/>
  <c r="I381" i="10"/>
  <c r="H381" i="10"/>
  <c r="G381" i="10"/>
  <c r="F381" i="10"/>
  <c r="E381" i="10"/>
  <c r="D381" i="10"/>
  <c r="C381" i="10"/>
  <c r="B381" i="10"/>
  <c r="A381" i="10"/>
  <c r="O380" i="10"/>
  <c r="N380" i="10"/>
  <c r="M380" i="10"/>
  <c r="L380" i="10"/>
  <c r="K380" i="10"/>
  <c r="J380" i="10"/>
  <c r="I380" i="10"/>
  <c r="H380" i="10"/>
  <c r="G380" i="10"/>
  <c r="F380" i="10"/>
  <c r="E380" i="10"/>
  <c r="D380" i="10"/>
  <c r="C380" i="10"/>
  <c r="B380" i="10"/>
  <c r="A380" i="10"/>
  <c r="O379" i="10"/>
  <c r="N379" i="10"/>
  <c r="M379" i="10"/>
  <c r="L379" i="10"/>
  <c r="K379" i="10"/>
  <c r="J379" i="10"/>
  <c r="I379" i="10"/>
  <c r="H379" i="10"/>
  <c r="G379" i="10"/>
  <c r="F379" i="10"/>
  <c r="E379" i="10"/>
  <c r="D379" i="10"/>
  <c r="C379" i="10"/>
  <c r="B379" i="10"/>
  <c r="A379" i="10"/>
  <c r="O378" i="10"/>
  <c r="N378" i="10"/>
  <c r="M378" i="10"/>
  <c r="L378" i="10"/>
  <c r="K378" i="10"/>
  <c r="J378" i="10"/>
  <c r="I378" i="10"/>
  <c r="H378" i="10"/>
  <c r="G378" i="10"/>
  <c r="F378" i="10"/>
  <c r="E378" i="10"/>
  <c r="D378" i="10"/>
  <c r="C378" i="10"/>
  <c r="B378" i="10"/>
  <c r="A378" i="10"/>
  <c r="O377" i="10"/>
  <c r="N377" i="10"/>
  <c r="M377" i="10"/>
  <c r="L377" i="10"/>
  <c r="K377" i="10"/>
  <c r="J377" i="10"/>
  <c r="I377" i="10"/>
  <c r="H377" i="10"/>
  <c r="G377" i="10"/>
  <c r="F377" i="10"/>
  <c r="E377" i="10"/>
  <c r="D377" i="10"/>
  <c r="C377" i="10"/>
  <c r="B377" i="10"/>
  <c r="A377" i="10"/>
  <c r="O376" i="10"/>
  <c r="N376" i="10"/>
  <c r="M376" i="10"/>
  <c r="L376" i="10"/>
  <c r="K376" i="10"/>
  <c r="J376" i="10"/>
  <c r="I376" i="10"/>
  <c r="H376" i="10"/>
  <c r="G376" i="10"/>
  <c r="F376" i="10"/>
  <c r="E376" i="10"/>
  <c r="D376" i="10"/>
  <c r="C376" i="10"/>
  <c r="B376" i="10"/>
  <c r="A376" i="10"/>
  <c r="O375" i="10"/>
  <c r="N375" i="10"/>
  <c r="M375" i="10"/>
  <c r="L375" i="10"/>
  <c r="K375" i="10"/>
  <c r="J375" i="10"/>
  <c r="I375" i="10"/>
  <c r="H375" i="10"/>
  <c r="G375" i="10"/>
  <c r="F375" i="10"/>
  <c r="E375" i="10"/>
  <c r="D375" i="10"/>
  <c r="C375" i="10"/>
  <c r="B375" i="10"/>
  <c r="A375" i="10"/>
  <c r="O374" i="10"/>
  <c r="N374" i="10"/>
  <c r="M374" i="10"/>
  <c r="L374" i="10"/>
  <c r="K374" i="10"/>
  <c r="J374" i="10"/>
  <c r="I374" i="10"/>
  <c r="H374" i="10"/>
  <c r="G374" i="10"/>
  <c r="F374" i="10"/>
  <c r="E374" i="10"/>
  <c r="D374" i="10"/>
  <c r="C374" i="10"/>
  <c r="B374" i="10"/>
  <c r="A374" i="10"/>
  <c r="O373" i="10"/>
  <c r="N373" i="10"/>
  <c r="M373" i="10"/>
  <c r="L373" i="10"/>
  <c r="K373" i="10"/>
  <c r="J373" i="10"/>
  <c r="I373" i="10"/>
  <c r="H373" i="10"/>
  <c r="G373" i="10"/>
  <c r="F373" i="10"/>
  <c r="E373" i="10"/>
  <c r="D373" i="10"/>
  <c r="C373" i="10"/>
  <c r="B373" i="10"/>
  <c r="A373" i="10"/>
  <c r="O372" i="10"/>
  <c r="N372" i="10"/>
  <c r="M372" i="10"/>
  <c r="L372" i="10"/>
  <c r="K372" i="10"/>
  <c r="J372" i="10"/>
  <c r="I372" i="10"/>
  <c r="H372" i="10"/>
  <c r="G372" i="10"/>
  <c r="F372" i="10"/>
  <c r="E372" i="10"/>
  <c r="D372" i="10"/>
  <c r="C372" i="10"/>
  <c r="B372" i="10"/>
  <c r="A372" i="10"/>
  <c r="O371" i="10"/>
  <c r="N371" i="10"/>
  <c r="M371" i="10"/>
  <c r="L371" i="10"/>
  <c r="K371" i="10"/>
  <c r="J371" i="10"/>
  <c r="I371" i="10"/>
  <c r="H371" i="10"/>
  <c r="G371" i="10"/>
  <c r="F371" i="10"/>
  <c r="E371" i="10"/>
  <c r="D371" i="10"/>
  <c r="C371" i="10"/>
  <c r="B371" i="10"/>
  <c r="A371" i="10"/>
  <c r="O370" i="10"/>
  <c r="N370" i="10"/>
  <c r="M370" i="10"/>
  <c r="L370" i="10"/>
  <c r="K370" i="10"/>
  <c r="J370" i="10"/>
  <c r="I370" i="10"/>
  <c r="H370" i="10"/>
  <c r="G370" i="10"/>
  <c r="F370" i="10"/>
  <c r="E370" i="10"/>
  <c r="D370" i="10"/>
  <c r="C370" i="10"/>
  <c r="B370" i="10"/>
  <c r="A370" i="10"/>
  <c r="O369" i="10"/>
  <c r="N369" i="10"/>
  <c r="M369" i="10"/>
  <c r="L369" i="10"/>
  <c r="K369" i="10"/>
  <c r="J369" i="10"/>
  <c r="I369" i="10"/>
  <c r="H369" i="10"/>
  <c r="G369" i="10"/>
  <c r="F369" i="10"/>
  <c r="E369" i="10"/>
  <c r="D369" i="10"/>
  <c r="C369" i="10"/>
  <c r="B369" i="10"/>
  <c r="A369" i="10"/>
  <c r="O368" i="10"/>
  <c r="N368" i="10"/>
  <c r="M368" i="10"/>
  <c r="L368" i="10"/>
  <c r="K368" i="10"/>
  <c r="J368" i="10"/>
  <c r="I368" i="10"/>
  <c r="H368" i="10"/>
  <c r="G368" i="10"/>
  <c r="F368" i="10"/>
  <c r="E368" i="10"/>
  <c r="D368" i="10"/>
  <c r="C368" i="10"/>
  <c r="B368" i="10"/>
  <c r="A368" i="10"/>
  <c r="O367" i="10"/>
  <c r="N367" i="10"/>
  <c r="M367" i="10"/>
  <c r="L367" i="10"/>
  <c r="K367" i="10"/>
  <c r="J367" i="10"/>
  <c r="I367" i="10"/>
  <c r="H367" i="10"/>
  <c r="G367" i="10"/>
  <c r="F367" i="10"/>
  <c r="E367" i="10"/>
  <c r="D367" i="10"/>
  <c r="C367" i="10"/>
  <c r="B367" i="10"/>
  <c r="A367" i="10"/>
  <c r="O366" i="10"/>
  <c r="N366" i="10"/>
  <c r="M366" i="10"/>
  <c r="L366" i="10"/>
  <c r="K366" i="10"/>
  <c r="J366" i="10"/>
  <c r="I366" i="10"/>
  <c r="H366" i="10"/>
  <c r="G366" i="10"/>
  <c r="F366" i="10"/>
  <c r="E366" i="10"/>
  <c r="D366" i="10"/>
  <c r="C366" i="10"/>
  <c r="B366" i="10"/>
  <c r="A366" i="10"/>
  <c r="O365" i="10"/>
  <c r="N365" i="10"/>
  <c r="M365" i="10"/>
  <c r="L365" i="10"/>
  <c r="K365" i="10"/>
  <c r="J365" i="10"/>
  <c r="I365" i="10"/>
  <c r="H365" i="10"/>
  <c r="G365" i="10"/>
  <c r="F365" i="10"/>
  <c r="E365" i="10"/>
  <c r="D365" i="10"/>
  <c r="C365" i="10"/>
  <c r="B365" i="10"/>
  <c r="A365" i="10"/>
  <c r="O364" i="10"/>
  <c r="N364" i="10"/>
  <c r="M364" i="10"/>
  <c r="L364" i="10"/>
  <c r="K364" i="10"/>
  <c r="J364" i="10"/>
  <c r="I364" i="10"/>
  <c r="H364" i="10"/>
  <c r="G364" i="10"/>
  <c r="F364" i="10"/>
  <c r="E364" i="10"/>
  <c r="D364" i="10"/>
  <c r="C364" i="10"/>
  <c r="B364" i="10"/>
  <c r="A364" i="10"/>
  <c r="O363" i="10"/>
  <c r="N363" i="10"/>
  <c r="M363" i="10"/>
  <c r="L363" i="10"/>
  <c r="K363" i="10"/>
  <c r="J363" i="10"/>
  <c r="I363" i="10"/>
  <c r="H363" i="10"/>
  <c r="G363" i="10"/>
  <c r="F363" i="10"/>
  <c r="E363" i="10"/>
  <c r="D363" i="10"/>
  <c r="C363" i="10"/>
  <c r="B363" i="10"/>
  <c r="A363" i="10"/>
  <c r="O362" i="10"/>
  <c r="N362" i="10"/>
  <c r="M362" i="10"/>
  <c r="L362" i="10"/>
  <c r="K362" i="10"/>
  <c r="J362" i="10"/>
  <c r="I362" i="10"/>
  <c r="H362" i="10"/>
  <c r="G362" i="10"/>
  <c r="F362" i="10"/>
  <c r="E362" i="10"/>
  <c r="D362" i="10"/>
  <c r="C362" i="10"/>
  <c r="B362" i="10"/>
  <c r="A362" i="10"/>
  <c r="O361" i="10"/>
  <c r="N361" i="10"/>
  <c r="M361" i="10"/>
  <c r="L361" i="10"/>
  <c r="K361" i="10"/>
  <c r="J361" i="10"/>
  <c r="I361" i="10"/>
  <c r="H361" i="10"/>
  <c r="G361" i="10"/>
  <c r="F361" i="10"/>
  <c r="E361" i="10"/>
  <c r="D361" i="10"/>
  <c r="C361" i="10"/>
  <c r="B361" i="10"/>
  <c r="A361" i="10"/>
  <c r="O360" i="10"/>
  <c r="N360" i="10"/>
  <c r="M360" i="10"/>
  <c r="L360" i="10"/>
  <c r="K360" i="10"/>
  <c r="J360" i="10"/>
  <c r="I360" i="10"/>
  <c r="H360" i="10"/>
  <c r="G360" i="10"/>
  <c r="F360" i="10"/>
  <c r="E360" i="10"/>
  <c r="D360" i="10"/>
  <c r="C360" i="10"/>
  <c r="B360" i="10"/>
  <c r="A360" i="10"/>
  <c r="O359" i="10"/>
  <c r="N359" i="10"/>
  <c r="M359" i="10"/>
  <c r="L359" i="10"/>
  <c r="K359" i="10"/>
  <c r="J359" i="10"/>
  <c r="I359" i="10"/>
  <c r="H359" i="10"/>
  <c r="G359" i="10"/>
  <c r="F359" i="10"/>
  <c r="E359" i="10"/>
  <c r="D359" i="10"/>
  <c r="C359" i="10"/>
  <c r="B359" i="10"/>
  <c r="A359" i="10"/>
  <c r="O358" i="10"/>
  <c r="N358" i="10"/>
  <c r="M358" i="10"/>
  <c r="L358" i="10"/>
  <c r="K358" i="10"/>
  <c r="J358" i="10"/>
  <c r="I358" i="10"/>
  <c r="H358" i="10"/>
  <c r="G358" i="10"/>
  <c r="F358" i="10"/>
  <c r="E358" i="10"/>
  <c r="D358" i="10"/>
  <c r="C358" i="10"/>
  <c r="B358" i="10"/>
  <c r="A358" i="10"/>
  <c r="O357" i="10"/>
  <c r="N357" i="10"/>
  <c r="M357" i="10"/>
  <c r="L357" i="10"/>
  <c r="K357" i="10"/>
  <c r="J357" i="10"/>
  <c r="I357" i="10"/>
  <c r="H357" i="10"/>
  <c r="G357" i="10"/>
  <c r="F357" i="10"/>
  <c r="E357" i="10"/>
  <c r="D357" i="10"/>
  <c r="C357" i="10"/>
  <c r="B357" i="10"/>
  <c r="A357" i="10"/>
  <c r="O356" i="10"/>
  <c r="N356" i="10"/>
  <c r="M356" i="10"/>
  <c r="L356" i="10"/>
  <c r="K356" i="10"/>
  <c r="J356" i="10"/>
  <c r="I356" i="10"/>
  <c r="H356" i="10"/>
  <c r="G356" i="10"/>
  <c r="F356" i="10"/>
  <c r="E356" i="10"/>
  <c r="D356" i="10"/>
  <c r="C356" i="10"/>
  <c r="B356" i="10"/>
  <c r="A356" i="10"/>
  <c r="O355" i="10"/>
  <c r="N355" i="10"/>
  <c r="M355" i="10"/>
  <c r="L355" i="10"/>
  <c r="K355" i="10"/>
  <c r="J355" i="10"/>
  <c r="I355" i="10"/>
  <c r="H355" i="10"/>
  <c r="G355" i="10"/>
  <c r="F355" i="10"/>
  <c r="E355" i="10"/>
  <c r="D355" i="10"/>
  <c r="C355" i="10"/>
  <c r="B355" i="10"/>
  <c r="A355" i="10"/>
  <c r="O354" i="10"/>
  <c r="N354" i="10"/>
  <c r="M354" i="10"/>
  <c r="L354" i="10"/>
  <c r="K354" i="10"/>
  <c r="J354" i="10"/>
  <c r="I354" i="10"/>
  <c r="H354" i="10"/>
  <c r="G354" i="10"/>
  <c r="F354" i="10"/>
  <c r="E354" i="10"/>
  <c r="D354" i="10"/>
  <c r="C354" i="10"/>
  <c r="B354" i="10"/>
  <c r="A354" i="10"/>
  <c r="O353" i="10"/>
  <c r="N353" i="10"/>
  <c r="M353" i="10"/>
  <c r="L353" i="10"/>
  <c r="K353" i="10"/>
  <c r="J353" i="10"/>
  <c r="I353" i="10"/>
  <c r="H353" i="10"/>
  <c r="G353" i="10"/>
  <c r="F353" i="10"/>
  <c r="E353" i="10"/>
  <c r="D353" i="10"/>
  <c r="C353" i="10"/>
  <c r="B353" i="10"/>
  <c r="A353" i="10"/>
  <c r="O352" i="10"/>
  <c r="N352" i="10"/>
  <c r="M352" i="10"/>
  <c r="L352" i="10"/>
  <c r="K352" i="10"/>
  <c r="J352" i="10"/>
  <c r="I352" i="10"/>
  <c r="H352" i="10"/>
  <c r="G352" i="10"/>
  <c r="F352" i="10"/>
  <c r="E352" i="10"/>
  <c r="D352" i="10"/>
  <c r="C352" i="10"/>
  <c r="B352" i="10"/>
  <c r="A352" i="10"/>
  <c r="O351" i="10"/>
  <c r="N351" i="10"/>
  <c r="M351" i="10"/>
  <c r="L351" i="10"/>
  <c r="K351" i="10"/>
  <c r="J351" i="10"/>
  <c r="I351" i="10"/>
  <c r="H351" i="10"/>
  <c r="G351" i="10"/>
  <c r="F351" i="10"/>
  <c r="E351" i="10"/>
  <c r="D351" i="10"/>
  <c r="C351" i="10"/>
  <c r="B351" i="10"/>
  <c r="A351" i="10"/>
  <c r="O350" i="10"/>
  <c r="N350" i="10"/>
  <c r="M350" i="10"/>
  <c r="L350" i="10"/>
  <c r="K350" i="10"/>
  <c r="J350" i="10"/>
  <c r="I350" i="10"/>
  <c r="H350" i="10"/>
  <c r="G350" i="10"/>
  <c r="F350" i="10"/>
  <c r="E350" i="10"/>
  <c r="D350" i="10"/>
  <c r="C350" i="10"/>
  <c r="B350" i="10"/>
  <c r="A350" i="10"/>
  <c r="O349" i="10"/>
  <c r="N349" i="10"/>
  <c r="M349" i="10"/>
  <c r="L349" i="10"/>
  <c r="K349" i="10"/>
  <c r="J349" i="10"/>
  <c r="I349" i="10"/>
  <c r="H349" i="10"/>
  <c r="G349" i="10"/>
  <c r="F349" i="10"/>
  <c r="E349" i="10"/>
  <c r="D349" i="10"/>
  <c r="C349" i="10"/>
  <c r="B349" i="10"/>
  <c r="A349" i="10"/>
  <c r="O348" i="10"/>
  <c r="N348" i="10"/>
  <c r="M348" i="10"/>
  <c r="L348" i="10"/>
  <c r="K348" i="10"/>
  <c r="J348" i="10"/>
  <c r="I348" i="10"/>
  <c r="H348" i="10"/>
  <c r="G348" i="10"/>
  <c r="F348" i="10"/>
  <c r="E348" i="10"/>
  <c r="D348" i="10"/>
  <c r="C348" i="10"/>
  <c r="B348" i="10"/>
  <c r="A348" i="10"/>
  <c r="O347" i="10"/>
  <c r="N347" i="10"/>
  <c r="M347" i="10"/>
  <c r="L347" i="10"/>
  <c r="K347" i="10"/>
  <c r="J347" i="10"/>
  <c r="I347" i="10"/>
  <c r="H347" i="10"/>
  <c r="G347" i="10"/>
  <c r="F347" i="10"/>
  <c r="E347" i="10"/>
  <c r="D347" i="10"/>
  <c r="C347" i="10"/>
  <c r="B347" i="10"/>
  <c r="A347" i="10"/>
  <c r="O346" i="10"/>
  <c r="N346" i="10"/>
  <c r="M346" i="10"/>
  <c r="L346" i="10"/>
  <c r="K346" i="10"/>
  <c r="J346" i="10"/>
  <c r="I346" i="10"/>
  <c r="H346" i="10"/>
  <c r="G346" i="10"/>
  <c r="F346" i="10"/>
  <c r="E346" i="10"/>
  <c r="D346" i="10"/>
  <c r="C346" i="10"/>
  <c r="B346" i="10"/>
  <c r="A346" i="10"/>
  <c r="O345" i="10"/>
  <c r="N345" i="10"/>
  <c r="M345" i="10"/>
  <c r="L345" i="10"/>
  <c r="K345" i="10"/>
  <c r="J345" i="10"/>
  <c r="I345" i="10"/>
  <c r="H345" i="10"/>
  <c r="G345" i="10"/>
  <c r="F345" i="10"/>
  <c r="E345" i="10"/>
  <c r="D345" i="10"/>
  <c r="C345" i="10"/>
  <c r="B345" i="10"/>
  <c r="A345" i="10"/>
  <c r="O344" i="10"/>
  <c r="N344" i="10"/>
  <c r="M344" i="10"/>
  <c r="L344" i="10"/>
  <c r="K344" i="10"/>
  <c r="J344" i="10"/>
  <c r="I344" i="10"/>
  <c r="H344" i="10"/>
  <c r="G344" i="10"/>
  <c r="F344" i="10"/>
  <c r="E344" i="10"/>
  <c r="D344" i="10"/>
  <c r="C344" i="10"/>
  <c r="B344" i="10"/>
  <c r="A344" i="10"/>
  <c r="O343" i="10"/>
  <c r="N343" i="10"/>
  <c r="M343" i="10"/>
  <c r="L343" i="10"/>
  <c r="K343" i="10"/>
  <c r="J343" i="10"/>
  <c r="I343" i="10"/>
  <c r="H343" i="10"/>
  <c r="G343" i="10"/>
  <c r="F343" i="10"/>
  <c r="E343" i="10"/>
  <c r="D343" i="10"/>
  <c r="C343" i="10"/>
  <c r="B343" i="10"/>
  <c r="A343" i="10"/>
  <c r="O342" i="10"/>
  <c r="N342" i="10"/>
  <c r="M342" i="10"/>
  <c r="L342" i="10"/>
  <c r="K342" i="10"/>
  <c r="J342" i="10"/>
  <c r="I342" i="10"/>
  <c r="H342" i="10"/>
  <c r="G342" i="10"/>
  <c r="F342" i="10"/>
  <c r="E342" i="10"/>
  <c r="D342" i="10"/>
  <c r="C342" i="10"/>
  <c r="B342" i="10"/>
  <c r="A342" i="10"/>
  <c r="O341" i="10"/>
  <c r="N341" i="10"/>
  <c r="M341" i="10"/>
  <c r="L341" i="10"/>
  <c r="K341" i="10"/>
  <c r="J341" i="10"/>
  <c r="I341" i="10"/>
  <c r="H341" i="10"/>
  <c r="G341" i="10"/>
  <c r="F341" i="10"/>
  <c r="E341" i="10"/>
  <c r="D341" i="10"/>
  <c r="C341" i="10"/>
  <c r="B341" i="10"/>
  <c r="A341" i="10"/>
  <c r="O340" i="10"/>
  <c r="N340" i="10"/>
  <c r="M340" i="10"/>
  <c r="L340" i="10"/>
  <c r="K340" i="10"/>
  <c r="J340" i="10"/>
  <c r="I340" i="10"/>
  <c r="H340" i="10"/>
  <c r="G340" i="10"/>
  <c r="F340" i="10"/>
  <c r="E340" i="10"/>
  <c r="D340" i="10"/>
  <c r="C340" i="10"/>
  <c r="B340" i="10"/>
  <c r="A340" i="10"/>
  <c r="O339" i="10"/>
  <c r="N339" i="10"/>
  <c r="M339" i="10"/>
  <c r="L339" i="10"/>
  <c r="K339" i="10"/>
  <c r="J339" i="10"/>
  <c r="I339" i="10"/>
  <c r="H339" i="10"/>
  <c r="G339" i="10"/>
  <c r="F339" i="10"/>
  <c r="E339" i="10"/>
  <c r="D339" i="10"/>
  <c r="C339" i="10"/>
  <c r="B339" i="10"/>
  <c r="A339" i="10"/>
  <c r="O338" i="10"/>
  <c r="N338" i="10"/>
  <c r="M338" i="10"/>
  <c r="L338" i="10"/>
  <c r="K338" i="10"/>
  <c r="J338" i="10"/>
  <c r="I338" i="10"/>
  <c r="H338" i="10"/>
  <c r="G338" i="10"/>
  <c r="F338" i="10"/>
  <c r="E338" i="10"/>
  <c r="D338" i="10"/>
  <c r="C338" i="10"/>
  <c r="B338" i="10"/>
  <c r="A338" i="10"/>
  <c r="O337" i="10"/>
  <c r="N337" i="10"/>
  <c r="M337" i="10"/>
  <c r="L337" i="10"/>
  <c r="K337" i="10"/>
  <c r="J337" i="10"/>
  <c r="I337" i="10"/>
  <c r="H337" i="10"/>
  <c r="G337" i="10"/>
  <c r="F337" i="10"/>
  <c r="E337" i="10"/>
  <c r="D337" i="10"/>
  <c r="C337" i="10"/>
  <c r="B337" i="10"/>
  <c r="A337" i="10"/>
  <c r="O336" i="10"/>
  <c r="N336" i="10"/>
  <c r="M336" i="10"/>
  <c r="L336" i="10"/>
  <c r="K336" i="10"/>
  <c r="J336" i="10"/>
  <c r="I336" i="10"/>
  <c r="H336" i="10"/>
  <c r="G336" i="10"/>
  <c r="F336" i="10"/>
  <c r="E336" i="10"/>
  <c r="D336" i="10"/>
  <c r="C336" i="10"/>
  <c r="B336" i="10"/>
  <c r="A336" i="10"/>
  <c r="O335" i="10"/>
  <c r="N335" i="10"/>
  <c r="M335" i="10"/>
  <c r="L335" i="10"/>
  <c r="K335" i="10"/>
  <c r="J335" i="10"/>
  <c r="I335" i="10"/>
  <c r="H335" i="10"/>
  <c r="G335" i="10"/>
  <c r="F335" i="10"/>
  <c r="E335" i="10"/>
  <c r="D335" i="10"/>
  <c r="C335" i="10"/>
  <c r="B335" i="10"/>
  <c r="A335" i="10"/>
  <c r="O334" i="10"/>
  <c r="N334" i="10"/>
  <c r="M334" i="10"/>
  <c r="L334" i="10"/>
  <c r="K334" i="10"/>
  <c r="J334" i="10"/>
  <c r="I334" i="10"/>
  <c r="H334" i="10"/>
  <c r="G334" i="10"/>
  <c r="F334" i="10"/>
  <c r="E334" i="10"/>
  <c r="D334" i="10"/>
  <c r="C334" i="10"/>
  <c r="B334" i="10"/>
  <c r="A334" i="10"/>
  <c r="O333" i="10"/>
  <c r="N333" i="10"/>
  <c r="M333" i="10"/>
  <c r="L333" i="10"/>
  <c r="K333" i="10"/>
  <c r="J333" i="10"/>
  <c r="I333" i="10"/>
  <c r="H333" i="10"/>
  <c r="G333" i="10"/>
  <c r="F333" i="10"/>
  <c r="E333" i="10"/>
  <c r="D333" i="10"/>
  <c r="C333" i="10"/>
  <c r="B333" i="10"/>
  <c r="A333" i="10"/>
  <c r="O332" i="10"/>
  <c r="N332" i="10"/>
  <c r="M332" i="10"/>
  <c r="L332" i="10"/>
  <c r="K332" i="10"/>
  <c r="J332" i="10"/>
  <c r="I332" i="10"/>
  <c r="H332" i="10"/>
  <c r="G332" i="10"/>
  <c r="F332" i="10"/>
  <c r="E332" i="10"/>
  <c r="D332" i="10"/>
  <c r="C332" i="10"/>
  <c r="B332" i="10"/>
  <c r="A332" i="10"/>
  <c r="O331" i="10"/>
  <c r="N331" i="10"/>
  <c r="M331" i="10"/>
  <c r="L331" i="10"/>
  <c r="K331" i="10"/>
  <c r="J331" i="10"/>
  <c r="I331" i="10"/>
  <c r="H331" i="10"/>
  <c r="G331" i="10"/>
  <c r="F331" i="10"/>
  <c r="E331" i="10"/>
  <c r="D331" i="10"/>
  <c r="C331" i="10"/>
  <c r="B331" i="10"/>
  <c r="A331" i="10"/>
  <c r="O330" i="10"/>
  <c r="N330" i="10"/>
  <c r="M330" i="10"/>
  <c r="L330" i="10"/>
  <c r="K330" i="10"/>
  <c r="J330" i="10"/>
  <c r="I330" i="10"/>
  <c r="H330" i="10"/>
  <c r="G330" i="10"/>
  <c r="F330" i="10"/>
  <c r="E330" i="10"/>
  <c r="D330" i="10"/>
  <c r="C330" i="10"/>
  <c r="B330" i="10"/>
  <c r="A330" i="10"/>
  <c r="O329" i="10"/>
  <c r="N329" i="10"/>
  <c r="M329" i="10"/>
  <c r="L329" i="10"/>
  <c r="K329" i="10"/>
  <c r="J329" i="10"/>
  <c r="I329" i="10"/>
  <c r="H329" i="10"/>
  <c r="G329" i="10"/>
  <c r="F329" i="10"/>
  <c r="E329" i="10"/>
  <c r="D329" i="10"/>
  <c r="C329" i="10"/>
  <c r="B329" i="10"/>
  <c r="A329" i="10"/>
  <c r="O328" i="10"/>
  <c r="N328" i="10"/>
  <c r="M328" i="10"/>
  <c r="L328" i="10"/>
  <c r="K328" i="10"/>
  <c r="J328" i="10"/>
  <c r="I328" i="10"/>
  <c r="H328" i="10"/>
  <c r="G328" i="10"/>
  <c r="F328" i="10"/>
  <c r="E328" i="10"/>
  <c r="D328" i="10"/>
  <c r="C328" i="10"/>
  <c r="B328" i="10"/>
  <c r="A328" i="10"/>
  <c r="O327" i="10"/>
  <c r="N327" i="10"/>
  <c r="M327" i="10"/>
  <c r="L327" i="10"/>
  <c r="K327" i="10"/>
  <c r="J327" i="10"/>
  <c r="I327" i="10"/>
  <c r="H327" i="10"/>
  <c r="G327" i="10"/>
  <c r="F327" i="10"/>
  <c r="E327" i="10"/>
  <c r="D327" i="10"/>
  <c r="C327" i="10"/>
  <c r="B327" i="10"/>
  <c r="A327" i="10"/>
  <c r="O326" i="10"/>
  <c r="N326" i="10"/>
  <c r="M326" i="10"/>
  <c r="L326" i="10"/>
  <c r="K326" i="10"/>
  <c r="J326" i="10"/>
  <c r="I326" i="10"/>
  <c r="H326" i="10"/>
  <c r="G326" i="10"/>
  <c r="F326" i="10"/>
  <c r="E326" i="10"/>
  <c r="D326" i="10"/>
  <c r="C326" i="10"/>
  <c r="B326" i="10"/>
  <c r="A326" i="10"/>
  <c r="O325" i="10"/>
  <c r="N325" i="10"/>
  <c r="M325" i="10"/>
  <c r="L325" i="10"/>
  <c r="K325" i="10"/>
  <c r="J325" i="10"/>
  <c r="I325" i="10"/>
  <c r="H325" i="10"/>
  <c r="G325" i="10"/>
  <c r="F325" i="10"/>
  <c r="E325" i="10"/>
  <c r="D325" i="10"/>
  <c r="C325" i="10"/>
  <c r="B325" i="10"/>
  <c r="A325" i="10"/>
  <c r="O324" i="10"/>
  <c r="N324" i="10"/>
  <c r="M324" i="10"/>
  <c r="L324" i="10"/>
  <c r="K324" i="10"/>
  <c r="J324" i="10"/>
  <c r="I324" i="10"/>
  <c r="H324" i="10"/>
  <c r="G324" i="10"/>
  <c r="F324" i="10"/>
  <c r="E324" i="10"/>
  <c r="D324" i="10"/>
  <c r="C324" i="10"/>
  <c r="B324" i="10"/>
  <c r="A324" i="10"/>
  <c r="O323" i="10"/>
  <c r="N323" i="10"/>
  <c r="M323" i="10"/>
  <c r="L323" i="10"/>
  <c r="K323" i="10"/>
  <c r="J323" i="10"/>
  <c r="I323" i="10"/>
  <c r="H323" i="10"/>
  <c r="G323" i="10"/>
  <c r="F323" i="10"/>
  <c r="E323" i="10"/>
  <c r="D323" i="10"/>
  <c r="C323" i="10"/>
  <c r="B323" i="10"/>
  <c r="A323" i="10"/>
  <c r="O322" i="10"/>
  <c r="N322" i="10"/>
  <c r="M322" i="10"/>
  <c r="L322" i="10"/>
  <c r="K322" i="10"/>
  <c r="J322" i="10"/>
  <c r="I322" i="10"/>
  <c r="H322" i="10"/>
  <c r="G322" i="10"/>
  <c r="F322" i="10"/>
  <c r="E322" i="10"/>
  <c r="D322" i="10"/>
  <c r="C322" i="10"/>
  <c r="B322" i="10"/>
  <c r="A322" i="10"/>
  <c r="O321" i="10"/>
  <c r="N321" i="10"/>
  <c r="M321" i="10"/>
  <c r="L321" i="10"/>
  <c r="K321" i="10"/>
  <c r="J321" i="10"/>
  <c r="I321" i="10"/>
  <c r="H321" i="10"/>
  <c r="G321" i="10"/>
  <c r="F321" i="10"/>
  <c r="E321" i="10"/>
  <c r="D321" i="10"/>
  <c r="C321" i="10"/>
  <c r="B321" i="10"/>
  <c r="A321" i="10"/>
  <c r="O320" i="10"/>
  <c r="N320" i="10"/>
  <c r="M320" i="10"/>
  <c r="L320" i="10"/>
  <c r="K320" i="10"/>
  <c r="J320" i="10"/>
  <c r="I320" i="10"/>
  <c r="H320" i="10"/>
  <c r="G320" i="10"/>
  <c r="F320" i="10"/>
  <c r="E320" i="10"/>
  <c r="D320" i="10"/>
  <c r="C320" i="10"/>
  <c r="B320" i="10"/>
  <c r="A320" i="10"/>
  <c r="O319" i="10"/>
  <c r="N319" i="10"/>
  <c r="M319" i="10"/>
  <c r="L319" i="10"/>
  <c r="K319" i="10"/>
  <c r="J319" i="10"/>
  <c r="I319" i="10"/>
  <c r="H319" i="10"/>
  <c r="G319" i="10"/>
  <c r="F319" i="10"/>
  <c r="E319" i="10"/>
  <c r="D319" i="10"/>
  <c r="C319" i="10"/>
  <c r="B319" i="10"/>
  <c r="A319" i="10"/>
  <c r="O318" i="10"/>
  <c r="N318" i="10"/>
  <c r="M318" i="10"/>
  <c r="L318" i="10"/>
  <c r="K318" i="10"/>
  <c r="J318" i="10"/>
  <c r="I318" i="10"/>
  <c r="H318" i="10"/>
  <c r="G318" i="10"/>
  <c r="F318" i="10"/>
  <c r="E318" i="10"/>
  <c r="D318" i="10"/>
  <c r="C318" i="10"/>
  <c r="B318" i="10"/>
  <c r="A318" i="10"/>
  <c r="O317" i="10"/>
  <c r="N317" i="10"/>
  <c r="M317" i="10"/>
  <c r="L317" i="10"/>
  <c r="K317" i="10"/>
  <c r="J317" i="10"/>
  <c r="I317" i="10"/>
  <c r="H317" i="10"/>
  <c r="G317" i="10"/>
  <c r="F317" i="10"/>
  <c r="E317" i="10"/>
  <c r="D317" i="10"/>
  <c r="C317" i="10"/>
  <c r="B317" i="10"/>
  <c r="A317" i="10"/>
  <c r="O316" i="10"/>
  <c r="N316" i="10"/>
  <c r="M316" i="10"/>
  <c r="L316" i="10"/>
  <c r="K316" i="10"/>
  <c r="J316" i="10"/>
  <c r="I316" i="10"/>
  <c r="H316" i="10"/>
  <c r="G316" i="10"/>
  <c r="F316" i="10"/>
  <c r="E316" i="10"/>
  <c r="D316" i="10"/>
  <c r="C316" i="10"/>
  <c r="B316" i="10"/>
  <c r="A316" i="10"/>
  <c r="O315" i="10"/>
  <c r="N315" i="10"/>
  <c r="M315" i="10"/>
  <c r="L315" i="10"/>
  <c r="K315" i="10"/>
  <c r="J315" i="10"/>
  <c r="I315" i="10"/>
  <c r="H315" i="10"/>
  <c r="G315" i="10"/>
  <c r="F315" i="10"/>
  <c r="E315" i="10"/>
  <c r="D315" i="10"/>
  <c r="C315" i="10"/>
  <c r="B315" i="10"/>
  <c r="A315" i="10"/>
  <c r="O314" i="10"/>
  <c r="N314" i="10"/>
  <c r="M314" i="10"/>
  <c r="L314" i="10"/>
  <c r="K314" i="10"/>
  <c r="J314" i="10"/>
  <c r="I314" i="10"/>
  <c r="H314" i="10"/>
  <c r="G314" i="10"/>
  <c r="F314" i="10"/>
  <c r="E314" i="10"/>
  <c r="D314" i="10"/>
  <c r="C314" i="10"/>
  <c r="B314" i="10"/>
  <c r="A314" i="10"/>
  <c r="O313" i="10"/>
  <c r="N313" i="10"/>
  <c r="M313" i="10"/>
  <c r="L313" i="10"/>
  <c r="K313" i="10"/>
  <c r="J313" i="10"/>
  <c r="I313" i="10"/>
  <c r="H313" i="10"/>
  <c r="G313" i="10"/>
  <c r="F313" i="10"/>
  <c r="E313" i="10"/>
  <c r="D313" i="10"/>
  <c r="C313" i="10"/>
  <c r="B313" i="10"/>
  <c r="A313" i="10"/>
  <c r="O312" i="10"/>
  <c r="N312" i="10"/>
  <c r="M312" i="10"/>
  <c r="L312" i="10"/>
  <c r="K312" i="10"/>
  <c r="J312" i="10"/>
  <c r="I312" i="10"/>
  <c r="H312" i="10"/>
  <c r="G312" i="10"/>
  <c r="F312" i="10"/>
  <c r="E312" i="10"/>
  <c r="D312" i="10"/>
  <c r="C312" i="10"/>
  <c r="B312" i="10"/>
  <c r="A312" i="10"/>
  <c r="O311" i="10"/>
  <c r="N311" i="10"/>
  <c r="M311" i="10"/>
  <c r="L311" i="10"/>
  <c r="K311" i="10"/>
  <c r="J311" i="10"/>
  <c r="I311" i="10"/>
  <c r="H311" i="10"/>
  <c r="G311" i="10"/>
  <c r="F311" i="10"/>
  <c r="E311" i="10"/>
  <c r="D311" i="10"/>
  <c r="C311" i="10"/>
  <c r="B311" i="10"/>
  <c r="A311" i="10"/>
  <c r="O310" i="10"/>
  <c r="N310" i="10"/>
  <c r="M310" i="10"/>
  <c r="L310" i="10"/>
  <c r="K310" i="10"/>
  <c r="J310" i="10"/>
  <c r="I310" i="10"/>
  <c r="H310" i="10"/>
  <c r="G310" i="10"/>
  <c r="F310" i="10"/>
  <c r="E310" i="10"/>
  <c r="D310" i="10"/>
  <c r="C310" i="10"/>
  <c r="B310" i="10"/>
  <c r="A310" i="10"/>
  <c r="O309" i="10"/>
  <c r="N309" i="10"/>
  <c r="M309" i="10"/>
  <c r="L309" i="10"/>
  <c r="K309" i="10"/>
  <c r="J309" i="10"/>
  <c r="I309" i="10"/>
  <c r="H309" i="10"/>
  <c r="G309" i="10"/>
  <c r="F309" i="10"/>
  <c r="E309" i="10"/>
  <c r="D309" i="10"/>
  <c r="C309" i="10"/>
  <c r="B309" i="10"/>
  <c r="A309" i="10"/>
  <c r="O308" i="10"/>
  <c r="N308" i="10"/>
  <c r="M308" i="10"/>
  <c r="L308" i="10"/>
  <c r="K308" i="10"/>
  <c r="J308" i="10"/>
  <c r="I308" i="10"/>
  <c r="H308" i="10"/>
  <c r="G308" i="10"/>
  <c r="F308" i="10"/>
  <c r="E308" i="10"/>
  <c r="D308" i="10"/>
  <c r="C308" i="10"/>
  <c r="B308" i="10"/>
  <c r="A308" i="10"/>
  <c r="O307" i="10"/>
  <c r="N307" i="10"/>
  <c r="M307" i="10"/>
  <c r="L307" i="10"/>
  <c r="K307" i="10"/>
  <c r="J307" i="10"/>
  <c r="I307" i="10"/>
  <c r="H307" i="10"/>
  <c r="G307" i="10"/>
  <c r="F307" i="10"/>
  <c r="E307" i="10"/>
  <c r="D307" i="10"/>
  <c r="C307" i="10"/>
  <c r="B307" i="10"/>
  <c r="A307" i="10"/>
  <c r="O306" i="10"/>
  <c r="N306" i="10"/>
  <c r="M306" i="10"/>
  <c r="L306" i="10"/>
  <c r="K306" i="10"/>
  <c r="J306" i="10"/>
  <c r="I306" i="10"/>
  <c r="H306" i="10"/>
  <c r="G306" i="10"/>
  <c r="F306" i="10"/>
  <c r="E306" i="10"/>
  <c r="D306" i="10"/>
  <c r="C306" i="10"/>
  <c r="B306" i="10"/>
  <c r="A306" i="10"/>
  <c r="O305" i="10"/>
  <c r="N305" i="10"/>
  <c r="M305" i="10"/>
  <c r="L305" i="10"/>
  <c r="K305" i="10"/>
  <c r="J305" i="10"/>
  <c r="I305" i="10"/>
  <c r="H305" i="10"/>
  <c r="G305" i="10"/>
  <c r="F305" i="10"/>
  <c r="E305" i="10"/>
  <c r="D305" i="10"/>
  <c r="C305" i="10"/>
  <c r="B305" i="10"/>
  <c r="A305" i="10"/>
  <c r="O304" i="10"/>
  <c r="N304" i="10"/>
  <c r="M304" i="10"/>
  <c r="L304" i="10"/>
  <c r="K304" i="10"/>
  <c r="J304" i="10"/>
  <c r="I304" i="10"/>
  <c r="H304" i="10"/>
  <c r="G304" i="10"/>
  <c r="F304" i="10"/>
  <c r="E304" i="10"/>
  <c r="D304" i="10"/>
  <c r="C304" i="10"/>
  <c r="B304" i="10"/>
  <c r="A304" i="10"/>
  <c r="O303" i="10"/>
  <c r="N303" i="10"/>
  <c r="M303" i="10"/>
  <c r="L303" i="10"/>
  <c r="K303" i="10"/>
  <c r="J303" i="10"/>
  <c r="I303" i="10"/>
  <c r="H303" i="10"/>
  <c r="G303" i="10"/>
  <c r="F303" i="10"/>
  <c r="E303" i="10"/>
  <c r="D303" i="10"/>
  <c r="C303" i="10"/>
  <c r="B303" i="10"/>
  <c r="A303" i="10"/>
  <c r="O302" i="10"/>
  <c r="N302" i="10"/>
  <c r="M302" i="10"/>
  <c r="L302" i="10"/>
  <c r="K302" i="10"/>
  <c r="J302" i="10"/>
  <c r="I302" i="10"/>
  <c r="H302" i="10"/>
  <c r="G302" i="10"/>
  <c r="F302" i="10"/>
  <c r="E302" i="10"/>
  <c r="D302" i="10"/>
  <c r="C302" i="10"/>
  <c r="B302" i="10"/>
  <c r="A302" i="10"/>
  <c r="O301" i="10"/>
  <c r="N301" i="10"/>
  <c r="M301" i="10"/>
  <c r="L301" i="10"/>
  <c r="K301" i="10"/>
  <c r="J301" i="10"/>
  <c r="I301" i="10"/>
  <c r="H301" i="10"/>
  <c r="G301" i="10"/>
  <c r="F301" i="10"/>
  <c r="E301" i="10"/>
  <c r="D301" i="10"/>
  <c r="C301" i="10"/>
  <c r="B301" i="10"/>
  <c r="A301" i="10"/>
  <c r="O300" i="10"/>
  <c r="N300" i="10"/>
  <c r="M300" i="10"/>
  <c r="L300" i="10"/>
  <c r="K300" i="10"/>
  <c r="J300" i="10"/>
  <c r="I300" i="10"/>
  <c r="H300" i="10"/>
  <c r="G300" i="10"/>
  <c r="F300" i="10"/>
  <c r="E300" i="10"/>
  <c r="D300" i="10"/>
  <c r="C300" i="10"/>
  <c r="B300" i="10"/>
  <c r="A300" i="10"/>
  <c r="O299" i="10"/>
  <c r="N299" i="10"/>
  <c r="M299" i="10"/>
  <c r="L299" i="10"/>
  <c r="K299" i="10"/>
  <c r="J299" i="10"/>
  <c r="I299" i="10"/>
  <c r="H299" i="10"/>
  <c r="G299" i="10"/>
  <c r="F299" i="10"/>
  <c r="E299" i="10"/>
  <c r="D299" i="10"/>
  <c r="C299" i="10"/>
  <c r="B299" i="10"/>
  <c r="A299" i="10"/>
  <c r="O298" i="10"/>
  <c r="N298" i="10"/>
  <c r="M298" i="10"/>
  <c r="L298" i="10"/>
  <c r="K298" i="10"/>
  <c r="J298" i="10"/>
  <c r="I298" i="10"/>
  <c r="H298" i="10"/>
  <c r="G298" i="10"/>
  <c r="F298" i="10"/>
  <c r="E298" i="10"/>
  <c r="D298" i="10"/>
  <c r="C298" i="10"/>
  <c r="B298" i="10"/>
  <c r="A298" i="10"/>
  <c r="O297" i="10"/>
  <c r="N297" i="10"/>
  <c r="M297" i="10"/>
  <c r="L297" i="10"/>
  <c r="K297" i="10"/>
  <c r="J297" i="10"/>
  <c r="I297" i="10"/>
  <c r="H297" i="10"/>
  <c r="G297" i="10"/>
  <c r="F297" i="10"/>
  <c r="E297" i="10"/>
  <c r="D297" i="10"/>
  <c r="C297" i="10"/>
  <c r="B297" i="10"/>
  <c r="A297" i="10"/>
  <c r="O296" i="10"/>
  <c r="N296" i="10"/>
  <c r="M296" i="10"/>
  <c r="L296" i="10"/>
  <c r="K296" i="10"/>
  <c r="J296" i="10"/>
  <c r="I296" i="10"/>
  <c r="H296" i="10"/>
  <c r="G296" i="10"/>
  <c r="F296" i="10"/>
  <c r="E296" i="10"/>
  <c r="D296" i="10"/>
  <c r="C296" i="10"/>
  <c r="B296" i="10"/>
  <c r="A296" i="10"/>
  <c r="O295" i="10"/>
  <c r="N295" i="10"/>
  <c r="M295" i="10"/>
  <c r="L295" i="10"/>
  <c r="K295" i="10"/>
  <c r="J295" i="10"/>
  <c r="I295" i="10"/>
  <c r="H295" i="10"/>
  <c r="G295" i="10"/>
  <c r="F295" i="10"/>
  <c r="E295" i="10"/>
  <c r="D295" i="10"/>
  <c r="C295" i="10"/>
  <c r="B295" i="10"/>
  <c r="A295" i="10"/>
  <c r="O294" i="10"/>
  <c r="N294" i="10"/>
  <c r="M294" i="10"/>
  <c r="L294" i="10"/>
  <c r="K294" i="10"/>
  <c r="J294" i="10"/>
  <c r="I294" i="10"/>
  <c r="H294" i="10"/>
  <c r="G294" i="10"/>
  <c r="F294" i="10"/>
  <c r="E294" i="10"/>
  <c r="D294" i="10"/>
  <c r="C294" i="10"/>
  <c r="B294" i="10"/>
  <c r="A294" i="10"/>
  <c r="O293" i="10"/>
  <c r="N293" i="10"/>
  <c r="M293" i="10"/>
  <c r="L293" i="10"/>
  <c r="K293" i="10"/>
  <c r="J293" i="10"/>
  <c r="I293" i="10"/>
  <c r="H293" i="10"/>
  <c r="G293" i="10"/>
  <c r="F293" i="10"/>
  <c r="E293" i="10"/>
  <c r="D293" i="10"/>
  <c r="C293" i="10"/>
  <c r="B293" i="10"/>
  <c r="A293" i="10"/>
  <c r="O292" i="10"/>
  <c r="N292" i="10"/>
  <c r="M292" i="10"/>
  <c r="L292" i="10"/>
  <c r="K292" i="10"/>
  <c r="J292" i="10"/>
  <c r="I292" i="10"/>
  <c r="H292" i="10"/>
  <c r="G292" i="10"/>
  <c r="F292" i="10"/>
  <c r="E292" i="10"/>
  <c r="D292" i="10"/>
  <c r="C292" i="10"/>
  <c r="B292" i="10"/>
  <c r="A292" i="10"/>
  <c r="O291" i="10"/>
  <c r="N291" i="10"/>
  <c r="M291" i="10"/>
  <c r="L291" i="10"/>
  <c r="K291" i="10"/>
  <c r="J291" i="10"/>
  <c r="I291" i="10"/>
  <c r="H291" i="10"/>
  <c r="G291" i="10"/>
  <c r="F291" i="10"/>
  <c r="E291" i="10"/>
  <c r="D291" i="10"/>
  <c r="C291" i="10"/>
  <c r="B291" i="10"/>
  <c r="A291" i="10"/>
  <c r="O290" i="10"/>
  <c r="N290" i="10"/>
  <c r="M290" i="10"/>
  <c r="L290" i="10"/>
  <c r="K290" i="10"/>
  <c r="J290" i="10"/>
  <c r="I290" i="10"/>
  <c r="H290" i="10"/>
  <c r="G290" i="10"/>
  <c r="F290" i="10"/>
  <c r="E290" i="10"/>
  <c r="D290" i="10"/>
  <c r="C290" i="10"/>
  <c r="B290" i="10"/>
  <c r="A290" i="10"/>
  <c r="O289" i="10"/>
  <c r="N289" i="10"/>
  <c r="M289" i="10"/>
  <c r="L289" i="10"/>
  <c r="K289" i="10"/>
  <c r="J289" i="10"/>
  <c r="I289" i="10"/>
  <c r="H289" i="10"/>
  <c r="G289" i="10"/>
  <c r="F289" i="10"/>
  <c r="E289" i="10"/>
  <c r="D289" i="10"/>
  <c r="C289" i="10"/>
  <c r="B289" i="10"/>
  <c r="A289" i="10"/>
  <c r="O288" i="10"/>
  <c r="N288" i="10"/>
  <c r="M288" i="10"/>
  <c r="L288" i="10"/>
  <c r="K288" i="10"/>
  <c r="J288" i="10"/>
  <c r="I288" i="10"/>
  <c r="H288" i="10"/>
  <c r="G288" i="10"/>
  <c r="F288" i="10"/>
  <c r="E288" i="10"/>
  <c r="D288" i="10"/>
  <c r="C288" i="10"/>
  <c r="B288" i="10"/>
  <c r="A288" i="10"/>
  <c r="O287" i="10"/>
  <c r="N287" i="10"/>
  <c r="M287" i="10"/>
  <c r="L287" i="10"/>
  <c r="K287" i="10"/>
  <c r="J287" i="10"/>
  <c r="I287" i="10"/>
  <c r="H287" i="10"/>
  <c r="G287" i="10"/>
  <c r="F287" i="10"/>
  <c r="E287" i="10"/>
  <c r="D287" i="10"/>
  <c r="C287" i="10"/>
  <c r="B287" i="10"/>
  <c r="A287" i="10"/>
  <c r="O286" i="10"/>
  <c r="N286" i="10"/>
  <c r="M286" i="10"/>
  <c r="L286" i="10"/>
  <c r="K286" i="10"/>
  <c r="J286" i="10"/>
  <c r="I286" i="10"/>
  <c r="H286" i="10"/>
  <c r="G286" i="10"/>
  <c r="F286" i="10"/>
  <c r="E286" i="10"/>
  <c r="D286" i="10"/>
  <c r="C286" i="10"/>
  <c r="B286" i="10"/>
  <c r="A286" i="10"/>
  <c r="O285" i="10"/>
  <c r="N285" i="10"/>
  <c r="M285" i="10"/>
  <c r="L285" i="10"/>
  <c r="K285" i="10"/>
  <c r="J285" i="10"/>
  <c r="I285" i="10"/>
  <c r="H285" i="10"/>
  <c r="G285" i="10"/>
  <c r="F285" i="10"/>
  <c r="E285" i="10"/>
  <c r="D285" i="10"/>
  <c r="C285" i="10"/>
  <c r="B285" i="10"/>
  <c r="A285" i="10"/>
  <c r="O284" i="10"/>
  <c r="N284" i="10"/>
  <c r="M284" i="10"/>
  <c r="L284" i="10"/>
  <c r="K284" i="10"/>
  <c r="J284" i="10"/>
  <c r="I284" i="10"/>
  <c r="H284" i="10"/>
  <c r="G284" i="10"/>
  <c r="F284" i="10"/>
  <c r="E284" i="10"/>
  <c r="D284" i="10"/>
  <c r="C284" i="10"/>
  <c r="B284" i="10"/>
  <c r="A284" i="10"/>
  <c r="O283" i="10"/>
  <c r="N283" i="10"/>
  <c r="M283" i="10"/>
  <c r="L283" i="10"/>
  <c r="K283" i="10"/>
  <c r="J283" i="10"/>
  <c r="I283" i="10"/>
  <c r="H283" i="10"/>
  <c r="G283" i="10"/>
  <c r="F283" i="10"/>
  <c r="E283" i="10"/>
  <c r="D283" i="10"/>
  <c r="C283" i="10"/>
  <c r="B283" i="10"/>
  <c r="A283" i="10"/>
  <c r="O282" i="10"/>
  <c r="N282" i="10"/>
  <c r="M282" i="10"/>
  <c r="L282" i="10"/>
  <c r="K282" i="10"/>
  <c r="J282" i="10"/>
  <c r="I282" i="10"/>
  <c r="H282" i="10"/>
  <c r="G282" i="10"/>
  <c r="F282" i="10"/>
  <c r="E282" i="10"/>
  <c r="D282" i="10"/>
  <c r="C282" i="10"/>
  <c r="B282" i="10"/>
  <c r="A282" i="10"/>
  <c r="O281" i="10"/>
  <c r="N281" i="10"/>
  <c r="M281" i="10"/>
  <c r="L281" i="10"/>
  <c r="K281" i="10"/>
  <c r="J281" i="10"/>
  <c r="I281" i="10"/>
  <c r="H281" i="10"/>
  <c r="G281" i="10"/>
  <c r="F281" i="10"/>
  <c r="E281" i="10"/>
  <c r="D281" i="10"/>
  <c r="C281" i="10"/>
  <c r="B281" i="10"/>
  <c r="A281" i="10"/>
  <c r="O280" i="10"/>
  <c r="N280" i="10"/>
  <c r="M280" i="10"/>
  <c r="L280" i="10"/>
  <c r="K280" i="10"/>
  <c r="J280" i="10"/>
  <c r="I280" i="10"/>
  <c r="H280" i="10"/>
  <c r="G280" i="10"/>
  <c r="F280" i="10"/>
  <c r="E280" i="10"/>
  <c r="D280" i="10"/>
  <c r="C280" i="10"/>
  <c r="B280" i="10"/>
  <c r="A280" i="10"/>
  <c r="O279" i="10"/>
  <c r="N279" i="10"/>
  <c r="M279" i="10"/>
  <c r="L279" i="10"/>
  <c r="K279" i="10"/>
  <c r="J279" i="10"/>
  <c r="I279" i="10"/>
  <c r="H279" i="10"/>
  <c r="G279" i="10"/>
  <c r="F279" i="10"/>
  <c r="E279" i="10"/>
  <c r="D279" i="10"/>
  <c r="C279" i="10"/>
  <c r="B279" i="10"/>
  <c r="A279" i="10"/>
  <c r="O278" i="10"/>
  <c r="N278" i="10"/>
  <c r="M278" i="10"/>
  <c r="L278" i="10"/>
  <c r="K278" i="10"/>
  <c r="J278" i="10"/>
  <c r="I278" i="10"/>
  <c r="H278" i="10"/>
  <c r="G278" i="10"/>
  <c r="F278" i="10"/>
  <c r="E278" i="10"/>
  <c r="D278" i="10"/>
  <c r="C278" i="10"/>
  <c r="B278" i="10"/>
  <c r="A278" i="10"/>
  <c r="O277" i="10"/>
  <c r="N277" i="10"/>
  <c r="M277" i="10"/>
  <c r="L277" i="10"/>
  <c r="K277" i="10"/>
  <c r="J277" i="10"/>
  <c r="I277" i="10"/>
  <c r="H277" i="10"/>
  <c r="G277" i="10"/>
  <c r="F277" i="10"/>
  <c r="E277" i="10"/>
  <c r="D277" i="10"/>
  <c r="C277" i="10"/>
  <c r="B277" i="10"/>
  <c r="A277" i="10"/>
  <c r="O276" i="10"/>
  <c r="N276" i="10"/>
  <c r="M276" i="10"/>
  <c r="L276" i="10"/>
  <c r="K276" i="10"/>
  <c r="J276" i="10"/>
  <c r="I276" i="10"/>
  <c r="H276" i="10"/>
  <c r="G276" i="10"/>
  <c r="F276" i="10"/>
  <c r="E276" i="10"/>
  <c r="D276" i="10"/>
  <c r="C276" i="10"/>
  <c r="B276" i="10"/>
  <c r="A276" i="10"/>
  <c r="O275" i="10"/>
  <c r="N275" i="10"/>
  <c r="M275" i="10"/>
  <c r="L275" i="10"/>
  <c r="K275" i="10"/>
  <c r="J275" i="10"/>
  <c r="I275" i="10"/>
  <c r="H275" i="10"/>
  <c r="G275" i="10"/>
  <c r="F275" i="10"/>
  <c r="E275" i="10"/>
  <c r="D275" i="10"/>
  <c r="C275" i="10"/>
  <c r="B275" i="10"/>
  <c r="A275" i="10"/>
  <c r="O274" i="10"/>
  <c r="N274" i="10"/>
  <c r="M274" i="10"/>
  <c r="L274" i="10"/>
  <c r="K274" i="10"/>
  <c r="J274" i="10"/>
  <c r="I274" i="10"/>
  <c r="H274" i="10"/>
  <c r="G274" i="10"/>
  <c r="F274" i="10"/>
  <c r="E274" i="10"/>
  <c r="D274" i="10"/>
  <c r="C274" i="10"/>
  <c r="B274" i="10"/>
  <c r="A274" i="10"/>
  <c r="O273" i="10"/>
  <c r="N273" i="10"/>
  <c r="M273" i="10"/>
  <c r="L273" i="10"/>
  <c r="K273" i="10"/>
  <c r="J273" i="10"/>
  <c r="I273" i="10"/>
  <c r="H273" i="10"/>
  <c r="G273" i="10"/>
  <c r="F273" i="10"/>
  <c r="E273" i="10"/>
  <c r="D273" i="10"/>
  <c r="C273" i="10"/>
  <c r="B273" i="10"/>
  <c r="A273" i="10"/>
  <c r="O272" i="10"/>
  <c r="N272" i="10"/>
  <c r="M272" i="10"/>
  <c r="L272" i="10"/>
  <c r="K272" i="10"/>
  <c r="J272" i="10"/>
  <c r="I272" i="10"/>
  <c r="H272" i="10"/>
  <c r="G272" i="10"/>
  <c r="F272" i="10"/>
  <c r="E272" i="10"/>
  <c r="D272" i="10"/>
  <c r="C272" i="10"/>
  <c r="B272" i="10"/>
  <c r="A272" i="10"/>
  <c r="O271" i="10"/>
  <c r="N271" i="10"/>
  <c r="M271" i="10"/>
  <c r="L271" i="10"/>
  <c r="K271" i="10"/>
  <c r="J271" i="10"/>
  <c r="I271" i="10"/>
  <c r="H271" i="10"/>
  <c r="G271" i="10"/>
  <c r="F271" i="10"/>
  <c r="E271" i="10"/>
  <c r="D271" i="10"/>
  <c r="C271" i="10"/>
  <c r="B271" i="10"/>
  <c r="A271" i="10"/>
  <c r="O270" i="10"/>
  <c r="N270" i="10"/>
  <c r="M270" i="10"/>
  <c r="L270" i="10"/>
  <c r="K270" i="10"/>
  <c r="J270" i="10"/>
  <c r="I270" i="10"/>
  <c r="H270" i="10"/>
  <c r="G270" i="10"/>
  <c r="F270" i="10"/>
  <c r="E270" i="10"/>
  <c r="D270" i="10"/>
  <c r="C270" i="10"/>
  <c r="B270" i="10"/>
  <c r="A270" i="10"/>
  <c r="O269" i="10"/>
  <c r="N269" i="10"/>
  <c r="M269" i="10"/>
  <c r="L269" i="10"/>
  <c r="K269" i="10"/>
  <c r="J269" i="10"/>
  <c r="I269" i="10"/>
  <c r="H269" i="10"/>
  <c r="G269" i="10"/>
  <c r="F269" i="10"/>
  <c r="E269" i="10"/>
  <c r="D269" i="10"/>
  <c r="C269" i="10"/>
  <c r="B269" i="10"/>
  <c r="A269" i="10"/>
  <c r="O268" i="10"/>
  <c r="N268" i="10"/>
  <c r="M268" i="10"/>
  <c r="L268" i="10"/>
  <c r="K268" i="10"/>
  <c r="J268" i="10"/>
  <c r="I268" i="10"/>
  <c r="H268" i="10"/>
  <c r="G268" i="10"/>
  <c r="F268" i="10"/>
  <c r="E268" i="10"/>
  <c r="D268" i="10"/>
  <c r="C268" i="10"/>
  <c r="B268" i="10"/>
  <c r="A268" i="10"/>
  <c r="O267" i="10"/>
  <c r="N267" i="10"/>
  <c r="M267" i="10"/>
  <c r="L267" i="10"/>
  <c r="K267" i="10"/>
  <c r="J267" i="10"/>
  <c r="I267" i="10"/>
  <c r="H267" i="10"/>
  <c r="G267" i="10"/>
  <c r="F267" i="10"/>
  <c r="E267" i="10"/>
  <c r="D267" i="10"/>
  <c r="C267" i="10"/>
  <c r="B267" i="10"/>
  <c r="A267" i="10"/>
  <c r="O266" i="10"/>
  <c r="N266" i="10"/>
  <c r="M266" i="10"/>
  <c r="L266" i="10"/>
  <c r="K266" i="10"/>
  <c r="J266" i="10"/>
  <c r="I266" i="10"/>
  <c r="H266" i="10"/>
  <c r="G266" i="10"/>
  <c r="F266" i="10"/>
  <c r="E266" i="10"/>
  <c r="D266" i="10"/>
  <c r="C266" i="10"/>
  <c r="B266" i="10"/>
  <c r="A266" i="10"/>
  <c r="O265" i="10"/>
  <c r="N265" i="10"/>
  <c r="M265" i="10"/>
  <c r="L265" i="10"/>
  <c r="K265" i="10"/>
  <c r="J265" i="10"/>
  <c r="I265" i="10"/>
  <c r="H265" i="10"/>
  <c r="G265" i="10"/>
  <c r="F265" i="10"/>
  <c r="E265" i="10"/>
  <c r="D265" i="10"/>
  <c r="C265" i="10"/>
  <c r="B265" i="10"/>
  <c r="A265" i="10"/>
  <c r="O264" i="10"/>
  <c r="N264" i="10"/>
  <c r="M264" i="10"/>
  <c r="L264" i="10"/>
  <c r="K264" i="10"/>
  <c r="J264" i="10"/>
  <c r="I264" i="10"/>
  <c r="H264" i="10"/>
  <c r="G264" i="10"/>
  <c r="F264" i="10"/>
  <c r="E264" i="10"/>
  <c r="D264" i="10"/>
  <c r="C264" i="10"/>
  <c r="B264" i="10"/>
  <c r="A264" i="10"/>
  <c r="O263" i="10"/>
  <c r="N263" i="10"/>
  <c r="M263" i="10"/>
  <c r="L263" i="10"/>
  <c r="K263" i="10"/>
  <c r="J263" i="10"/>
  <c r="I263" i="10"/>
  <c r="H263" i="10"/>
  <c r="G263" i="10"/>
  <c r="F263" i="10"/>
  <c r="E263" i="10"/>
  <c r="D263" i="10"/>
  <c r="C263" i="10"/>
  <c r="B263" i="10"/>
  <c r="A263" i="10"/>
  <c r="O262" i="10"/>
  <c r="N262" i="10"/>
  <c r="M262" i="10"/>
  <c r="L262" i="10"/>
  <c r="K262" i="10"/>
  <c r="J262" i="10"/>
  <c r="I262" i="10"/>
  <c r="H262" i="10"/>
  <c r="G262" i="10"/>
  <c r="F262" i="10"/>
  <c r="E262" i="10"/>
  <c r="D262" i="10"/>
  <c r="C262" i="10"/>
  <c r="B262" i="10"/>
  <c r="A262" i="10"/>
  <c r="O261" i="10"/>
  <c r="N261" i="10"/>
  <c r="M261" i="10"/>
  <c r="L261" i="10"/>
  <c r="K261" i="10"/>
  <c r="J261" i="10"/>
  <c r="I261" i="10"/>
  <c r="H261" i="10"/>
  <c r="G261" i="10"/>
  <c r="F261" i="10"/>
  <c r="E261" i="10"/>
  <c r="D261" i="10"/>
  <c r="C261" i="10"/>
  <c r="B261" i="10"/>
  <c r="A261" i="10"/>
  <c r="O260" i="10"/>
  <c r="N260" i="10"/>
  <c r="M260" i="10"/>
  <c r="L260" i="10"/>
  <c r="K260" i="10"/>
  <c r="J260" i="10"/>
  <c r="I260" i="10"/>
  <c r="H260" i="10"/>
  <c r="G260" i="10"/>
  <c r="F260" i="10"/>
  <c r="E260" i="10"/>
  <c r="D260" i="10"/>
  <c r="C260" i="10"/>
  <c r="B260" i="10"/>
  <c r="A260" i="10"/>
  <c r="O259" i="10"/>
  <c r="N259" i="10"/>
  <c r="M259" i="10"/>
  <c r="L259" i="10"/>
  <c r="K259" i="10"/>
  <c r="J259" i="10"/>
  <c r="I259" i="10"/>
  <c r="H259" i="10"/>
  <c r="G259" i="10"/>
  <c r="F259" i="10"/>
  <c r="E259" i="10"/>
  <c r="D259" i="10"/>
  <c r="C259" i="10"/>
  <c r="B259" i="10"/>
  <c r="A259" i="10"/>
  <c r="O258" i="10"/>
  <c r="N258" i="10"/>
  <c r="M258" i="10"/>
  <c r="L258" i="10"/>
  <c r="K258" i="10"/>
  <c r="J258" i="10"/>
  <c r="I258" i="10"/>
  <c r="H258" i="10"/>
  <c r="G258" i="10"/>
  <c r="F258" i="10"/>
  <c r="E258" i="10"/>
  <c r="D258" i="10"/>
  <c r="C258" i="10"/>
  <c r="B258" i="10"/>
  <c r="A258" i="10"/>
  <c r="O257" i="10"/>
  <c r="N257" i="10"/>
  <c r="M257" i="10"/>
  <c r="L257" i="10"/>
  <c r="K257" i="10"/>
  <c r="J257" i="10"/>
  <c r="I257" i="10"/>
  <c r="H257" i="10"/>
  <c r="G257" i="10"/>
  <c r="F257" i="10"/>
  <c r="E257" i="10"/>
  <c r="D257" i="10"/>
  <c r="C257" i="10"/>
  <c r="B257" i="10"/>
  <c r="A257" i="10"/>
  <c r="O256" i="10"/>
  <c r="N256" i="10"/>
  <c r="M256" i="10"/>
  <c r="L256" i="10"/>
  <c r="K256" i="10"/>
  <c r="J256" i="10"/>
  <c r="I256" i="10"/>
  <c r="H256" i="10"/>
  <c r="G256" i="10"/>
  <c r="F256" i="10"/>
  <c r="E256" i="10"/>
  <c r="D256" i="10"/>
  <c r="C256" i="10"/>
  <c r="B256" i="10"/>
  <c r="A256" i="10"/>
  <c r="O255" i="10"/>
  <c r="N255" i="10"/>
  <c r="M255" i="10"/>
  <c r="L255" i="10"/>
  <c r="K255" i="10"/>
  <c r="J255" i="10"/>
  <c r="I255" i="10"/>
  <c r="H255" i="10"/>
  <c r="G255" i="10"/>
  <c r="F255" i="10"/>
  <c r="E255" i="10"/>
  <c r="D255" i="10"/>
  <c r="C255" i="10"/>
  <c r="B255" i="10"/>
  <c r="A255" i="10"/>
  <c r="O254" i="10"/>
  <c r="N254" i="10"/>
  <c r="M254" i="10"/>
  <c r="L254" i="10"/>
  <c r="K254" i="10"/>
  <c r="J254" i="10"/>
  <c r="I254" i="10"/>
  <c r="H254" i="10"/>
  <c r="G254" i="10"/>
  <c r="F254" i="10"/>
  <c r="E254" i="10"/>
  <c r="D254" i="10"/>
  <c r="C254" i="10"/>
  <c r="B254" i="10"/>
  <c r="A254" i="10"/>
  <c r="O253" i="10"/>
  <c r="N253" i="10"/>
  <c r="M253" i="10"/>
  <c r="L253" i="10"/>
  <c r="K253" i="10"/>
  <c r="J253" i="10"/>
  <c r="I253" i="10"/>
  <c r="H253" i="10"/>
  <c r="G253" i="10"/>
  <c r="F253" i="10"/>
  <c r="E253" i="10"/>
  <c r="D253" i="10"/>
  <c r="C253" i="10"/>
  <c r="B253" i="10"/>
  <c r="A253" i="10"/>
  <c r="O252" i="10"/>
  <c r="N252" i="10"/>
  <c r="M252" i="10"/>
  <c r="L252" i="10"/>
  <c r="K252" i="10"/>
  <c r="J252" i="10"/>
  <c r="I252" i="10"/>
  <c r="H252" i="10"/>
  <c r="G252" i="10"/>
  <c r="F252" i="10"/>
  <c r="E252" i="10"/>
  <c r="D252" i="10"/>
  <c r="C252" i="10"/>
  <c r="B252" i="10"/>
  <c r="A252" i="10"/>
  <c r="O251" i="10"/>
  <c r="N251" i="10"/>
  <c r="M251" i="10"/>
  <c r="L251" i="10"/>
  <c r="K251" i="10"/>
  <c r="J251" i="10"/>
  <c r="I251" i="10"/>
  <c r="H251" i="10"/>
  <c r="G251" i="10"/>
  <c r="F251" i="10"/>
  <c r="E251" i="10"/>
  <c r="D251" i="10"/>
  <c r="C251" i="10"/>
  <c r="B251" i="10"/>
  <c r="A251" i="10"/>
  <c r="O250" i="10"/>
  <c r="N250" i="10"/>
  <c r="M250" i="10"/>
  <c r="L250" i="10"/>
  <c r="K250" i="10"/>
  <c r="J250" i="10"/>
  <c r="I250" i="10"/>
  <c r="H250" i="10"/>
  <c r="G250" i="10"/>
  <c r="F250" i="10"/>
  <c r="E250" i="10"/>
  <c r="D250" i="10"/>
  <c r="C250" i="10"/>
  <c r="B250" i="10"/>
  <c r="A250" i="10"/>
  <c r="O249" i="10"/>
  <c r="N249" i="10"/>
  <c r="M249" i="10"/>
  <c r="L249" i="10"/>
  <c r="K249" i="10"/>
  <c r="J249" i="10"/>
  <c r="I249" i="10"/>
  <c r="H249" i="10"/>
  <c r="G249" i="10"/>
  <c r="F249" i="10"/>
  <c r="E249" i="10"/>
  <c r="D249" i="10"/>
  <c r="C249" i="10"/>
  <c r="B249" i="10"/>
  <c r="A249" i="10"/>
  <c r="O248" i="10"/>
  <c r="N248" i="10"/>
  <c r="M248" i="10"/>
  <c r="L248" i="10"/>
  <c r="K248" i="10"/>
  <c r="J248" i="10"/>
  <c r="I248" i="10"/>
  <c r="H248" i="10"/>
  <c r="G248" i="10"/>
  <c r="F248" i="10"/>
  <c r="E248" i="10"/>
  <c r="D248" i="10"/>
  <c r="C248" i="10"/>
  <c r="B248" i="10"/>
  <c r="A248" i="10"/>
  <c r="O247" i="10"/>
  <c r="N247" i="10"/>
  <c r="M247" i="10"/>
  <c r="L247" i="10"/>
  <c r="K247" i="10"/>
  <c r="J247" i="10"/>
  <c r="I247" i="10"/>
  <c r="H247" i="10"/>
  <c r="G247" i="10"/>
  <c r="F247" i="10"/>
  <c r="E247" i="10"/>
  <c r="D247" i="10"/>
  <c r="C247" i="10"/>
  <c r="B247" i="10"/>
  <c r="A247" i="10"/>
  <c r="O246" i="10"/>
  <c r="N246" i="10"/>
  <c r="M246" i="10"/>
  <c r="L246" i="10"/>
  <c r="K246" i="10"/>
  <c r="J246" i="10"/>
  <c r="I246" i="10"/>
  <c r="H246" i="10"/>
  <c r="G246" i="10"/>
  <c r="F246" i="10"/>
  <c r="E246" i="10"/>
  <c r="D246" i="10"/>
  <c r="C246" i="10"/>
  <c r="B246" i="10"/>
  <c r="A246" i="10"/>
  <c r="O245" i="10"/>
  <c r="N245" i="10"/>
  <c r="M245" i="10"/>
  <c r="L245" i="10"/>
  <c r="K245" i="10"/>
  <c r="J245" i="10"/>
  <c r="I245" i="10"/>
  <c r="H245" i="10"/>
  <c r="G245" i="10"/>
  <c r="F245" i="10"/>
  <c r="E245" i="10"/>
  <c r="D245" i="10"/>
  <c r="C245" i="10"/>
  <c r="B245" i="10"/>
  <c r="A245" i="10"/>
  <c r="O244" i="10"/>
  <c r="N244" i="10"/>
  <c r="M244" i="10"/>
  <c r="L244" i="10"/>
  <c r="K244" i="10"/>
  <c r="J244" i="10"/>
  <c r="I244" i="10"/>
  <c r="H244" i="10"/>
  <c r="G244" i="10"/>
  <c r="F244" i="10"/>
  <c r="E244" i="10"/>
  <c r="D244" i="10"/>
  <c r="C244" i="10"/>
  <c r="B244" i="10"/>
  <c r="A244" i="10"/>
  <c r="O243" i="10"/>
  <c r="N243" i="10"/>
  <c r="M243" i="10"/>
  <c r="L243" i="10"/>
  <c r="K243" i="10"/>
  <c r="J243" i="10"/>
  <c r="I243" i="10"/>
  <c r="H243" i="10"/>
  <c r="G243" i="10"/>
  <c r="F243" i="10"/>
  <c r="E243" i="10"/>
  <c r="D243" i="10"/>
  <c r="C243" i="10"/>
  <c r="B243" i="10"/>
  <c r="A243" i="10"/>
  <c r="O242" i="10"/>
  <c r="N242" i="10"/>
  <c r="M242" i="10"/>
  <c r="L242" i="10"/>
  <c r="K242" i="10"/>
  <c r="J242" i="10"/>
  <c r="I242" i="10"/>
  <c r="H242" i="10"/>
  <c r="G242" i="10"/>
  <c r="F242" i="10"/>
  <c r="E242" i="10"/>
  <c r="D242" i="10"/>
  <c r="C242" i="10"/>
  <c r="B242" i="10"/>
  <c r="A242" i="10"/>
  <c r="O241" i="10"/>
  <c r="N241" i="10"/>
  <c r="M241" i="10"/>
  <c r="L241" i="10"/>
  <c r="K241" i="10"/>
  <c r="J241" i="10"/>
  <c r="I241" i="10"/>
  <c r="H241" i="10"/>
  <c r="G241" i="10"/>
  <c r="F241" i="10"/>
  <c r="E241" i="10"/>
  <c r="D241" i="10"/>
  <c r="C241" i="10"/>
  <c r="B241" i="10"/>
  <c r="A241" i="10"/>
  <c r="O240" i="10"/>
  <c r="N240" i="10"/>
  <c r="M240" i="10"/>
  <c r="L240" i="10"/>
  <c r="K240" i="10"/>
  <c r="J240" i="10"/>
  <c r="I240" i="10"/>
  <c r="H240" i="10"/>
  <c r="G240" i="10"/>
  <c r="F240" i="10"/>
  <c r="E240" i="10"/>
  <c r="D240" i="10"/>
  <c r="C240" i="10"/>
  <c r="B240" i="10"/>
  <c r="A240" i="10"/>
  <c r="O239" i="10"/>
  <c r="N239" i="10"/>
  <c r="M239" i="10"/>
  <c r="L239" i="10"/>
  <c r="K239" i="10"/>
  <c r="J239" i="10"/>
  <c r="I239" i="10"/>
  <c r="H239" i="10"/>
  <c r="G239" i="10"/>
  <c r="F239" i="10"/>
  <c r="E239" i="10"/>
  <c r="D239" i="10"/>
  <c r="C239" i="10"/>
  <c r="B239" i="10"/>
  <c r="A239" i="10"/>
  <c r="O238" i="10"/>
  <c r="N238" i="10"/>
  <c r="M238" i="10"/>
  <c r="L238" i="10"/>
  <c r="K238" i="10"/>
  <c r="J238" i="10"/>
  <c r="I238" i="10"/>
  <c r="H238" i="10"/>
  <c r="G238" i="10"/>
  <c r="F238" i="10"/>
  <c r="E238" i="10"/>
  <c r="D238" i="10"/>
  <c r="C238" i="10"/>
  <c r="B238" i="10"/>
  <c r="A238" i="10"/>
  <c r="O237" i="10"/>
  <c r="N237" i="10"/>
  <c r="M237" i="10"/>
  <c r="L237" i="10"/>
  <c r="K237" i="10"/>
  <c r="J237" i="10"/>
  <c r="I237" i="10"/>
  <c r="H237" i="10"/>
  <c r="G237" i="10"/>
  <c r="F237" i="10"/>
  <c r="E237" i="10"/>
  <c r="D237" i="10"/>
  <c r="C237" i="10"/>
  <c r="B237" i="10"/>
  <c r="A237" i="10"/>
  <c r="O236" i="10"/>
  <c r="N236" i="10"/>
  <c r="M236" i="10"/>
  <c r="L236" i="10"/>
  <c r="K236" i="10"/>
  <c r="J236" i="10"/>
  <c r="I236" i="10"/>
  <c r="H236" i="10"/>
  <c r="G236" i="10"/>
  <c r="F236" i="10"/>
  <c r="E236" i="10"/>
  <c r="D236" i="10"/>
  <c r="C236" i="10"/>
  <c r="B236" i="10"/>
  <c r="A236" i="10"/>
  <c r="O235" i="10"/>
  <c r="N235" i="10"/>
  <c r="M235" i="10"/>
  <c r="L235" i="10"/>
  <c r="K235" i="10"/>
  <c r="J235" i="10"/>
  <c r="I235" i="10"/>
  <c r="H235" i="10"/>
  <c r="G235" i="10"/>
  <c r="F235" i="10"/>
  <c r="E235" i="10"/>
  <c r="D235" i="10"/>
  <c r="C235" i="10"/>
  <c r="B235" i="10"/>
  <c r="A235" i="10"/>
  <c r="O234" i="10"/>
  <c r="N234" i="10"/>
  <c r="M234" i="10"/>
  <c r="L234" i="10"/>
  <c r="K234" i="10"/>
  <c r="J234" i="10"/>
  <c r="I234" i="10"/>
  <c r="H234" i="10"/>
  <c r="G234" i="10"/>
  <c r="F234" i="10"/>
  <c r="E234" i="10"/>
  <c r="D234" i="10"/>
  <c r="C234" i="10"/>
  <c r="B234" i="10"/>
  <c r="A234" i="10"/>
  <c r="O233" i="10"/>
  <c r="N233" i="10"/>
  <c r="M233" i="10"/>
  <c r="L233" i="10"/>
  <c r="K233" i="10"/>
  <c r="J233" i="10"/>
  <c r="I233" i="10"/>
  <c r="H233" i="10"/>
  <c r="G233" i="10"/>
  <c r="F233" i="10"/>
  <c r="E233" i="10"/>
  <c r="D233" i="10"/>
  <c r="C233" i="10"/>
  <c r="B233" i="10"/>
  <c r="A233" i="10"/>
  <c r="O232" i="10"/>
  <c r="N232" i="10"/>
  <c r="M232" i="10"/>
  <c r="L232" i="10"/>
  <c r="K232" i="10"/>
  <c r="J232" i="10"/>
  <c r="I232" i="10"/>
  <c r="H232" i="10"/>
  <c r="G232" i="10"/>
  <c r="F232" i="10"/>
  <c r="E232" i="10"/>
  <c r="D232" i="10"/>
  <c r="C232" i="10"/>
  <c r="B232" i="10"/>
  <c r="A232" i="10"/>
  <c r="O231" i="10"/>
  <c r="N231" i="10"/>
  <c r="M231" i="10"/>
  <c r="L231" i="10"/>
  <c r="K231" i="10"/>
  <c r="J231" i="10"/>
  <c r="I231" i="10"/>
  <c r="H231" i="10"/>
  <c r="G231" i="10"/>
  <c r="F231" i="10"/>
  <c r="E231" i="10"/>
  <c r="D231" i="10"/>
  <c r="C231" i="10"/>
  <c r="B231" i="10"/>
  <c r="A231" i="10"/>
  <c r="O230" i="10"/>
  <c r="N230" i="10"/>
  <c r="M230" i="10"/>
  <c r="L230" i="10"/>
  <c r="K230" i="10"/>
  <c r="J230" i="10"/>
  <c r="I230" i="10"/>
  <c r="H230" i="10"/>
  <c r="G230" i="10"/>
  <c r="F230" i="10"/>
  <c r="E230" i="10"/>
  <c r="D230" i="10"/>
  <c r="C230" i="10"/>
  <c r="B230" i="10"/>
  <c r="A230" i="10"/>
  <c r="O229" i="10"/>
  <c r="N229" i="10"/>
  <c r="M229" i="10"/>
  <c r="L229" i="10"/>
  <c r="K229" i="10"/>
  <c r="J229" i="10"/>
  <c r="I229" i="10"/>
  <c r="H229" i="10"/>
  <c r="G229" i="10"/>
  <c r="F229" i="10"/>
  <c r="E229" i="10"/>
  <c r="D229" i="10"/>
  <c r="C229" i="10"/>
  <c r="B229" i="10"/>
  <c r="A229" i="10"/>
  <c r="O228" i="10"/>
  <c r="N228" i="10"/>
  <c r="M228" i="10"/>
  <c r="L228" i="10"/>
  <c r="K228" i="10"/>
  <c r="J228" i="10"/>
  <c r="I228" i="10"/>
  <c r="H228" i="10"/>
  <c r="G228" i="10"/>
  <c r="F228" i="10"/>
  <c r="E228" i="10"/>
  <c r="D228" i="10"/>
  <c r="C228" i="10"/>
  <c r="B228" i="10"/>
  <c r="A228" i="10"/>
  <c r="O227" i="10"/>
  <c r="N227" i="10"/>
  <c r="M227" i="10"/>
  <c r="L227" i="10"/>
  <c r="K227" i="10"/>
  <c r="J227" i="10"/>
  <c r="I227" i="10"/>
  <c r="H227" i="10"/>
  <c r="G227" i="10"/>
  <c r="F227" i="10"/>
  <c r="E227" i="10"/>
  <c r="D227" i="10"/>
  <c r="C227" i="10"/>
  <c r="B227" i="10"/>
  <c r="A227" i="10"/>
  <c r="O226" i="10"/>
  <c r="N226" i="10"/>
  <c r="M226" i="10"/>
  <c r="L226" i="10"/>
  <c r="K226" i="10"/>
  <c r="J226" i="10"/>
  <c r="I226" i="10"/>
  <c r="H226" i="10"/>
  <c r="G226" i="10"/>
  <c r="F226" i="10"/>
  <c r="E226" i="10"/>
  <c r="D226" i="10"/>
  <c r="C226" i="10"/>
  <c r="B226" i="10"/>
  <c r="A226" i="10"/>
  <c r="O225" i="10"/>
  <c r="N225" i="10"/>
  <c r="M225" i="10"/>
  <c r="L225" i="10"/>
  <c r="K225" i="10"/>
  <c r="J225" i="10"/>
  <c r="I225" i="10"/>
  <c r="H225" i="10"/>
  <c r="G225" i="10"/>
  <c r="F225" i="10"/>
  <c r="E225" i="10"/>
  <c r="D225" i="10"/>
  <c r="C225" i="10"/>
  <c r="B225" i="10"/>
  <c r="A225" i="10"/>
  <c r="O224" i="10"/>
  <c r="N224" i="10"/>
  <c r="M224" i="10"/>
  <c r="L224" i="10"/>
  <c r="K224" i="10"/>
  <c r="J224" i="10"/>
  <c r="I224" i="10"/>
  <c r="H224" i="10"/>
  <c r="G224" i="10"/>
  <c r="F224" i="10"/>
  <c r="E224" i="10"/>
  <c r="D224" i="10"/>
  <c r="C224" i="10"/>
  <c r="B224" i="10"/>
  <c r="A224" i="10"/>
  <c r="O223" i="10"/>
  <c r="N223" i="10"/>
  <c r="M223" i="10"/>
  <c r="L223" i="10"/>
  <c r="K223" i="10"/>
  <c r="J223" i="10"/>
  <c r="I223" i="10"/>
  <c r="H223" i="10"/>
  <c r="G223" i="10"/>
  <c r="F223" i="10"/>
  <c r="E223" i="10"/>
  <c r="D223" i="10"/>
  <c r="C223" i="10"/>
  <c r="B223" i="10"/>
  <c r="A223" i="10"/>
  <c r="O222" i="10"/>
  <c r="N222" i="10"/>
  <c r="M222" i="10"/>
  <c r="L222" i="10"/>
  <c r="K222" i="10"/>
  <c r="J222" i="10"/>
  <c r="I222" i="10"/>
  <c r="H222" i="10"/>
  <c r="G222" i="10"/>
  <c r="F222" i="10"/>
  <c r="E222" i="10"/>
  <c r="D222" i="10"/>
  <c r="C222" i="10"/>
  <c r="B222" i="10"/>
  <c r="A222" i="10"/>
  <c r="O221" i="10"/>
  <c r="N221" i="10"/>
  <c r="M221" i="10"/>
  <c r="L221" i="10"/>
  <c r="K221" i="10"/>
  <c r="J221" i="10"/>
  <c r="I221" i="10"/>
  <c r="H221" i="10"/>
  <c r="G221" i="10"/>
  <c r="F221" i="10"/>
  <c r="E221" i="10"/>
  <c r="D221" i="10"/>
  <c r="C221" i="10"/>
  <c r="B221" i="10"/>
  <c r="A221" i="10"/>
  <c r="O220" i="10"/>
  <c r="N220" i="10"/>
  <c r="M220" i="10"/>
  <c r="L220" i="10"/>
  <c r="K220" i="10"/>
  <c r="J220" i="10"/>
  <c r="I220" i="10"/>
  <c r="H220" i="10"/>
  <c r="G220" i="10"/>
  <c r="F220" i="10"/>
  <c r="E220" i="10"/>
  <c r="D220" i="10"/>
  <c r="C220" i="10"/>
  <c r="B220" i="10"/>
  <c r="A220" i="10"/>
  <c r="O219" i="10"/>
  <c r="N219" i="10"/>
  <c r="M219" i="10"/>
  <c r="L219" i="10"/>
  <c r="K219" i="10"/>
  <c r="J219" i="10"/>
  <c r="I219" i="10"/>
  <c r="H219" i="10"/>
  <c r="G219" i="10"/>
  <c r="F219" i="10"/>
  <c r="E219" i="10"/>
  <c r="D219" i="10"/>
  <c r="C219" i="10"/>
  <c r="B219" i="10"/>
  <c r="A219" i="10"/>
  <c r="O218" i="10"/>
  <c r="N218" i="10"/>
  <c r="M218" i="10"/>
  <c r="L218" i="10"/>
  <c r="K218" i="10"/>
  <c r="J218" i="10"/>
  <c r="I218" i="10"/>
  <c r="H218" i="10"/>
  <c r="G218" i="10"/>
  <c r="F218" i="10"/>
  <c r="E218" i="10"/>
  <c r="D218" i="10"/>
  <c r="C218" i="10"/>
  <c r="B218" i="10"/>
  <c r="A218" i="10"/>
  <c r="O217" i="10"/>
  <c r="N217" i="10"/>
  <c r="M217" i="10"/>
  <c r="L217" i="10"/>
  <c r="K217" i="10"/>
  <c r="J217" i="10"/>
  <c r="I217" i="10"/>
  <c r="H217" i="10"/>
  <c r="G217" i="10"/>
  <c r="F217" i="10"/>
  <c r="E217" i="10"/>
  <c r="D217" i="10"/>
  <c r="C217" i="10"/>
  <c r="B217" i="10"/>
  <c r="A217" i="10"/>
  <c r="O216" i="10"/>
  <c r="N216" i="10"/>
  <c r="M216" i="10"/>
  <c r="L216" i="10"/>
  <c r="K216" i="10"/>
  <c r="J216" i="10"/>
  <c r="I216" i="10"/>
  <c r="H216" i="10"/>
  <c r="G216" i="10"/>
  <c r="F216" i="10"/>
  <c r="E216" i="10"/>
  <c r="D216" i="10"/>
  <c r="C216" i="10"/>
  <c r="B216" i="10"/>
  <c r="A216" i="10"/>
  <c r="O215" i="10"/>
  <c r="N215" i="10"/>
  <c r="M215" i="10"/>
  <c r="L215" i="10"/>
  <c r="K215" i="10"/>
  <c r="J215" i="10"/>
  <c r="I215" i="10"/>
  <c r="H215" i="10"/>
  <c r="G215" i="10"/>
  <c r="F215" i="10"/>
  <c r="E215" i="10"/>
  <c r="D215" i="10"/>
  <c r="C215" i="10"/>
  <c r="B215" i="10"/>
  <c r="A215" i="10"/>
  <c r="O214" i="10"/>
  <c r="N214" i="10"/>
  <c r="M214" i="10"/>
  <c r="L214" i="10"/>
  <c r="K214" i="10"/>
  <c r="J214" i="10"/>
  <c r="I214" i="10"/>
  <c r="H214" i="10"/>
  <c r="G214" i="10"/>
  <c r="F214" i="10"/>
  <c r="E214" i="10"/>
  <c r="D214" i="10"/>
  <c r="C214" i="10"/>
  <c r="B214" i="10"/>
  <c r="A214" i="10"/>
  <c r="O213" i="10"/>
  <c r="N213" i="10"/>
  <c r="M213" i="10"/>
  <c r="L213" i="10"/>
  <c r="K213" i="10"/>
  <c r="J213" i="10"/>
  <c r="I213" i="10"/>
  <c r="H213" i="10"/>
  <c r="G213" i="10"/>
  <c r="F213" i="10"/>
  <c r="E213" i="10"/>
  <c r="D213" i="10"/>
  <c r="C213" i="10"/>
  <c r="B213" i="10"/>
  <c r="A213" i="10"/>
  <c r="O212" i="10"/>
  <c r="N212" i="10"/>
  <c r="M212" i="10"/>
  <c r="L212" i="10"/>
  <c r="K212" i="10"/>
  <c r="J212" i="10"/>
  <c r="I212" i="10"/>
  <c r="H212" i="10"/>
  <c r="G212" i="10"/>
  <c r="F212" i="10"/>
  <c r="E212" i="10"/>
  <c r="D212" i="10"/>
  <c r="C212" i="10"/>
  <c r="B212" i="10"/>
  <c r="A212" i="10"/>
  <c r="O211" i="10"/>
  <c r="N211" i="10"/>
  <c r="M211" i="10"/>
  <c r="L211" i="10"/>
  <c r="K211" i="10"/>
  <c r="J211" i="10"/>
  <c r="I211" i="10"/>
  <c r="H211" i="10"/>
  <c r="G211" i="10"/>
  <c r="F211" i="10"/>
  <c r="E211" i="10"/>
  <c r="D211" i="10"/>
  <c r="C211" i="10"/>
  <c r="B211" i="10"/>
  <c r="A211" i="10"/>
  <c r="O210" i="10"/>
  <c r="N210" i="10"/>
  <c r="M210" i="10"/>
  <c r="L210" i="10"/>
  <c r="K210" i="10"/>
  <c r="J210" i="10"/>
  <c r="I210" i="10"/>
  <c r="H210" i="10"/>
  <c r="G210" i="10"/>
  <c r="F210" i="10"/>
  <c r="E210" i="10"/>
  <c r="D210" i="10"/>
  <c r="C210" i="10"/>
  <c r="B210" i="10"/>
  <c r="A210" i="10"/>
  <c r="O209" i="10"/>
  <c r="N209" i="10"/>
  <c r="M209" i="10"/>
  <c r="L209" i="10"/>
  <c r="K209" i="10"/>
  <c r="J209" i="10"/>
  <c r="I209" i="10"/>
  <c r="H209" i="10"/>
  <c r="G209" i="10"/>
  <c r="F209" i="10"/>
  <c r="E209" i="10"/>
  <c r="D209" i="10"/>
  <c r="C209" i="10"/>
  <c r="B209" i="10"/>
  <c r="A209" i="10"/>
  <c r="O208" i="10"/>
  <c r="N208" i="10"/>
  <c r="M208" i="10"/>
  <c r="L208" i="10"/>
  <c r="K208" i="10"/>
  <c r="J208" i="10"/>
  <c r="I208" i="10"/>
  <c r="H208" i="10"/>
  <c r="G208" i="10"/>
  <c r="F208" i="10"/>
  <c r="E208" i="10"/>
  <c r="D208" i="10"/>
  <c r="C208" i="10"/>
  <c r="B208" i="10"/>
  <c r="A208" i="10"/>
  <c r="O207" i="10"/>
  <c r="N207" i="10"/>
  <c r="M207" i="10"/>
  <c r="L207" i="10"/>
  <c r="K207" i="10"/>
  <c r="J207" i="10"/>
  <c r="I207" i="10"/>
  <c r="H207" i="10"/>
  <c r="G207" i="10"/>
  <c r="F207" i="10"/>
  <c r="E207" i="10"/>
  <c r="D207" i="10"/>
  <c r="C207" i="10"/>
  <c r="B207" i="10"/>
  <c r="A207" i="10"/>
  <c r="O206" i="10"/>
  <c r="N206" i="10"/>
  <c r="M206" i="10"/>
  <c r="L206" i="10"/>
  <c r="K206" i="10"/>
  <c r="J206" i="10"/>
  <c r="I206" i="10"/>
  <c r="H206" i="10"/>
  <c r="G206" i="10"/>
  <c r="F206" i="10"/>
  <c r="E206" i="10"/>
  <c r="D206" i="10"/>
  <c r="C206" i="10"/>
  <c r="B206" i="10"/>
  <c r="A206" i="10"/>
  <c r="O205" i="10"/>
  <c r="N205" i="10"/>
  <c r="M205" i="10"/>
  <c r="L205" i="10"/>
  <c r="K205" i="10"/>
  <c r="J205" i="10"/>
  <c r="I205" i="10"/>
  <c r="H205" i="10"/>
  <c r="G205" i="10"/>
  <c r="F205" i="10"/>
  <c r="E205" i="10"/>
  <c r="D205" i="10"/>
  <c r="C205" i="10"/>
  <c r="B205" i="10"/>
  <c r="A205" i="10"/>
  <c r="O204" i="10"/>
  <c r="N204" i="10"/>
  <c r="M204" i="10"/>
  <c r="L204" i="10"/>
  <c r="K204" i="10"/>
  <c r="J204" i="10"/>
  <c r="I204" i="10"/>
  <c r="H204" i="10"/>
  <c r="G204" i="10"/>
  <c r="F204" i="10"/>
  <c r="E204" i="10"/>
  <c r="D204" i="10"/>
  <c r="C204" i="10"/>
  <c r="B204" i="10"/>
  <c r="A204" i="10"/>
  <c r="O203" i="10"/>
  <c r="N203" i="10"/>
  <c r="M203" i="10"/>
  <c r="L203" i="10"/>
  <c r="K203" i="10"/>
  <c r="J203" i="10"/>
  <c r="I203" i="10"/>
  <c r="H203" i="10"/>
  <c r="G203" i="10"/>
  <c r="F203" i="10"/>
  <c r="E203" i="10"/>
  <c r="D203" i="10"/>
  <c r="C203" i="10"/>
  <c r="B203" i="10"/>
  <c r="A203" i="10"/>
  <c r="O202" i="10"/>
  <c r="N202" i="10"/>
  <c r="M202" i="10"/>
  <c r="L202" i="10"/>
  <c r="K202" i="10"/>
  <c r="J202" i="10"/>
  <c r="I202" i="10"/>
  <c r="H202" i="10"/>
  <c r="G202" i="10"/>
  <c r="F202" i="10"/>
  <c r="E202" i="10"/>
  <c r="D202" i="10"/>
  <c r="C202" i="10"/>
  <c r="B202" i="10"/>
  <c r="A202" i="10"/>
  <c r="O201" i="10"/>
  <c r="N201" i="10"/>
  <c r="M201" i="10"/>
  <c r="L201" i="10"/>
  <c r="K201" i="10"/>
  <c r="J201" i="10"/>
  <c r="I201" i="10"/>
  <c r="H201" i="10"/>
  <c r="G201" i="10"/>
  <c r="F201" i="10"/>
  <c r="E201" i="10"/>
  <c r="D201" i="10"/>
  <c r="C201" i="10"/>
  <c r="B201" i="10"/>
  <c r="A201" i="10"/>
  <c r="O200" i="10"/>
  <c r="N200" i="10"/>
  <c r="M200" i="10"/>
  <c r="L200" i="10"/>
  <c r="K200" i="10"/>
  <c r="J200" i="10"/>
  <c r="I200" i="10"/>
  <c r="H200" i="10"/>
  <c r="G200" i="10"/>
  <c r="F200" i="10"/>
  <c r="E200" i="10"/>
  <c r="D200" i="10"/>
  <c r="C200" i="10"/>
  <c r="B200" i="10"/>
  <c r="A200" i="10"/>
  <c r="O199" i="10"/>
  <c r="N199" i="10"/>
  <c r="M199" i="10"/>
  <c r="L199" i="10"/>
  <c r="K199" i="10"/>
  <c r="J199" i="10"/>
  <c r="I199" i="10"/>
  <c r="H199" i="10"/>
  <c r="G199" i="10"/>
  <c r="F199" i="10"/>
  <c r="E199" i="10"/>
  <c r="D199" i="10"/>
  <c r="C199" i="10"/>
  <c r="B199" i="10"/>
  <c r="A199" i="10"/>
  <c r="O198" i="10"/>
  <c r="N198" i="10"/>
  <c r="M198" i="10"/>
  <c r="L198" i="10"/>
  <c r="K198" i="10"/>
  <c r="J198" i="10"/>
  <c r="I198" i="10"/>
  <c r="H198" i="10"/>
  <c r="G198" i="10"/>
  <c r="F198" i="10"/>
  <c r="E198" i="10"/>
  <c r="D198" i="10"/>
  <c r="C198" i="10"/>
  <c r="B198" i="10"/>
  <c r="A198" i="10"/>
  <c r="O197" i="10"/>
  <c r="N197" i="10"/>
  <c r="M197" i="10"/>
  <c r="L197" i="10"/>
  <c r="K197" i="10"/>
  <c r="J197" i="10"/>
  <c r="I197" i="10"/>
  <c r="H197" i="10"/>
  <c r="G197" i="10"/>
  <c r="F197" i="10"/>
  <c r="E197" i="10"/>
  <c r="D197" i="10"/>
  <c r="C197" i="10"/>
  <c r="B197" i="10"/>
  <c r="A197" i="10"/>
  <c r="O196" i="10"/>
  <c r="N196" i="10"/>
  <c r="M196" i="10"/>
  <c r="L196" i="10"/>
  <c r="K196" i="10"/>
  <c r="J196" i="10"/>
  <c r="I196" i="10"/>
  <c r="H196" i="10"/>
  <c r="G196" i="10"/>
  <c r="F196" i="10"/>
  <c r="E196" i="10"/>
  <c r="D196" i="10"/>
  <c r="C196" i="10"/>
  <c r="B196" i="10"/>
  <c r="A196" i="10"/>
  <c r="O195" i="10"/>
  <c r="N195" i="10"/>
  <c r="M195" i="10"/>
  <c r="L195" i="10"/>
  <c r="K195" i="10"/>
  <c r="J195" i="10"/>
  <c r="I195" i="10"/>
  <c r="H195" i="10"/>
  <c r="G195" i="10"/>
  <c r="F195" i="10"/>
  <c r="E195" i="10"/>
  <c r="D195" i="10"/>
  <c r="C195" i="10"/>
  <c r="B195" i="10"/>
  <c r="A195" i="10"/>
  <c r="O194" i="10"/>
  <c r="N194" i="10"/>
  <c r="M194" i="10"/>
  <c r="L194" i="10"/>
  <c r="K194" i="10"/>
  <c r="J194" i="10"/>
  <c r="I194" i="10"/>
  <c r="H194" i="10"/>
  <c r="G194" i="10"/>
  <c r="F194" i="10"/>
  <c r="E194" i="10"/>
  <c r="D194" i="10"/>
  <c r="C194" i="10"/>
  <c r="B194" i="10"/>
  <c r="A194" i="10"/>
  <c r="O193" i="10"/>
  <c r="N193" i="10"/>
  <c r="M193" i="10"/>
  <c r="L193" i="10"/>
  <c r="K193" i="10"/>
  <c r="J193" i="10"/>
  <c r="I193" i="10"/>
  <c r="H193" i="10"/>
  <c r="G193" i="10"/>
  <c r="F193" i="10"/>
  <c r="E193" i="10"/>
  <c r="D193" i="10"/>
  <c r="C193" i="10"/>
  <c r="B193" i="10"/>
  <c r="A193" i="10"/>
  <c r="O192" i="10"/>
  <c r="N192" i="10"/>
  <c r="M192" i="10"/>
  <c r="L192" i="10"/>
  <c r="K192" i="10"/>
  <c r="J192" i="10"/>
  <c r="I192" i="10"/>
  <c r="H192" i="10"/>
  <c r="G192" i="10"/>
  <c r="F192" i="10"/>
  <c r="E192" i="10"/>
  <c r="D192" i="10"/>
  <c r="C192" i="10"/>
  <c r="B192" i="10"/>
  <c r="A192" i="10"/>
  <c r="O191" i="10"/>
  <c r="N191" i="10"/>
  <c r="M191" i="10"/>
  <c r="L191" i="10"/>
  <c r="K191" i="10"/>
  <c r="J191" i="10"/>
  <c r="I191" i="10"/>
  <c r="H191" i="10"/>
  <c r="G191" i="10"/>
  <c r="F191" i="10"/>
  <c r="E191" i="10"/>
  <c r="D191" i="10"/>
  <c r="C191" i="10"/>
  <c r="B191" i="10"/>
  <c r="A191" i="10"/>
  <c r="O190" i="10"/>
  <c r="N190" i="10"/>
  <c r="M190" i="10"/>
  <c r="L190" i="10"/>
  <c r="K190" i="10"/>
  <c r="J190" i="10"/>
  <c r="I190" i="10"/>
  <c r="H190" i="10"/>
  <c r="G190" i="10"/>
  <c r="F190" i="10"/>
  <c r="E190" i="10"/>
  <c r="D190" i="10"/>
  <c r="C190" i="10"/>
  <c r="B190" i="10"/>
  <c r="A190" i="10"/>
  <c r="O189" i="10"/>
  <c r="N189" i="10"/>
  <c r="M189" i="10"/>
  <c r="L189" i="10"/>
  <c r="K189" i="10"/>
  <c r="J189" i="10"/>
  <c r="I189" i="10"/>
  <c r="H189" i="10"/>
  <c r="G189" i="10"/>
  <c r="F189" i="10"/>
  <c r="E189" i="10"/>
  <c r="D189" i="10"/>
  <c r="C189" i="10"/>
  <c r="B189" i="10"/>
  <c r="A189" i="10"/>
  <c r="O188" i="10"/>
  <c r="N188" i="10"/>
  <c r="M188" i="10"/>
  <c r="L188" i="10"/>
  <c r="K188" i="10"/>
  <c r="J188" i="10"/>
  <c r="I188" i="10"/>
  <c r="H188" i="10"/>
  <c r="G188" i="10"/>
  <c r="F188" i="10"/>
  <c r="E188" i="10"/>
  <c r="D188" i="10"/>
  <c r="C188" i="10"/>
  <c r="B188" i="10"/>
  <c r="A188" i="10"/>
  <c r="O187" i="10"/>
  <c r="N187" i="10"/>
  <c r="M187" i="10"/>
  <c r="L187" i="10"/>
  <c r="K187" i="10"/>
  <c r="J187" i="10"/>
  <c r="I187" i="10"/>
  <c r="H187" i="10"/>
  <c r="G187" i="10"/>
  <c r="F187" i="10"/>
  <c r="E187" i="10"/>
  <c r="D187" i="10"/>
  <c r="C187" i="10"/>
  <c r="B187" i="10"/>
  <c r="A187" i="10"/>
  <c r="O186" i="10"/>
  <c r="N186" i="10"/>
  <c r="M186" i="10"/>
  <c r="L186" i="10"/>
  <c r="K186" i="10"/>
  <c r="J186" i="10"/>
  <c r="I186" i="10"/>
  <c r="H186" i="10"/>
  <c r="G186" i="10"/>
  <c r="F186" i="10"/>
  <c r="E186" i="10"/>
  <c r="D186" i="10"/>
  <c r="C186" i="10"/>
  <c r="B186" i="10"/>
  <c r="A186" i="10"/>
  <c r="O185" i="10"/>
  <c r="N185" i="10"/>
  <c r="M185" i="10"/>
  <c r="L185" i="10"/>
  <c r="K185" i="10"/>
  <c r="J185" i="10"/>
  <c r="I185" i="10"/>
  <c r="H185" i="10"/>
  <c r="G185" i="10"/>
  <c r="F185" i="10"/>
  <c r="E185" i="10"/>
  <c r="D185" i="10"/>
  <c r="C185" i="10"/>
  <c r="B185" i="10"/>
  <c r="A185" i="10"/>
  <c r="O184" i="10"/>
  <c r="N184" i="10"/>
  <c r="M184" i="10"/>
  <c r="L184" i="10"/>
  <c r="K184" i="10"/>
  <c r="J184" i="10"/>
  <c r="I184" i="10"/>
  <c r="H184" i="10"/>
  <c r="G184" i="10"/>
  <c r="F184" i="10"/>
  <c r="E184" i="10"/>
  <c r="D184" i="10"/>
  <c r="C184" i="10"/>
  <c r="B184" i="10"/>
  <c r="A184" i="10"/>
  <c r="O183" i="10"/>
  <c r="N183" i="10"/>
  <c r="M183" i="10"/>
  <c r="L183" i="10"/>
  <c r="K183" i="10"/>
  <c r="J183" i="10"/>
  <c r="I183" i="10"/>
  <c r="H183" i="10"/>
  <c r="G183" i="10"/>
  <c r="F183" i="10"/>
  <c r="E183" i="10"/>
  <c r="D183" i="10"/>
  <c r="C183" i="10"/>
  <c r="B183" i="10"/>
  <c r="A183" i="10"/>
  <c r="O182" i="10"/>
  <c r="N182" i="10"/>
  <c r="M182" i="10"/>
  <c r="L182" i="10"/>
  <c r="K182" i="10"/>
  <c r="J182" i="10"/>
  <c r="I182" i="10"/>
  <c r="H182" i="10"/>
  <c r="G182" i="10"/>
  <c r="F182" i="10"/>
  <c r="E182" i="10"/>
  <c r="D182" i="10"/>
  <c r="C182" i="10"/>
  <c r="B182" i="10"/>
  <c r="A182" i="10"/>
  <c r="O181" i="10"/>
  <c r="N181" i="10"/>
  <c r="M181" i="10"/>
  <c r="L181" i="10"/>
  <c r="K181" i="10"/>
  <c r="J181" i="10"/>
  <c r="I181" i="10"/>
  <c r="H181" i="10"/>
  <c r="G181" i="10"/>
  <c r="F181" i="10"/>
  <c r="E181" i="10"/>
  <c r="D181" i="10"/>
  <c r="C181" i="10"/>
  <c r="B181" i="10"/>
  <c r="A181" i="10"/>
  <c r="O180" i="10"/>
  <c r="N180" i="10"/>
  <c r="M180" i="10"/>
  <c r="L180" i="10"/>
  <c r="K180" i="10"/>
  <c r="J180" i="10"/>
  <c r="I180" i="10"/>
  <c r="H180" i="10"/>
  <c r="G180" i="10"/>
  <c r="F180" i="10"/>
  <c r="E180" i="10"/>
  <c r="D180" i="10"/>
  <c r="C180" i="10"/>
  <c r="B180" i="10"/>
  <c r="A180" i="10"/>
  <c r="O179" i="10"/>
  <c r="N179" i="10"/>
  <c r="M179" i="10"/>
  <c r="L179" i="10"/>
  <c r="K179" i="10"/>
  <c r="J179" i="10"/>
  <c r="I179" i="10"/>
  <c r="H179" i="10"/>
  <c r="G179" i="10"/>
  <c r="F179" i="10"/>
  <c r="E179" i="10"/>
  <c r="D179" i="10"/>
  <c r="C179" i="10"/>
  <c r="B179" i="10"/>
  <c r="A179" i="10"/>
  <c r="O178" i="10"/>
  <c r="N178" i="10"/>
  <c r="M178" i="10"/>
  <c r="L178" i="10"/>
  <c r="K178" i="10"/>
  <c r="J178" i="10"/>
  <c r="I178" i="10"/>
  <c r="H178" i="10"/>
  <c r="G178" i="10"/>
  <c r="F178" i="10"/>
  <c r="E178" i="10"/>
  <c r="D178" i="10"/>
  <c r="C178" i="10"/>
  <c r="B178" i="10"/>
  <c r="A178" i="10"/>
  <c r="O177" i="10"/>
  <c r="N177" i="10"/>
  <c r="M177" i="10"/>
  <c r="L177" i="10"/>
  <c r="K177" i="10"/>
  <c r="J177" i="10"/>
  <c r="I177" i="10"/>
  <c r="H177" i="10"/>
  <c r="G177" i="10"/>
  <c r="F177" i="10"/>
  <c r="E177" i="10"/>
  <c r="D177" i="10"/>
  <c r="C177" i="10"/>
  <c r="B177" i="10"/>
  <c r="A177" i="10"/>
  <c r="O176" i="10"/>
  <c r="N176" i="10"/>
  <c r="M176" i="10"/>
  <c r="L176" i="10"/>
  <c r="K176" i="10"/>
  <c r="J176" i="10"/>
  <c r="I176" i="10"/>
  <c r="H176" i="10"/>
  <c r="G176" i="10"/>
  <c r="F176" i="10"/>
  <c r="E176" i="10"/>
  <c r="D176" i="10"/>
  <c r="C176" i="10"/>
  <c r="B176" i="10"/>
  <c r="A176" i="10"/>
  <c r="O175" i="10"/>
  <c r="N175" i="10"/>
  <c r="M175" i="10"/>
  <c r="L175" i="10"/>
  <c r="K175" i="10"/>
  <c r="J175" i="10"/>
  <c r="I175" i="10"/>
  <c r="H175" i="10"/>
  <c r="G175" i="10"/>
  <c r="F175" i="10"/>
  <c r="E175" i="10"/>
  <c r="D175" i="10"/>
  <c r="C175" i="10"/>
  <c r="B175" i="10"/>
  <c r="A175" i="10"/>
  <c r="O174" i="10"/>
  <c r="N174" i="10"/>
  <c r="M174" i="10"/>
  <c r="L174" i="10"/>
  <c r="K174" i="10"/>
  <c r="J174" i="10"/>
  <c r="I174" i="10"/>
  <c r="H174" i="10"/>
  <c r="G174" i="10"/>
  <c r="F174" i="10"/>
  <c r="E174" i="10"/>
  <c r="D174" i="10"/>
  <c r="C174" i="10"/>
  <c r="B174" i="10"/>
  <c r="A174" i="10"/>
  <c r="O173" i="10"/>
  <c r="N173" i="10"/>
  <c r="M173" i="10"/>
  <c r="L173" i="10"/>
  <c r="K173" i="10"/>
  <c r="J173" i="10"/>
  <c r="I173" i="10"/>
  <c r="H173" i="10"/>
  <c r="G173" i="10"/>
  <c r="F173" i="10"/>
  <c r="E173" i="10"/>
  <c r="D173" i="10"/>
  <c r="C173" i="10"/>
  <c r="B173" i="10"/>
  <c r="A173" i="10"/>
  <c r="O172" i="10"/>
  <c r="N172" i="10"/>
  <c r="M172" i="10"/>
  <c r="L172" i="10"/>
  <c r="K172" i="10"/>
  <c r="J172" i="10"/>
  <c r="I172" i="10"/>
  <c r="H172" i="10"/>
  <c r="G172" i="10"/>
  <c r="F172" i="10"/>
  <c r="E172" i="10"/>
  <c r="D172" i="10"/>
  <c r="C172" i="10"/>
  <c r="B172" i="10"/>
  <c r="A172" i="10"/>
  <c r="O171" i="10"/>
  <c r="N171" i="10"/>
  <c r="M171" i="10"/>
  <c r="L171" i="10"/>
  <c r="K171" i="10"/>
  <c r="J171" i="10"/>
  <c r="I171" i="10"/>
  <c r="H171" i="10"/>
  <c r="G171" i="10"/>
  <c r="F171" i="10"/>
  <c r="E171" i="10"/>
  <c r="D171" i="10"/>
  <c r="C171" i="10"/>
  <c r="B171" i="10"/>
  <c r="A171" i="10"/>
  <c r="O170" i="10"/>
  <c r="N170" i="10"/>
  <c r="M170" i="10"/>
  <c r="L170" i="10"/>
  <c r="K170" i="10"/>
  <c r="J170" i="10"/>
  <c r="I170" i="10"/>
  <c r="H170" i="10"/>
  <c r="G170" i="10"/>
  <c r="F170" i="10"/>
  <c r="E170" i="10"/>
  <c r="D170" i="10"/>
  <c r="C170" i="10"/>
  <c r="B170" i="10"/>
  <c r="A170" i="10"/>
  <c r="O169" i="10"/>
  <c r="N169" i="10"/>
  <c r="M169" i="10"/>
  <c r="L169" i="10"/>
  <c r="K169" i="10"/>
  <c r="J169" i="10"/>
  <c r="I169" i="10"/>
  <c r="H169" i="10"/>
  <c r="G169" i="10"/>
  <c r="F169" i="10"/>
  <c r="E169" i="10"/>
  <c r="D169" i="10"/>
  <c r="C169" i="10"/>
  <c r="B169" i="10"/>
  <c r="A169" i="10"/>
  <c r="O168" i="10"/>
  <c r="N168" i="10"/>
  <c r="M168" i="10"/>
  <c r="L168" i="10"/>
  <c r="K168" i="10"/>
  <c r="J168" i="10"/>
  <c r="I168" i="10"/>
  <c r="H168" i="10"/>
  <c r="G168" i="10"/>
  <c r="F168" i="10"/>
  <c r="E168" i="10"/>
  <c r="D168" i="10"/>
  <c r="C168" i="10"/>
  <c r="B168" i="10"/>
  <c r="A168" i="10"/>
  <c r="O167" i="10"/>
  <c r="N167" i="10"/>
  <c r="M167" i="10"/>
  <c r="L167" i="10"/>
  <c r="K167" i="10"/>
  <c r="J167" i="10"/>
  <c r="I167" i="10"/>
  <c r="H167" i="10"/>
  <c r="G167" i="10"/>
  <c r="F167" i="10"/>
  <c r="E167" i="10"/>
  <c r="D167" i="10"/>
  <c r="C167" i="10"/>
  <c r="B167" i="10"/>
  <c r="A167" i="10"/>
  <c r="O166" i="10"/>
  <c r="N166" i="10"/>
  <c r="M166" i="10"/>
  <c r="L166" i="10"/>
  <c r="K166" i="10"/>
  <c r="J166" i="10"/>
  <c r="I166" i="10"/>
  <c r="H166" i="10"/>
  <c r="G166" i="10"/>
  <c r="F166" i="10"/>
  <c r="E166" i="10"/>
  <c r="D166" i="10"/>
  <c r="C166" i="10"/>
  <c r="B166" i="10"/>
  <c r="A166" i="10"/>
  <c r="O165" i="10"/>
  <c r="N165" i="10"/>
  <c r="M165" i="10"/>
  <c r="L165" i="10"/>
  <c r="K165" i="10"/>
  <c r="J165" i="10"/>
  <c r="I165" i="10"/>
  <c r="H165" i="10"/>
  <c r="G165" i="10"/>
  <c r="F165" i="10"/>
  <c r="E165" i="10"/>
  <c r="D165" i="10"/>
  <c r="C165" i="10"/>
  <c r="B165" i="10"/>
  <c r="A165" i="10"/>
  <c r="O164" i="10"/>
  <c r="N164" i="10"/>
  <c r="M164" i="10"/>
  <c r="L164" i="10"/>
  <c r="K164" i="10"/>
  <c r="J164" i="10"/>
  <c r="I164" i="10"/>
  <c r="H164" i="10"/>
  <c r="G164" i="10"/>
  <c r="F164" i="10"/>
  <c r="E164" i="10"/>
  <c r="D164" i="10"/>
  <c r="C164" i="10"/>
  <c r="B164" i="10"/>
  <c r="A164" i="10"/>
  <c r="O163" i="10"/>
  <c r="N163" i="10"/>
  <c r="M163" i="10"/>
  <c r="L163" i="10"/>
  <c r="K163" i="10"/>
  <c r="J163" i="10"/>
  <c r="I163" i="10"/>
  <c r="H163" i="10"/>
  <c r="G163" i="10"/>
  <c r="F163" i="10"/>
  <c r="E163" i="10"/>
  <c r="D163" i="10"/>
  <c r="C163" i="10"/>
  <c r="B163" i="10"/>
  <c r="A163" i="10"/>
  <c r="O162" i="10"/>
  <c r="N162" i="10"/>
  <c r="M162" i="10"/>
  <c r="L162" i="10"/>
  <c r="K162" i="10"/>
  <c r="J162" i="10"/>
  <c r="I162" i="10"/>
  <c r="H162" i="10"/>
  <c r="G162" i="10"/>
  <c r="F162" i="10"/>
  <c r="E162" i="10"/>
  <c r="D162" i="10"/>
  <c r="C162" i="10"/>
  <c r="B162" i="10"/>
  <c r="A162" i="10"/>
  <c r="O161" i="10"/>
  <c r="N161" i="10"/>
  <c r="M161" i="10"/>
  <c r="L161" i="10"/>
  <c r="K161" i="10"/>
  <c r="J161" i="10"/>
  <c r="I161" i="10"/>
  <c r="H161" i="10"/>
  <c r="G161" i="10"/>
  <c r="F161" i="10"/>
  <c r="E161" i="10"/>
  <c r="D161" i="10"/>
  <c r="C161" i="10"/>
  <c r="B161" i="10"/>
  <c r="A161" i="10"/>
  <c r="O160" i="10"/>
  <c r="N160" i="10"/>
  <c r="M160" i="10"/>
  <c r="L160" i="10"/>
  <c r="K160" i="10"/>
  <c r="J160" i="10"/>
  <c r="I160" i="10"/>
  <c r="H160" i="10"/>
  <c r="G160" i="10"/>
  <c r="F160" i="10"/>
  <c r="E160" i="10"/>
  <c r="D160" i="10"/>
  <c r="C160" i="10"/>
  <c r="B160" i="10"/>
  <c r="A160" i="10"/>
  <c r="O159" i="10"/>
  <c r="N159" i="10"/>
  <c r="M159" i="10"/>
  <c r="L159" i="10"/>
  <c r="K159" i="10"/>
  <c r="J159" i="10"/>
  <c r="I159" i="10"/>
  <c r="H159" i="10"/>
  <c r="G159" i="10"/>
  <c r="F159" i="10"/>
  <c r="E159" i="10"/>
  <c r="D159" i="10"/>
  <c r="C159" i="10"/>
  <c r="B159" i="10"/>
  <c r="A159" i="10"/>
  <c r="O158" i="10"/>
  <c r="N158" i="10"/>
  <c r="M158" i="10"/>
  <c r="L158" i="10"/>
  <c r="K158" i="10"/>
  <c r="J158" i="10"/>
  <c r="I158" i="10"/>
  <c r="H158" i="10"/>
  <c r="G158" i="10"/>
  <c r="F158" i="10"/>
  <c r="E158" i="10"/>
  <c r="D158" i="10"/>
  <c r="C158" i="10"/>
  <c r="B158" i="10"/>
  <c r="A158" i="10"/>
  <c r="O157" i="10"/>
  <c r="N157" i="10"/>
  <c r="M157" i="10"/>
  <c r="L157" i="10"/>
  <c r="K157" i="10"/>
  <c r="J157" i="10"/>
  <c r="I157" i="10"/>
  <c r="H157" i="10"/>
  <c r="G157" i="10"/>
  <c r="F157" i="10"/>
  <c r="E157" i="10"/>
  <c r="D157" i="10"/>
  <c r="C157" i="10"/>
  <c r="B157" i="10"/>
  <c r="A157" i="10"/>
  <c r="O156" i="10"/>
  <c r="N156" i="10"/>
  <c r="M156" i="10"/>
  <c r="L156" i="10"/>
  <c r="K156" i="10"/>
  <c r="J156" i="10"/>
  <c r="I156" i="10"/>
  <c r="H156" i="10"/>
  <c r="G156" i="10"/>
  <c r="F156" i="10"/>
  <c r="E156" i="10"/>
  <c r="D156" i="10"/>
  <c r="C156" i="10"/>
  <c r="B156" i="10"/>
  <c r="A156" i="10"/>
  <c r="O155" i="10"/>
  <c r="N155" i="10"/>
  <c r="M155" i="10"/>
  <c r="L155" i="10"/>
  <c r="K155" i="10"/>
  <c r="J155" i="10"/>
  <c r="I155" i="10"/>
  <c r="H155" i="10"/>
  <c r="G155" i="10"/>
  <c r="F155" i="10"/>
  <c r="E155" i="10"/>
  <c r="D155" i="10"/>
  <c r="C155" i="10"/>
  <c r="B155" i="10"/>
  <c r="A155" i="10"/>
  <c r="O154" i="10"/>
  <c r="N154" i="10"/>
  <c r="M154" i="10"/>
  <c r="L154" i="10"/>
  <c r="K154" i="10"/>
  <c r="J154" i="10"/>
  <c r="I154" i="10"/>
  <c r="H154" i="10"/>
  <c r="G154" i="10"/>
  <c r="F154" i="10"/>
  <c r="E154" i="10"/>
  <c r="D154" i="10"/>
  <c r="C154" i="10"/>
  <c r="B154" i="10"/>
  <c r="A154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O152" i="10"/>
  <c r="N152" i="10"/>
  <c r="M152" i="10"/>
  <c r="L152" i="10"/>
  <c r="K152" i="10"/>
  <c r="J152" i="10"/>
  <c r="I152" i="10"/>
  <c r="H152" i="10"/>
  <c r="G152" i="10"/>
  <c r="F152" i="10"/>
  <c r="E152" i="10"/>
  <c r="D152" i="10"/>
  <c r="C152" i="10"/>
  <c r="B152" i="10"/>
  <c r="A152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A151" i="10"/>
  <c r="O150" i="10"/>
  <c r="N150" i="10"/>
  <c r="M150" i="10"/>
  <c r="L150" i="10"/>
  <c r="K150" i="10"/>
  <c r="J150" i="10"/>
  <c r="I150" i="10"/>
  <c r="H150" i="10"/>
  <c r="G150" i="10"/>
  <c r="F150" i="10"/>
  <c r="E150" i="10"/>
  <c r="D150" i="10"/>
  <c r="C150" i="10"/>
  <c r="B150" i="10"/>
  <c r="A150" i="10"/>
  <c r="O149" i="10"/>
  <c r="N149" i="10"/>
  <c r="M149" i="10"/>
  <c r="L149" i="10"/>
  <c r="K149" i="10"/>
  <c r="J149" i="10"/>
  <c r="I149" i="10"/>
  <c r="H149" i="10"/>
  <c r="G149" i="10"/>
  <c r="F149" i="10"/>
  <c r="E149" i="10"/>
  <c r="D149" i="10"/>
  <c r="C149" i="10"/>
  <c r="B149" i="10"/>
  <c r="A149" i="10"/>
  <c r="O148" i="10"/>
  <c r="N148" i="10"/>
  <c r="M148" i="10"/>
  <c r="L148" i="10"/>
  <c r="K148" i="10"/>
  <c r="J148" i="10"/>
  <c r="I148" i="10"/>
  <c r="H148" i="10"/>
  <c r="G148" i="10"/>
  <c r="F148" i="10"/>
  <c r="E148" i="10"/>
  <c r="D148" i="10"/>
  <c r="C148" i="10"/>
  <c r="B148" i="10"/>
  <c r="A148" i="10"/>
  <c r="O147" i="10"/>
  <c r="N147" i="10"/>
  <c r="M147" i="10"/>
  <c r="L147" i="10"/>
  <c r="K147" i="10"/>
  <c r="J147" i="10"/>
  <c r="I147" i="10"/>
  <c r="H147" i="10"/>
  <c r="G147" i="10"/>
  <c r="F147" i="10"/>
  <c r="E147" i="10"/>
  <c r="D147" i="10"/>
  <c r="C147" i="10"/>
  <c r="B147" i="10"/>
  <c r="A147" i="10"/>
  <c r="O146" i="10"/>
  <c r="N146" i="10"/>
  <c r="M146" i="10"/>
  <c r="L146" i="10"/>
  <c r="K146" i="10"/>
  <c r="J146" i="10"/>
  <c r="I146" i="10"/>
  <c r="H146" i="10"/>
  <c r="G146" i="10"/>
  <c r="F146" i="10"/>
  <c r="E146" i="10"/>
  <c r="D146" i="10"/>
  <c r="C146" i="10"/>
  <c r="B146" i="10"/>
  <c r="A146" i="10"/>
  <c r="O145" i="10"/>
  <c r="N145" i="10"/>
  <c r="M145" i="10"/>
  <c r="L145" i="10"/>
  <c r="K145" i="10"/>
  <c r="J145" i="10"/>
  <c r="I145" i="10"/>
  <c r="H145" i="10"/>
  <c r="G145" i="10"/>
  <c r="F145" i="10"/>
  <c r="E145" i="10"/>
  <c r="D145" i="10"/>
  <c r="C145" i="10"/>
  <c r="B145" i="10"/>
  <c r="A145" i="10"/>
  <c r="O144" i="10"/>
  <c r="N144" i="10"/>
  <c r="M144" i="10"/>
  <c r="L144" i="10"/>
  <c r="K144" i="10"/>
  <c r="J144" i="10"/>
  <c r="I144" i="10"/>
  <c r="H144" i="10"/>
  <c r="G144" i="10"/>
  <c r="F144" i="10"/>
  <c r="E144" i="10"/>
  <c r="D144" i="10"/>
  <c r="C144" i="10"/>
  <c r="B144" i="10"/>
  <c r="A144" i="10"/>
  <c r="O143" i="10"/>
  <c r="N143" i="10"/>
  <c r="M143" i="10"/>
  <c r="L143" i="10"/>
  <c r="K143" i="10"/>
  <c r="J143" i="10"/>
  <c r="I143" i="10"/>
  <c r="H143" i="10"/>
  <c r="G143" i="10"/>
  <c r="F143" i="10"/>
  <c r="E143" i="10"/>
  <c r="D143" i="10"/>
  <c r="C143" i="10"/>
  <c r="B143" i="10"/>
  <c r="A143" i="10"/>
  <c r="O142" i="10"/>
  <c r="N142" i="10"/>
  <c r="M142" i="10"/>
  <c r="L142" i="10"/>
  <c r="K142" i="10"/>
  <c r="J142" i="10"/>
  <c r="I142" i="10"/>
  <c r="H142" i="10"/>
  <c r="G142" i="10"/>
  <c r="F142" i="10"/>
  <c r="E142" i="10"/>
  <c r="D142" i="10"/>
  <c r="C142" i="10"/>
  <c r="B142" i="10"/>
  <c r="A142" i="10"/>
  <c r="O141" i="10"/>
  <c r="N141" i="10"/>
  <c r="M141" i="10"/>
  <c r="L141" i="10"/>
  <c r="K141" i="10"/>
  <c r="J141" i="10"/>
  <c r="I141" i="10"/>
  <c r="H141" i="10"/>
  <c r="G141" i="10"/>
  <c r="F141" i="10"/>
  <c r="E141" i="10"/>
  <c r="D141" i="10"/>
  <c r="C141" i="10"/>
  <c r="B141" i="10"/>
  <c r="A141" i="10"/>
  <c r="O140" i="10"/>
  <c r="N140" i="10"/>
  <c r="M140" i="10"/>
  <c r="L140" i="10"/>
  <c r="K140" i="10"/>
  <c r="J140" i="10"/>
  <c r="I140" i="10"/>
  <c r="H140" i="10"/>
  <c r="G140" i="10"/>
  <c r="F140" i="10"/>
  <c r="E140" i="10"/>
  <c r="D140" i="10"/>
  <c r="C140" i="10"/>
  <c r="B140" i="10"/>
  <c r="A140" i="10"/>
  <c r="O139" i="10"/>
  <c r="N139" i="10"/>
  <c r="M139" i="10"/>
  <c r="L139" i="10"/>
  <c r="K139" i="10"/>
  <c r="J139" i="10"/>
  <c r="I139" i="10"/>
  <c r="H139" i="10"/>
  <c r="G139" i="10"/>
  <c r="F139" i="10"/>
  <c r="E139" i="10"/>
  <c r="D139" i="10"/>
  <c r="C139" i="10"/>
  <c r="B139" i="10"/>
  <c r="A139" i="10"/>
  <c r="O138" i="10"/>
  <c r="N138" i="10"/>
  <c r="M138" i="10"/>
  <c r="L138" i="10"/>
  <c r="K138" i="10"/>
  <c r="J138" i="10"/>
  <c r="I138" i="10"/>
  <c r="H138" i="10"/>
  <c r="G138" i="10"/>
  <c r="F138" i="10"/>
  <c r="E138" i="10"/>
  <c r="D138" i="10"/>
  <c r="C138" i="10"/>
  <c r="B138" i="10"/>
  <c r="A138" i="10"/>
  <c r="O137" i="10"/>
  <c r="N137" i="10"/>
  <c r="M137" i="10"/>
  <c r="L137" i="10"/>
  <c r="K137" i="10"/>
  <c r="J137" i="10"/>
  <c r="I137" i="10"/>
  <c r="H137" i="10"/>
  <c r="G137" i="10"/>
  <c r="F137" i="10"/>
  <c r="E137" i="10"/>
  <c r="D137" i="10"/>
  <c r="C137" i="10"/>
  <c r="B137" i="10"/>
  <c r="A137" i="10"/>
  <c r="O136" i="10"/>
  <c r="N136" i="10"/>
  <c r="M136" i="10"/>
  <c r="L136" i="10"/>
  <c r="K136" i="10"/>
  <c r="J136" i="10"/>
  <c r="I136" i="10"/>
  <c r="H136" i="10"/>
  <c r="G136" i="10"/>
  <c r="F136" i="10"/>
  <c r="E136" i="10"/>
  <c r="D136" i="10"/>
  <c r="C136" i="10"/>
  <c r="B136" i="10"/>
  <c r="A136" i="10"/>
  <c r="O135" i="10"/>
  <c r="N135" i="10"/>
  <c r="M135" i="10"/>
  <c r="L135" i="10"/>
  <c r="K135" i="10"/>
  <c r="J135" i="10"/>
  <c r="I135" i="10"/>
  <c r="H135" i="10"/>
  <c r="G135" i="10"/>
  <c r="F135" i="10"/>
  <c r="E135" i="10"/>
  <c r="D135" i="10"/>
  <c r="C135" i="10"/>
  <c r="B135" i="10"/>
  <c r="A135" i="10"/>
  <c r="O134" i="10"/>
  <c r="N134" i="10"/>
  <c r="M134" i="10"/>
  <c r="L134" i="10"/>
  <c r="K134" i="10"/>
  <c r="J134" i="10"/>
  <c r="I134" i="10"/>
  <c r="H134" i="10"/>
  <c r="G134" i="10"/>
  <c r="F134" i="10"/>
  <c r="E134" i="10"/>
  <c r="D134" i="10"/>
  <c r="C134" i="10"/>
  <c r="B134" i="10"/>
  <c r="A134" i="10"/>
  <c r="O133" i="10"/>
  <c r="N133" i="10"/>
  <c r="M133" i="10"/>
  <c r="L133" i="10"/>
  <c r="K133" i="10"/>
  <c r="J133" i="10"/>
  <c r="I133" i="10"/>
  <c r="H133" i="10"/>
  <c r="G133" i="10"/>
  <c r="F133" i="10"/>
  <c r="E133" i="10"/>
  <c r="D133" i="10"/>
  <c r="C133" i="10"/>
  <c r="B133" i="10"/>
  <c r="A133" i="10"/>
  <c r="O132" i="10"/>
  <c r="N132" i="10"/>
  <c r="M132" i="10"/>
  <c r="L132" i="10"/>
  <c r="K132" i="10"/>
  <c r="J132" i="10"/>
  <c r="I132" i="10"/>
  <c r="H132" i="10"/>
  <c r="G132" i="10"/>
  <c r="F132" i="10"/>
  <c r="E132" i="10"/>
  <c r="D132" i="10"/>
  <c r="C132" i="10"/>
  <c r="B132" i="10"/>
  <c r="A132" i="10"/>
  <c r="O131" i="10"/>
  <c r="N131" i="10"/>
  <c r="M131" i="10"/>
  <c r="L131" i="10"/>
  <c r="K131" i="10"/>
  <c r="J131" i="10"/>
  <c r="I131" i="10"/>
  <c r="H131" i="10"/>
  <c r="G131" i="10"/>
  <c r="F131" i="10"/>
  <c r="E131" i="10"/>
  <c r="D131" i="10"/>
  <c r="C131" i="10"/>
  <c r="B131" i="10"/>
  <c r="A131" i="10"/>
  <c r="O130" i="10"/>
  <c r="N130" i="10"/>
  <c r="M130" i="10"/>
  <c r="L130" i="10"/>
  <c r="K130" i="10"/>
  <c r="J130" i="10"/>
  <c r="I130" i="10"/>
  <c r="H130" i="10"/>
  <c r="G130" i="10"/>
  <c r="F130" i="10"/>
  <c r="E130" i="10"/>
  <c r="D130" i="10"/>
  <c r="C130" i="10"/>
  <c r="B130" i="10"/>
  <c r="A130" i="10"/>
  <c r="O129" i="10"/>
  <c r="N129" i="10"/>
  <c r="M129" i="10"/>
  <c r="L129" i="10"/>
  <c r="K129" i="10"/>
  <c r="J129" i="10"/>
  <c r="I129" i="10"/>
  <c r="H129" i="10"/>
  <c r="G129" i="10"/>
  <c r="F129" i="10"/>
  <c r="E129" i="10"/>
  <c r="D129" i="10"/>
  <c r="C129" i="10"/>
  <c r="B129" i="10"/>
  <c r="A129" i="10"/>
  <c r="O128" i="10"/>
  <c r="N128" i="10"/>
  <c r="M128" i="10"/>
  <c r="L128" i="10"/>
  <c r="K128" i="10"/>
  <c r="J128" i="10"/>
  <c r="I128" i="10"/>
  <c r="H128" i="10"/>
  <c r="G128" i="10"/>
  <c r="F128" i="10"/>
  <c r="E128" i="10"/>
  <c r="D128" i="10"/>
  <c r="C128" i="10"/>
  <c r="B128" i="10"/>
  <c r="A128" i="10"/>
  <c r="O127" i="10"/>
  <c r="N127" i="10"/>
  <c r="M127" i="10"/>
  <c r="L127" i="10"/>
  <c r="K127" i="10"/>
  <c r="J127" i="10"/>
  <c r="I127" i="10"/>
  <c r="H127" i="10"/>
  <c r="G127" i="10"/>
  <c r="F127" i="10"/>
  <c r="E127" i="10"/>
  <c r="D127" i="10"/>
  <c r="C127" i="10"/>
  <c r="B127" i="10"/>
  <c r="A127" i="10"/>
  <c r="O126" i="10"/>
  <c r="N126" i="10"/>
  <c r="M126" i="10"/>
  <c r="L126" i="10"/>
  <c r="K126" i="10"/>
  <c r="J126" i="10"/>
  <c r="I126" i="10"/>
  <c r="H126" i="10"/>
  <c r="G126" i="10"/>
  <c r="F126" i="10"/>
  <c r="E126" i="10"/>
  <c r="D126" i="10"/>
  <c r="C126" i="10"/>
  <c r="B126" i="10"/>
  <c r="A126" i="10"/>
  <c r="O125" i="10"/>
  <c r="N125" i="10"/>
  <c r="M125" i="10"/>
  <c r="L125" i="10"/>
  <c r="K125" i="10"/>
  <c r="J125" i="10"/>
  <c r="I125" i="10"/>
  <c r="H125" i="10"/>
  <c r="G125" i="10"/>
  <c r="F125" i="10"/>
  <c r="E125" i="10"/>
  <c r="D125" i="10"/>
  <c r="C125" i="10"/>
  <c r="B125" i="10"/>
  <c r="A125" i="10"/>
  <c r="O124" i="10"/>
  <c r="N124" i="10"/>
  <c r="M124" i="10"/>
  <c r="L124" i="10"/>
  <c r="K124" i="10"/>
  <c r="J124" i="10"/>
  <c r="I124" i="10"/>
  <c r="H124" i="10"/>
  <c r="G124" i="10"/>
  <c r="F124" i="10"/>
  <c r="E124" i="10"/>
  <c r="D124" i="10"/>
  <c r="C124" i="10"/>
  <c r="B124" i="10"/>
  <c r="A124" i="10"/>
  <c r="O123" i="10"/>
  <c r="N123" i="10"/>
  <c r="M123" i="10"/>
  <c r="L123" i="10"/>
  <c r="K123" i="10"/>
  <c r="J123" i="10"/>
  <c r="I123" i="10"/>
  <c r="H123" i="10"/>
  <c r="G123" i="10"/>
  <c r="F123" i="10"/>
  <c r="E123" i="10"/>
  <c r="D123" i="10"/>
  <c r="C123" i="10"/>
  <c r="B123" i="10"/>
  <c r="A123" i="10"/>
  <c r="O122" i="10"/>
  <c r="N122" i="10"/>
  <c r="M122" i="10"/>
  <c r="L122" i="10"/>
  <c r="K122" i="10"/>
  <c r="J122" i="10"/>
  <c r="I122" i="10"/>
  <c r="H122" i="10"/>
  <c r="G122" i="10"/>
  <c r="F122" i="10"/>
  <c r="E122" i="10"/>
  <c r="D122" i="10"/>
  <c r="C122" i="10"/>
  <c r="B122" i="10"/>
  <c r="A122" i="10"/>
  <c r="O121" i="10"/>
  <c r="N121" i="10"/>
  <c r="M121" i="10"/>
  <c r="L121" i="10"/>
  <c r="K121" i="10"/>
  <c r="J121" i="10"/>
  <c r="I121" i="10"/>
  <c r="H121" i="10"/>
  <c r="G121" i="10"/>
  <c r="F121" i="10"/>
  <c r="E121" i="10"/>
  <c r="D121" i="10"/>
  <c r="C121" i="10"/>
  <c r="B121" i="10"/>
  <c r="A121" i="10"/>
  <c r="O120" i="10"/>
  <c r="N120" i="10"/>
  <c r="M120" i="10"/>
  <c r="L120" i="10"/>
  <c r="K120" i="10"/>
  <c r="J120" i="10"/>
  <c r="I120" i="10"/>
  <c r="H120" i="10"/>
  <c r="G120" i="10"/>
  <c r="F120" i="10"/>
  <c r="E120" i="10"/>
  <c r="D120" i="10"/>
  <c r="C120" i="10"/>
  <c r="B120" i="10"/>
  <c r="A120" i="10"/>
  <c r="O119" i="10"/>
  <c r="N119" i="10"/>
  <c r="M119" i="10"/>
  <c r="L119" i="10"/>
  <c r="K119" i="10"/>
  <c r="J119" i="10"/>
  <c r="I119" i="10"/>
  <c r="H119" i="10"/>
  <c r="G119" i="10"/>
  <c r="F119" i="10"/>
  <c r="E119" i="10"/>
  <c r="D119" i="10"/>
  <c r="C119" i="10"/>
  <c r="B119" i="10"/>
  <c r="A119" i="10"/>
  <c r="O118" i="10"/>
  <c r="N118" i="10"/>
  <c r="M118" i="10"/>
  <c r="L118" i="10"/>
  <c r="K118" i="10"/>
  <c r="J118" i="10"/>
  <c r="I118" i="10"/>
  <c r="H118" i="10"/>
  <c r="G118" i="10"/>
  <c r="F118" i="10"/>
  <c r="E118" i="10"/>
  <c r="D118" i="10"/>
  <c r="C118" i="10"/>
  <c r="B118" i="10"/>
  <c r="A118" i="10"/>
  <c r="O117" i="10"/>
  <c r="N117" i="10"/>
  <c r="M117" i="10"/>
  <c r="L117" i="10"/>
  <c r="K117" i="10"/>
  <c r="J117" i="10"/>
  <c r="I117" i="10"/>
  <c r="H117" i="10"/>
  <c r="G117" i="10"/>
  <c r="F117" i="10"/>
  <c r="E117" i="10"/>
  <c r="D117" i="10"/>
  <c r="C117" i="10"/>
  <c r="B117" i="10"/>
  <c r="A117" i="10"/>
  <c r="O116" i="10"/>
  <c r="N116" i="10"/>
  <c r="M116" i="10"/>
  <c r="L116" i="10"/>
  <c r="K116" i="10"/>
  <c r="J116" i="10"/>
  <c r="I116" i="10"/>
  <c r="H116" i="10"/>
  <c r="G116" i="10"/>
  <c r="F116" i="10"/>
  <c r="E116" i="10"/>
  <c r="D116" i="10"/>
  <c r="C116" i="10"/>
  <c r="B116" i="10"/>
  <c r="A116" i="10"/>
  <c r="O115" i="10"/>
  <c r="N115" i="10"/>
  <c r="M115" i="10"/>
  <c r="L115" i="10"/>
  <c r="K115" i="10"/>
  <c r="J115" i="10"/>
  <c r="I115" i="10"/>
  <c r="H115" i="10"/>
  <c r="G115" i="10"/>
  <c r="F115" i="10"/>
  <c r="E115" i="10"/>
  <c r="D115" i="10"/>
  <c r="C115" i="10"/>
  <c r="B115" i="10"/>
  <c r="A115" i="10"/>
  <c r="O114" i="10"/>
  <c r="N114" i="10"/>
  <c r="M114" i="10"/>
  <c r="L114" i="10"/>
  <c r="K114" i="10"/>
  <c r="J114" i="10"/>
  <c r="I114" i="10"/>
  <c r="H114" i="10"/>
  <c r="G114" i="10"/>
  <c r="F114" i="10"/>
  <c r="E114" i="10"/>
  <c r="D114" i="10"/>
  <c r="C114" i="10"/>
  <c r="B114" i="10"/>
  <c r="A114" i="10"/>
  <c r="O113" i="10"/>
  <c r="N113" i="10"/>
  <c r="M113" i="10"/>
  <c r="L113" i="10"/>
  <c r="K113" i="10"/>
  <c r="J113" i="10"/>
  <c r="I113" i="10"/>
  <c r="H113" i="10"/>
  <c r="G113" i="10"/>
  <c r="F113" i="10"/>
  <c r="E113" i="10"/>
  <c r="D113" i="10"/>
  <c r="C113" i="10"/>
  <c r="B113" i="10"/>
  <c r="A113" i="10"/>
  <c r="O112" i="10"/>
  <c r="N112" i="10"/>
  <c r="M112" i="10"/>
  <c r="L112" i="10"/>
  <c r="K112" i="10"/>
  <c r="J112" i="10"/>
  <c r="I112" i="10"/>
  <c r="H112" i="10"/>
  <c r="G112" i="10"/>
  <c r="F112" i="10"/>
  <c r="E112" i="10"/>
  <c r="D112" i="10"/>
  <c r="C112" i="10"/>
  <c r="B112" i="10"/>
  <c r="A112" i="10"/>
  <c r="O111" i="10"/>
  <c r="N111" i="10"/>
  <c r="M111" i="10"/>
  <c r="L111" i="10"/>
  <c r="K111" i="10"/>
  <c r="J111" i="10"/>
  <c r="I111" i="10"/>
  <c r="H111" i="10"/>
  <c r="G111" i="10"/>
  <c r="F111" i="10"/>
  <c r="E111" i="10"/>
  <c r="D111" i="10"/>
  <c r="C111" i="10"/>
  <c r="B111" i="10"/>
  <c r="A111" i="10"/>
  <c r="O110" i="10"/>
  <c r="N110" i="10"/>
  <c r="M110" i="10"/>
  <c r="L110" i="10"/>
  <c r="K110" i="10"/>
  <c r="J110" i="10"/>
  <c r="I110" i="10"/>
  <c r="H110" i="10"/>
  <c r="G110" i="10"/>
  <c r="F110" i="10"/>
  <c r="E110" i="10"/>
  <c r="D110" i="10"/>
  <c r="C110" i="10"/>
  <c r="B110" i="10"/>
  <c r="A110" i="10"/>
  <c r="O109" i="10"/>
  <c r="N109" i="10"/>
  <c r="M109" i="10"/>
  <c r="L109" i="10"/>
  <c r="K109" i="10"/>
  <c r="J109" i="10"/>
  <c r="I109" i="10"/>
  <c r="H109" i="10"/>
  <c r="G109" i="10"/>
  <c r="F109" i="10"/>
  <c r="E109" i="10"/>
  <c r="D109" i="10"/>
  <c r="C109" i="10"/>
  <c r="B109" i="10"/>
  <c r="A109" i="10"/>
  <c r="O108" i="10"/>
  <c r="N108" i="10"/>
  <c r="M108" i="10"/>
  <c r="L108" i="10"/>
  <c r="K108" i="10"/>
  <c r="J108" i="10"/>
  <c r="I108" i="10"/>
  <c r="H108" i="10"/>
  <c r="G108" i="10"/>
  <c r="F108" i="10"/>
  <c r="E108" i="10"/>
  <c r="D108" i="10"/>
  <c r="C108" i="10"/>
  <c r="B108" i="10"/>
  <c r="A108" i="10"/>
  <c r="O107" i="10"/>
  <c r="N107" i="10"/>
  <c r="M107" i="10"/>
  <c r="L107" i="10"/>
  <c r="K107" i="10"/>
  <c r="J107" i="10"/>
  <c r="I107" i="10"/>
  <c r="H107" i="10"/>
  <c r="G107" i="10"/>
  <c r="F107" i="10"/>
  <c r="E107" i="10"/>
  <c r="D107" i="10"/>
  <c r="C107" i="10"/>
  <c r="B107" i="10"/>
  <c r="A107" i="10"/>
  <c r="O106" i="10"/>
  <c r="N106" i="10"/>
  <c r="M106" i="10"/>
  <c r="L106" i="10"/>
  <c r="K106" i="10"/>
  <c r="J106" i="10"/>
  <c r="I106" i="10"/>
  <c r="H106" i="10"/>
  <c r="G106" i="10"/>
  <c r="F106" i="10"/>
  <c r="E106" i="10"/>
  <c r="D106" i="10"/>
  <c r="C106" i="10"/>
  <c r="B106" i="10"/>
  <c r="A106" i="10"/>
  <c r="O105" i="10"/>
  <c r="N105" i="10"/>
  <c r="M105" i="10"/>
  <c r="L105" i="10"/>
  <c r="K105" i="10"/>
  <c r="J105" i="10"/>
  <c r="I105" i="10"/>
  <c r="H105" i="10"/>
  <c r="G105" i="10"/>
  <c r="F105" i="10"/>
  <c r="E105" i="10"/>
  <c r="D105" i="10"/>
  <c r="C105" i="10"/>
  <c r="B105" i="10"/>
  <c r="A105" i="10"/>
  <c r="O104" i="10"/>
  <c r="N104" i="10"/>
  <c r="M104" i="10"/>
  <c r="L104" i="10"/>
  <c r="K104" i="10"/>
  <c r="J104" i="10"/>
  <c r="I104" i="10"/>
  <c r="H104" i="10"/>
  <c r="G104" i="10"/>
  <c r="F104" i="10"/>
  <c r="E104" i="10"/>
  <c r="D104" i="10"/>
  <c r="C104" i="10"/>
  <c r="B104" i="10"/>
  <c r="A104" i="10"/>
  <c r="O103" i="10"/>
  <c r="N103" i="10"/>
  <c r="M103" i="10"/>
  <c r="L103" i="10"/>
  <c r="K103" i="10"/>
  <c r="J103" i="10"/>
  <c r="I103" i="10"/>
  <c r="H103" i="10"/>
  <c r="G103" i="10"/>
  <c r="F103" i="10"/>
  <c r="E103" i="10"/>
  <c r="D103" i="10"/>
  <c r="C103" i="10"/>
  <c r="B103" i="10"/>
  <c r="A103" i="10"/>
  <c r="O102" i="10"/>
  <c r="N102" i="10"/>
  <c r="M102" i="10"/>
  <c r="L102" i="10"/>
  <c r="K102" i="10"/>
  <c r="J102" i="10"/>
  <c r="I102" i="10"/>
  <c r="H102" i="10"/>
  <c r="G102" i="10"/>
  <c r="F102" i="10"/>
  <c r="E102" i="10"/>
  <c r="D102" i="10"/>
  <c r="C102" i="10"/>
  <c r="B102" i="10"/>
  <c r="A102" i="10"/>
  <c r="O101" i="10"/>
  <c r="N101" i="10"/>
  <c r="M101" i="10"/>
  <c r="L101" i="10"/>
  <c r="K101" i="10"/>
  <c r="J101" i="10"/>
  <c r="I101" i="10"/>
  <c r="H101" i="10"/>
  <c r="G101" i="10"/>
  <c r="F101" i="10"/>
  <c r="E101" i="10"/>
  <c r="D101" i="10"/>
  <c r="C101" i="10"/>
  <c r="B101" i="10"/>
  <c r="A101" i="10"/>
  <c r="O100" i="10"/>
  <c r="N100" i="10"/>
  <c r="M100" i="10"/>
  <c r="L100" i="10"/>
  <c r="K100" i="10"/>
  <c r="J100" i="10"/>
  <c r="I100" i="10"/>
  <c r="H100" i="10"/>
  <c r="G100" i="10"/>
  <c r="F100" i="10"/>
  <c r="E100" i="10"/>
  <c r="D100" i="10"/>
  <c r="C100" i="10"/>
  <c r="B100" i="10"/>
  <c r="A100" i="10"/>
  <c r="O99" i="10"/>
  <c r="N99" i="10"/>
  <c r="M99" i="10"/>
  <c r="L99" i="10"/>
  <c r="K99" i="10"/>
  <c r="J99" i="10"/>
  <c r="I99" i="10"/>
  <c r="H99" i="10"/>
  <c r="G99" i="10"/>
  <c r="F99" i="10"/>
  <c r="E99" i="10"/>
  <c r="D99" i="10"/>
  <c r="C99" i="10"/>
  <c r="B99" i="10"/>
  <c r="A99" i="10"/>
  <c r="O98" i="10"/>
  <c r="N98" i="10"/>
  <c r="M98" i="10"/>
  <c r="L98" i="10"/>
  <c r="K98" i="10"/>
  <c r="J98" i="10"/>
  <c r="I98" i="10"/>
  <c r="H98" i="10"/>
  <c r="G98" i="10"/>
  <c r="F98" i="10"/>
  <c r="E98" i="10"/>
  <c r="D98" i="10"/>
  <c r="C98" i="10"/>
  <c r="B98" i="10"/>
  <c r="A98" i="10"/>
  <c r="O97" i="10"/>
  <c r="N97" i="10"/>
  <c r="M97" i="10"/>
  <c r="L97" i="10"/>
  <c r="K97" i="10"/>
  <c r="J97" i="10"/>
  <c r="I97" i="10"/>
  <c r="H97" i="10"/>
  <c r="G97" i="10"/>
  <c r="F97" i="10"/>
  <c r="E97" i="10"/>
  <c r="D97" i="10"/>
  <c r="C97" i="10"/>
  <c r="B97" i="10"/>
  <c r="A97" i="10"/>
  <c r="O96" i="10"/>
  <c r="N96" i="10"/>
  <c r="M96" i="10"/>
  <c r="L96" i="10"/>
  <c r="K96" i="10"/>
  <c r="J96" i="10"/>
  <c r="I96" i="10"/>
  <c r="H96" i="10"/>
  <c r="G96" i="10"/>
  <c r="F96" i="10"/>
  <c r="E96" i="10"/>
  <c r="D96" i="10"/>
  <c r="C96" i="10"/>
  <c r="B96" i="10"/>
  <c r="A96" i="10"/>
  <c r="O95" i="10"/>
  <c r="N95" i="10"/>
  <c r="M95" i="10"/>
  <c r="L95" i="10"/>
  <c r="K95" i="10"/>
  <c r="J95" i="10"/>
  <c r="I95" i="10"/>
  <c r="H95" i="10"/>
  <c r="G95" i="10"/>
  <c r="F95" i="10"/>
  <c r="E95" i="10"/>
  <c r="D95" i="10"/>
  <c r="C95" i="10"/>
  <c r="B95" i="10"/>
  <c r="A95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B94" i="10"/>
  <c r="A94" i="10"/>
  <c r="O93" i="10"/>
  <c r="N93" i="10"/>
  <c r="M93" i="10"/>
  <c r="L93" i="10"/>
  <c r="K93" i="10"/>
  <c r="J93" i="10"/>
  <c r="I93" i="10"/>
  <c r="H93" i="10"/>
  <c r="G93" i="10"/>
  <c r="F93" i="10"/>
  <c r="E93" i="10"/>
  <c r="D93" i="10"/>
  <c r="C93" i="10"/>
  <c r="B93" i="10"/>
  <c r="A93" i="10"/>
  <c r="O92" i="10"/>
  <c r="N92" i="10"/>
  <c r="M92" i="10"/>
  <c r="L92" i="10"/>
  <c r="K92" i="10"/>
  <c r="J92" i="10"/>
  <c r="I92" i="10"/>
  <c r="H92" i="10"/>
  <c r="G92" i="10"/>
  <c r="F92" i="10"/>
  <c r="E92" i="10"/>
  <c r="D92" i="10"/>
  <c r="C92" i="10"/>
  <c r="B92" i="10"/>
  <c r="A92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A91" i="10"/>
  <c r="O90" i="10"/>
  <c r="N90" i="10"/>
  <c r="M90" i="10"/>
  <c r="L90" i="10"/>
  <c r="K90" i="10"/>
  <c r="J90" i="10"/>
  <c r="I90" i="10"/>
  <c r="H90" i="10"/>
  <c r="G90" i="10"/>
  <c r="F90" i="10"/>
  <c r="E90" i="10"/>
  <c r="D90" i="10"/>
  <c r="C90" i="10"/>
  <c r="B90" i="10"/>
  <c r="A90" i="10"/>
  <c r="O89" i="10"/>
  <c r="N89" i="10"/>
  <c r="M89" i="10"/>
  <c r="L89" i="10"/>
  <c r="K89" i="10"/>
  <c r="J89" i="10"/>
  <c r="I89" i="10"/>
  <c r="H89" i="10"/>
  <c r="G89" i="10"/>
  <c r="F89" i="10"/>
  <c r="E89" i="10"/>
  <c r="D89" i="10"/>
  <c r="C89" i="10"/>
  <c r="B89" i="10"/>
  <c r="A89" i="10"/>
  <c r="O88" i="10"/>
  <c r="N88" i="10"/>
  <c r="M88" i="10"/>
  <c r="L88" i="10"/>
  <c r="K88" i="10"/>
  <c r="J88" i="10"/>
  <c r="I88" i="10"/>
  <c r="H88" i="10"/>
  <c r="G88" i="10"/>
  <c r="F88" i="10"/>
  <c r="E88" i="10"/>
  <c r="D88" i="10"/>
  <c r="C88" i="10"/>
  <c r="B88" i="10"/>
  <c r="A88" i="10"/>
  <c r="O87" i="10"/>
  <c r="N87" i="10"/>
  <c r="M87" i="10"/>
  <c r="L87" i="10"/>
  <c r="K87" i="10"/>
  <c r="J87" i="10"/>
  <c r="I87" i="10"/>
  <c r="H87" i="10"/>
  <c r="G87" i="10"/>
  <c r="F87" i="10"/>
  <c r="E87" i="10"/>
  <c r="D87" i="10"/>
  <c r="C87" i="10"/>
  <c r="B87" i="10"/>
  <c r="A87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C86" i="10"/>
  <c r="B86" i="10"/>
  <c r="A86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C85" i="10"/>
  <c r="B85" i="10"/>
  <c r="A85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A84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C83" i="10"/>
  <c r="B83" i="10"/>
  <c r="A83" i="10"/>
  <c r="O82" i="10"/>
  <c r="N82" i="10"/>
  <c r="M82" i="10"/>
  <c r="L82" i="10"/>
  <c r="K82" i="10"/>
  <c r="J82" i="10"/>
  <c r="I82" i="10"/>
  <c r="H82" i="10"/>
  <c r="G82" i="10"/>
  <c r="F82" i="10"/>
  <c r="E82" i="10"/>
  <c r="D82" i="10"/>
  <c r="C82" i="10"/>
  <c r="B82" i="10"/>
  <c r="A82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A81" i="10"/>
  <c r="O80" i="10"/>
  <c r="N80" i="10"/>
  <c r="M80" i="10"/>
  <c r="L80" i="10"/>
  <c r="K80" i="10"/>
  <c r="J80" i="10"/>
  <c r="I80" i="10"/>
  <c r="H80" i="10"/>
  <c r="G80" i="10"/>
  <c r="F80" i="10"/>
  <c r="E80" i="10"/>
  <c r="D80" i="10"/>
  <c r="C80" i="10"/>
  <c r="B80" i="10"/>
  <c r="A80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C79" i="10"/>
  <c r="B79" i="10"/>
  <c r="A79" i="10"/>
  <c r="O78" i="10"/>
  <c r="N78" i="10"/>
  <c r="M78" i="10"/>
  <c r="L78" i="10"/>
  <c r="K78" i="10"/>
  <c r="J78" i="10"/>
  <c r="I78" i="10"/>
  <c r="H78" i="10"/>
  <c r="G78" i="10"/>
  <c r="F78" i="10"/>
  <c r="E78" i="10"/>
  <c r="D78" i="10"/>
  <c r="C78" i="10"/>
  <c r="B78" i="10"/>
  <c r="A78" i="10"/>
  <c r="O77" i="10"/>
  <c r="N77" i="10"/>
  <c r="M77" i="10"/>
  <c r="L77" i="10"/>
  <c r="K77" i="10"/>
  <c r="J77" i="10"/>
  <c r="I77" i="10"/>
  <c r="H77" i="10"/>
  <c r="G77" i="10"/>
  <c r="F77" i="10"/>
  <c r="E77" i="10"/>
  <c r="D77" i="10"/>
  <c r="C77" i="10"/>
  <c r="B77" i="10"/>
  <c r="A77" i="10"/>
  <c r="O76" i="10"/>
  <c r="N76" i="10"/>
  <c r="M76" i="10"/>
  <c r="L76" i="10"/>
  <c r="K76" i="10"/>
  <c r="J76" i="10"/>
  <c r="I76" i="10"/>
  <c r="H76" i="10"/>
  <c r="G76" i="10"/>
  <c r="F76" i="10"/>
  <c r="E76" i="10"/>
  <c r="D76" i="10"/>
  <c r="C76" i="10"/>
  <c r="B76" i="10"/>
  <c r="A76" i="10"/>
  <c r="O75" i="10"/>
  <c r="N75" i="10"/>
  <c r="M75" i="10"/>
  <c r="L75" i="10"/>
  <c r="K75" i="10"/>
  <c r="J75" i="10"/>
  <c r="I75" i="10"/>
  <c r="H75" i="10"/>
  <c r="G75" i="10"/>
  <c r="F75" i="10"/>
  <c r="E75" i="10"/>
  <c r="D75" i="10"/>
  <c r="C75" i="10"/>
  <c r="B75" i="10"/>
  <c r="A75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A74" i="10"/>
  <c r="O73" i="10"/>
  <c r="N73" i="10"/>
  <c r="M73" i="10"/>
  <c r="L73" i="10"/>
  <c r="K73" i="10"/>
  <c r="J73" i="10"/>
  <c r="I73" i="10"/>
  <c r="H73" i="10"/>
  <c r="G73" i="10"/>
  <c r="F73" i="10"/>
  <c r="E73" i="10"/>
  <c r="D73" i="10"/>
  <c r="C73" i="10"/>
  <c r="B73" i="10"/>
  <c r="A73" i="10"/>
  <c r="O72" i="10"/>
  <c r="N72" i="10"/>
  <c r="M72" i="10"/>
  <c r="L72" i="10"/>
  <c r="K72" i="10"/>
  <c r="J72" i="10"/>
  <c r="I72" i="10"/>
  <c r="H72" i="10"/>
  <c r="G72" i="10"/>
  <c r="F72" i="10"/>
  <c r="E72" i="10"/>
  <c r="D72" i="10"/>
  <c r="C72" i="10"/>
  <c r="B72" i="10"/>
  <c r="A72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A71" i="10"/>
  <c r="O70" i="10"/>
  <c r="N70" i="10"/>
  <c r="M70" i="10"/>
  <c r="L70" i="10"/>
  <c r="K70" i="10"/>
  <c r="J70" i="10"/>
  <c r="I70" i="10"/>
  <c r="H70" i="10"/>
  <c r="G70" i="10"/>
  <c r="F70" i="10"/>
  <c r="E70" i="10"/>
  <c r="D70" i="10"/>
  <c r="C70" i="10"/>
  <c r="B70" i="10"/>
  <c r="A70" i="10"/>
  <c r="O69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B69" i="10"/>
  <c r="A69" i="10"/>
  <c r="O68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B68" i="10"/>
  <c r="A68" i="10"/>
  <c r="O67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B67" i="10"/>
  <c r="A67" i="10"/>
  <c r="O66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B66" i="10"/>
  <c r="A66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B65" i="10"/>
  <c r="A65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A64" i="10"/>
  <c r="O63" i="10"/>
  <c r="N63" i="10"/>
  <c r="M63" i="10"/>
  <c r="L63" i="10"/>
  <c r="K63" i="10"/>
  <c r="J63" i="10"/>
  <c r="I63" i="10"/>
  <c r="H63" i="10"/>
  <c r="G63" i="10"/>
  <c r="F63" i="10"/>
  <c r="E63" i="10"/>
  <c r="D63" i="10"/>
  <c r="C63" i="10"/>
  <c r="B63" i="10"/>
  <c r="A63" i="10"/>
  <c r="O62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B62" i="10"/>
  <c r="A62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61" i="10"/>
  <c r="O60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B60" i="10"/>
  <c r="A60" i="10"/>
  <c r="O59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B59" i="10"/>
  <c r="A59" i="10"/>
  <c r="O58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B58" i="10"/>
  <c r="A58" i="10"/>
  <c r="O57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B57" i="10"/>
  <c r="A57" i="10"/>
  <c r="O56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B56" i="10"/>
  <c r="A56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B55" i="10"/>
  <c r="A55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A54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B53" i="10"/>
  <c r="A53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B52" i="10"/>
  <c r="A52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B51" i="10"/>
  <c r="A51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B50" i="10"/>
  <c r="A50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B49" i="10"/>
  <c r="A49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B48" i="10"/>
  <c r="A48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B47" i="10"/>
  <c r="A47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A46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B45" i="10"/>
  <c r="A45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B44" i="10"/>
  <c r="A44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B43" i="10"/>
  <c r="A43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B42" i="10"/>
  <c r="A42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B41" i="10"/>
  <c r="A41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B40" i="10"/>
  <c r="A40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B39" i="10"/>
  <c r="A39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B38" i="10"/>
  <c r="A38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B37" i="10"/>
  <c r="A37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B36" i="10"/>
  <c r="A36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B35" i="10"/>
  <c r="A35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A34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A33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A32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A31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B30" i="10"/>
  <c r="A30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A29" i="10"/>
  <c r="F501" i="9"/>
  <c r="E501" i="9"/>
  <c r="D501" i="9"/>
  <c r="C501" i="9"/>
  <c r="F500" i="9"/>
  <c r="E500" i="9"/>
  <c r="D500" i="9"/>
  <c r="C500" i="9"/>
  <c r="F499" i="9"/>
  <c r="E499" i="9"/>
  <c r="D499" i="9"/>
  <c r="C499" i="9"/>
  <c r="F498" i="9"/>
  <c r="E498" i="9"/>
  <c r="D498" i="9"/>
  <c r="C498" i="9"/>
  <c r="F497" i="9"/>
  <c r="E497" i="9"/>
  <c r="D497" i="9"/>
  <c r="C497" i="9"/>
  <c r="F496" i="9"/>
  <c r="E496" i="9"/>
  <c r="D496" i="9"/>
  <c r="C496" i="9"/>
  <c r="F495" i="9"/>
  <c r="E495" i="9"/>
  <c r="D495" i="9"/>
  <c r="C495" i="9"/>
  <c r="F494" i="9"/>
  <c r="E494" i="9"/>
  <c r="D494" i="9"/>
  <c r="C494" i="9"/>
  <c r="F493" i="9"/>
  <c r="E493" i="9"/>
  <c r="D493" i="9"/>
  <c r="C493" i="9"/>
  <c r="F492" i="9"/>
  <c r="E492" i="9"/>
  <c r="D492" i="9"/>
  <c r="C492" i="9"/>
  <c r="F491" i="9"/>
  <c r="E491" i="9"/>
  <c r="D491" i="9"/>
  <c r="C491" i="9"/>
  <c r="F490" i="9"/>
  <c r="E490" i="9"/>
  <c r="D490" i="9"/>
  <c r="C490" i="9"/>
  <c r="F489" i="9"/>
  <c r="E489" i="9"/>
  <c r="D489" i="9"/>
  <c r="C489" i="9"/>
  <c r="F488" i="9"/>
  <c r="E488" i="9"/>
  <c r="D488" i="9"/>
  <c r="C488" i="9"/>
  <c r="F487" i="9"/>
  <c r="E487" i="9"/>
  <c r="D487" i="9"/>
  <c r="C487" i="9"/>
  <c r="F486" i="9"/>
  <c r="E486" i="9"/>
  <c r="D486" i="9"/>
  <c r="C486" i="9"/>
  <c r="F485" i="9"/>
  <c r="E485" i="9"/>
  <c r="D485" i="9"/>
  <c r="C485" i="9"/>
  <c r="F484" i="9"/>
  <c r="E484" i="9"/>
  <c r="D484" i="9"/>
  <c r="C484" i="9"/>
  <c r="F483" i="9"/>
  <c r="E483" i="9"/>
  <c r="D483" i="9"/>
  <c r="C483" i="9"/>
  <c r="F482" i="9"/>
  <c r="E482" i="9"/>
  <c r="D482" i="9"/>
  <c r="C482" i="9"/>
  <c r="F481" i="9"/>
  <c r="E481" i="9"/>
  <c r="D481" i="9"/>
  <c r="C481" i="9"/>
  <c r="F480" i="9"/>
  <c r="E480" i="9"/>
  <c r="D480" i="9"/>
  <c r="C480" i="9"/>
  <c r="F479" i="9"/>
  <c r="E479" i="9"/>
  <c r="D479" i="9"/>
  <c r="C479" i="9"/>
  <c r="F478" i="9"/>
  <c r="E478" i="9"/>
  <c r="D478" i="9"/>
  <c r="C478" i="9"/>
  <c r="F477" i="9"/>
  <c r="E477" i="9"/>
  <c r="D477" i="9"/>
  <c r="C477" i="9"/>
  <c r="F476" i="9"/>
  <c r="E476" i="9"/>
  <c r="D476" i="9"/>
  <c r="C476" i="9"/>
  <c r="F475" i="9"/>
  <c r="E475" i="9"/>
  <c r="D475" i="9"/>
  <c r="C475" i="9"/>
  <c r="F474" i="9"/>
  <c r="E474" i="9"/>
  <c r="D474" i="9"/>
  <c r="C474" i="9"/>
  <c r="F473" i="9"/>
  <c r="E473" i="9"/>
  <c r="D473" i="9"/>
  <c r="C473" i="9"/>
  <c r="F472" i="9"/>
  <c r="E472" i="9"/>
  <c r="D472" i="9"/>
  <c r="C472" i="9"/>
  <c r="F471" i="9"/>
  <c r="E471" i="9"/>
  <c r="D471" i="9"/>
  <c r="C471" i="9"/>
  <c r="F470" i="9"/>
  <c r="E470" i="9"/>
  <c r="D470" i="9"/>
  <c r="C470" i="9"/>
  <c r="F469" i="9"/>
  <c r="E469" i="9"/>
  <c r="D469" i="9"/>
  <c r="C469" i="9"/>
  <c r="F468" i="9"/>
  <c r="E468" i="9"/>
  <c r="D468" i="9"/>
  <c r="C468" i="9"/>
  <c r="F467" i="9"/>
  <c r="E467" i="9"/>
  <c r="D467" i="9"/>
  <c r="C467" i="9"/>
  <c r="F466" i="9"/>
  <c r="E466" i="9"/>
  <c r="D466" i="9"/>
  <c r="C466" i="9"/>
  <c r="F465" i="9"/>
  <c r="E465" i="9"/>
  <c r="D465" i="9"/>
  <c r="C465" i="9"/>
  <c r="F464" i="9"/>
  <c r="E464" i="9"/>
  <c r="D464" i="9"/>
  <c r="C464" i="9"/>
  <c r="F463" i="9"/>
  <c r="E463" i="9"/>
  <c r="D463" i="9"/>
  <c r="C463" i="9"/>
  <c r="F462" i="9"/>
  <c r="E462" i="9"/>
  <c r="D462" i="9"/>
  <c r="C462" i="9"/>
  <c r="F461" i="9"/>
  <c r="E461" i="9"/>
  <c r="D461" i="9"/>
  <c r="C461" i="9"/>
  <c r="F460" i="9"/>
  <c r="E460" i="9"/>
  <c r="D460" i="9"/>
  <c r="C460" i="9"/>
  <c r="F459" i="9"/>
  <c r="E459" i="9"/>
  <c r="D459" i="9"/>
  <c r="C459" i="9"/>
  <c r="F458" i="9"/>
  <c r="E458" i="9"/>
  <c r="D458" i="9"/>
  <c r="C458" i="9"/>
  <c r="F457" i="9"/>
  <c r="E457" i="9"/>
  <c r="D457" i="9"/>
  <c r="C457" i="9"/>
  <c r="F456" i="9"/>
  <c r="E456" i="9"/>
  <c r="D456" i="9"/>
  <c r="C456" i="9"/>
  <c r="F455" i="9"/>
  <c r="E455" i="9"/>
  <c r="D455" i="9"/>
  <c r="C455" i="9"/>
  <c r="F454" i="9"/>
  <c r="E454" i="9"/>
  <c r="D454" i="9"/>
  <c r="C454" i="9"/>
  <c r="F453" i="9"/>
  <c r="E453" i="9"/>
  <c r="D453" i="9"/>
  <c r="C453" i="9"/>
  <c r="F452" i="9"/>
  <c r="E452" i="9"/>
  <c r="D452" i="9"/>
  <c r="C452" i="9"/>
  <c r="F451" i="9"/>
  <c r="E451" i="9"/>
  <c r="D451" i="9"/>
  <c r="C451" i="9"/>
  <c r="F450" i="9"/>
  <c r="E450" i="9"/>
  <c r="D450" i="9"/>
  <c r="C450" i="9"/>
  <c r="F449" i="9"/>
  <c r="E449" i="9"/>
  <c r="D449" i="9"/>
  <c r="C449" i="9"/>
  <c r="F448" i="9"/>
  <c r="E448" i="9"/>
  <c r="D448" i="9"/>
  <c r="C448" i="9"/>
  <c r="F447" i="9"/>
  <c r="E447" i="9"/>
  <c r="D447" i="9"/>
  <c r="C447" i="9"/>
  <c r="F446" i="9"/>
  <c r="E446" i="9"/>
  <c r="D446" i="9"/>
  <c r="C446" i="9"/>
  <c r="F445" i="9"/>
  <c r="E445" i="9"/>
  <c r="D445" i="9"/>
  <c r="C445" i="9"/>
  <c r="F444" i="9"/>
  <c r="E444" i="9"/>
  <c r="D444" i="9"/>
  <c r="C444" i="9"/>
  <c r="F443" i="9"/>
  <c r="E443" i="9"/>
  <c r="D443" i="9"/>
  <c r="C443" i="9"/>
  <c r="F442" i="9"/>
  <c r="E442" i="9"/>
  <c r="D442" i="9"/>
  <c r="C442" i="9"/>
  <c r="F441" i="9"/>
  <c r="E441" i="9"/>
  <c r="D441" i="9"/>
  <c r="C441" i="9"/>
  <c r="F440" i="9"/>
  <c r="E440" i="9"/>
  <c r="D440" i="9"/>
  <c r="C440" i="9"/>
  <c r="F439" i="9"/>
  <c r="E439" i="9"/>
  <c r="D439" i="9"/>
  <c r="C439" i="9"/>
  <c r="F438" i="9"/>
  <c r="E438" i="9"/>
  <c r="D438" i="9"/>
  <c r="C438" i="9"/>
  <c r="F437" i="9"/>
  <c r="E437" i="9"/>
  <c r="D437" i="9"/>
  <c r="C437" i="9"/>
  <c r="F436" i="9"/>
  <c r="E436" i="9"/>
  <c r="D436" i="9"/>
  <c r="C436" i="9"/>
  <c r="F435" i="9"/>
  <c r="E435" i="9"/>
  <c r="D435" i="9"/>
  <c r="C435" i="9"/>
  <c r="F434" i="9"/>
  <c r="E434" i="9"/>
  <c r="D434" i="9"/>
  <c r="C434" i="9"/>
  <c r="F433" i="9"/>
  <c r="E433" i="9"/>
  <c r="D433" i="9"/>
  <c r="C433" i="9"/>
  <c r="F432" i="9"/>
  <c r="E432" i="9"/>
  <c r="D432" i="9"/>
  <c r="C432" i="9"/>
  <c r="F431" i="9"/>
  <c r="E431" i="9"/>
  <c r="D431" i="9"/>
  <c r="C431" i="9"/>
  <c r="F430" i="9"/>
  <c r="E430" i="9"/>
  <c r="D430" i="9"/>
  <c r="C430" i="9"/>
  <c r="F429" i="9"/>
  <c r="E429" i="9"/>
  <c r="D429" i="9"/>
  <c r="C429" i="9"/>
  <c r="F428" i="9"/>
  <c r="E428" i="9"/>
  <c r="D428" i="9"/>
  <c r="C428" i="9"/>
  <c r="F427" i="9"/>
  <c r="E427" i="9"/>
  <c r="D427" i="9"/>
  <c r="C427" i="9"/>
  <c r="F426" i="9"/>
  <c r="E426" i="9"/>
  <c r="D426" i="9"/>
  <c r="C426" i="9"/>
  <c r="F425" i="9"/>
  <c r="E425" i="9"/>
  <c r="D425" i="9"/>
  <c r="C425" i="9"/>
  <c r="F424" i="9"/>
  <c r="E424" i="9"/>
  <c r="D424" i="9"/>
  <c r="C424" i="9"/>
  <c r="F423" i="9"/>
  <c r="E423" i="9"/>
  <c r="D423" i="9"/>
  <c r="C423" i="9"/>
  <c r="F422" i="9"/>
  <c r="E422" i="9"/>
  <c r="D422" i="9"/>
  <c r="C422" i="9"/>
  <c r="F421" i="9"/>
  <c r="E421" i="9"/>
  <c r="D421" i="9"/>
  <c r="C421" i="9"/>
  <c r="F420" i="9"/>
  <c r="E420" i="9"/>
  <c r="D420" i="9"/>
  <c r="C420" i="9"/>
  <c r="F419" i="9"/>
  <c r="E419" i="9"/>
  <c r="D419" i="9"/>
  <c r="C419" i="9"/>
  <c r="F418" i="9"/>
  <c r="E418" i="9"/>
  <c r="D418" i="9"/>
  <c r="C418" i="9"/>
  <c r="F417" i="9"/>
  <c r="E417" i="9"/>
  <c r="D417" i="9"/>
  <c r="C417" i="9"/>
  <c r="F416" i="9"/>
  <c r="E416" i="9"/>
  <c r="D416" i="9"/>
  <c r="C416" i="9"/>
  <c r="F415" i="9"/>
  <c r="E415" i="9"/>
  <c r="D415" i="9"/>
  <c r="C415" i="9"/>
  <c r="F414" i="9"/>
  <c r="E414" i="9"/>
  <c r="D414" i="9"/>
  <c r="C414" i="9"/>
  <c r="F413" i="9"/>
  <c r="E413" i="9"/>
  <c r="D413" i="9"/>
  <c r="C413" i="9"/>
  <c r="F412" i="9"/>
  <c r="E412" i="9"/>
  <c r="D412" i="9"/>
  <c r="C412" i="9"/>
  <c r="F411" i="9"/>
  <c r="E411" i="9"/>
  <c r="D411" i="9"/>
  <c r="C411" i="9"/>
  <c r="F410" i="9"/>
  <c r="E410" i="9"/>
  <c r="D410" i="9"/>
  <c r="C410" i="9"/>
  <c r="F409" i="9"/>
  <c r="E409" i="9"/>
  <c r="D409" i="9"/>
  <c r="C409" i="9"/>
  <c r="F408" i="9"/>
  <c r="E408" i="9"/>
  <c r="D408" i="9"/>
  <c r="C408" i="9"/>
  <c r="F407" i="9"/>
  <c r="E407" i="9"/>
  <c r="D407" i="9"/>
  <c r="C407" i="9"/>
  <c r="F406" i="9"/>
  <c r="E406" i="9"/>
  <c r="D406" i="9"/>
  <c r="C406" i="9"/>
  <c r="F405" i="9"/>
  <c r="E405" i="9"/>
  <c r="D405" i="9"/>
  <c r="C405" i="9"/>
  <c r="F404" i="9"/>
  <c r="E404" i="9"/>
  <c r="D404" i="9"/>
  <c r="C404" i="9"/>
  <c r="F403" i="9"/>
  <c r="E403" i="9"/>
  <c r="D403" i="9"/>
  <c r="C403" i="9"/>
  <c r="F402" i="9"/>
  <c r="E402" i="9"/>
  <c r="D402" i="9"/>
  <c r="C402" i="9"/>
  <c r="F401" i="9"/>
  <c r="E401" i="9"/>
  <c r="D401" i="9"/>
  <c r="C401" i="9"/>
  <c r="F400" i="9"/>
  <c r="E400" i="9"/>
  <c r="D400" i="9"/>
  <c r="C400" i="9"/>
  <c r="F399" i="9"/>
  <c r="E399" i="9"/>
  <c r="D399" i="9"/>
  <c r="C399" i="9"/>
  <c r="F398" i="9"/>
  <c r="E398" i="9"/>
  <c r="D398" i="9"/>
  <c r="C398" i="9"/>
  <c r="F397" i="9"/>
  <c r="E397" i="9"/>
  <c r="D397" i="9"/>
  <c r="C397" i="9"/>
  <c r="F396" i="9"/>
  <c r="E396" i="9"/>
  <c r="D396" i="9"/>
  <c r="C396" i="9"/>
  <c r="F395" i="9"/>
  <c r="E395" i="9"/>
  <c r="D395" i="9"/>
  <c r="C395" i="9"/>
  <c r="F394" i="9"/>
  <c r="E394" i="9"/>
  <c r="D394" i="9"/>
  <c r="C394" i="9"/>
  <c r="F393" i="9"/>
  <c r="E393" i="9"/>
  <c r="D393" i="9"/>
  <c r="C393" i="9"/>
  <c r="F392" i="9"/>
  <c r="E392" i="9"/>
  <c r="D392" i="9"/>
  <c r="C392" i="9"/>
  <c r="F391" i="9"/>
  <c r="E391" i="9"/>
  <c r="D391" i="9"/>
  <c r="C391" i="9"/>
  <c r="F390" i="9"/>
  <c r="E390" i="9"/>
  <c r="D390" i="9"/>
  <c r="C390" i="9"/>
  <c r="F389" i="9"/>
  <c r="E389" i="9"/>
  <c r="D389" i="9"/>
  <c r="C389" i="9"/>
  <c r="F388" i="9"/>
  <c r="E388" i="9"/>
  <c r="D388" i="9"/>
  <c r="C388" i="9"/>
  <c r="F387" i="9"/>
  <c r="E387" i="9"/>
  <c r="D387" i="9"/>
  <c r="C387" i="9"/>
  <c r="F386" i="9"/>
  <c r="E386" i="9"/>
  <c r="D386" i="9"/>
  <c r="C386" i="9"/>
  <c r="F385" i="9"/>
  <c r="E385" i="9"/>
  <c r="D385" i="9"/>
  <c r="C385" i="9"/>
  <c r="F384" i="9"/>
  <c r="E384" i="9"/>
  <c r="D384" i="9"/>
  <c r="C384" i="9"/>
  <c r="F383" i="9"/>
  <c r="E383" i="9"/>
  <c r="D383" i="9"/>
  <c r="C383" i="9"/>
  <c r="F382" i="9"/>
  <c r="E382" i="9"/>
  <c r="D382" i="9"/>
  <c r="C382" i="9"/>
  <c r="F381" i="9"/>
  <c r="E381" i="9"/>
  <c r="D381" i="9"/>
  <c r="C381" i="9"/>
  <c r="F380" i="9"/>
  <c r="E380" i="9"/>
  <c r="D380" i="9"/>
  <c r="C380" i="9"/>
  <c r="F379" i="9"/>
  <c r="E379" i="9"/>
  <c r="D379" i="9"/>
  <c r="C379" i="9"/>
  <c r="F378" i="9"/>
  <c r="E378" i="9"/>
  <c r="D378" i="9"/>
  <c r="C378" i="9"/>
  <c r="F377" i="9"/>
  <c r="E377" i="9"/>
  <c r="D377" i="9"/>
  <c r="C377" i="9"/>
  <c r="F376" i="9"/>
  <c r="E376" i="9"/>
  <c r="D376" i="9"/>
  <c r="C376" i="9"/>
  <c r="F375" i="9"/>
  <c r="E375" i="9"/>
  <c r="D375" i="9"/>
  <c r="C375" i="9"/>
  <c r="F374" i="9"/>
  <c r="E374" i="9"/>
  <c r="D374" i="9"/>
  <c r="C374" i="9"/>
  <c r="F373" i="9"/>
  <c r="E373" i="9"/>
  <c r="D373" i="9"/>
  <c r="C373" i="9"/>
  <c r="F372" i="9"/>
  <c r="E372" i="9"/>
  <c r="D372" i="9"/>
  <c r="C372" i="9"/>
  <c r="F371" i="9"/>
  <c r="E371" i="9"/>
  <c r="D371" i="9"/>
  <c r="C371" i="9"/>
  <c r="F370" i="9"/>
  <c r="E370" i="9"/>
  <c r="D370" i="9"/>
  <c r="C370" i="9"/>
  <c r="F369" i="9"/>
  <c r="E369" i="9"/>
  <c r="D369" i="9"/>
  <c r="C369" i="9"/>
  <c r="F368" i="9"/>
  <c r="E368" i="9"/>
  <c r="D368" i="9"/>
  <c r="C368" i="9"/>
  <c r="F367" i="9"/>
  <c r="E367" i="9"/>
  <c r="D367" i="9"/>
  <c r="C367" i="9"/>
  <c r="F366" i="9"/>
  <c r="E366" i="9"/>
  <c r="D366" i="9"/>
  <c r="C366" i="9"/>
  <c r="F365" i="9"/>
  <c r="E365" i="9"/>
  <c r="D365" i="9"/>
  <c r="C365" i="9"/>
  <c r="F364" i="9"/>
  <c r="E364" i="9"/>
  <c r="D364" i="9"/>
  <c r="C364" i="9"/>
  <c r="F363" i="9"/>
  <c r="E363" i="9"/>
  <c r="D363" i="9"/>
  <c r="C363" i="9"/>
  <c r="F362" i="9"/>
  <c r="E362" i="9"/>
  <c r="D362" i="9"/>
  <c r="C362" i="9"/>
  <c r="F361" i="9"/>
  <c r="E361" i="9"/>
  <c r="D361" i="9"/>
  <c r="C361" i="9"/>
  <c r="F360" i="9"/>
  <c r="E360" i="9"/>
  <c r="D360" i="9"/>
  <c r="C360" i="9"/>
  <c r="F359" i="9"/>
  <c r="E359" i="9"/>
  <c r="D359" i="9"/>
  <c r="C359" i="9"/>
  <c r="F358" i="9"/>
  <c r="E358" i="9"/>
  <c r="D358" i="9"/>
  <c r="C358" i="9"/>
  <c r="F357" i="9"/>
  <c r="E357" i="9"/>
  <c r="D357" i="9"/>
  <c r="C357" i="9"/>
  <c r="F356" i="9"/>
  <c r="E356" i="9"/>
  <c r="D356" i="9"/>
  <c r="C356" i="9"/>
  <c r="F355" i="9"/>
  <c r="E355" i="9"/>
  <c r="D355" i="9"/>
  <c r="C355" i="9"/>
  <c r="F354" i="9"/>
  <c r="E354" i="9"/>
  <c r="D354" i="9"/>
  <c r="C354" i="9"/>
  <c r="F353" i="9"/>
  <c r="E353" i="9"/>
  <c r="D353" i="9"/>
  <c r="C353" i="9"/>
  <c r="F352" i="9"/>
  <c r="E352" i="9"/>
  <c r="D352" i="9"/>
  <c r="C352" i="9"/>
  <c r="F351" i="9"/>
  <c r="E351" i="9"/>
  <c r="D351" i="9"/>
  <c r="C351" i="9"/>
  <c r="F350" i="9"/>
  <c r="E350" i="9"/>
  <c r="D350" i="9"/>
  <c r="C350" i="9"/>
  <c r="F349" i="9"/>
  <c r="E349" i="9"/>
  <c r="D349" i="9"/>
  <c r="C349" i="9"/>
  <c r="F348" i="9"/>
  <c r="E348" i="9"/>
  <c r="D348" i="9"/>
  <c r="C348" i="9"/>
  <c r="F347" i="9"/>
  <c r="E347" i="9"/>
  <c r="D347" i="9"/>
  <c r="C347" i="9"/>
  <c r="F346" i="9"/>
  <c r="E346" i="9"/>
  <c r="D346" i="9"/>
  <c r="C346" i="9"/>
  <c r="F345" i="9"/>
  <c r="E345" i="9"/>
  <c r="D345" i="9"/>
  <c r="C345" i="9"/>
  <c r="F344" i="9"/>
  <c r="E344" i="9"/>
  <c r="D344" i="9"/>
  <c r="C344" i="9"/>
  <c r="F343" i="9"/>
  <c r="E343" i="9"/>
  <c r="D343" i="9"/>
  <c r="C343" i="9"/>
  <c r="F342" i="9"/>
  <c r="E342" i="9"/>
  <c r="D342" i="9"/>
  <c r="C342" i="9"/>
  <c r="F341" i="9"/>
  <c r="E341" i="9"/>
  <c r="D341" i="9"/>
  <c r="C341" i="9"/>
  <c r="F340" i="9"/>
  <c r="E340" i="9"/>
  <c r="D340" i="9"/>
  <c r="C340" i="9"/>
  <c r="F339" i="9"/>
  <c r="E339" i="9"/>
  <c r="D339" i="9"/>
  <c r="C339" i="9"/>
  <c r="F338" i="9"/>
  <c r="E338" i="9"/>
  <c r="D338" i="9"/>
  <c r="C338" i="9"/>
  <c r="F337" i="9"/>
  <c r="E337" i="9"/>
  <c r="D337" i="9"/>
  <c r="C337" i="9"/>
  <c r="F336" i="9"/>
  <c r="E336" i="9"/>
  <c r="D336" i="9"/>
  <c r="C336" i="9"/>
  <c r="F335" i="9"/>
  <c r="E335" i="9"/>
  <c r="D335" i="9"/>
  <c r="C335" i="9"/>
  <c r="F334" i="9"/>
  <c r="E334" i="9"/>
  <c r="D334" i="9"/>
  <c r="C334" i="9"/>
  <c r="F333" i="9"/>
  <c r="E333" i="9"/>
  <c r="D333" i="9"/>
  <c r="C333" i="9"/>
  <c r="F332" i="9"/>
  <c r="E332" i="9"/>
  <c r="D332" i="9"/>
  <c r="C332" i="9"/>
  <c r="F331" i="9"/>
  <c r="E331" i="9"/>
  <c r="D331" i="9"/>
  <c r="C331" i="9"/>
  <c r="F330" i="9"/>
  <c r="E330" i="9"/>
  <c r="D330" i="9"/>
  <c r="C330" i="9"/>
  <c r="F329" i="9"/>
  <c r="E329" i="9"/>
  <c r="D329" i="9"/>
  <c r="C329" i="9"/>
  <c r="F328" i="9"/>
  <c r="E328" i="9"/>
  <c r="D328" i="9"/>
  <c r="C328" i="9"/>
  <c r="F327" i="9"/>
  <c r="E327" i="9"/>
  <c r="D327" i="9"/>
  <c r="C327" i="9"/>
  <c r="F326" i="9"/>
  <c r="E326" i="9"/>
  <c r="D326" i="9"/>
  <c r="C326" i="9"/>
  <c r="F325" i="9"/>
  <c r="E325" i="9"/>
  <c r="D325" i="9"/>
  <c r="C325" i="9"/>
  <c r="F324" i="9"/>
  <c r="E324" i="9"/>
  <c r="D324" i="9"/>
  <c r="C324" i="9"/>
  <c r="F323" i="9"/>
  <c r="E323" i="9"/>
  <c r="D323" i="9"/>
  <c r="C323" i="9"/>
  <c r="F322" i="9"/>
  <c r="E322" i="9"/>
  <c r="D322" i="9"/>
  <c r="C322" i="9"/>
  <c r="F321" i="9"/>
  <c r="E321" i="9"/>
  <c r="D321" i="9"/>
  <c r="C321" i="9"/>
  <c r="F320" i="9"/>
  <c r="E320" i="9"/>
  <c r="D320" i="9"/>
  <c r="C320" i="9"/>
  <c r="F319" i="9"/>
  <c r="E319" i="9"/>
  <c r="D319" i="9"/>
  <c r="C319" i="9"/>
  <c r="F318" i="9"/>
  <c r="E318" i="9"/>
  <c r="D318" i="9"/>
  <c r="C318" i="9"/>
  <c r="F317" i="9"/>
  <c r="E317" i="9"/>
  <c r="D317" i="9"/>
  <c r="C317" i="9"/>
  <c r="F316" i="9"/>
  <c r="E316" i="9"/>
  <c r="D316" i="9"/>
  <c r="C316" i="9"/>
  <c r="F315" i="9"/>
  <c r="E315" i="9"/>
  <c r="D315" i="9"/>
  <c r="C315" i="9"/>
  <c r="F314" i="9"/>
  <c r="E314" i="9"/>
  <c r="D314" i="9"/>
  <c r="C314" i="9"/>
  <c r="F313" i="9"/>
  <c r="E313" i="9"/>
  <c r="D313" i="9"/>
  <c r="C313" i="9"/>
  <c r="F312" i="9"/>
  <c r="E312" i="9"/>
  <c r="D312" i="9"/>
  <c r="C312" i="9"/>
  <c r="F311" i="9"/>
  <c r="E311" i="9"/>
  <c r="D311" i="9"/>
  <c r="C311" i="9"/>
  <c r="F310" i="9"/>
  <c r="E310" i="9"/>
  <c r="D310" i="9"/>
  <c r="C310" i="9"/>
  <c r="F309" i="9"/>
  <c r="E309" i="9"/>
  <c r="D309" i="9"/>
  <c r="C309" i="9"/>
  <c r="F308" i="9"/>
  <c r="E308" i="9"/>
  <c r="D308" i="9"/>
  <c r="C308" i="9"/>
  <c r="F307" i="9"/>
  <c r="E307" i="9"/>
  <c r="D307" i="9"/>
  <c r="C307" i="9"/>
  <c r="F306" i="9"/>
  <c r="E306" i="9"/>
  <c r="D306" i="9"/>
  <c r="C306" i="9"/>
  <c r="F305" i="9"/>
  <c r="E305" i="9"/>
  <c r="D305" i="9"/>
  <c r="C305" i="9"/>
  <c r="F304" i="9"/>
  <c r="E304" i="9"/>
  <c r="D304" i="9"/>
  <c r="C304" i="9"/>
  <c r="F303" i="9"/>
  <c r="E303" i="9"/>
  <c r="D303" i="9"/>
  <c r="C303" i="9"/>
  <c r="F302" i="9"/>
  <c r="E302" i="9"/>
  <c r="D302" i="9"/>
  <c r="C302" i="9"/>
  <c r="F301" i="9"/>
  <c r="E301" i="9"/>
  <c r="D301" i="9"/>
  <c r="C301" i="9"/>
  <c r="F300" i="9"/>
  <c r="E300" i="9"/>
  <c r="D300" i="9"/>
  <c r="C300" i="9"/>
  <c r="F299" i="9"/>
  <c r="E299" i="9"/>
  <c r="D299" i="9"/>
  <c r="C299" i="9"/>
  <c r="F298" i="9"/>
  <c r="E298" i="9"/>
  <c r="D298" i="9"/>
  <c r="C298" i="9"/>
  <c r="F297" i="9"/>
  <c r="E297" i="9"/>
  <c r="D297" i="9"/>
  <c r="C297" i="9"/>
  <c r="F296" i="9"/>
  <c r="E296" i="9"/>
  <c r="D296" i="9"/>
  <c r="C296" i="9"/>
  <c r="F295" i="9"/>
  <c r="E295" i="9"/>
  <c r="D295" i="9"/>
  <c r="C295" i="9"/>
  <c r="F294" i="9"/>
  <c r="E294" i="9"/>
  <c r="D294" i="9"/>
  <c r="C294" i="9"/>
  <c r="F293" i="9"/>
  <c r="E293" i="9"/>
  <c r="D293" i="9"/>
  <c r="C293" i="9"/>
  <c r="F292" i="9"/>
  <c r="E292" i="9"/>
  <c r="D292" i="9"/>
  <c r="C292" i="9"/>
  <c r="F291" i="9"/>
  <c r="E291" i="9"/>
  <c r="D291" i="9"/>
  <c r="C291" i="9"/>
  <c r="F290" i="9"/>
  <c r="E290" i="9"/>
  <c r="D290" i="9"/>
  <c r="C290" i="9"/>
  <c r="F289" i="9"/>
  <c r="E289" i="9"/>
  <c r="D289" i="9"/>
  <c r="C289" i="9"/>
  <c r="F288" i="9"/>
  <c r="E288" i="9"/>
  <c r="D288" i="9"/>
  <c r="C288" i="9"/>
  <c r="F287" i="9"/>
  <c r="E287" i="9"/>
  <c r="D287" i="9"/>
  <c r="C287" i="9"/>
  <c r="F286" i="9"/>
  <c r="E286" i="9"/>
  <c r="D286" i="9"/>
  <c r="C286" i="9"/>
  <c r="F285" i="9"/>
  <c r="E285" i="9"/>
  <c r="D285" i="9"/>
  <c r="C285" i="9"/>
  <c r="F284" i="9"/>
  <c r="E284" i="9"/>
  <c r="D284" i="9"/>
  <c r="C284" i="9"/>
  <c r="F283" i="9"/>
  <c r="E283" i="9"/>
  <c r="D283" i="9"/>
  <c r="C283" i="9"/>
  <c r="F282" i="9"/>
  <c r="E282" i="9"/>
  <c r="D282" i="9"/>
  <c r="C282" i="9"/>
  <c r="F281" i="9"/>
  <c r="E281" i="9"/>
  <c r="D281" i="9"/>
  <c r="C281" i="9"/>
  <c r="F280" i="9"/>
  <c r="E280" i="9"/>
  <c r="D280" i="9"/>
  <c r="C280" i="9"/>
  <c r="F279" i="9"/>
  <c r="E279" i="9"/>
  <c r="D279" i="9"/>
  <c r="C279" i="9"/>
  <c r="F278" i="9"/>
  <c r="E278" i="9"/>
  <c r="D278" i="9"/>
  <c r="C278" i="9"/>
  <c r="F277" i="9"/>
  <c r="E277" i="9"/>
  <c r="D277" i="9"/>
  <c r="C277" i="9"/>
  <c r="F276" i="9"/>
  <c r="E276" i="9"/>
  <c r="D276" i="9"/>
  <c r="C276" i="9"/>
  <c r="F275" i="9"/>
  <c r="E275" i="9"/>
  <c r="D275" i="9"/>
  <c r="C275" i="9"/>
  <c r="F274" i="9"/>
  <c r="E274" i="9"/>
  <c r="D274" i="9"/>
  <c r="C274" i="9"/>
  <c r="F273" i="9"/>
  <c r="E273" i="9"/>
  <c r="D273" i="9"/>
  <c r="C273" i="9"/>
  <c r="F272" i="9"/>
  <c r="E272" i="9"/>
  <c r="D272" i="9"/>
  <c r="C272" i="9"/>
  <c r="F271" i="9"/>
  <c r="E271" i="9"/>
  <c r="D271" i="9"/>
  <c r="C271" i="9"/>
  <c r="F270" i="9"/>
  <c r="E270" i="9"/>
  <c r="D270" i="9"/>
  <c r="C270" i="9"/>
  <c r="F269" i="9"/>
  <c r="E269" i="9"/>
  <c r="D269" i="9"/>
  <c r="C269" i="9"/>
  <c r="F268" i="9"/>
  <c r="E268" i="9"/>
  <c r="D268" i="9"/>
  <c r="C268" i="9"/>
  <c r="F267" i="9"/>
  <c r="E267" i="9"/>
  <c r="D267" i="9"/>
  <c r="C267" i="9"/>
  <c r="F266" i="9"/>
  <c r="E266" i="9"/>
  <c r="D266" i="9"/>
  <c r="C266" i="9"/>
  <c r="F265" i="9"/>
  <c r="E265" i="9"/>
  <c r="D265" i="9"/>
  <c r="C265" i="9"/>
  <c r="F264" i="9"/>
  <c r="E264" i="9"/>
  <c r="D264" i="9"/>
  <c r="C264" i="9"/>
  <c r="F263" i="9"/>
  <c r="E263" i="9"/>
  <c r="D263" i="9"/>
  <c r="C263" i="9"/>
  <c r="F262" i="9"/>
  <c r="E262" i="9"/>
  <c r="D262" i="9"/>
  <c r="C262" i="9"/>
  <c r="F261" i="9"/>
  <c r="E261" i="9"/>
  <c r="D261" i="9"/>
  <c r="C261" i="9"/>
  <c r="F260" i="9"/>
  <c r="E260" i="9"/>
  <c r="D260" i="9"/>
  <c r="C260" i="9"/>
  <c r="F259" i="9"/>
  <c r="E259" i="9"/>
  <c r="D259" i="9"/>
  <c r="C259" i="9"/>
  <c r="F258" i="9"/>
  <c r="E258" i="9"/>
  <c r="D258" i="9"/>
  <c r="C258" i="9"/>
  <c r="F257" i="9"/>
  <c r="E257" i="9"/>
  <c r="D257" i="9"/>
  <c r="C257" i="9"/>
  <c r="F256" i="9"/>
  <c r="E256" i="9"/>
  <c r="D256" i="9"/>
  <c r="C256" i="9"/>
  <c r="F255" i="9"/>
  <c r="E255" i="9"/>
  <c r="D255" i="9"/>
  <c r="C255" i="9"/>
  <c r="F254" i="9"/>
  <c r="E254" i="9"/>
  <c r="D254" i="9"/>
  <c r="C254" i="9"/>
  <c r="F253" i="9"/>
  <c r="E253" i="9"/>
  <c r="D253" i="9"/>
  <c r="C253" i="9"/>
  <c r="F252" i="9"/>
  <c r="E252" i="9"/>
  <c r="D252" i="9"/>
  <c r="C252" i="9"/>
  <c r="F251" i="9"/>
  <c r="E251" i="9"/>
  <c r="D251" i="9"/>
  <c r="C251" i="9"/>
  <c r="F250" i="9"/>
  <c r="E250" i="9"/>
  <c r="D250" i="9"/>
  <c r="C250" i="9"/>
  <c r="F249" i="9"/>
  <c r="E249" i="9"/>
  <c r="D249" i="9"/>
  <c r="C249" i="9"/>
  <c r="F248" i="9"/>
  <c r="E248" i="9"/>
  <c r="D248" i="9"/>
  <c r="C248" i="9"/>
  <c r="F247" i="9"/>
  <c r="E247" i="9"/>
  <c r="D247" i="9"/>
  <c r="C247" i="9"/>
  <c r="F246" i="9"/>
  <c r="E246" i="9"/>
  <c r="D246" i="9"/>
  <c r="C246" i="9"/>
  <c r="F245" i="9"/>
  <c r="E245" i="9"/>
  <c r="D245" i="9"/>
  <c r="C245" i="9"/>
  <c r="F244" i="9"/>
  <c r="E244" i="9"/>
  <c r="D244" i="9"/>
  <c r="C244" i="9"/>
  <c r="F243" i="9"/>
  <c r="E243" i="9"/>
  <c r="D243" i="9"/>
  <c r="C243" i="9"/>
  <c r="F242" i="9"/>
  <c r="E242" i="9"/>
  <c r="D242" i="9"/>
  <c r="C242" i="9"/>
  <c r="F241" i="9"/>
  <c r="E241" i="9"/>
  <c r="D241" i="9"/>
  <c r="C241" i="9"/>
  <c r="F240" i="9"/>
  <c r="E240" i="9"/>
  <c r="D240" i="9"/>
  <c r="C240" i="9"/>
  <c r="F239" i="9"/>
  <c r="E239" i="9"/>
  <c r="D239" i="9"/>
  <c r="C239" i="9"/>
  <c r="F238" i="9"/>
  <c r="E238" i="9"/>
  <c r="D238" i="9"/>
  <c r="C238" i="9"/>
  <c r="F237" i="9"/>
  <c r="E237" i="9"/>
  <c r="D237" i="9"/>
  <c r="C237" i="9"/>
  <c r="F236" i="9"/>
  <c r="E236" i="9"/>
  <c r="D236" i="9"/>
  <c r="C236" i="9"/>
  <c r="F235" i="9"/>
  <c r="E235" i="9"/>
  <c r="D235" i="9"/>
  <c r="C235" i="9"/>
  <c r="F234" i="9"/>
  <c r="E234" i="9"/>
  <c r="D234" i="9"/>
  <c r="C234" i="9"/>
  <c r="F233" i="9"/>
  <c r="E233" i="9"/>
  <c r="D233" i="9"/>
  <c r="C233" i="9"/>
  <c r="F232" i="9"/>
  <c r="E232" i="9"/>
  <c r="D232" i="9"/>
  <c r="C232" i="9"/>
  <c r="F231" i="9"/>
  <c r="E231" i="9"/>
  <c r="D231" i="9"/>
  <c r="C231" i="9"/>
  <c r="F230" i="9"/>
  <c r="E230" i="9"/>
  <c r="D230" i="9"/>
  <c r="C230" i="9"/>
  <c r="F229" i="9"/>
  <c r="E229" i="9"/>
  <c r="D229" i="9"/>
  <c r="C229" i="9"/>
  <c r="F228" i="9"/>
  <c r="E228" i="9"/>
  <c r="D228" i="9"/>
  <c r="C228" i="9"/>
  <c r="F227" i="9"/>
  <c r="E227" i="9"/>
  <c r="D227" i="9"/>
  <c r="C227" i="9"/>
  <c r="F226" i="9"/>
  <c r="E226" i="9"/>
  <c r="D226" i="9"/>
  <c r="C226" i="9"/>
  <c r="F225" i="9"/>
  <c r="E225" i="9"/>
  <c r="D225" i="9"/>
  <c r="C225" i="9"/>
  <c r="F224" i="9"/>
  <c r="E224" i="9"/>
  <c r="D224" i="9"/>
  <c r="C224" i="9"/>
  <c r="F223" i="9"/>
  <c r="E223" i="9"/>
  <c r="D223" i="9"/>
  <c r="C223" i="9"/>
  <c r="F222" i="9"/>
  <c r="E222" i="9"/>
  <c r="D222" i="9"/>
  <c r="C222" i="9"/>
  <c r="F221" i="9"/>
  <c r="E221" i="9"/>
  <c r="D221" i="9"/>
  <c r="C221" i="9"/>
  <c r="F220" i="9"/>
  <c r="E220" i="9"/>
  <c r="D220" i="9"/>
  <c r="C220" i="9"/>
  <c r="F219" i="9"/>
  <c r="E219" i="9"/>
  <c r="D219" i="9"/>
  <c r="C219" i="9"/>
  <c r="F218" i="9"/>
  <c r="E218" i="9"/>
  <c r="D218" i="9"/>
  <c r="C218" i="9"/>
  <c r="F217" i="9"/>
  <c r="E217" i="9"/>
  <c r="D217" i="9"/>
  <c r="C217" i="9"/>
  <c r="F216" i="9"/>
  <c r="E216" i="9"/>
  <c r="D216" i="9"/>
  <c r="C216" i="9"/>
  <c r="F215" i="9"/>
  <c r="E215" i="9"/>
  <c r="D215" i="9"/>
  <c r="C215" i="9"/>
  <c r="F214" i="9"/>
  <c r="E214" i="9"/>
  <c r="D214" i="9"/>
  <c r="C214" i="9"/>
  <c r="F213" i="9"/>
  <c r="E213" i="9"/>
  <c r="D213" i="9"/>
  <c r="C213" i="9"/>
  <c r="F212" i="9"/>
  <c r="E212" i="9"/>
  <c r="D212" i="9"/>
  <c r="C212" i="9"/>
  <c r="F211" i="9"/>
  <c r="E211" i="9"/>
  <c r="D211" i="9"/>
  <c r="C211" i="9"/>
  <c r="F210" i="9"/>
  <c r="E210" i="9"/>
  <c r="D210" i="9"/>
  <c r="C210" i="9"/>
  <c r="F209" i="9"/>
  <c r="E209" i="9"/>
  <c r="D209" i="9"/>
  <c r="C209" i="9"/>
  <c r="F208" i="9"/>
  <c r="E208" i="9"/>
  <c r="D208" i="9"/>
  <c r="C208" i="9"/>
  <c r="F207" i="9"/>
  <c r="E207" i="9"/>
  <c r="D207" i="9"/>
  <c r="C207" i="9"/>
  <c r="F206" i="9"/>
  <c r="E206" i="9"/>
  <c r="D206" i="9"/>
  <c r="C206" i="9"/>
  <c r="F205" i="9"/>
  <c r="E205" i="9"/>
  <c r="D205" i="9"/>
  <c r="C205" i="9"/>
  <c r="F204" i="9"/>
  <c r="E204" i="9"/>
  <c r="D204" i="9"/>
  <c r="C204" i="9"/>
  <c r="F203" i="9"/>
  <c r="E203" i="9"/>
  <c r="D203" i="9"/>
  <c r="C203" i="9"/>
  <c r="F202" i="9"/>
  <c r="E202" i="9"/>
  <c r="D202" i="9"/>
  <c r="C202" i="9"/>
  <c r="F201" i="9"/>
  <c r="E201" i="9"/>
  <c r="D201" i="9"/>
  <c r="C201" i="9"/>
  <c r="F200" i="9"/>
  <c r="E200" i="9"/>
  <c r="D200" i="9"/>
  <c r="C200" i="9"/>
  <c r="F199" i="9"/>
  <c r="E199" i="9"/>
  <c r="D199" i="9"/>
  <c r="C199" i="9"/>
  <c r="F198" i="9"/>
  <c r="E198" i="9"/>
  <c r="D198" i="9"/>
  <c r="C198" i="9"/>
  <c r="F197" i="9"/>
  <c r="E197" i="9"/>
  <c r="D197" i="9"/>
  <c r="C197" i="9"/>
  <c r="F196" i="9"/>
  <c r="E196" i="9"/>
  <c r="D196" i="9"/>
  <c r="C196" i="9"/>
  <c r="F195" i="9"/>
  <c r="E195" i="9"/>
  <c r="D195" i="9"/>
  <c r="C195" i="9"/>
  <c r="F194" i="9"/>
  <c r="E194" i="9"/>
  <c r="D194" i="9"/>
  <c r="C194" i="9"/>
  <c r="F193" i="9"/>
  <c r="E193" i="9"/>
  <c r="D193" i="9"/>
  <c r="C193" i="9"/>
  <c r="F192" i="9"/>
  <c r="E192" i="9"/>
  <c r="D192" i="9"/>
  <c r="C192" i="9"/>
  <c r="F191" i="9"/>
  <c r="E191" i="9"/>
  <c r="D191" i="9"/>
  <c r="C191" i="9"/>
  <c r="F190" i="9"/>
  <c r="E190" i="9"/>
  <c r="D190" i="9"/>
  <c r="C190" i="9"/>
  <c r="F189" i="9"/>
  <c r="E189" i="9"/>
  <c r="D189" i="9"/>
  <c r="C189" i="9"/>
  <c r="F188" i="9"/>
  <c r="E188" i="9"/>
  <c r="D188" i="9"/>
  <c r="C188" i="9"/>
  <c r="F187" i="9"/>
  <c r="E187" i="9"/>
  <c r="D187" i="9"/>
  <c r="C187" i="9"/>
  <c r="F186" i="9"/>
  <c r="E186" i="9"/>
  <c r="D186" i="9"/>
  <c r="C186" i="9"/>
  <c r="F185" i="9"/>
  <c r="E185" i="9"/>
  <c r="D185" i="9"/>
  <c r="C185" i="9"/>
  <c r="F184" i="9"/>
  <c r="E184" i="9"/>
  <c r="D184" i="9"/>
  <c r="C184" i="9"/>
  <c r="F183" i="9"/>
  <c r="E183" i="9"/>
  <c r="D183" i="9"/>
  <c r="C183" i="9"/>
  <c r="F182" i="9"/>
  <c r="E182" i="9"/>
  <c r="D182" i="9"/>
  <c r="C182" i="9"/>
  <c r="F181" i="9"/>
  <c r="E181" i="9"/>
  <c r="D181" i="9"/>
  <c r="C181" i="9"/>
  <c r="F180" i="9"/>
  <c r="E180" i="9"/>
  <c r="D180" i="9"/>
  <c r="C180" i="9"/>
  <c r="F179" i="9"/>
  <c r="E179" i="9"/>
  <c r="D179" i="9"/>
  <c r="C179" i="9"/>
  <c r="F178" i="9"/>
  <c r="E178" i="9"/>
  <c r="D178" i="9"/>
  <c r="C178" i="9"/>
  <c r="F177" i="9"/>
  <c r="E177" i="9"/>
  <c r="D177" i="9"/>
  <c r="C177" i="9"/>
  <c r="F176" i="9"/>
  <c r="E176" i="9"/>
  <c r="D176" i="9"/>
  <c r="C176" i="9"/>
  <c r="F175" i="9"/>
  <c r="E175" i="9"/>
  <c r="D175" i="9"/>
  <c r="C175" i="9"/>
  <c r="F174" i="9"/>
  <c r="E174" i="9"/>
  <c r="D174" i="9"/>
  <c r="C174" i="9"/>
  <c r="F173" i="9"/>
  <c r="E173" i="9"/>
  <c r="D173" i="9"/>
  <c r="C173" i="9"/>
  <c r="F172" i="9"/>
  <c r="E172" i="9"/>
  <c r="D172" i="9"/>
  <c r="C172" i="9"/>
  <c r="F171" i="9"/>
  <c r="E171" i="9"/>
  <c r="D171" i="9"/>
  <c r="C171" i="9"/>
  <c r="F170" i="9"/>
  <c r="E170" i="9"/>
  <c r="D170" i="9"/>
  <c r="C170" i="9"/>
  <c r="F169" i="9"/>
  <c r="E169" i="9"/>
  <c r="D169" i="9"/>
  <c r="C169" i="9"/>
  <c r="F168" i="9"/>
  <c r="E168" i="9"/>
  <c r="D168" i="9"/>
  <c r="C168" i="9"/>
  <c r="F167" i="9"/>
  <c r="E167" i="9"/>
  <c r="D167" i="9"/>
  <c r="C167" i="9"/>
  <c r="F166" i="9"/>
  <c r="E166" i="9"/>
  <c r="D166" i="9"/>
  <c r="C166" i="9"/>
  <c r="F165" i="9"/>
  <c r="E165" i="9"/>
  <c r="D165" i="9"/>
  <c r="C165" i="9"/>
  <c r="F164" i="9"/>
  <c r="E164" i="9"/>
  <c r="D164" i="9"/>
  <c r="C164" i="9"/>
  <c r="F163" i="9"/>
  <c r="E163" i="9"/>
  <c r="D163" i="9"/>
  <c r="C163" i="9"/>
  <c r="F162" i="9"/>
  <c r="E162" i="9"/>
  <c r="D162" i="9"/>
  <c r="C162" i="9"/>
  <c r="F161" i="9"/>
  <c r="E161" i="9"/>
  <c r="D161" i="9"/>
  <c r="C161" i="9"/>
  <c r="F160" i="9"/>
  <c r="E160" i="9"/>
  <c r="D160" i="9"/>
  <c r="C160" i="9"/>
  <c r="F159" i="9"/>
  <c r="E159" i="9"/>
  <c r="D159" i="9"/>
  <c r="C159" i="9"/>
  <c r="F158" i="9"/>
  <c r="E158" i="9"/>
  <c r="D158" i="9"/>
  <c r="C158" i="9"/>
  <c r="F157" i="9"/>
  <c r="E157" i="9"/>
  <c r="D157" i="9"/>
  <c r="C157" i="9"/>
  <c r="F156" i="9"/>
  <c r="E156" i="9"/>
  <c r="D156" i="9"/>
  <c r="C156" i="9"/>
  <c r="F155" i="9"/>
  <c r="E155" i="9"/>
  <c r="D155" i="9"/>
  <c r="C155" i="9"/>
  <c r="F154" i="9"/>
  <c r="E154" i="9"/>
  <c r="D154" i="9"/>
  <c r="C154" i="9"/>
  <c r="F153" i="9"/>
  <c r="E153" i="9"/>
  <c r="D153" i="9"/>
  <c r="C153" i="9"/>
  <c r="F152" i="9"/>
  <c r="E152" i="9"/>
  <c r="D152" i="9"/>
  <c r="C152" i="9"/>
  <c r="F151" i="9"/>
  <c r="E151" i="9"/>
  <c r="D151" i="9"/>
  <c r="C151" i="9"/>
  <c r="F150" i="9"/>
  <c r="E150" i="9"/>
  <c r="D150" i="9"/>
  <c r="C150" i="9"/>
  <c r="F149" i="9"/>
  <c r="E149" i="9"/>
  <c r="D149" i="9"/>
  <c r="C149" i="9"/>
  <c r="F148" i="9"/>
  <c r="E148" i="9"/>
  <c r="D148" i="9"/>
  <c r="C148" i="9"/>
  <c r="F147" i="9"/>
  <c r="E147" i="9"/>
  <c r="D147" i="9"/>
  <c r="C147" i="9"/>
  <c r="F146" i="9"/>
  <c r="E146" i="9"/>
  <c r="D146" i="9"/>
  <c r="C146" i="9"/>
  <c r="F145" i="9"/>
  <c r="E145" i="9"/>
  <c r="D145" i="9"/>
  <c r="C145" i="9"/>
  <c r="F144" i="9"/>
  <c r="E144" i="9"/>
  <c r="D144" i="9"/>
  <c r="C144" i="9"/>
  <c r="F143" i="9"/>
  <c r="E143" i="9"/>
  <c r="D143" i="9"/>
  <c r="C143" i="9"/>
  <c r="F142" i="9"/>
  <c r="E142" i="9"/>
  <c r="D142" i="9"/>
  <c r="C142" i="9"/>
  <c r="F141" i="9"/>
  <c r="E141" i="9"/>
  <c r="D141" i="9"/>
  <c r="C141" i="9"/>
  <c r="F140" i="9"/>
  <c r="E140" i="9"/>
  <c r="D140" i="9"/>
  <c r="C140" i="9"/>
  <c r="F139" i="9"/>
  <c r="E139" i="9"/>
  <c r="D139" i="9"/>
  <c r="C139" i="9"/>
  <c r="F138" i="9"/>
  <c r="E138" i="9"/>
  <c r="D138" i="9"/>
  <c r="C138" i="9"/>
  <c r="F137" i="9"/>
  <c r="E137" i="9"/>
  <c r="D137" i="9"/>
  <c r="C137" i="9"/>
  <c r="F136" i="9"/>
  <c r="E136" i="9"/>
  <c r="D136" i="9"/>
  <c r="C136" i="9"/>
  <c r="F135" i="9"/>
  <c r="E135" i="9"/>
  <c r="D135" i="9"/>
  <c r="C135" i="9"/>
  <c r="F134" i="9"/>
  <c r="E134" i="9"/>
  <c r="D134" i="9"/>
  <c r="C134" i="9"/>
  <c r="F133" i="9"/>
  <c r="E133" i="9"/>
  <c r="D133" i="9"/>
  <c r="C133" i="9"/>
  <c r="F132" i="9"/>
  <c r="E132" i="9"/>
  <c r="D132" i="9"/>
  <c r="C132" i="9"/>
  <c r="F131" i="9"/>
  <c r="E131" i="9"/>
  <c r="D131" i="9"/>
  <c r="C131" i="9"/>
  <c r="F130" i="9"/>
  <c r="E130" i="9"/>
  <c r="D130" i="9"/>
  <c r="C130" i="9"/>
  <c r="F129" i="9"/>
  <c r="E129" i="9"/>
  <c r="D129" i="9"/>
  <c r="C129" i="9"/>
  <c r="F128" i="9"/>
  <c r="E128" i="9"/>
  <c r="D128" i="9"/>
  <c r="C128" i="9"/>
  <c r="F127" i="9"/>
  <c r="E127" i="9"/>
  <c r="D127" i="9"/>
  <c r="C127" i="9"/>
  <c r="F126" i="9"/>
  <c r="E126" i="9"/>
  <c r="D126" i="9"/>
  <c r="C126" i="9"/>
  <c r="F125" i="9"/>
  <c r="E125" i="9"/>
  <c r="D125" i="9"/>
  <c r="C125" i="9"/>
  <c r="F124" i="9"/>
  <c r="E124" i="9"/>
  <c r="D124" i="9"/>
  <c r="C124" i="9"/>
  <c r="F123" i="9"/>
  <c r="E123" i="9"/>
  <c r="D123" i="9"/>
  <c r="C123" i="9"/>
  <c r="F122" i="9"/>
  <c r="E122" i="9"/>
  <c r="D122" i="9"/>
  <c r="C122" i="9"/>
  <c r="F121" i="9"/>
  <c r="E121" i="9"/>
  <c r="D121" i="9"/>
  <c r="C121" i="9"/>
  <c r="F120" i="9"/>
  <c r="E120" i="9"/>
  <c r="D120" i="9"/>
  <c r="C120" i="9"/>
  <c r="F119" i="9"/>
  <c r="E119" i="9"/>
  <c r="D119" i="9"/>
  <c r="C119" i="9"/>
  <c r="F118" i="9"/>
  <c r="E118" i="9"/>
  <c r="D118" i="9"/>
  <c r="C118" i="9"/>
  <c r="F117" i="9"/>
  <c r="E117" i="9"/>
  <c r="D117" i="9"/>
  <c r="C117" i="9"/>
  <c r="F116" i="9"/>
  <c r="E116" i="9"/>
  <c r="D116" i="9"/>
  <c r="C116" i="9"/>
  <c r="F115" i="9"/>
  <c r="E115" i="9"/>
  <c r="D115" i="9"/>
  <c r="C115" i="9"/>
  <c r="F114" i="9"/>
  <c r="E114" i="9"/>
  <c r="D114" i="9"/>
  <c r="C114" i="9"/>
  <c r="F113" i="9"/>
  <c r="E113" i="9"/>
  <c r="D113" i="9"/>
  <c r="C113" i="9"/>
  <c r="F112" i="9"/>
  <c r="E112" i="9"/>
  <c r="D112" i="9"/>
  <c r="C112" i="9"/>
  <c r="F111" i="9"/>
  <c r="E111" i="9"/>
  <c r="D111" i="9"/>
  <c r="C111" i="9"/>
  <c r="F110" i="9"/>
  <c r="E110" i="9"/>
  <c r="D110" i="9"/>
  <c r="C110" i="9"/>
  <c r="F109" i="9"/>
  <c r="E109" i="9"/>
  <c r="D109" i="9"/>
  <c r="C109" i="9"/>
  <c r="F108" i="9"/>
  <c r="E108" i="9"/>
  <c r="D108" i="9"/>
  <c r="C108" i="9"/>
  <c r="F107" i="9"/>
  <c r="E107" i="9"/>
  <c r="D107" i="9"/>
  <c r="C107" i="9"/>
  <c r="F106" i="9"/>
  <c r="E106" i="9"/>
  <c r="D106" i="9"/>
  <c r="C106" i="9"/>
  <c r="F105" i="9"/>
  <c r="E105" i="9"/>
  <c r="D105" i="9"/>
  <c r="C105" i="9"/>
  <c r="F104" i="9"/>
  <c r="E104" i="9"/>
  <c r="D104" i="9"/>
  <c r="C104" i="9"/>
  <c r="F103" i="9"/>
  <c r="E103" i="9"/>
  <c r="D103" i="9"/>
  <c r="C103" i="9"/>
  <c r="F102" i="9"/>
  <c r="E102" i="9"/>
  <c r="D102" i="9"/>
  <c r="C102" i="9"/>
  <c r="F101" i="9"/>
  <c r="E101" i="9"/>
  <c r="D101" i="9"/>
  <c r="C101" i="9"/>
  <c r="F100" i="9"/>
  <c r="E100" i="9"/>
  <c r="D100" i="9"/>
  <c r="C100" i="9"/>
  <c r="F99" i="9"/>
  <c r="E99" i="9"/>
  <c r="D99" i="9"/>
  <c r="C99" i="9"/>
  <c r="F98" i="9"/>
  <c r="E98" i="9"/>
  <c r="D98" i="9"/>
  <c r="C98" i="9"/>
  <c r="F97" i="9"/>
  <c r="E97" i="9"/>
  <c r="D97" i="9"/>
  <c r="C97" i="9"/>
  <c r="F96" i="9"/>
  <c r="E96" i="9"/>
  <c r="D96" i="9"/>
  <c r="C96" i="9"/>
  <c r="F95" i="9"/>
  <c r="E95" i="9"/>
  <c r="D95" i="9"/>
  <c r="C95" i="9"/>
  <c r="F94" i="9"/>
  <c r="E94" i="9"/>
  <c r="D94" i="9"/>
  <c r="C94" i="9"/>
  <c r="F93" i="9"/>
  <c r="E93" i="9"/>
  <c r="D93" i="9"/>
  <c r="C93" i="9"/>
  <c r="F92" i="9"/>
  <c r="E92" i="9"/>
  <c r="D92" i="9"/>
  <c r="C92" i="9"/>
  <c r="F91" i="9"/>
  <c r="E91" i="9"/>
  <c r="D91" i="9"/>
  <c r="C91" i="9"/>
  <c r="F90" i="9"/>
  <c r="E90" i="9"/>
  <c r="D90" i="9"/>
  <c r="C90" i="9"/>
  <c r="F89" i="9"/>
  <c r="E89" i="9"/>
  <c r="D89" i="9"/>
  <c r="C89" i="9"/>
  <c r="F88" i="9"/>
  <c r="E88" i="9"/>
  <c r="D88" i="9"/>
  <c r="C88" i="9"/>
  <c r="F87" i="9"/>
  <c r="E87" i="9"/>
  <c r="D87" i="9"/>
  <c r="C87" i="9"/>
  <c r="F86" i="9"/>
  <c r="E86" i="9"/>
  <c r="D86" i="9"/>
  <c r="C86" i="9"/>
  <c r="F85" i="9"/>
  <c r="E85" i="9"/>
  <c r="D85" i="9"/>
  <c r="C85" i="9"/>
  <c r="F84" i="9"/>
  <c r="E84" i="9"/>
  <c r="D84" i="9"/>
  <c r="C84" i="9"/>
  <c r="F83" i="9"/>
  <c r="E83" i="9"/>
  <c r="D83" i="9"/>
  <c r="C83" i="9"/>
  <c r="F82" i="9"/>
  <c r="E82" i="9"/>
  <c r="D82" i="9"/>
  <c r="C82" i="9"/>
  <c r="F81" i="9"/>
  <c r="E81" i="9"/>
  <c r="D81" i="9"/>
  <c r="C81" i="9"/>
  <c r="F80" i="9"/>
  <c r="E80" i="9"/>
  <c r="D80" i="9"/>
  <c r="C80" i="9"/>
  <c r="F79" i="9"/>
  <c r="E79" i="9"/>
  <c r="D79" i="9"/>
  <c r="C79" i="9"/>
  <c r="F78" i="9"/>
  <c r="E78" i="9"/>
  <c r="D78" i="9"/>
  <c r="C78" i="9"/>
  <c r="F77" i="9"/>
  <c r="E77" i="9"/>
  <c r="D77" i="9"/>
  <c r="C77" i="9"/>
  <c r="F76" i="9"/>
  <c r="E76" i="9"/>
  <c r="D76" i="9"/>
  <c r="C76" i="9"/>
  <c r="F75" i="9"/>
  <c r="E75" i="9"/>
  <c r="D75" i="9"/>
  <c r="C75" i="9"/>
  <c r="F74" i="9"/>
  <c r="E74" i="9"/>
  <c r="D74" i="9"/>
  <c r="C74" i="9"/>
  <c r="F73" i="9"/>
  <c r="E73" i="9"/>
  <c r="D73" i="9"/>
  <c r="C73" i="9"/>
  <c r="F72" i="9"/>
  <c r="E72" i="9"/>
  <c r="D72" i="9"/>
  <c r="C72" i="9"/>
  <c r="F71" i="9"/>
  <c r="E71" i="9"/>
  <c r="D71" i="9"/>
  <c r="C71" i="9"/>
  <c r="F70" i="9"/>
  <c r="E70" i="9"/>
  <c r="D70" i="9"/>
  <c r="C70" i="9"/>
  <c r="F69" i="9"/>
  <c r="E69" i="9"/>
  <c r="D69" i="9"/>
  <c r="C69" i="9"/>
  <c r="F68" i="9"/>
  <c r="E68" i="9"/>
  <c r="D68" i="9"/>
  <c r="C68" i="9"/>
  <c r="F67" i="9"/>
  <c r="E67" i="9"/>
  <c r="D67" i="9"/>
  <c r="C67" i="9"/>
  <c r="F66" i="9"/>
  <c r="E66" i="9"/>
  <c r="D66" i="9"/>
  <c r="C66" i="9"/>
  <c r="F65" i="9"/>
  <c r="E65" i="9"/>
  <c r="D65" i="9"/>
  <c r="C65" i="9"/>
  <c r="F64" i="9"/>
  <c r="E64" i="9"/>
  <c r="D64" i="9"/>
  <c r="C64" i="9"/>
  <c r="F63" i="9"/>
  <c r="E63" i="9"/>
  <c r="D63" i="9"/>
  <c r="C63" i="9"/>
  <c r="F62" i="9"/>
  <c r="E62" i="9"/>
  <c r="D62" i="9"/>
  <c r="C62" i="9"/>
  <c r="F61" i="9"/>
  <c r="E61" i="9"/>
  <c r="D61" i="9"/>
  <c r="C61" i="9"/>
  <c r="F60" i="9"/>
  <c r="E60" i="9"/>
  <c r="D60" i="9"/>
  <c r="C60" i="9"/>
  <c r="F59" i="9"/>
  <c r="E59" i="9"/>
  <c r="D59" i="9"/>
  <c r="C59" i="9"/>
  <c r="F58" i="9"/>
  <c r="E58" i="9"/>
  <c r="D58" i="9"/>
  <c r="C58" i="9"/>
  <c r="F57" i="9"/>
  <c r="E57" i="9"/>
  <c r="D57" i="9"/>
  <c r="C57" i="9"/>
  <c r="F56" i="9"/>
  <c r="E56" i="9"/>
  <c r="D56" i="9"/>
  <c r="C56" i="9"/>
  <c r="F55" i="9"/>
  <c r="E55" i="9"/>
  <c r="D55" i="9"/>
  <c r="C55" i="9"/>
  <c r="F54" i="9"/>
  <c r="E54" i="9"/>
  <c r="D54" i="9"/>
  <c r="C54" i="9"/>
  <c r="F53" i="9"/>
  <c r="E53" i="9"/>
  <c r="D53" i="9"/>
  <c r="C53" i="9"/>
  <c r="F52" i="9"/>
  <c r="E52" i="9"/>
  <c r="D52" i="9"/>
  <c r="C52" i="9"/>
  <c r="F51" i="9"/>
  <c r="E51" i="9"/>
  <c r="D51" i="9"/>
  <c r="C51" i="9"/>
  <c r="F50" i="9"/>
  <c r="E50" i="9"/>
  <c r="D50" i="9"/>
  <c r="C50" i="9"/>
  <c r="F49" i="9"/>
  <c r="E49" i="9"/>
  <c r="D49" i="9"/>
  <c r="C49" i="9"/>
  <c r="F48" i="9"/>
  <c r="E48" i="9"/>
  <c r="D48" i="9"/>
  <c r="C48" i="9"/>
  <c r="F47" i="9"/>
  <c r="E47" i="9"/>
  <c r="D47" i="9"/>
  <c r="C47" i="9"/>
  <c r="F46" i="9"/>
  <c r="E46" i="9"/>
  <c r="D46" i="9"/>
  <c r="C46" i="9"/>
  <c r="F45" i="9"/>
  <c r="E45" i="9"/>
  <c r="D45" i="9"/>
  <c r="C45" i="9"/>
  <c r="F44" i="9"/>
  <c r="E44" i="9"/>
  <c r="D44" i="9"/>
  <c r="C44" i="9"/>
  <c r="F43" i="9"/>
  <c r="E43" i="9"/>
  <c r="D43" i="9"/>
  <c r="C43" i="9"/>
  <c r="F42" i="9"/>
  <c r="E42" i="9"/>
  <c r="D42" i="9"/>
  <c r="C42" i="9"/>
  <c r="F41" i="9"/>
  <c r="E41" i="9"/>
  <c r="D41" i="9"/>
  <c r="C41" i="9"/>
  <c r="F40" i="9"/>
  <c r="E40" i="9"/>
  <c r="D40" i="9"/>
  <c r="C40" i="9"/>
  <c r="F39" i="9"/>
  <c r="E39" i="9"/>
  <c r="D39" i="9"/>
  <c r="C39" i="9"/>
  <c r="F38" i="9"/>
  <c r="E38" i="9"/>
  <c r="D38" i="9"/>
  <c r="C38" i="9"/>
  <c r="F37" i="9"/>
  <c r="E37" i="9"/>
  <c r="D37" i="9"/>
  <c r="C37" i="9"/>
  <c r="F36" i="9"/>
  <c r="E36" i="9"/>
  <c r="D36" i="9"/>
  <c r="C36" i="9"/>
  <c r="F35" i="9"/>
  <c r="E35" i="9"/>
  <c r="D35" i="9"/>
  <c r="C35" i="9"/>
  <c r="F34" i="9"/>
  <c r="E34" i="9"/>
  <c r="D34" i="9"/>
  <c r="C34" i="9"/>
  <c r="F33" i="9"/>
  <c r="E33" i="9"/>
  <c r="D33" i="9"/>
  <c r="C33" i="9"/>
  <c r="F32" i="9"/>
  <c r="E32" i="9"/>
  <c r="D32" i="9"/>
  <c r="C32" i="9"/>
  <c r="F31" i="9"/>
  <c r="E31" i="9"/>
  <c r="D31" i="9"/>
  <c r="C31" i="9"/>
  <c r="F30" i="9"/>
  <c r="E30" i="9"/>
  <c r="D30" i="9"/>
  <c r="C30" i="9"/>
  <c r="F29" i="9"/>
  <c r="E29" i="9"/>
  <c r="D29" i="9"/>
  <c r="C29" i="9"/>
  <c r="F28" i="9"/>
  <c r="E28" i="9"/>
  <c r="D28" i="9"/>
  <c r="C28" i="9"/>
  <c r="F27" i="9"/>
  <c r="E27" i="9"/>
  <c r="D27" i="9"/>
  <c r="C27" i="9"/>
  <c r="F26" i="9"/>
  <c r="E26" i="9"/>
  <c r="D26" i="9"/>
  <c r="C26" i="9"/>
  <c r="F25" i="9"/>
  <c r="E25" i="9"/>
  <c r="D25" i="9"/>
  <c r="C25" i="9"/>
  <c r="F24" i="9"/>
  <c r="E24" i="9"/>
  <c r="D24" i="9"/>
  <c r="C24" i="9"/>
  <c r="F23" i="9"/>
  <c r="E23" i="9"/>
  <c r="D23" i="9"/>
  <c r="C23" i="9"/>
  <c r="F22" i="9"/>
  <c r="E22" i="9"/>
  <c r="D22" i="9"/>
  <c r="C22" i="9"/>
  <c r="F21" i="9"/>
  <c r="E21" i="9"/>
  <c r="D21" i="9"/>
  <c r="C21" i="9"/>
  <c r="F20" i="9"/>
  <c r="E20" i="9"/>
  <c r="D20" i="9"/>
  <c r="C20" i="9"/>
  <c r="F19" i="9"/>
  <c r="E19" i="9"/>
  <c r="D19" i="9"/>
  <c r="C19" i="9"/>
  <c r="F18" i="9"/>
  <c r="E18" i="9"/>
  <c r="D18" i="9"/>
  <c r="C18" i="9"/>
  <c r="F17" i="9"/>
  <c r="E17" i="9"/>
  <c r="D17" i="9"/>
  <c r="C17" i="9"/>
  <c r="F16" i="9"/>
  <c r="E16" i="9"/>
  <c r="D16" i="9"/>
  <c r="C16" i="9"/>
  <c r="F15" i="9"/>
  <c r="E15" i="9"/>
  <c r="D15" i="9"/>
  <c r="C15" i="9"/>
  <c r="F14" i="9"/>
  <c r="E14" i="9"/>
  <c r="D14" i="9"/>
  <c r="C14" i="9"/>
  <c r="F13" i="9"/>
  <c r="E13" i="9"/>
  <c r="D13" i="9"/>
  <c r="C13" i="9"/>
  <c r="F12" i="9"/>
  <c r="E12" i="9"/>
  <c r="D12" i="9"/>
  <c r="C12" i="9"/>
  <c r="F11" i="9"/>
  <c r="E11" i="9"/>
  <c r="D11" i="9"/>
  <c r="C11" i="9"/>
  <c r="F10" i="9"/>
  <c r="E10" i="9"/>
  <c r="D10" i="9"/>
  <c r="C10" i="9"/>
  <c r="F9" i="9"/>
  <c r="E9" i="9"/>
  <c r="D9" i="9"/>
  <c r="C9" i="9"/>
  <c r="F8" i="9"/>
  <c r="E8" i="9"/>
  <c r="D8" i="9"/>
  <c r="C8" i="9"/>
  <c r="F7" i="9"/>
  <c r="E7" i="9"/>
  <c r="D7" i="9"/>
  <c r="C7" i="9"/>
  <c r="F6" i="9"/>
  <c r="E6" i="9"/>
  <c r="D6" i="9"/>
  <c r="C6" i="9"/>
  <c r="F5" i="9"/>
  <c r="E5" i="9"/>
  <c r="D5" i="9"/>
  <c r="C5" i="9"/>
  <c r="F4" i="9"/>
  <c r="E4" i="9"/>
  <c r="D4" i="9"/>
  <c r="C4" i="9"/>
  <c r="F3" i="9"/>
  <c r="E3" i="9"/>
  <c r="D3" i="9"/>
  <c r="C3" i="9"/>
  <c r="F2" i="9"/>
  <c r="E2" i="9"/>
  <c r="D2" i="9"/>
  <c r="C2" i="9"/>
  <c r="H501" i="7"/>
  <c r="F501" i="7"/>
  <c r="D501" i="7"/>
  <c r="A501" i="7"/>
  <c r="H500" i="7"/>
  <c r="F500" i="7"/>
  <c r="D500" i="7"/>
  <c r="A500" i="7"/>
  <c r="H499" i="7"/>
  <c r="F499" i="7"/>
  <c r="D499" i="7"/>
  <c r="A499" i="7"/>
  <c r="H498" i="7"/>
  <c r="F498" i="7"/>
  <c r="D498" i="7"/>
  <c r="A498" i="7"/>
  <c r="H497" i="7"/>
  <c r="F497" i="7"/>
  <c r="D497" i="7"/>
  <c r="A497" i="7"/>
  <c r="H496" i="7"/>
  <c r="F496" i="7"/>
  <c r="D496" i="7"/>
  <c r="A496" i="7"/>
  <c r="H495" i="7"/>
  <c r="F495" i="7"/>
  <c r="D495" i="7"/>
  <c r="A495" i="7"/>
  <c r="H494" i="7"/>
  <c r="F494" i="7"/>
  <c r="D494" i="7"/>
  <c r="A494" i="7"/>
  <c r="H493" i="7"/>
  <c r="F493" i="7"/>
  <c r="D493" i="7"/>
  <c r="A493" i="7"/>
  <c r="H492" i="7"/>
  <c r="F492" i="7"/>
  <c r="D492" i="7"/>
  <c r="A492" i="7"/>
  <c r="H491" i="7"/>
  <c r="F491" i="7"/>
  <c r="D491" i="7"/>
  <c r="A491" i="7"/>
  <c r="H490" i="7"/>
  <c r="F490" i="7"/>
  <c r="D490" i="7"/>
  <c r="A490" i="7"/>
  <c r="H489" i="7"/>
  <c r="F489" i="7"/>
  <c r="D489" i="7"/>
  <c r="A489" i="7"/>
  <c r="H488" i="7"/>
  <c r="F488" i="7"/>
  <c r="D488" i="7"/>
  <c r="A488" i="7"/>
  <c r="H487" i="7"/>
  <c r="F487" i="7"/>
  <c r="D487" i="7"/>
  <c r="A487" i="7"/>
  <c r="H486" i="7"/>
  <c r="F486" i="7"/>
  <c r="D486" i="7"/>
  <c r="A486" i="7"/>
  <c r="H485" i="7"/>
  <c r="F485" i="7"/>
  <c r="D485" i="7"/>
  <c r="A485" i="7"/>
  <c r="H484" i="7"/>
  <c r="F484" i="7"/>
  <c r="D484" i="7"/>
  <c r="A484" i="7"/>
  <c r="H483" i="7"/>
  <c r="F483" i="7"/>
  <c r="D483" i="7"/>
  <c r="A483" i="7"/>
  <c r="H482" i="7"/>
  <c r="F482" i="7"/>
  <c r="D482" i="7"/>
  <c r="A482" i="7"/>
  <c r="H481" i="7"/>
  <c r="F481" i="7"/>
  <c r="D481" i="7"/>
  <c r="A481" i="7"/>
  <c r="H480" i="7"/>
  <c r="F480" i="7"/>
  <c r="D480" i="7"/>
  <c r="A480" i="7"/>
  <c r="H479" i="7"/>
  <c r="F479" i="7"/>
  <c r="D479" i="7"/>
  <c r="A479" i="7"/>
  <c r="H478" i="7"/>
  <c r="F478" i="7"/>
  <c r="D478" i="7"/>
  <c r="A478" i="7"/>
  <c r="H477" i="7"/>
  <c r="F477" i="7"/>
  <c r="D477" i="7"/>
  <c r="A477" i="7"/>
  <c r="H476" i="7"/>
  <c r="F476" i="7"/>
  <c r="D476" i="7"/>
  <c r="A476" i="7"/>
  <c r="H475" i="7"/>
  <c r="F475" i="7"/>
  <c r="D475" i="7"/>
  <c r="A475" i="7"/>
  <c r="H474" i="7"/>
  <c r="F474" i="7"/>
  <c r="D474" i="7"/>
  <c r="A474" i="7"/>
  <c r="H473" i="7"/>
  <c r="F473" i="7"/>
  <c r="D473" i="7"/>
  <c r="A473" i="7"/>
  <c r="H472" i="7"/>
  <c r="F472" i="7"/>
  <c r="D472" i="7"/>
  <c r="A472" i="7"/>
  <c r="H471" i="7"/>
  <c r="F471" i="7"/>
  <c r="D471" i="7"/>
  <c r="A471" i="7"/>
  <c r="H470" i="7"/>
  <c r="F470" i="7"/>
  <c r="D470" i="7"/>
  <c r="A470" i="7"/>
  <c r="H469" i="7"/>
  <c r="F469" i="7"/>
  <c r="D469" i="7"/>
  <c r="A469" i="7"/>
  <c r="H468" i="7"/>
  <c r="F468" i="7"/>
  <c r="D468" i="7"/>
  <c r="A468" i="7"/>
  <c r="H467" i="7"/>
  <c r="F467" i="7"/>
  <c r="D467" i="7"/>
  <c r="A467" i="7"/>
  <c r="H466" i="7"/>
  <c r="F466" i="7"/>
  <c r="D466" i="7"/>
  <c r="A466" i="7"/>
  <c r="H465" i="7"/>
  <c r="F465" i="7"/>
  <c r="D465" i="7"/>
  <c r="A465" i="7"/>
  <c r="H464" i="7"/>
  <c r="F464" i="7"/>
  <c r="D464" i="7"/>
  <c r="A464" i="7"/>
  <c r="H463" i="7"/>
  <c r="F463" i="7"/>
  <c r="D463" i="7"/>
  <c r="A463" i="7"/>
  <c r="H462" i="7"/>
  <c r="F462" i="7"/>
  <c r="D462" i="7"/>
  <c r="A462" i="7"/>
  <c r="H461" i="7"/>
  <c r="F461" i="7"/>
  <c r="D461" i="7"/>
  <c r="A461" i="7"/>
  <c r="H460" i="7"/>
  <c r="F460" i="7"/>
  <c r="D460" i="7"/>
  <c r="A460" i="7"/>
  <c r="H459" i="7"/>
  <c r="F459" i="7"/>
  <c r="D459" i="7"/>
  <c r="A459" i="7"/>
  <c r="H458" i="7"/>
  <c r="F458" i="7"/>
  <c r="D458" i="7"/>
  <c r="A458" i="7"/>
  <c r="H457" i="7"/>
  <c r="F457" i="7"/>
  <c r="D457" i="7"/>
  <c r="A457" i="7"/>
  <c r="H456" i="7"/>
  <c r="F456" i="7"/>
  <c r="D456" i="7"/>
  <c r="A456" i="7"/>
  <c r="H455" i="7"/>
  <c r="F455" i="7"/>
  <c r="D455" i="7"/>
  <c r="A455" i="7"/>
  <c r="H454" i="7"/>
  <c r="F454" i="7"/>
  <c r="D454" i="7"/>
  <c r="A454" i="7"/>
  <c r="H453" i="7"/>
  <c r="F453" i="7"/>
  <c r="D453" i="7"/>
  <c r="A453" i="7"/>
  <c r="H452" i="7"/>
  <c r="F452" i="7"/>
  <c r="D452" i="7"/>
  <c r="A452" i="7"/>
  <c r="H451" i="7"/>
  <c r="F451" i="7"/>
  <c r="D451" i="7"/>
  <c r="A451" i="7"/>
  <c r="H450" i="7"/>
  <c r="F450" i="7"/>
  <c r="D450" i="7"/>
  <c r="A450" i="7"/>
  <c r="H449" i="7"/>
  <c r="F449" i="7"/>
  <c r="D449" i="7"/>
  <c r="A449" i="7"/>
  <c r="H448" i="7"/>
  <c r="F448" i="7"/>
  <c r="D448" i="7"/>
  <c r="A448" i="7"/>
  <c r="H447" i="7"/>
  <c r="F447" i="7"/>
  <c r="D447" i="7"/>
  <c r="A447" i="7"/>
  <c r="H446" i="7"/>
  <c r="F446" i="7"/>
  <c r="D446" i="7"/>
  <c r="A446" i="7"/>
  <c r="H445" i="7"/>
  <c r="F445" i="7"/>
  <c r="D445" i="7"/>
  <c r="A445" i="7"/>
  <c r="H444" i="7"/>
  <c r="F444" i="7"/>
  <c r="D444" i="7"/>
  <c r="A444" i="7"/>
  <c r="H443" i="7"/>
  <c r="F443" i="7"/>
  <c r="D443" i="7"/>
  <c r="A443" i="7"/>
  <c r="H442" i="7"/>
  <c r="F442" i="7"/>
  <c r="D442" i="7"/>
  <c r="A442" i="7"/>
  <c r="H441" i="7"/>
  <c r="F441" i="7"/>
  <c r="D441" i="7"/>
  <c r="A441" i="7"/>
  <c r="H440" i="7"/>
  <c r="F440" i="7"/>
  <c r="D440" i="7"/>
  <c r="A440" i="7"/>
  <c r="H439" i="7"/>
  <c r="F439" i="7"/>
  <c r="D439" i="7"/>
  <c r="A439" i="7"/>
  <c r="H438" i="7"/>
  <c r="F438" i="7"/>
  <c r="D438" i="7"/>
  <c r="A438" i="7"/>
  <c r="H437" i="7"/>
  <c r="F437" i="7"/>
  <c r="D437" i="7"/>
  <c r="A437" i="7"/>
  <c r="H436" i="7"/>
  <c r="F436" i="7"/>
  <c r="D436" i="7"/>
  <c r="A436" i="7"/>
  <c r="H435" i="7"/>
  <c r="F435" i="7"/>
  <c r="D435" i="7"/>
  <c r="A435" i="7"/>
  <c r="H434" i="7"/>
  <c r="F434" i="7"/>
  <c r="D434" i="7"/>
  <c r="A434" i="7"/>
  <c r="H433" i="7"/>
  <c r="F433" i="7"/>
  <c r="D433" i="7"/>
  <c r="A433" i="7"/>
  <c r="H432" i="7"/>
  <c r="F432" i="7"/>
  <c r="D432" i="7"/>
  <c r="A432" i="7"/>
  <c r="H431" i="7"/>
  <c r="F431" i="7"/>
  <c r="D431" i="7"/>
  <c r="A431" i="7"/>
  <c r="H430" i="7"/>
  <c r="F430" i="7"/>
  <c r="D430" i="7"/>
  <c r="A430" i="7"/>
  <c r="H429" i="7"/>
  <c r="F429" i="7"/>
  <c r="D429" i="7"/>
  <c r="A429" i="7"/>
  <c r="H428" i="7"/>
  <c r="F428" i="7"/>
  <c r="D428" i="7"/>
  <c r="A428" i="7"/>
  <c r="H427" i="7"/>
  <c r="F427" i="7"/>
  <c r="D427" i="7"/>
  <c r="A427" i="7"/>
  <c r="H426" i="7"/>
  <c r="F426" i="7"/>
  <c r="D426" i="7"/>
  <c r="A426" i="7"/>
  <c r="H425" i="7"/>
  <c r="F425" i="7"/>
  <c r="D425" i="7"/>
  <c r="A425" i="7"/>
  <c r="H424" i="7"/>
  <c r="F424" i="7"/>
  <c r="D424" i="7"/>
  <c r="A424" i="7"/>
  <c r="H423" i="7"/>
  <c r="F423" i="7"/>
  <c r="D423" i="7"/>
  <c r="A423" i="7"/>
  <c r="H422" i="7"/>
  <c r="F422" i="7"/>
  <c r="D422" i="7"/>
  <c r="A422" i="7"/>
  <c r="H421" i="7"/>
  <c r="F421" i="7"/>
  <c r="D421" i="7"/>
  <c r="A421" i="7"/>
  <c r="H420" i="7"/>
  <c r="F420" i="7"/>
  <c r="D420" i="7"/>
  <c r="A420" i="7"/>
  <c r="H419" i="7"/>
  <c r="F419" i="7"/>
  <c r="D419" i="7"/>
  <c r="A419" i="7"/>
  <c r="H418" i="7"/>
  <c r="F418" i="7"/>
  <c r="D418" i="7"/>
  <c r="A418" i="7"/>
  <c r="H417" i="7"/>
  <c r="F417" i="7"/>
  <c r="D417" i="7"/>
  <c r="A417" i="7"/>
  <c r="H416" i="7"/>
  <c r="F416" i="7"/>
  <c r="D416" i="7"/>
  <c r="A416" i="7"/>
  <c r="H415" i="7"/>
  <c r="F415" i="7"/>
  <c r="D415" i="7"/>
  <c r="A415" i="7"/>
  <c r="H414" i="7"/>
  <c r="F414" i="7"/>
  <c r="D414" i="7"/>
  <c r="A414" i="7"/>
  <c r="H413" i="7"/>
  <c r="F413" i="7"/>
  <c r="D413" i="7"/>
  <c r="A413" i="7"/>
  <c r="H412" i="7"/>
  <c r="F412" i="7"/>
  <c r="D412" i="7"/>
  <c r="A412" i="7"/>
  <c r="H411" i="7"/>
  <c r="F411" i="7"/>
  <c r="D411" i="7"/>
  <c r="A411" i="7"/>
  <c r="H410" i="7"/>
  <c r="F410" i="7"/>
  <c r="D410" i="7"/>
  <c r="A410" i="7"/>
  <c r="H409" i="7"/>
  <c r="F409" i="7"/>
  <c r="D409" i="7"/>
  <c r="A409" i="7"/>
  <c r="H408" i="7"/>
  <c r="F408" i="7"/>
  <c r="D408" i="7"/>
  <c r="A408" i="7"/>
  <c r="H407" i="7"/>
  <c r="F407" i="7"/>
  <c r="D407" i="7"/>
  <c r="A407" i="7"/>
  <c r="H406" i="7"/>
  <c r="F406" i="7"/>
  <c r="D406" i="7"/>
  <c r="A406" i="7"/>
  <c r="H405" i="7"/>
  <c r="F405" i="7"/>
  <c r="D405" i="7"/>
  <c r="A405" i="7"/>
  <c r="H404" i="7"/>
  <c r="F404" i="7"/>
  <c r="D404" i="7"/>
  <c r="A404" i="7"/>
  <c r="H403" i="7"/>
  <c r="F403" i="7"/>
  <c r="D403" i="7"/>
  <c r="A403" i="7"/>
  <c r="H402" i="7"/>
  <c r="F402" i="7"/>
  <c r="D402" i="7"/>
  <c r="A402" i="7"/>
  <c r="H401" i="7"/>
  <c r="F401" i="7"/>
  <c r="D401" i="7"/>
  <c r="A401" i="7"/>
  <c r="H400" i="7"/>
  <c r="F400" i="7"/>
  <c r="D400" i="7"/>
  <c r="A400" i="7"/>
  <c r="H399" i="7"/>
  <c r="F399" i="7"/>
  <c r="D399" i="7"/>
  <c r="A399" i="7"/>
  <c r="H398" i="7"/>
  <c r="F398" i="7"/>
  <c r="D398" i="7"/>
  <c r="A398" i="7"/>
  <c r="H397" i="7"/>
  <c r="F397" i="7"/>
  <c r="D397" i="7"/>
  <c r="A397" i="7"/>
  <c r="H396" i="7"/>
  <c r="F396" i="7"/>
  <c r="D396" i="7"/>
  <c r="A396" i="7"/>
  <c r="H395" i="7"/>
  <c r="F395" i="7"/>
  <c r="D395" i="7"/>
  <c r="A395" i="7"/>
  <c r="H394" i="7"/>
  <c r="F394" i="7"/>
  <c r="D394" i="7"/>
  <c r="A394" i="7"/>
  <c r="H393" i="7"/>
  <c r="F393" i="7"/>
  <c r="D393" i="7"/>
  <c r="A393" i="7"/>
  <c r="H392" i="7"/>
  <c r="F392" i="7"/>
  <c r="D392" i="7"/>
  <c r="A392" i="7"/>
  <c r="H391" i="7"/>
  <c r="F391" i="7"/>
  <c r="D391" i="7"/>
  <c r="A391" i="7"/>
  <c r="H390" i="7"/>
  <c r="F390" i="7"/>
  <c r="D390" i="7"/>
  <c r="A390" i="7"/>
  <c r="H389" i="7"/>
  <c r="F389" i="7"/>
  <c r="D389" i="7"/>
  <c r="A389" i="7"/>
  <c r="H388" i="7"/>
  <c r="F388" i="7"/>
  <c r="D388" i="7"/>
  <c r="A388" i="7"/>
  <c r="H387" i="7"/>
  <c r="F387" i="7"/>
  <c r="D387" i="7"/>
  <c r="A387" i="7"/>
  <c r="H386" i="7"/>
  <c r="F386" i="7"/>
  <c r="D386" i="7"/>
  <c r="A386" i="7"/>
  <c r="H385" i="7"/>
  <c r="F385" i="7"/>
  <c r="D385" i="7"/>
  <c r="A385" i="7"/>
  <c r="H384" i="7"/>
  <c r="F384" i="7"/>
  <c r="D384" i="7"/>
  <c r="A384" i="7"/>
  <c r="H383" i="7"/>
  <c r="F383" i="7"/>
  <c r="D383" i="7"/>
  <c r="A383" i="7"/>
  <c r="H382" i="7"/>
  <c r="F382" i="7"/>
  <c r="D382" i="7"/>
  <c r="A382" i="7"/>
  <c r="H381" i="7"/>
  <c r="F381" i="7"/>
  <c r="D381" i="7"/>
  <c r="A381" i="7"/>
  <c r="H380" i="7"/>
  <c r="F380" i="7"/>
  <c r="D380" i="7"/>
  <c r="A380" i="7"/>
  <c r="H379" i="7"/>
  <c r="F379" i="7"/>
  <c r="D379" i="7"/>
  <c r="A379" i="7"/>
  <c r="H378" i="7"/>
  <c r="F378" i="7"/>
  <c r="D378" i="7"/>
  <c r="A378" i="7"/>
  <c r="H377" i="7"/>
  <c r="F377" i="7"/>
  <c r="D377" i="7"/>
  <c r="A377" i="7"/>
  <c r="H376" i="7"/>
  <c r="F376" i="7"/>
  <c r="D376" i="7"/>
  <c r="A376" i="7"/>
  <c r="H375" i="7"/>
  <c r="F375" i="7"/>
  <c r="D375" i="7"/>
  <c r="A375" i="7"/>
  <c r="H374" i="7"/>
  <c r="F374" i="7"/>
  <c r="D374" i="7"/>
  <c r="A374" i="7"/>
  <c r="H373" i="7"/>
  <c r="F373" i="7"/>
  <c r="D373" i="7"/>
  <c r="A373" i="7"/>
  <c r="H372" i="7"/>
  <c r="F372" i="7"/>
  <c r="D372" i="7"/>
  <c r="A372" i="7"/>
  <c r="H371" i="7"/>
  <c r="F371" i="7"/>
  <c r="D371" i="7"/>
  <c r="A371" i="7"/>
  <c r="H370" i="7"/>
  <c r="F370" i="7"/>
  <c r="D370" i="7"/>
  <c r="A370" i="7"/>
  <c r="H369" i="7"/>
  <c r="F369" i="7"/>
  <c r="D369" i="7"/>
  <c r="A369" i="7"/>
  <c r="H368" i="7"/>
  <c r="F368" i="7"/>
  <c r="D368" i="7"/>
  <c r="A368" i="7"/>
  <c r="H367" i="7"/>
  <c r="F367" i="7"/>
  <c r="D367" i="7"/>
  <c r="A367" i="7"/>
  <c r="H366" i="7"/>
  <c r="F366" i="7"/>
  <c r="D366" i="7"/>
  <c r="A366" i="7"/>
  <c r="H365" i="7"/>
  <c r="F365" i="7"/>
  <c r="D365" i="7"/>
  <c r="A365" i="7"/>
  <c r="H364" i="7"/>
  <c r="F364" i="7"/>
  <c r="D364" i="7"/>
  <c r="A364" i="7"/>
  <c r="H363" i="7"/>
  <c r="F363" i="7"/>
  <c r="D363" i="7"/>
  <c r="A363" i="7"/>
  <c r="H362" i="7"/>
  <c r="F362" i="7"/>
  <c r="D362" i="7"/>
  <c r="A362" i="7"/>
  <c r="H361" i="7"/>
  <c r="F361" i="7"/>
  <c r="D361" i="7"/>
  <c r="A361" i="7"/>
  <c r="H360" i="7"/>
  <c r="F360" i="7"/>
  <c r="D360" i="7"/>
  <c r="A360" i="7"/>
  <c r="H359" i="7"/>
  <c r="F359" i="7"/>
  <c r="D359" i="7"/>
  <c r="A359" i="7"/>
  <c r="H358" i="7"/>
  <c r="F358" i="7"/>
  <c r="D358" i="7"/>
  <c r="A358" i="7"/>
  <c r="H357" i="7"/>
  <c r="F357" i="7"/>
  <c r="D357" i="7"/>
  <c r="A357" i="7"/>
  <c r="H356" i="7"/>
  <c r="F356" i="7"/>
  <c r="D356" i="7"/>
  <c r="A356" i="7"/>
  <c r="H355" i="7"/>
  <c r="F355" i="7"/>
  <c r="D355" i="7"/>
  <c r="A355" i="7"/>
  <c r="H354" i="7"/>
  <c r="F354" i="7"/>
  <c r="D354" i="7"/>
  <c r="A354" i="7"/>
  <c r="H353" i="7"/>
  <c r="F353" i="7"/>
  <c r="D353" i="7"/>
  <c r="A353" i="7"/>
  <c r="H352" i="7"/>
  <c r="F352" i="7"/>
  <c r="D352" i="7"/>
  <c r="A352" i="7"/>
  <c r="H351" i="7"/>
  <c r="F351" i="7"/>
  <c r="D351" i="7"/>
  <c r="A351" i="7"/>
  <c r="H350" i="7"/>
  <c r="F350" i="7"/>
  <c r="D350" i="7"/>
  <c r="A350" i="7"/>
  <c r="H349" i="7"/>
  <c r="F349" i="7"/>
  <c r="D349" i="7"/>
  <c r="A349" i="7"/>
  <c r="H348" i="7"/>
  <c r="F348" i="7"/>
  <c r="D348" i="7"/>
  <c r="A348" i="7"/>
  <c r="H347" i="7"/>
  <c r="F347" i="7"/>
  <c r="D347" i="7"/>
  <c r="A347" i="7"/>
  <c r="H346" i="7"/>
  <c r="F346" i="7"/>
  <c r="D346" i="7"/>
  <c r="A346" i="7"/>
  <c r="H345" i="7"/>
  <c r="F345" i="7"/>
  <c r="D345" i="7"/>
  <c r="A345" i="7"/>
  <c r="H344" i="7"/>
  <c r="F344" i="7"/>
  <c r="D344" i="7"/>
  <c r="A344" i="7"/>
  <c r="H343" i="7"/>
  <c r="F343" i="7"/>
  <c r="D343" i="7"/>
  <c r="A343" i="7"/>
  <c r="H342" i="7"/>
  <c r="F342" i="7"/>
  <c r="D342" i="7"/>
  <c r="A342" i="7"/>
  <c r="H341" i="7"/>
  <c r="F341" i="7"/>
  <c r="D341" i="7"/>
  <c r="A341" i="7"/>
  <c r="H340" i="7"/>
  <c r="F340" i="7"/>
  <c r="D340" i="7"/>
  <c r="A340" i="7"/>
  <c r="H339" i="7"/>
  <c r="F339" i="7"/>
  <c r="D339" i="7"/>
  <c r="A339" i="7"/>
  <c r="H338" i="7"/>
  <c r="F338" i="7"/>
  <c r="D338" i="7"/>
  <c r="A338" i="7"/>
  <c r="H337" i="7"/>
  <c r="F337" i="7"/>
  <c r="D337" i="7"/>
  <c r="A337" i="7"/>
  <c r="H336" i="7"/>
  <c r="F336" i="7"/>
  <c r="D336" i="7"/>
  <c r="A336" i="7"/>
  <c r="H335" i="7"/>
  <c r="F335" i="7"/>
  <c r="D335" i="7"/>
  <c r="A335" i="7"/>
  <c r="H334" i="7"/>
  <c r="F334" i="7"/>
  <c r="D334" i="7"/>
  <c r="A334" i="7"/>
  <c r="H333" i="7"/>
  <c r="F333" i="7"/>
  <c r="D333" i="7"/>
  <c r="A333" i="7"/>
  <c r="H332" i="7"/>
  <c r="F332" i="7"/>
  <c r="D332" i="7"/>
  <c r="A332" i="7"/>
  <c r="H331" i="7"/>
  <c r="F331" i="7"/>
  <c r="D331" i="7"/>
  <c r="A331" i="7"/>
  <c r="H330" i="7"/>
  <c r="F330" i="7"/>
  <c r="D330" i="7"/>
  <c r="A330" i="7"/>
  <c r="H329" i="7"/>
  <c r="F329" i="7"/>
  <c r="D329" i="7"/>
  <c r="A329" i="7"/>
  <c r="H328" i="7"/>
  <c r="F328" i="7"/>
  <c r="D328" i="7"/>
  <c r="A328" i="7"/>
  <c r="H327" i="7"/>
  <c r="F327" i="7"/>
  <c r="D327" i="7"/>
  <c r="A327" i="7"/>
  <c r="H326" i="7"/>
  <c r="F326" i="7"/>
  <c r="D326" i="7"/>
  <c r="A326" i="7"/>
  <c r="H325" i="7"/>
  <c r="F325" i="7"/>
  <c r="D325" i="7"/>
  <c r="A325" i="7"/>
  <c r="H324" i="7"/>
  <c r="F324" i="7"/>
  <c r="D324" i="7"/>
  <c r="A324" i="7"/>
  <c r="H323" i="7"/>
  <c r="F323" i="7"/>
  <c r="D323" i="7"/>
  <c r="A323" i="7"/>
  <c r="H322" i="7"/>
  <c r="F322" i="7"/>
  <c r="D322" i="7"/>
  <c r="A322" i="7"/>
  <c r="H321" i="7"/>
  <c r="F321" i="7"/>
  <c r="D321" i="7"/>
  <c r="A321" i="7"/>
  <c r="H320" i="7"/>
  <c r="F320" i="7"/>
  <c r="D320" i="7"/>
  <c r="A320" i="7"/>
  <c r="H319" i="7"/>
  <c r="F319" i="7"/>
  <c r="D319" i="7"/>
  <c r="A319" i="7"/>
  <c r="H318" i="7"/>
  <c r="F318" i="7"/>
  <c r="D318" i="7"/>
  <c r="A318" i="7"/>
  <c r="H317" i="7"/>
  <c r="F317" i="7"/>
  <c r="D317" i="7"/>
  <c r="A317" i="7"/>
  <c r="H316" i="7"/>
  <c r="F316" i="7"/>
  <c r="D316" i="7"/>
  <c r="A316" i="7"/>
  <c r="H315" i="7"/>
  <c r="F315" i="7"/>
  <c r="D315" i="7"/>
  <c r="A315" i="7"/>
  <c r="H314" i="7"/>
  <c r="F314" i="7"/>
  <c r="D314" i="7"/>
  <c r="A314" i="7"/>
  <c r="H313" i="7"/>
  <c r="F313" i="7"/>
  <c r="D313" i="7"/>
  <c r="A313" i="7"/>
  <c r="H312" i="7"/>
  <c r="F312" i="7"/>
  <c r="D312" i="7"/>
  <c r="A312" i="7"/>
  <c r="H311" i="7"/>
  <c r="F311" i="7"/>
  <c r="D311" i="7"/>
  <c r="A311" i="7"/>
  <c r="H310" i="7"/>
  <c r="F310" i="7"/>
  <c r="D310" i="7"/>
  <c r="A310" i="7"/>
  <c r="H309" i="7"/>
  <c r="F309" i="7"/>
  <c r="D309" i="7"/>
  <c r="A309" i="7"/>
  <c r="H308" i="7"/>
  <c r="F308" i="7"/>
  <c r="D308" i="7"/>
  <c r="A308" i="7"/>
  <c r="H307" i="7"/>
  <c r="F307" i="7"/>
  <c r="D307" i="7"/>
  <c r="A307" i="7"/>
  <c r="H306" i="7"/>
  <c r="F306" i="7"/>
  <c r="D306" i="7"/>
  <c r="A306" i="7"/>
  <c r="H305" i="7"/>
  <c r="F305" i="7"/>
  <c r="D305" i="7"/>
  <c r="A305" i="7"/>
  <c r="H304" i="7"/>
  <c r="F304" i="7"/>
  <c r="D304" i="7"/>
  <c r="A304" i="7"/>
  <c r="H303" i="7"/>
  <c r="F303" i="7"/>
  <c r="D303" i="7"/>
  <c r="A303" i="7"/>
  <c r="H302" i="7"/>
  <c r="F302" i="7"/>
  <c r="D302" i="7"/>
  <c r="A302" i="7"/>
  <c r="H301" i="7"/>
  <c r="F301" i="7"/>
  <c r="D301" i="7"/>
  <c r="A301" i="7"/>
  <c r="H300" i="7"/>
  <c r="F300" i="7"/>
  <c r="D300" i="7"/>
  <c r="A300" i="7"/>
  <c r="H299" i="7"/>
  <c r="F299" i="7"/>
  <c r="D299" i="7"/>
  <c r="A299" i="7"/>
  <c r="H298" i="7"/>
  <c r="F298" i="7"/>
  <c r="D298" i="7"/>
  <c r="A298" i="7"/>
  <c r="H297" i="7"/>
  <c r="F297" i="7"/>
  <c r="D297" i="7"/>
  <c r="A297" i="7"/>
  <c r="H296" i="7"/>
  <c r="F296" i="7"/>
  <c r="D296" i="7"/>
  <c r="A296" i="7"/>
  <c r="H295" i="7"/>
  <c r="F295" i="7"/>
  <c r="D295" i="7"/>
  <c r="A295" i="7"/>
  <c r="H294" i="7"/>
  <c r="F294" i="7"/>
  <c r="D294" i="7"/>
  <c r="A294" i="7"/>
  <c r="H293" i="7"/>
  <c r="F293" i="7"/>
  <c r="D293" i="7"/>
  <c r="A293" i="7"/>
  <c r="H292" i="7"/>
  <c r="F292" i="7"/>
  <c r="D292" i="7"/>
  <c r="A292" i="7"/>
  <c r="H291" i="7"/>
  <c r="F291" i="7"/>
  <c r="D291" i="7"/>
  <c r="A291" i="7"/>
  <c r="H290" i="7"/>
  <c r="F290" i="7"/>
  <c r="D290" i="7"/>
  <c r="A290" i="7"/>
  <c r="H289" i="7"/>
  <c r="F289" i="7"/>
  <c r="D289" i="7"/>
  <c r="A289" i="7"/>
  <c r="H288" i="7"/>
  <c r="F288" i="7"/>
  <c r="D288" i="7"/>
  <c r="A288" i="7"/>
  <c r="H287" i="7"/>
  <c r="F287" i="7"/>
  <c r="D287" i="7"/>
  <c r="A287" i="7"/>
  <c r="H286" i="7"/>
  <c r="F286" i="7"/>
  <c r="D286" i="7"/>
  <c r="A286" i="7"/>
  <c r="H285" i="7"/>
  <c r="F285" i="7"/>
  <c r="D285" i="7"/>
  <c r="A285" i="7"/>
  <c r="H284" i="7"/>
  <c r="F284" i="7"/>
  <c r="D284" i="7"/>
  <c r="A284" i="7"/>
  <c r="H283" i="7"/>
  <c r="F283" i="7"/>
  <c r="D283" i="7"/>
  <c r="A283" i="7"/>
  <c r="H282" i="7"/>
  <c r="F282" i="7"/>
  <c r="D282" i="7"/>
  <c r="A282" i="7"/>
  <c r="H281" i="7"/>
  <c r="F281" i="7"/>
  <c r="D281" i="7"/>
  <c r="A281" i="7"/>
  <c r="H280" i="7"/>
  <c r="F280" i="7"/>
  <c r="D280" i="7"/>
  <c r="A280" i="7"/>
  <c r="H279" i="7"/>
  <c r="F279" i="7"/>
  <c r="D279" i="7"/>
  <c r="A279" i="7"/>
  <c r="H278" i="7"/>
  <c r="F278" i="7"/>
  <c r="D278" i="7"/>
  <c r="A278" i="7"/>
  <c r="H277" i="7"/>
  <c r="F277" i="7"/>
  <c r="D277" i="7"/>
  <c r="A277" i="7"/>
  <c r="H276" i="7"/>
  <c r="F276" i="7"/>
  <c r="D276" i="7"/>
  <c r="A276" i="7"/>
  <c r="H275" i="7"/>
  <c r="F275" i="7"/>
  <c r="D275" i="7"/>
  <c r="A275" i="7"/>
  <c r="H274" i="7"/>
  <c r="F274" i="7"/>
  <c r="D274" i="7"/>
  <c r="A274" i="7"/>
  <c r="H273" i="7"/>
  <c r="F273" i="7"/>
  <c r="D273" i="7"/>
  <c r="A273" i="7"/>
  <c r="H272" i="7"/>
  <c r="F272" i="7"/>
  <c r="D272" i="7"/>
  <c r="A272" i="7"/>
  <c r="H271" i="7"/>
  <c r="F271" i="7"/>
  <c r="D271" i="7"/>
  <c r="A271" i="7"/>
  <c r="H270" i="7"/>
  <c r="F270" i="7"/>
  <c r="D270" i="7"/>
  <c r="A270" i="7"/>
  <c r="H269" i="7"/>
  <c r="F269" i="7"/>
  <c r="D269" i="7"/>
  <c r="A269" i="7"/>
  <c r="H268" i="7"/>
  <c r="F268" i="7"/>
  <c r="D268" i="7"/>
  <c r="A268" i="7"/>
  <c r="H267" i="7"/>
  <c r="F267" i="7"/>
  <c r="D267" i="7"/>
  <c r="A267" i="7"/>
  <c r="H266" i="7"/>
  <c r="F266" i="7"/>
  <c r="D266" i="7"/>
  <c r="A266" i="7"/>
  <c r="H265" i="7"/>
  <c r="F265" i="7"/>
  <c r="D265" i="7"/>
  <c r="A265" i="7"/>
  <c r="H264" i="7"/>
  <c r="F264" i="7"/>
  <c r="D264" i="7"/>
  <c r="A264" i="7"/>
  <c r="H263" i="7"/>
  <c r="F263" i="7"/>
  <c r="D263" i="7"/>
  <c r="A263" i="7"/>
  <c r="H262" i="7"/>
  <c r="F262" i="7"/>
  <c r="D262" i="7"/>
  <c r="A262" i="7"/>
  <c r="H261" i="7"/>
  <c r="F261" i="7"/>
  <c r="D261" i="7"/>
  <c r="A261" i="7"/>
  <c r="H260" i="7"/>
  <c r="F260" i="7"/>
  <c r="D260" i="7"/>
  <c r="A260" i="7"/>
  <c r="H259" i="7"/>
  <c r="F259" i="7"/>
  <c r="D259" i="7"/>
  <c r="A259" i="7"/>
  <c r="H258" i="7"/>
  <c r="F258" i="7"/>
  <c r="D258" i="7"/>
  <c r="A258" i="7"/>
  <c r="H257" i="7"/>
  <c r="F257" i="7"/>
  <c r="D257" i="7"/>
  <c r="A257" i="7"/>
  <c r="H256" i="7"/>
  <c r="F256" i="7"/>
  <c r="D256" i="7"/>
  <c r="A256" i="7"/>
  <c r="H255" i="7"/>
  <c r="F255" i="7"/>
  <c r="D255" i="7"/>
  <c r="A255" i="7"/>
  <c r="H254" i="7"/>
  <c r="F254" i="7"/>
  <c r="D254" i="7"/>
  <c r="A254" i="7"/>
  <c r="H253" i="7"/>
  <c r="F253" i="7"/>
  <c r="D253" i="7"/>
  <c r="A253" i="7"/>
  <c r="H252" i="7"/>
  <c r="F252" i="7"/>
  <c r="D252" i="7"/>
  <c r="A252" i="7"/>
  <c r="H251" i="7"/>
  <c r="F251" i="7"/>
  <c r="D251" i="7"/>
  <c r="A251" i="7"/>
  <c r="H250" i="7"/>
  <c r="F250" i="7"/>
  <c r="D250" i="7"/>
  <c r="A250" i="7"/>
  <c r="H249" i="7"/>
  <c r="F249" i="7"/>
  <c r="D249" i="7"/>
  <c r="A249" i="7"/>
  <c r="H248" i="7"/>
  <c r="F248" i="7"/>
  <c r="D248" i="7"/>
  <c r="A248" i="7"/>
  <c r="H247" i="7"/>
  <c r="F247" i="7"/>
  <c r="D247" i="7"/>
  <c r="A247" i="7"/>
  <c r="H246" i="7"/>
  <c r="F246" i="7"/>
  <c r="D246" i="7"/>
  <c r="A246" i="7"/>
  <c r="H245" i="7"/>
  <c r="F245" i="7"/>
  <c r="D245" i="7"/>
  <c r="A245" i="7"/>
  <c r="H244" i="7"/>
  <c r="F244" i="7"/>
  <c r="D244" i="7"/>
  <c r="A244" i="7"/>
  <c r="H243" i="7"/>
  <c r="F243" i="7"/>
  <c r="D243" i="7"/>
  <c r="A243" i="7"/>
  <c r="H242" i="7"/>
  <c r="F242" i="7"/>
  <c r="D242" i="7"/>
  <c r="A242" i="7"/>
  <c r="H241" i="7"/>
  <c r="F241" i="7"/>
  <c r="D241" i="7"/>
  <c r="A241" i="7"/>
  <c r="H240" i="7"/>
  <c r="F240" i="7"/>
  <c r="D240" i="7"/>
  <c r="A240" i="7"/>
  <c r="H239" i="7"/>
  <c r="F239" i="7"/>
  <c r="D239" i="7"/>
  <c r="A239" i="7"/>
  <c r="H238" i="7"/>
  <c r="F238" i="7"/>
  <c r="D238" i="7"/>
  <c r="A238" i="7"/>
  <c r="H237" i="7"/>
  <c r="F237" i="7"/>
  <c r="D237" i="7"/>
  <c r="A237" i="7"/>
  <c r="H236" i="7"/>
  <c r="F236" i="7"/>
  <c r="D236" i="7"/>
  <c r="A236" i="7"/>
  <c r="H235" i="7"/>
  <c r="F235" i="7"/>
  <c r="D235" i="7"/>
  <c r="A235" i="7"/>
  <c r="H234" i="7"/>
  <c r="F234" i="7"/>
  <c r="D234" i="7"/>
  <c r="A234" i="7"/>
  <c r="H233" i="7"/>
  <c r="F233" i="7"/>
  <c r="D233" i="7"/>
  <c r="A233" i="7"/>
  <c r="H232" i="7"/>
  <c r="F232" i="7"/>
  <c r="D232" i="7"/>
  <c r="A232" i="7"/>
  <c r="H231" i="7"/>
  <c r="F231" i="7"/>
  <c r="D231" i="7"/>
  <c r="A231" i="7"/>
  <c r="H230" i="7"/>
  <c r="F230" i="7"/>
  <c r="D230" i="7"/>
  <c r="A230" i="7"/>
  <c r="H229" i="7"/>
  <c r="F229" i="7"/>
  <c r="D229" i="7"/>
  <c r="A229" i="7"/>
  <c r="H228" i="7"/>
  <c r="F228" i="7"/>
  <c r="D228" i="7"/>
  <c r="A228" i="7"/>
  <c r="H227" i="7"/>
  <c r="F227" i="7"/>
  <c r="D227" i="7"/>
  <c r="A227" i="7"/>
  <c r="H226" i="7"/>
  <c r="F226" i="7"/>
  <c r="D226" i="7"/>
  <c r="A226" i="7"/>
  <c r="H225" i="7"/>
  <c r="F225" i="7"/>
  <c r="D225" i="7"/>
  <c r="A225" i="7"/>
  <c r="H224" i="7"/>
  <c r="F224" i="7"/>
  <c r="D224" i="7"/>
  <c r="A224" i="7"/>
  <c r="H223" i="7"/>
  <c r="F223" i="7"/>
  <c r="D223" i="7"/>
  <c r="A223" i="7"/>
  <c r="H222" i="7"/>
  <c r="F222" i="7"/>
  <c r="D222" i="7"/>
  <c r="A222" i="7"/>
  <c r="H221" i="7"/>
  <c r="F221" i="7"/>
  <c r="D221" i="7"/>
  <c r="A221" i="7"/>
  <c r="H220" i="7"/>
  <c r="F220" i="7"/>
  <c r="D220" i="7"/>
  <c r="A220" i="7"/>
  <c r="H219" i="7"/>
  <c r="F219" i="7"/>
  <c r="D219" i="7"/>
  <c r="A219" i="7"/>
  <c r="H218" i="7"/>
  <c r="F218" i="7"/>
  <c r="D218" i="7"/>
  <c r="A218" i="7"/>
  <c r="H217" i="7"/>
  <c r="F217" i="7"/>
  <c r="D217" i="7"/>
  <c r="A217" i="7"/>
  <c r="H216" i="7"/>
  <c r="F216" i="7"/>
  <c r="D216" i="7"/>
  <c r="A216" i="7"/>
  <c r="H215" i="7"/>
  <c r="F215" i="7"/>
  <c r="D215" i="7"/>
  <c r="A215" i="7"/>
  <c r="H214" i="7"/>
  <c r="F214" i="7"/>
  <c r="D214" i="7"/>
  <c r="A214" i="7"/>
  <c r="H213" i="7"/>
  <c r="F213" i="7"/>
  <c r="D213" i="7"/>
  <c r="A213" i="7"/>
  <c r="H212" i="7"/>
  <c r="F212" i="7"/>
  <c r="D212" i="7"/>
  <c r="A212" i="7"/>
  <c r="H211" i="7"/>
  <c r="F211" i="7"/>
  <c r="D211" i="7"/>
  <c r="A211" i="7"/>
  <c r="H210" i="7"/>
  <c r="F210" i="7"/>
  <c r="D210" i="7"/>
  <c r="A210" i="7"/>
  <c r="H209" i="7"/>
  <c r="F209" i="7"/>
  <c r="D209" i="7"/>
  <c r="A209" i="7"/>
  <c r="H208" i="7"/>
  <c r="F208" i="7"/>
  <c r="D208" i="7"/>
  <c r="A208" i="7"/>
  <c r="H207" i="7"/>
  <c r="F207" i="7"/>
  <c r="D207" i="7"/>
  <c r="A207" i="7"/>
  <c r="H206" i="7"/>
  <c r="F206" i="7"/>
  <c r="D206" i="7"/>
  <c r="A206" i="7"/>
  <c r="H205" i="7"/>
  <c r="F205" i="7"/>
  <c r="D205" i="7"/>
  <c r="A205" i="7"/>
  <c r="H204" i="7"/>
  <c r="F204" i="7"/>
  <c r="D204" i="7"/>
  <c r="A204" i="7"/>
  <c r="H203" i="7"/>
  <c r="F203" i="7"/>
  <c r="D203" i="7"/>
  <c r="A203" i="7"/>
  <c r="H202" i="7"/>
  <c r="F202" i="7"/>
  <c r="D202" i="7"/>
  <c r="A202" i="7"/>
  <c r="H201" i="7"/>
  <c r="F201" i="7"/>
  <c r="D201" i="7"/>
  <c r="A201" i="7"/>
  <c r="H200" i="7"/>
  <c r="F200" i="7"/>
  <c r="D200" i="7"/>
  <c r="A200" i="7"/>
  <c r="H199" i="7"/>
  <c r="F199" i="7"/>
  <c r="D199" i="7"/>
  <c r="A199" i="7"/>
  <c r="H198" i="7"/>
  <c r="F198" i="7"/>
  <c r="D198" i="7"/>
  <c r="A198" i="7"/>
  <c r="H197" i="7"/>
  <c r="F197" i="7"/>
  <c r="D197" i="7"/>
  <c r="A197" i="7"/>
  <c r="H196" i="7"/>
  <c r="F196" i="7"/>
  <c r="D196" i="7"/>
  <c r="A196" i="7"/>
  <c r="H195" i="7"/>
  <c r="F195" i="7"/>
  <c r="D195" i="7"/>
  <c r="A195" i="7"/>
  <c r="H194" i="7"/>
  <c r="F194" i="7"/>
  <c r="D194" i="7"/>
  <c r="A194" i="7"/>
  <c r="H193" i="7"/>
  <c r="F193" i="7"/>
  <c r="D193" i="7"/>
  <c r="A193" i="7"/>
  <c r="H192" i="7"/>
  <c r="F192" i="7"/>
  <c r="D192" i="7"/>
  <c r="A192" i="7"/>
  <c r="H191" i="7"/>
  <c r="F191" i="7"/>
  <c r="D191" i="7"/>
  <c r="A191" i="7"/>
  <c r="H190" i="7"/>
  <c r="F190" i="7"/>
  <c r="D190" i="7"/>
  <c r="A190" i="7"/>
  <c r="H189" i="7"/>
  <c r="F189" i="7"/>
  <c r="D189" i="7"/>
  <c r="A189" i="7"/>
  <c r="H188" i="7"/>
  <c r="F188" i="7"/>
  <c r="D188" i="7"/>
  <c r="A188" i="7"/>
  <c r="H187" i="7"/>
  <c r="F187" i="7"/>
  <c r="D187" i="7"/>
  <c r="A187" i="7"/>
  <c r="H186" i="7"/>
  <c r="F186" i="7"/>
  <c r="D186" i="7"/>
  <c r="A186" i="7"/>
  <c r="H185" i="7"/>
  <c r="F185" i="7"/>
  <c r="D185" i="7"/>
  <c r="A185" i="7"/>
  <c r="H184" i="7"/>
  <c r="F184" i="7"/>
  <c r="D184" i="7"/>
  <c r="A184" i="7"/>
  <c r="H183" i="7"/>
  <c r="F183" i="7"/>
  <c r="D183" i="7"/>
  <c r="A183" i="7"/>
  <c r="H182" i="7"/>
  <c r="F182" i="7"/>
  <c r="D182" i="7"/>
  <c r="A182" i="7"/>
  <c r="H181" i="7"/>
  <c r="F181" i="7"/>
  <c r="D181" i="7"/>
  <c r="A181" i="7"/>
  <c r="H180" i="7"/>
  <c r="F180" i="7"/>
  <c r="D180" i="7"/>
  <c r="A180" i="7"/>
  <c r="H179" i="7"/>
  <c r="F179" i="7"/>
  <c r="D179" i="7"/>
  <c r="A179" i="7"/>
  <c r="H178" i="7"/>
  <c r="F178" i="7"/>
  <c r="D178" i="7"/>
  <c r="A178" i="7"/>
  <c r="H177" i="7"/>
  <c r="F177" i="7"/>
  <c r="D177" i="7"/>
  <c r="A177" i="7"/>
  <c r="H176" i="7"/>
  <c r="F176" i="7"/>
  <c r="D176" i="7"/>
  <c r="A176" i="7"/>
  <c r="H175" i="7"/>
  <c r="F175" i="7"/>
  <c r="D175" i="7"/>
  <c r="A175" i="7"/>
  <c r="H174" i="7"/>
  <c r="F174" i="7"/>
  <c r="D174" i="7"/>
  <c r="A174" i="7"/>
  <c r="H173" i="7"/>
  <c r="F173" i="7"/>
  <c r="D173" i="7"/>
  <c r="A173" i="7"/>
  <c r="H172" i="7"/>
  <c r="F172" i="7"/>
  <c r="D172" i="7"/>
  <c r="A172" i="7"/>
  <c r="H171" i="7"/>
  <c r="F171" i="7"/>
  <c r="D171" i="7"/>
  <c r="A171" i="7"/>
  <c r="H170" i="7"/>
  <c r="F170" i="7"/>
  <c r="D170" i="7"/>
  <c r="A170" i="7"/>
  <c r="H169" i="7"/>
  <c r="F169" i="7"/>
  <c r="D169" i="7"/>
  <c r="A169" i="7"/>
  <c r="H168" i="7"/>
  <c r="F168" i="7"/>
  <c r="D168" i="7"/>
  <c r="A168" i="7"/>
  <c r="H167" i="7"/>
  <c r="F167" i="7"/>
  <c r="D167" i="7"/>
  <c r="A167" i="7"/>
  <c r="H166" i="7"/>
  <c r="F166" i="7"/>
  <c r="D166" i="7"/>
  <c r="A166" i="7"/>
  <c r="H165" i="7"/>
  <c r="F165" i="7"/>
  <c r="D165" i="7"/>
  <c r="A165" i="7"/>
  <c r="H164" i="7"/>
  <c r="F164" i="7"/>
  <c r="D164" i="7"/>
  <c r="A164" i="7"/>
  <c r="H163" i="7"/>
  <c r="F163" i="7"/>
  <c r="D163" i="7"/>
  <c r="A163" i="7"/>
  <c r="H162" i="7"/>
  <c r="F162" i="7"/>
  <c r="D162" i="7"/>
  <c r="A162" i="7"/>
  <c r="H161" i="7"/>
  <c r="F161" i="7"/>
  <c r="D161" i="7"/>
  <c r="A161" i="7"/>
  <c r="H160" i="7"/>
  <c r="F160" i="7"/>
  <c r="D160" i="7"/>
  <c r="A160" i="7"/>
  <c r="H159" i="7"/>
  <c r="F159" i="7"/>
  <c r="D159" i="7"/>
  <c r="A159" i="7"/>
  <c r="H158" i="7"/>
  <c r="F158" i="7"/>
  <c r="D158" i="7"/>
  <c r="A158" i="7"/>
  <c r="H157" i="7"/>
  <c r="F157" i="7"/>
  <c r="D157" i="7"/>
  <c r="A157" i="7"/>
  <c r="H156" i="7"/>
  <c r="F156" i="7"/>
  <c r="D156" i="7"/>
  <c r="A156" i="7"/>
  <c r="H155" i="7"/>
  <c r="F155" i="7"/>
  <c r="D155" i="7"/>
  <c r="A155" i="7"/>
  <c r="H154" i="7"/>
  <c r="F154" i="7"/>
  <c r="D154" i="7"/>
  <c r="A154" i="7"/>
  <c r="H153" i="7"/>
  <c r="F153" i="7"/>
  <c r="D153" i="7"/>
  <c r="A153" i="7"/>
  <c r="H152" i="7"/>
  <c r="F152" i="7"/>
  <c r="D152" i="7"/>
  <c r="A152" i="7"/>
  <c r="H151" i="7"/>
  <c r="F151" i="7"/>
  <c r="D151" i="7"/>
  <c r="A151" i="7"/>
  <c r="H150" i="7"/>
  <c r="F150" i="7"/>
  <c r="D150" i="7"/>
  <c r="A150" i="7"/>
  <c r="H149" i="7"/>
  <c r="F149" i="7"/>
  <c r="D149" i="7"/>
  <c r="A149" i="7"/>
  <c r="H148" i="7"/>
  <c r="F148" i="7"/>
  <c r="D148" i="7"/>
  <c r="A148" i="7"/>
  <c r="H147" i="7"/>
  <c r="F147" i="7"/>
  <c r="D147" i="7"/>
  <c r="A147" i="7"/>
  <c r="H146" i="7"/>
  <c r="F146" i="7"/>
  <c r="D146" i="7"/>
  <c r="A146" i="7"/>
  <c r="H145" i="7"/>
  <c r="F145" i="7"/>
  <c r="D145" i="7"/>
  <c r="A145" i="7"/>
  <c r="H144" i="7"/>
  <c r="F144" i="7"/>
  <c r="D144" i="7"/>
  <c r="A144" i="7"/>
  <c r="H143" i="7"/>
  <c r="F143" i="7"/>
  <c r="D143" i="7"/>
  <c r="A143" i="7"/>
  <c r="H142" i="7"/>
  <c r="F142" i="7"/>
  <c r="D142" i="7"/>
  <c r="A142" i="7"/>
  <c r="H141" i="7"/>
  <c r="F141" i="7"/>
  <c r="D141" i="7"/>
  <c r="A141" i="7"/>
  <c r="H140" i="7"/>
  <c r="F140" i="7"/>
  <c r="D140" i="7"/>
  <c r="A140" i="7"/>
  <c r="H139" i="7"/>
  <c r="F139" i="7"/>
  <c r="D139" i="7"/>
  <c r="A139" i="7"/>
  <c r="H138" i="7"/>
  <c r="F138" i="7"/>
  <c r="D138" i="7"/>
  <c r="A138" i="7"/>
  <c r="H137" i="7"/>
  <c r="F137" i="7"/>
  <c r="D137" i="7"/>
  <c r="A137" i="7"/>
  <c r="H136" i="7"/>
  <c r="F136" i="7"/>
  <c r="D136" i="7"/>
  <c r="A136" i="7"/>
  <c r="H135" i="7"/>
  <c r="F135" i="7"/>
  <c r="D135" i="7"/>
  <c r="A135" i="7"/>
  <c r="H134" i="7"/>
  <c r="F134" i="7"/>
  <c r="D134" i="7"/>
  <c r="A134" i="7"/>
  <c r="H133" i="7"/>
  <c r="F133" i="7"/>
  <c r="D133" i="7"/>
  <c r="A133" i="7"/>
  <c r="H132" i="7"/>
  <c r="F132" i="7"/>
  <c r="D132" i="7"/>
  <c r="A132" i="7"/>
  <c r="H131" i="7"/>
  <c r="F131" i="7"/>
  <c r="D131" i="7"/>
  <c r="A131" i="7"/>
  <c r="H130" i="7"/>
  <c r="F130" i="7"/>
  <c r="D130" i="7"/>
  <c r="A130" i="7"/>
  <c r="H129" i="7"/>
  <c r="F129" i="7"/>
  <c r="D129" i="7"/>
  <c r="A129" i="7"/>
  <c r="H128" i="7"/>
  <c r="F128" i="7"/>
  <c r="D128" i="7"/>
  <c r="A128" i="7"/>
  <c r="H127" i="7"/>
  <c r="F127" i="7"/>
  <c r="D127" i="7"/>
  <c r="A127" i="7"/>
  <c r="H126" i="7"/>
  <c r="F126" i="7"/>
  <c r="D126" i="7"/>
  <c r="A126" i="7"/>
  <c r="H125" i="7"/>
  <c r="F125" i="7"/>
  <c r="D125" i="7"/>
  <c r="A125" i="7"/>
  <c r="H124" i="7"/>
  <c r="F124" i="7"/>
  <c r="D124" i="7"/>
  <c r="A124" i="7"/>
  <c r="H123" i="7"/>
  <c r="F123" i="7"/>
  <c r="D123" i="7"/>
  <c r="A123" i="7"/>
  <c r="H122" i="7"/>
  <c r="F122" i="7"/>
  <c r="D122" i="7"/>
  <c r="A122" i="7"/>
  <c r="H121" i="7"/>
  <c r="F121" i="7"/>
  <c r="D121" i="7"/>
  <c r="A121" i="7"/>
  <c r="H120" i="7"/>
  <c r="F120" i="7"/>
  <c r="D120" i="7"/>
  <c r="A120" i="7"/>
  <c r="H119" i="7"/>
  <c r="F119" i="7"/>
  <c r="D119" i="7"/>
  <c r="A119" i="7"/>
  <c r="H118" i="7"/>
  <c r="F118" i="7"/>
  <c r="D118" i="7"/>
  <c r="A118" i="7"/>
  <c r="H117" i="7"/>
  <c r="F117" i="7"/>
  <c r="D117" i="7"/>
  <c r="A117" i="7"/>
  <c r="H116" i="7"/>
  <c r="F116" i="7"/>
  <c r="D116" i="7"/>
  <c r="A116" i="7"/>
  <c r="H115" i="7"/>
  <c r="F115" i="7"/>
  <c r="D115" i="7"/>
  <c r="A115" i="7"/>
  <c r="H114" i="7"/>
  <c r="F114" i="7"/>
  <c r="D114" i="7"/>
  <c r="A114" i="7"/>
  <c r="H113" i="7"/>
  <c r="F113" i="7"/>
  <c r="D113" i="7"/>
  <c r="A113" i="7"/>
  <c r="H112" i="7"/>
  <c r="F112" i="7"/>
  <c r="D112" i="7"/>
  <c r="A112" i="7"/>
  <c r="H111" i="7"/>
  <c r="F111" i="7"/>
  <c r="D111" i="7"/>
  <c r="A111" i="7"/>
  <c r="H110" i="7"/>
  <c r="F110" i="7"/>
  <c r="D110" i="7"/>
  <c r="A110" i="7"/>
  <c r="H109" i="7"/>
  <c r="F109" i="7"/>
  <c r="D109" i="7"/>
  <c r="A109" i="7"/>
  <c r="H108" i="7"/>
  <c r="F108" i="7"/>
  <c r="D108" i="7"/>
  <c r="A108" i="7"/>
  <c r="H107" i="7"/>
  <c r="F107" i="7"/>
  <c r="D107" i="7"/>
  <c r="A107" i="7"/>
  <c r="H106" i="7"/>
  <c r="F106" i="7"/>
  <c r="D106" i="7"/>
  <c r="A106" i="7"/>
  <c r="H105" i="7"/>
  <c r="F105" i="7"/>
  <c r="D105" i="7"/>
  <c r="A105" i="7"/>
  <c r="H104" i="7"/>
  <c r="F104" i="7"/>
  <c r="D104" i="7"/>
  <c r="A104" i="7"/>
  <c r="H103" i="7"/>
  <c r="F103" i="7"/>
  <c r="D103" i="7"/>
  <c r="A103" i="7"/>
  <c r="H102" i="7"/>
  <c r="F102" i="7"/>
  <c r="D102" i="7"/>
  <c r="A102" i="7"/>
  <c r="H101" i="7"/>
  <c r="F101" i="7"/>
  <c r="D101" i="7"/>
  <c r="A101" i="7"/>
  <c r="H100" i="7"/>
  <c r="F100" i="7"/>
  <c r="D100" i="7"/>
  <c r="A100" i="7"/>
  <c r="H99" i="7"/>
  <c r="F99" i="7"/>
  <c r="D99" i="7"/>
  <c r="A99" i="7"/>
  <c r="H98" i="7"/>
  <c r="F98" i="7"/>
  <c r="D98" i="7"/>
  <c r="A98" i="7"/>
  <c r="H97" i="7"/>
  <c r="F97" i="7"/>
  <c r="D97" i="7"/>
  <c r="A97" i="7"/>
  <c r="H96" i="7"/>
  <c r="F96" i="7"/>
  <c r="D96" i="7"/>
  <c r="A96" i="7"/>
  <c r="H95" i="7"/>
  <c r="F95" i="7"/>
  <c r="D95" i="7"/>
  <c r="A95" i="7"/>
  <c r="H94" i="7"/>
  <c r="F94" i="7"/>
  <c r="D94" i="7"/>
  <c r="A94" i="7"/>
  <c r="H93" i="7"/>
  <c r="F93" i="7"/>
  <c r="D93" i="7"/>
  <c r="A93" i="7"/>
  <c r="H92" i="7"/>
  <c r="F92" i="7"/>
  <c r="D92" i="7"/>
  <c r="A92" i="7"/>
  <c r="H91" i="7"/>
  <c r="F91" i="7"/>
  <c r="D91" i="7"/>
  <c r="A91" i="7"/>
  <c r="H90" i="7"/>
  <c r="F90" i="7"/>
  <c r="D90" i="7"/>
  <c r="A90" i="7"/>
  <c r="H89" i="7"/>
  <c r="F89" i="7"/>
  <c r="D89" i="7"/>
  <c r="A89" i="7"/>
  <c r="H88" i="7"/>
  <c r="F88" i="7"/>
  <c r="D88" i="7"/>
  <c r="A88" i="7"/>
  <c r="H87" i="7"/>
  <c r="F87" i="7"/>
  <c r="D87" i="7"/>
  <c r="A87" i="7"/>
  <c r="H86" i="7"/>
  <c r="F86" i="7"/>
  <c r="D86" i="7"/>
  <c r="A86" i="7"/>
  <c r="H85" i="7"/>
  <c r="F85" i="7"/>
  <c r="D85" i="7"/>
  <c r="A85" i="7"/>
  <c r="H84" i="7"/>
  <c r="F84" i="7"/>
  <c r="D84" i="7"/>
  <c r="A84" i="7"/>
  <c r="H83" i="7"/>
  <c r="F83" i="7"/>
  <c r="D83" i="7"/>
  <c r="A83" i="7"/>
  <c r="H82" i="7"/>
  <c r="F82" i="7"/>
  <c r="D82" i="7"/>
  <c r="A82" i="7"/>
  <c r="H81" i="7"/>
  <c r="F81" i="7"/>
  <c r="D81" i="7"/>
  <c r="A81" i="7"/>
  <c r="H80" i="7"/>
  <c r="F80" i="7"/>
  <c r="D80" i="7"/>
  <c r="A80" i="7"/>
  <c r="H79" i="7"/>
  <c r="F79" i="7"/>
  <c r="D79" i="7"/>
  <c r="A79" i="7"/>
  <c r="H78" i="7"/>
  <c r="F78" i="7"/>
  <c r="D78" i="7"/>
  <c r="A78" i="7"/>
  <c r="H77" i="7"/>
  <c r="F77" i="7"/>
  <c r="D77" i="7"/>
  <c r="A77" i="7"/>
  <c r="H76" i="7"/>
  <c r="F76" i="7"/>
  <c r="D76" i="7"/>
  <c r="A76" i="7"/>
  <c r="H75" i="7"/>
  <c r="F75" i="7"/>
  <c r="D75" i="7"/>
  <c r="A75" i="7"/>
  <c r="H74" i="7"/>
  <c r="F74" i="7"/>
  <c r="D74" i="7"/>
  <c r="A74" i="7"/>
  <c r="H73" i="7"/>
  <c r="F73" i="7"/>
  <c r="D73" i="7"/>
  <c r="A73" i="7"/>
  <c r="H72" i="7"/>
  <c r="F72" i="7"/>
  <c r="D72" i="7"/>
  <c r="A72" i="7"/>
  <c r="H71" i="7"/>
  <c r="F71" i="7"/>
  <c r="D71" i="7"/>
  <c r="A71" i="7"/>
  <c r="H70" i="7"/>
  <c r="F70" i="7"/>
  <c r="D70" i="7"/>
  <c r="A70" i="7"/>
  <c r="H69" i="7"/>
  <c r="F69" i="7"/>
  <c r="D69" i="7"/>
  <c r="A69" i="7"/>
  <c r="H68" i="7"/>
  <c r="F68" i="7"/>
  <c r="D68" i="7"/>
  <c r="A68" i="7"/>
  <c r="H67" i="7"/>
  <c r="F67" i="7"/>
  <c r="D67" i="7"/>
  <c r="A67" i="7"/>
  <c r="H66" i="7"/>
  <c r="F66" i="7"/>
  <c r="D66" i="7"/>
  <c r="A66" i="7"/>
  <c r="H65" i="7"/>
  <c r="F65" i="7"/>
  <c r="D65" i="7"/>
  <c r="A65" i="7"/>
  <c r="H64" i="7"/>
  <c r="F64" i="7"/>
  <c r="D64" i="7"/>
  <c r="A64" i="7"/>
  <c r="H63" i="7"/>
  <c r="F63" i="7"/>
  <c r="D63" i="7"/>
  <c r="A63" i="7"/>
  <c r="H62" i="7"/>
  <c r="F62" i="7"/>
  <c r="D62" i="7"/>
  <c r="A62" i="7"/>
  <c r="H61" i="7"/>
  <c r="F61" i="7"/>
  <c r="D61" i="7"/>
  <c r="A61" i="7"/>
  <c r="H60" i="7"/>
  <c r="F60" i="7"/>
  <c r="D60" i="7"/>
  <c r="A60" i="7"/>
  <c r="H59" i="7"/>
  <c r="F59" i="7"/>
  <c r="D59" i="7"/>
  <c r="A59" i="7"/>
  <c r="H58" i="7"/>
  <c r="F58" i="7"/>
  <c r="D58" i="7"/>
  <c r="A58" i="7"/>
  <c r="H57" i="7"/>
  <c r="F57" i="7"/>
  <c r="D57" i="7"/>
  <c r="A57" i="7"/>
  <c r="H56" i="7"/>
  <c r="F56" i="7"/>
  <c r="D56" i="7"/>
  <c r="A56" i="7"/>
  <c r="H55" i="7"/>
  <c r="F55" i="7"/>
  <c r="D55" i="7"/>
  <c r="A55" i="7"/>
  <c r="H54" i="7"/>
  <c r="F54" i="7"/>
  <c r="D54" i="7"/>
  <c r="A54" i="7"/>
  <c r="H53" i="7"/>
  <c r="F53" i="7"/>
  <c r="D53" i="7"/>
  <c r="A53" i="7"/>
  <c r="H52" i="7"/>
  <c r="F52" i="7"/>
  <c r="D52" i="7"/>
  <c r="A52" i="7"/>
  <c r="H51" i="7"/>
  <c r="F51" i="7"/>
  <c r="D51" i="7"/>
  <c r="A51" i="7"/>
  <c r="H50" i="7"/>
  <c r="F50" i="7"/>
  <c r="D50" i="7"/>
  <c r="A50" i="7"/>
  <c r="H49" i="7"/>
  <c r="F49" i="7"/>
  <c r="D49" i="7"/>
  <c r="A49" i="7"/>
  <c r="H48" i="7"/>
  <c r="F48" i="7"/>
  <c r="D48" i="7"/>
  <c r="A48" i="7"/>
  <c r="H47" i="7"/>
  <c r="F47" i="7"/>
  <c r="D47" i="7"/>
  <c r="A47" i="7"/>
  <c r="H46" i="7"/>
  <c r="F46" i="7"/>
  <c r="D46" i="7"/>
  <c r="A46" i="7"/>
  <c r="H45" i="7"/>
  <c r="F45" i="7"/>
  <c r="D45" i="7"/>
  <c r="A45" i="7"/>
  <c r="H44" i="7"/>
  <c r="F44" i="7"/>
  <c r="D44" i="7"/>
  <c r="A44" i="7"/>
  <c r="H43" i="7"/>
  <c r="F43" i="7"/>
  <c r="D43" i="7"/>
  <c r="A43" i="7"/>
  <c r="H42" i="7"/>
  <c r="F42" i="7"/>
  <c r="D42" i="7"/>
  <c r="A42" i="7"/>
  <c r="H41" i="7"/>
  <c r="F41" i="7"/>
  <c r="D41" i="7"/>
  <c r="A41" i="7"/>
  <c r="H40" i="7"/>
  <c r="F40" i="7"/>
  <c r="D40" i="7"/>
  <c r="A40" i="7"/>
  <c r="H39" i="7"/>
  <c r="F39" i="7"/>
  <c r="D39" i="7"/>
  <c r="A39" i="7"/>
  <c r="H38" i="7"/>
  <c r="F38" i="7"/>
  <c r="D38" i="7"/>
  <c r="A38" i="7"/>
  <c r="H37" i="7"/>
  <c r="F37" i="7"/>
  <c r="D37" i="7"/>
  <c r="A37" i="7"/>
  <c r="H36" i="7"/>
  <c r="F36" i="7"/>
  <c r="D36" i="7"/>
  <c r="A36" i="7"/>
  <c r="H35" i="7"/>
  <c r="F35" i="7"/>
  <c r="D35" i="7"/>
  <c r="A35" i="7"/>
  <c r="H34" i="7"/>
  <c r="F34" i="7"/>
  <c r="D34" i="7"/>
  <c r="A34" i="7"/>
  <c r="H33" i="7"/>
  <c r="F33" i="7"/>
  <c r="D33" i="7"/>
  <c r="A33" i="7"/>
  <c r="H32" i="7"/>
  <c r="F32" i="7"/>
  <c r="D32" i="7"/>
  <c r="A32" i="7"/>
  <c r="H31" i="7"/>
  <c r="F31" i="7"/>
  <c r="D31" i="7"/>
  <c r="A31" i="7"/>
  <c r="H30" i="7"/>
  <c r="F30" i="7"/>
  <c r="D30" i="7"/>
  <c r="A30" i="7"/>
  <c r="H29" i="7"/>
  <c r="F29" i="7"/>
  <c r="D29" i="7"/>
  <c r="A29" i="7"/>
  <c r="H28" i="7"/>
  <c r="F28" i="7"/>
  <c r="D28" i="7"/>
  <c r="A28" i="7"/>
  <c r="H27" i="7"/>
  <c r="F27" i="7"/>
  <c r="D27" i="7"/>
  <c r="A27" i="7"/>
  <c r="H26" i="7"/>
  <c r="F26" i="7"/>
  <c r="D26" i="7"/>
  <c r="A26" i="7"/>
  <c r="H25" i="7"/>
  <c r="F25" i="7"/>
  <c r="D25" i="7"/>
  <c r="A25" i="7"/>
  <c r="H24" i="7"/>
  <c r="F24" i="7"/>
  <c r="D24" i="7"/>
  <c r="A24" i="7"/>
  <c r="H23" i="7"/>
  <c r="F23" i="7"/>
  <c r="D23" i="7"/>
  <c r="A23" i="7"/>
  <c r="H22" i="7"/>
  <c r="F22" i="7"/>
  <c r="D22" i="7"/>
  <c r="A22" i="7"/>
  <c r="H21" i="7"/>
  <c r="F21" i="7"/>
  <c r="D21" i="7"/>
  <c r="A21" i="7"/>
  <c r="H20" i="7"/>
  <c r="F20" i="7"/>
  <c r="D20" i="7"/>
  <c r="A20" i="7"/>
  <c r="H19" i="7"/>
  <c r="F19" i="7"/>
  <c r="D19" i="7"/>
  <c r="A19" i="7"/>
  <c r="H18" i="7"/>
  <c r="F18" i="7"/>
  <c r="D18" i="7"/>
  <c r="A18" i="7"/>
  <c r="H17" i="7"/>
  <c r="F17" i="7"/>
  <c r="D17" i="7"/>
  <c r="A17" i="7"/>
  <c r="H16" i="7"/>
  <c r="F16" i="7"/>
  <c r="D16" i="7"/>
  <c r="A16" i="7"/>
  <c r="H15" i="7"/>
  <c r="F15" i="7"/>
  <c r="D15" i="7"/>
  <c r="A15" i="7"/>
  <c r="H14" i="7"/>
  <c r="F14" i="7"/>
  <c r="D14" i="7"/>
  <c r="A14" i="7"/>
  <c r="H13" i="7"/>
  <c r="F13" i="7"/>
  <c r="D13" i="7"/>
  <c r="A13" i="7"/>
  <c r="H12" i="7"/>
  <c r="F12" i="7"/>
  <c r="D12" i="7"/>
  <c r="A12" i="7"/>
  <c r="H11" i="7"/>
  <c r="F11" i="7"/>
  <c r="D11" i="7"/>
  <c r="A11" i="7"/>
  <c r="H10" i="7"/>
  <c r="F10" i="7"/>
  <c r="D10" i="7"/>
  <c r="A10" i="7"/>
  <c r="H9" i="7"/>
  <c r="F9" i="7"/>
  <c r="D9" i="7"/>
  <c r="A9" i="7"/>
  <c r="H8" i="7"/>
  <c r="F8" i="7"/>
  <c r="D8" i="7"/>
  <c r="A8" i="7"/>
  <c r="H7" i="7"/>
  <c r="F7" i="7"/>
  <c r="D7" i="7"/>
  <c r="A7" i="7"/>
  <c r="H6" i="7"/>
  <c r="F6" i="7"/>
  <c r="D6" i="7"/>
  <c r="A6" i="7"/>
  <c r="H5" i="7"/>
  <c r="F5" i="7"/>
  <c r="D5" i="7"/>
  <c r="A5" i="7"/>
  <c r="H4" i="7"/>
  <c r="F4" i="7"/>
  <c r="D4" i="7"/>
  <c r="A4" i="7"/>
  <c r="H3" i="7"/>
  <c r="F3" i="7"/>
  <c r="D3" i="7"/>
  <c r="A3" i="7"/>
  <c r="H2" i="7"/>
  <c r="F2" i="7"/>
  <c r="D2" i="7"/>
  <c r="A2" i="7"/>
  <c r="AB201" i="6"/>
  <c r="A201" i="6"/>
  <c r="AB200" i="6"/>
  <c r="A200" i="6"/>
  <c r="AB199" i="6"/>
  <c r="A199" i="6"/>
  <c r="AB198" i="6"/>
  <c r="A198" i="6"/>
  <c r="AB197" i="6"/>
  <c r="A197" i="6"/>
  <c r="AB196" i="6"/>
  <c r="A196" i="6"/>
  <c r="AB195" i="6"/>
  <c r="A195" i="6"/>
  <c r="AB194" i="6"/>
  <c r="A194" i="6"/>
  <c r="AB193" i="6"/>
  <c r="A193" i="6"/>
  <c r="AB192" i="6"/>
  <c r="A192" i="6"/>
  <c r="AB191" i="6"/>
  <c r="A191" i="6"/>
  <c r="AB190" i="6"/>
  <c r="A190" i="6"/>
  <c r="AB189" i="6"/>
  <c r="A189" i="6"/>
  <c r="AB188" i="6"/>
  <c r="A188" i="6"/>
  <c r="AB187" i="6"/>
  <c r="A187" i="6"/>
  <c r="AB186" i="6"/>
  <c r="A186" i="6"/>
  <c r="AB185" i="6"/>
  <c r="A185" i="6"/>
  <c r="AB184" i="6"/>
  <c r="A184" i="6"/>
  <c r="AB183" i="6"/>
  <c r="A183" i="6"/>
  <c r="AB182" i="6"/>
  <c r="A182" i="6"/>
  <c r="AB181" i="6"/>
  <c r="A181" i="6"/>
  <c r="AB180" i="6"/>
  <c r="A180" i="6"/>
  <c r="AB179" i="6"/>
  <c r="A179" i="6"/>
  <c r="AB178" i="6"/>
  <c r="A178" i="6"/>
  <c r="AB177" i="6"/>
  <c r="A177" i="6"/>
  <c r="AB176" i="6"/>
  <c r="A176" i="6"/>
  <c r="AB175" i="6"/>
  <c r="A175" i="6"/>
  <c r="AB174" i="6"/>
  <c r="A174" i="6"/>
  <c r="AB173" i="6"/>
  <c r="A173" i="6"/>
  <c r="AB172" i="6"/>
  <c r="A172" i="6"/>
  <c r="AB171" i="6"/>
  <c r="A171" i="6"/>
  <c r="AB170" i="6"/>
  <c r="A170" i="6"/>
  <c r="AB169" i="6"/>
  <c r="A169" i="6"/>
  <c r="AB168" i="6"/>
  <c r="A168" i="6"/>
  <c r="AB167" i="6"/>
  <c r="A167" i="6"/>
  <c r="AB166" i="6"/>
  <c r="A166" i="6"/>
  <c r="AB165" i="6"/>
  <c r="A165" i="6"/>
  <c r="AB164" i="6"/>
  <c r="A164" i="6"/>
  <c r="AB163" i="6"/>
  <c r="A163" i="6"/>
  <c r="AB162" i="6"/>
  <c r="A162" i="6"/>
  <c r="AB161" i="6"/>
  <c r="A161" i="6"/>
  <c r="AB160" i="6"/>
  <c r="A160" i="6"/>
  <c r="AB159" i="6"/>
  <c r="A159" i="6"/>
  <c r="AB158" i="6"/>
  <c r="A158" i="6"/>
  <c r="AB157" i="6"/>
  <c r="A157" i="6"/>
  <c r="AB156" i="6"/>
  <c r="A156" i="6"/>
  <c r="AB155" i="6"/>
  <c r="A155" i="6"/>
  <c r="AB154" i="6"/>
  <c r="A154" i="6"/>
  <c r="AB153" i="6"/>
  <c r="A153" i="6"/>
  <c r="AB152" i="6"/>
  <c r="A152" i="6"/>
  <c r="AB151" i="6"/>
  <c r="A151" i="6"/>
  <c r="AB150" i="6"/>
  <c r="A150" i="6"/>
  <c r="AB149" i="6"/>
  <c r="A149" i="6"/>
  <c r="AB148" i="6"/>
  <c r="A148" i="6"/>
  <c r="AB147" i="6"/>
  <c r="A147" i="6"/>
  <c r="AB146" i="6"/>
  <c r="A146" i="6"/>
  <c r="AB145" i="6"/>
  <c r="A145" i="6"/>
  <c r="AB144" i="6"/>
  <c r="A144" i="6"/>
  <c r="AB143" i="6"/>
  <c r="A143" i="6"/>
  <c r="AB142" i="6"/>
  <c r="A142" i="6"/>
  <c r="AB141" i="6"/>
  <c r="A141" i="6"/>
  <c r="AB140" i="6"/>
  <c r="A140" i="6"/>
  <c r="AB139" i="6"/>
  <c r="A139" i="6"/>
  <c r="AB138" i="6"/>
  <c r="A138" i="6"/>
  <c r="AB137" i="6"/>
  <c r="A137" i="6"/>
  <c r="AB136" i="6"/>
  <c r="A136" i="6"/>
  <c r="AB135" i="6"/>
  <c r="A135" i="6"/>
  <c r="AB134" i="6"/>
  <c r="A134" i="6"/>
  <c r="AB133" i="6"/>
  <c r="A133" i="6"/>
  <c r="AB132" i="6"/>
  <c r="A132" i="6"/>
  <c r="AB131" i="6"/>
  <c r="A131" i="6"/>
  <c r="AB130" i="6"/>
  <c r="A130" i="6"/>
  <c r="AB129" i="6"/>
  <c r="A129" i="6"/>
  <c r="AB128" i="6"/>
  <c r="A128" i="6"/>
  <c r="AB127" i="6"/>
  <c r="A127" i="6"/>
  <c r="AB126" i="6"/>
  <c r="A126" i="6"/>
  <c r="AB125" i="6"/>
  <c r="A125" i="6"/>
  <c r="AB124" i="6"/>
  <c r="A124" i="6"/>
  <c r="AB123" i="6"/>
  <c r="A123" i="6"/>
  <c r="AB122" i="6"/>
  <c r="A122" i="6"/>
  <c r="AB121" i="6"/>
  <c r="A121" i="6"/>
  <c r="AB120" i="6"/>
  <c r="A120" i="6"/>
  <c r="AB119" i="6"/>
  <c r="A119" i="6"/>
  <c r="AB118" i="6"/>
  <c r="A118" i="6"/>
  <c r="AB117" i="6"/>
  <c r="A117" i="6"/>
  <c r="AB116" i="6"/>
  <c r="A116" i="6"/>
  <c r="AB115" i="6"/>
  <c r="A115" i="6"/>
  <c r="AB114" i="6"/>
  <c r="A114" i="6"/>
  <c r="AB113" i="6"/>
  <c r="A113" i="6"/>
  <c r="AB112" i="6"/>
  <c r="A112" i="6"/>
  <c r="AB111" i="6"/>
  <c r="A111" i="6"/>
  <c r="AB110" i="6"/>
  <c r="A110" i="6"/>
  <c r="AB109" i="6"/>
  <c r="A109" i="6"/>
  <c r="AB108" i="6"/>
  <c r="A108" i="6"/>
  <c r="AB107" i="6"/>
  <c r="A107" i="6"/>
  <c r="AB106" i="6"/>
  <c r="A106" i="6"/>
  <c r="AB105" i="6"/>
  <c r="A105" i="6"/>
  <c r="AB104" i="6"/>
  <c r="A104" i="6"/>
  <c r="AB103" i="6"/>
  <c r="A103" i="6"/>
  <c r="AB102" i="6"/>
  <c r="A102" i="6"/>
  <c r="AB101" i="6"/>
  <c r="A101" i="6"/>
  <c r="AB100" i="6"/>
  <c r="A100" i="6"/>
  <c r="AB99" i="6"/>
  <c r="A99" i="6"/>
  <c r="AB98" i="6"/>
  <c r="A98" i="6"/>
  <c r="AB97" i="6"/>
  <c r="A97" i="6"/>
  <c r="AB96" i="6"/>
  <c r="A96" i="6"/>
  <c r="AB95" i="6"/>
  <c r="A95" i="6"/>
  <c r="AB94" i="6"/>
  <c r="A94" i="6"/>
  <c r="AB93" i="6"/>
  <c r="A93" i="6"/>
  <c r="AB92" i="6"/>
  <c r="A92" i="6"/>
  <c r="AB91" i="6"/>
  <c r="A91" i="6"/>
  <c r="AB90" i="6"/>
  <c r="A90" i="6"/>
  <c r="AB89" i="6"/>
  <c r="A89" i="6"/>
  <c r="AB88" i="6"/>
  <c r="A88" i="6"/>
  <c r="AB87" i="6"/>
  <c r="A87" i="6"/>
  <c r="AB86" i="6"/>
  <c r="A86" i="6"/>
  <c r="AB85" i="6"/>
  <c r="A85" i="6"/>
  <c r="AB84" i="6"/>
  <c r="A84" i="6"/>
  <c r="AB83" i="6"/>
  <c r="A83" i="6"/>
  <c r="AB82" i="6"/>
  <c r="A82" i="6"/>
  <c r="AB81" i="6"/>
  <c r="A81" i="6"/>
  <c r="AB80" i="6"/>
  <c r="A80" i="6"/>
  <c r="AB79" i="6"/>
  <c r="A79" i="6"/>
  <c r="AB78" i="6"/>
  <c r="A78" i="6"/>
  <c r="AB77" i="6"/>
  <c r="A77" i="6"/>
  <c r="AB76" i="6"/>
  <c r="A76" i="6"/>
  <c r="AB75" i="6"/>
  <c r="A75" i="6"/>
  <c r="AB74" i="6"/>
  <c r="A74" i="6"/>
  <c r="AB73" i="6"/>
  <c r="A73" i="6"/>
  <c r="AB72" i="6"/>
  <c r="A72" i="6"/>
  <c r="AB71" i="6"/>
  <c r="A71" i="6"/>
  <c r="AB70" i="6"/>
  <c r="A70" i="6"/>
  <c r="AB69" i="6"/>
  <c r="A69" i="6"/>
  <c r="AB68" i="6"/>
  <c r="A68" i="6"/>
  <c r="AB67" i="6"/>
  <c r="A67" i="6"/>
  <c r="AB66" i="6"/>
  <c r="A66" i="6"/>
  <c r="AB65" i="6"/>
  <c r="A65" i="6"/>
  <c r="AB64" i="6"/>
  <c r="A64" i="6"/>
  <c r="AB63" i="6"/>
  <c r="A63" i="6"/>
  <c r="AB62" i="6"/>
  <c r="A62" i="6"/>
  <c r="AB61" i="6"/>
  <c r="A61" i="6"/>
  <c r="AB60" i="6"/>
  <c r="A60" i="6"/>
  <c r="AB59" i="6"/>
  <c r="A59" i="6"/>
  <c r="AB58" i="6"/>
  <c r="A58" i="6"/>
  <c r="AB57" i="6"/>
  <c r="A57" i="6"/>
  <c r="AB56" i="6"/>
  <c r="A56" i="6"/>
  <c r="AB55" i="6"/>
  <c r="A55" i="6"/>
  <c r="AB54" i="6"/>
  <c r="A54" i="6"/>
  <c r="AB53" i="6"/>
  <c r="A53" i="6"/>
  <c r="AB52" i="6"/>
  <c r="A52" i="6"/>
  <c r="AB51" i="6"/>
  <c r="A51" i="6"/>
  <c r="AB50" i="6"/>
  <c r="A50" i="6"/>
  <c r="AB49" i="6"/>
  <c r="A49" i="6"/>
  <c r="AB48" i="6"/>
  <c r="A48" i="6"/>
  <c r="AB47" i="6"/>
  <c r="A47" i="6"/>
  <c r="AB46" i="6"/>
  <c r="A46" i="6"/>
  <c r="AB45" i="6"/>
  <c r="A45" i="6"/>
  <c r="AB44" i="6"/>
  <c r="A44" i="6"/>
  <c r="AB43" i="6"/>
  <c r="A43" i="6"/>
  <c r="AB42" i="6"/>
  <c r="A42" i="6"/>
  <c r="AB41" i="6"/>
  <c r="A41" i="6"/>
  <c r="AB40" i="6"/>
  <c r="A40" i="6"/>
  <c r="AB39" i="6"/>
  <c r="A39" i="6"/>
  <c r="AB38" i="6"/>
  <c r="A38" i="6"/>
  <c r="AB37" i="6"/>
  <c r="A37" i="6"/>
  <c r="AB36" i="6"/>
  <c r="A36" i="6"/>
  <c r="AB35" i="6"/>
  <c r="A35" i="6"/>
  <c r="AB34" i="6"/>
  <c r="A34" i="6"/>
  <c r="AB33" i="6"/>
  <c r="A33" i="6"/>
  <c r="AB32" i="6"/>
  <c r="A32" i="6"/>
  <c r="AB31" i="6"/>
  <c r="A31" i="6"/>
  <c r="AB30" i="6"/>
  <c r="A30" i="6"/>
  <c r="AB29" i="6"/>
  <c r="A29" i="6"/>
  <c r="AB28" i="6"/>
  <c r="A28" i="6"/>
  <c r="AB27" i="6"/>
  <c r="A27" i="6"/>
  <c r="AB26" i="6"/>
  <c r="A26" i="6"/>
  <c r="AB25" i="6"/>
  <c r="A25" i="6"/>
  <c r="AB24" i="6"/>
  <c r="A24" i="6"/>
  <c r="AB23" i="6"/>
  <c r="A23" i="6"/>
  <c r="AB22" i="6"/>
  <c r="A22" i="6"/>
  <c r="AB21" i="6"/>
  <c r="A21" i="6"/>
  <c r="AB20" i="6"/>
  <c r="A20" i="6"/>
  <c r="AB19" i="6"/>
  <c r="A19" i="6"/>
  <c r="AB18" i="6"/>
  <c r="A18" i="6"/>
  <c r="AB17" i="6"/>
  <c r="A17" i="6"/>
  <c r="AB16" i="6"/>
  <c r="A16" i="6"/>
  <c r="AB15" i="6"/>
  <c r="A15" i="6"/>
  <c r="AB14" i="6"/>
  <c r="A14" i="6"/>
  <c r="AB13" i="6"/>
  <c r="A13" i="6"/>
  <c r="AB12" i="6"/>
  <c r="A12" i="6"/>
  <c r="AB11" i="6"/>
  <c r="A11" i="6"/>
  <c r="AB10" i="6"/>
  <c r="A10" i="6"/>
  <c r="AB9" i="6"/>
  <c r="A9" i="6"/>
  <c r="AB8" i="6"/>
  <c r="A8" i="6"/>
  <c r="AB7" i="6"/>
  <c r="A7" i="6"/>
  <c r="AB6" i="6"/>
  <c r="A6" i="6"/>
  <c r="AB5" i="6"/>
  <c r="A5" i="6"/>
  <c r="AB4" i="6"/>
  <c r="A4" i="6"/>
  <c r="AB3" i="6"/>
  <c r="A3" i="6"/>
  <c r="AB2" i="6"/>
  <c r="A2" i="6"/>
  <c r="B501" i="5"/>
  <c r="A501" i="5"/>
  <c r="B500" i="5"/>
  <c r="A500" i="5"/>
  <c r="B499" i="5"/>
  <c r="A499" i="5"/>
  <c r="B498" i="5"/>
  <c r="A498" i="5"/>
  <c r="B497" i="5"/>
  <c r="A497" i="5"/>
  <c r="B496" i="5"/>
  <c r="A496" i="5"/>
  <c r="B495" i="5"/>
  <c r="A495" i="5"/>
  <c r="B494" i="5"/>
  <c r="A494" i="5"/>
  <c r="B493" i="5"/>
  <c r="A493" i="5"/>
  <c r="B492" i="5"/>
  <c r="A492" i="5"/>
  <c r="B491" i="5"/>
  <c r="A491" i="5"/>
  <c r="B490" i="5"/>
  <c r="A490" i="5"/>
  <c r="B489" i="5"/>
  <c r="A489" i="5"/>
  <c r="B488" i="5"/>
  <c r="A488" i="5"/>
  <c r="B487" i="5"/>
  <c r="A487" i="5"/>
  <c r="B486" i="5"/>
  <c r="A486" i="5"/>
  <c r="B485" i="5"/>
  <c r="A485" i="5"/>
  <c r="B484" i="5"/>
  <c r="A484" i="5"/>
  <c r="B483" i="5"/>
  <c r="A483" i="5"/>
  <c r="B482" i="5"/>
  <c r="A482" i="5"/>
  <c r="B481" i="5"/>
  <c r="A481" i="5"/>
  <c r="B480" i="5"/>
  <c r="A480" i="5"/>
  <c r="B479" i="5"/>
  <c r="A479" i="5"/>
  <c r="B478" i="5"/>
  <c r="A478" i="5"/>
  <c r="B477" i="5"/>
  <c r="A477" i="5"/>
  <c r="B476" i="5"/>
  <c r="A476" i="5"/>
  <c r="B475" i="5"/>
  <c r="A475" i="5"/>
  <c r="B474" i="5"/>
  <c r="A474" i="5"/>
  <c r="B473" i="5"/>
  <c r="A473" i="5"/>
  <c r="B472" i="5"/>
  <c r="A472" i="5"/>
  <c r="B471" i="5"/>
  <c r="A471" i="5"/>
  <c r="B470" i="5"/>
  <c r="A470" i="5"/>
  <c r="B469" i="5"/>
  <c r="A469" i="5"/>
  <c r="B468" i="5"/>
  <c r="A468" i="5"/>
  <c r="B467" i="5"/>
  <c r="A467" i="5"/>
  <c r="B466" i="5"/>
  <c r="A466" i="5"/>
  <c r="B465" i="5"/>
  <c r="A465" i="5"/>
  <c r="B464" i="5"/>
  <c r="A464" i="5"/>
  <c r="B463" i="5"/>
  <c r="A463" i="5"/>
  <c r="B462" i="5"/>
  <c r="A462" i="5"/>
  <c r="B461" i="5"/>
  <c r="A461" i="5"/>
  <c r="B460" i="5"/>
  <c r="A460" i="5"/>
  <c r="B459" i="5"/>
  <c r="A459" i="5"/>
  <c r="B458" i="5"/>
  <c r="A458" i="5"/>
  <c r="B457" i="5"/>
  <c r="A457" i="5"/>
  <c r="B456" i="5"/>
  <c r="A456" i="5"/>
  <c r="B455" i="5"/>
  <c r="A455" i="5"/>
  <c r="B454" i="5"/>
  <c r="A454" i="5"/>
  <c r="B453" i="5"/>
  <c r="A453" i="5"/>
  <c r="B452" i="5"/>
  <c r="A452" i="5"/>
  <c r="B451" i="5"/>
  <c r="A451" i="5"/>
  <c r="B450" i="5"/>
  <c r="A450" i="5"/>
  <c r="B449" i="5"/>
  <c r="A449" i="5"/>
  <c r="B448" i="5"/>
  <c r="A448" i="5"/>
  <c r="B447" i="5"/>
  <c r="A447" i="5"/>
  <c r="B446" i="5"/>
  <c r="A446" i="5"/>
  <c r="B445" i="5"/>
  <c r="A445" i="5"/>
  <c r="B444" i="5"/>
  <c r="A444" i="5"/>
  <c r="B443" i="5"/>
  <c r="A443" i="5"/>
  <c r="B442" i="5"/>
  <c r="A442" i="5"/>
  <c r="B441" i="5"/>
  <c r="A441" i="5"/>
  <c r="B440" i="5"/>
  <c r="A440" i="5"/>
  <c r="B439" i="5"/>
  <c r="A439" i="5"/>
  <c r="B438" i="5"/>
  <c r="A438" i="5"/>
  <c r="B437" i="5"/>
  <c r="A437" i="5"/>
  <c r="B436" i="5"/>
  <c r="A436" i="5"/>
  <c r="B435" i="5"/>
  <c r="A435" i="5"/>
  <c r="B434" i="5"/>
  <c r="A434" i="5"/>
  <c r="B433" i="5"/>
  <c r="A433" i="5"/>
  <c r="B432" i="5"/>
  <c r="A432" i="5"/>
  <c r="B431" i="5"/>
  <c r="A431" i="5"/>
  <c r="B430" i="5"/>
  <c r="A430" i="5"/>
  <c r="B429" i="5"/>
  <c r="A429" i="5"/>
  <c r="B428" i="5"/>
  <c r="A428" i="5"/>
  <c r="B427" i="5"/>
  <c r="A427" i="5"/>
  <c r="B426" i="5"/>
  <c r="A426" i="5"/>
  <c r="B425" i="5"/>
  <c r="A425" i="5"/>
  <c r="B424" i="5"/>
  <c r="A424" i="5"/>
  <c r="B423" i="5"/>
  <c r="A423" i="5"/>
  <c r="B422" i="5"/>
  <c r="A422" i="5"/>
  <c r="B421" i="5"/>
  <c r="A421" i="5"/>
  <c r="B420" i="5"/>
  <c r="A420" i="5"/>
  <c r="B419" i="5"/>
  <c r="A419" i="5"/>
  <c r="B418" i="5"/>
  <c r="A418" i="5"/>
  <c r="B417" i="5"/>
  <c r="A417" i="5"/>
  <c r="B416" i="5"/>
  <c r="A416" i="5"/>
  <c r="B415" i="5"/>
  <c r="A415" i="5"/>
  <c r="B414" i="5"/>
  <c r="A414" i="5"/>
  <c r="B413" i="5"/>
  <c r="A413" i="5"/>
  <c r="B412" i="5"/>
  <c r="A412" i="5"/>
  <c r="B411" i="5"/>
  <c r="A411" i="5"/>
  <c r="B410" i="5"/>
  <c r="A410" i="5"/>
  <c r="B409" i="5"/>
  <c r="A409" i="5"/>
  <c r="B408" i="5"/>
  <c r="A408" i="5"/>
  <c r="B407" i="5"/>
  <c r="A407" i="5"/>
  <c r="B406" i="5"/>
  <c r="A406" i="5"/>
  <c r="B405" i="5"/>
  <c r="A405" i="5"/>
  <c r="B404" i="5"/>
  <c r="A404" i="5"/>
  <c r="B403" i="5"/>
  <c r="A403" i="5"/>
  <c r="B402" i="5"/>
  <c r="A402" i="5"/>
  <c r="B401" i="5"/>
  <c r="A401" i="5"/>
  <c r="B400" i="5"/>
  <c r="A400" i="5"/>
  <c r="B399" i="5"/>
  <c r="A399" i="5"/>
  <c r="B398" i="5"/>
  <c r="A398" i="5"/>
  <c r="B397" i="5"/>
  <c r="A397" i="5"/>
  <c r="B396" i="5"/>
  <c r="A396" i="5"/>
  <c r="B395" i="5"/>
  <c r="A395" i="5"/>
  <c r="B394" i="5"/>
  <c r="A394" i="5"/>
  <c r="B393" i="5"/>
  <c r="A393" i="5"/>
  <c r="B392" i="5"/>
  <c r="A392" i="5"/>
  <c r="B391" i="5"/>
  <c r="A391" i="5"/>
  <c r="B390" i="5"/>
  <c r="A390" i="5"/>
  <c r="B389" i="5"/>
  <c r="A389" i="5"/>
  <c r="B388" i="5"/>
  <c r="A388" i="5"/>
  <c r="B387" i="5"/>
  <c r="A387" i="5"/>
  <c r="B386" i="5"/>
  <c r="A386" i="5"/>
  <c r="B385" i="5"/>
  <c r="A385" i="5"/>
  <c r="B384" i="5"/>
  <c r="A384" i="5"/>
  <c r="B383" i="5"/>
  <c r="A383" i="5"/>
  <c r="B382" i="5"/>
  <c r="A382" i="5"/>
  <c r="B381" i="5"/>
  <c r="A381" i="5"/>
  <c r="B380" i="5"/>
  <c r="A380" i="5"/>
  <c r="B379" i="5"/>
  <c r="A379" i="5"/>
  <c r="B378" i="5"/>
  <c r="A378" i="5"/>
  <c r="B377" i="5"/>
  <c r="A377" i="5"/>
  <c r="B376" i="5"/>
  <c r="A376" i="5"/>
  <c r="B375" i="5"/>
  <c r="A375" i="5"/>
  <c r="B374" i="5"/>
  <c r="A374" i="5"/>
  <c r="B373" i="5"/>
  <c r="A373" i="5"/>
  <c r="B372" i="5"/>
  <c r="A372" i="5"/>
  <c r="B371" i="5"/>
  <c r="A371" i="5"/>
  <c r="B370" i="5"/>
  <c r="A370" i="5"/>
  <c r="B369" i="5"/>
  <c r="A369" i="5"/>
  <c r="B368" i="5"/>
  <c r="A368" i="5"/>
  <c r="B367" i="5"/>
  <c r="A367" i="5"/>
  <c r="B366" i="5"/>
  <c r="A366" i="5"/>
  <c r="B365" i="5"/>
  <c r="A365" i="5"/>
  <c r="B364" i="5"/>
  <c r="A364" i="5"/>
  <c r="B363" i="5"/>
  <c r="A363" i="5"/>
  <c r="B362" i="5"/>
  <c r="A362" i="5"/>
  <c r="B361" i="5"/>
  <c r="A361" i="5"/>
  <c r="B360" i="5"/>
  <c r="A360" i="5"/>
  <c r="B359" i="5"/>
  <c r="A359" i="5"/>
  <c r="B358" i="5"/>
  <c r="A358" i="5"/>
  <c r="B357" i="5"/>
  <c r="A357" i="5"/>
  <c r="B356" i="5"/>
  <c r="A356" i="5"/>
  <c r="B355" i="5"/>
  <c r="A355" i="5"/>
  <c r="B354" i="5"/>
  <c r="A354" i="5"/>
  <c r="B353" i="5"/>
  <c r="A353" i="5"/>
  <c r="B352" i="5"/>
  <c r="A352" i="5"/>
  <c r="B351" i="5"/>
  <c r="A351" i="5"/>
  <c r="B350" i="5"/>
  <c r="A350" i="5"/>
  <c r="B349" i="5"/>
  <c r="A349" i="5"/>
  <c r="B348" i="5"/>
  <c r="A348" i="5"/>
  <c r="B347" i="5"/>
  <c r="A347" i="5"/>
  <c r="B346" i="5"/>
  <c r="A346" i="5"/>
  <c r="B345" i="5"/>
  <c r="A345" i="5"/>
  <c r="B344" i="5"/>
  <c r="A344" i="5"/>
  <c r="B343" i="5"/>
  <c r="A343" i="5"/>
  <c r="B342" i="5"/>
  <c r="A342" i="5"/>
  <c r="B341" i="5"/>
  <c r="A341" i="5"/>
  <c r="B340" i="5"/>
  <c r="A340" i="5"/>
  <c r="B339" i="5"/>
  <c r="A339" i="5"/>
  <c r="B338" i="5"/>
  <c r="A338" i="5"/>
  <c r="B337" i="5"/>
  <c r="A337" i="5"/>
  <c r="B336" i="5"/>
  <c r="A336" i="5"/>
  <c r="B335" i="5"/>
  <c r="A335" i="5"/>
  <c r="B334" i="5"/>
  <c r="A334" i="5"/>
  <c r="B333" i="5"/>
  <c r="A333" i="5"/>
  <c r="B332" i="5"/>
  <c r="A332" i="5"/>
  <c r="B331" i="5"/>
  <c r="A331" i="5"/>
  <c r="B330" i="5"/>
  <c r="A330" i="5"/>
  <c r="B329" i="5"/>
  <c r="A329" i="5"/>
  <c r="B328" i="5"/>
  <c r="A328" i="5"/>
  <c r="B327" i="5"/>
  <c r="A327" i="5"/>
  <c r="B326" i="5"/>
  <c r="A326" i="5"/>
  <c r="B325" i="5"/>
  <c r="A325" i="5"/>
  <c r="B324" i="5"/>
  <c r="A324" i="5"/>
  <c r="B323" i="5"/>
  <c r="A323" i="5"/>
  <c r="B322" i="5"/>
  <c r="A322" i="5"/>
  <c r="B321" i="5"/>
  <c r="A321" i="5"/>
  <c r="B320" i="5"/>
  <c r="A320" i="5"/>
  <c r="B319" i="5"/>
  <c r="A319" i="5"/>
  <c r="B318" i="5"/>
  <c r="A318" i="5"/>
  <c r="B317" i="5"/>
  <c r="A317" i="5"/>
  <c r="B316" i="5"/>
  <c r="A316" i="5"/>
  <c r="B315" i="5"/>
  <c r="A315" i="5"/>
  <c r="B314" i="5"/>
  <c r="A314" i="5"/>
  <c r="B313" i="5"/>
  <c r="A313" i="5"/>
  <c r="B312" i="5"/>
  <c r="A312" i="5"/>
  <c r="B311" i="5"/>
  <c r="A311" i="5"/>
  <c r="B310" i="5"/>
  <c r="A310" i="5"/>
  <c r="B309" i="5"/>
  <c r="A309" i="5"/>
  <c r="B308" i="5"/>
  <c r="A308" i="5"/>
  <c r="B307" i="5"/>
  <c r="A307" i="5"/>
  <c r="B306" i="5"/>
  <c r="A306" i="5"/>
  <c r="B305" i="5"/>
  <c r="A305" i="5"/>
  <c r="B304" i="5"/>
  <c r="A304" i="5"/>
  <c r="B303" i="5"/>
  <c r="A303" i="5"/>
  <c r="B302" i="5"/>
  <c r="A302" i="5"/>
  <c r="B301" i="5"/>
  <c r="A301" i="5"/>
  <c r="B300" i="5"/>
  <c r="A300" i="5"/>
  <c r="B299" i="5"/>
  <c r="A299" i="5"/>
  <c r="B298" i="5"/>
  <c r="A298" i="5"/>
  <c r="B297" i="5"/>
  <c r="A297" i="5"/>
  <c r="B296" i="5"/>
  <c r="A296" i="5"/>
  <c r="B295" i="5"/>
  <c r="A295" i="5"/>
  <c r="B294" i="5"/>
  <c r="A294" i="5"/>
  <c r="B293" i="5"/>
  <c r="A293" i="5"/>
  <c r="B292" i="5"/>
  <c r="A292" i="5"/>
  <c r="B291" i="5"/>
  <c r="A291" i="5"/>
  <c r="B290" i="5"/>
  <c r="A290" i="5"/>
  <c r="B289" i="5"/>
  <c r="A289" i="5"/>
  <c r="B288" i="5"/>
  <c r="A288" i="5"/>
  <c r="B287" i="5"/>
  <c r="A287" i="5"/>
  <c r="B286" i="5"/>
  <c r="A286" i="5"/>
  <c r="B285" i="5"/>
  <c r="A285" i="5"/>
  <c r="B284" i="5"/>
  <c r="A284" i="5"/>
  <c r="B283" i="5"/>
  <c r="A283" i="5"/>
  <c r="B282" i="5"/>
  <c r="A282" i="5"/>
  <c r="B281" i="5"/>
  <c r="A281" i="5"/>
  <c r="B280" i="5"/>
  <c r="A280" i="5"/>
  <c r="B279" i="5"/>
  <c r="A279" i="5"/>
  <c r="B278" i="5"/>
  <c r="A278" i="5"/>
  <c r="B277" i="5"/>
  <c r="A277" i="5"/>
  <c r="B276" i="5"/>
  <c r="A276" i="5"/>
  <c r="B275" i="5"/>
  <c r="A275" i="5"/>
  <c r="B274" i="5"/>
  <c r="A274" i="5"/>
  <c r="B273" i="5"/>
  <c r="A273" i="5"/>
  <c r="B272" i="5"/>
  <c r="A272" i="5"/>
  <c r="B271" i="5"/>
  <c r="A271" i="5"/>
  <c r="B270" i="5"/>
  <c r="A270" i="5"/>
  <c r="B269" i="5"/>
  <c r="A269" i="5"/>
  <c r="B268" i="5"/>
  <c r="A268" i="5"/>
  <c r="B267" i="5"/>
  <c r="A267" i="5"/>
  <c r="B266" i="5"/>
  <c r="A266" i="5"/>
  <c r="B265" i="5"/>
  <c r="A265" i="5"/>
  <c r="B264" i="5"/>
  <c r="A264" i="5"/>
  <c r="B263" i="5"/>
  <c r="A263" i="5"/>
  <c r="B262" i="5"/>
  <c r="A262" i="5"/>
  <c r="B261" i="5"/>
  <c r="A261" i="5"/>
  <c r="B260" i="5"/>
  <c r="A260" i="5"/>
  <c r="B259" i="5"/>
  <c r="A259" i="5"/>
  <c r="B258" i="5"/>
  <c r="A258" i="5"/>
  <c r="B257" i="5"/>
  <c r="A257" i="5"/>
  <c r="B256" i="5"/>
  <c r="A256" i="5"/>
  <c r="B255" i="5"/>
  <c r="A255" i="5"/>
  <c r="B254" i="5"/>
  <c r="A254" i="5"/>
  <c r="B253" i="5"/>
  <c r="A253" i="5"/>
  <c r="B252" i="5"/>
  <c r="A252" i="5"/>
  <c r="B251" i="5"/>
  <c r="A251" i="5"/>
  <c r="B250" i="5"/>
  <c r="A250" i="5"/>
  <c r="B249" i="5"/>
  <c r="A249" i="5"/>
  <c r="B248" i="5"/>
  <c r="A248" i="5"/>
  <c r="B247" i="5"/>
  <c r="A247" i="5"/>
  <c r="B246" i="5"/>
  <c r="A246" i="5"/>
  <c r="B245" i="5"/>
  <c r="A245" i="5"/>
  <c r="B244" i="5"/>
  <c r="A244" i="5"/>
  <c r="B243" i="5"/>
  <c r="A243" i="5"/>
  <c r="B242" i="5"/>
  <c r="A242" i="5"/>
  <c r="B241" i="5"/>
  <c r="A241" i="5"/>
  <c r="B240" i="5"/>
  <c r="A240" i="5"/>
  <c r="B239" i="5"/>
  <c r="A239" i="5"/>
  <c r="B238" i="5"/>
  <c r="A238" i="5"/>
  <c r="B237" i="5"/>
  <c r="A237" i="5"/>
  <c r="B236" i="5"/>
  <c r="A236" i="5"/>
  <c r="B235" i="5"/>
  <c r="A235" i="5"/>
  <c r="B234" i="5"/>
  <c r="A234" i="5"/>
  <c r="B233" i="5"/>
  <c r="A233" i="5"/>
  <c r="B232" i="5"/>
  <c r="A232" i="5"/>
  <c r="B231" i="5"/>
  <c r="A231" i="5"/>
  <c r="B230" i="5"/>
  <c r="A230" i="5"/>
  <c r="B229" i="5"/>
  <c r="A229" i="5"/>
  <c r="B228" i="5"/>
  <c r="A228" i="5"/>
  <c r="B227" i="5"/>
  <c r="A227" i="5"/>
  <c r="B226" i="5"/>
  <c r="A226" i="5"/>
  <c r="B225" i="5"/>
  <c r="A225" i="5"/>
  <c r="B224" i="5"/>
  <c r="A224" i="5"/>
  <c r="B223" i="5"/>
  <c r="A223" i="5"/>
  <c r="B222" i="5"/>
  <c r="A222" i="5"/>
  <c r="B221" i="5"/>
  <c r="A221" i="5"/>
  <c r="B220" i="5"/>
  <c r="A220" i="5"/>
  <c r="B219" i="5"/>
  <c r="A219" i="5"/>
  <c r="B218" i="5"/>
  <c r="A218" i="5"/>
  <c r="B217" i="5"/>
  <c r="A217" i="5"/>
  <c r="B216" i="5"/>
  <c r="A216" i="5"/>
  <c r="B215" i="5"/>
  <c r="A215" i="5"/>
  <c r="B214" i="5"/>
  <c r="A214" i="5"/>
  <c r="B213" i="5"/>
  <c r="A213" i="5"/>
  <c r="B212" i="5"/>
  <c r="A212" i="5"/>
  <c r="B211" i="5"/>
  <c r="A211" i="5"/>
  <c r="B210" i="5"/>
  <c r="A210" i="5"/>
  <c r="B209" i="5"/>
  <c r="A209" i="5"/>
  <c r="B208" i="5"/>
  <c r="A208" i="5"/>
  <c r="B207" i="5"/>
  <c r="A207" i="5"/>
  <c r="B206" i="5"/>
  <c r="A206" i="5"/>
  <c r="B205" i="5"/>
  <c r="A205" i="5"/>
  <c r="B204" i="5"/>
  <c r="A204" i="5"/>
  <c r="B203" i="5"/>
  <c r="A203" i="5"/>
  <c r="B202" i="5"/>
  <c r="A202" i="5"/>
  <c r="B201" i="5"/>
  <c r="A201" i="5"/>
  <c r="B200" i="5"/>
  <c r="A200" i="5"/>
  <c r="B199" i="5"/>
  <c r="A199" i="5"/>
  <c r="B198" i="5"/>
  <c r="A198" i="5"/>
  <c r="B197" i="5"/>
  <c r="A197" i="5"/>
  <c r="B196" i="5"/>
  <c r="A196" i="5"/>
  <c r="B195" i="5"/>
  <c r="A195" i="5"/>
  <c r="B194" i="5"/>
  <c r="A194" i="5"/>
  <c r="B193" i="5"/>
  <c r="A193" i="5"/>
  <c r="B192" i="5"/>
  <c r="A192" i="5"/>
  <c r="B191" i="5"/>
  <c r="A191" i="5"/>
  <c r="B190" i="5"/>
  <c r="A190" i="5"/>
  <c r="B189" i="5"/>
  <c r="A189" i="5"/>
  <c r="B188" i="5"/>
  <c r="A188" i="5"/>
  <c r="B187" i="5"/>
  <c r="A187" i="5"/>
  <c r="B186" i="5"/>
  <c r="A186" i="5"/>
  <c r="B185" i="5"/>
  <c r="A185" i="5"/>
  <c r="B184" i="5"/>
  <c r="A184" i="5"/>
  <c r="B183" i="5"/>
  <c r="A183" i="5"/>
  <c r="B182" i="5"/>
  <c r="A182" i="5"/>
  <c r="B181" i="5"/>
  <c r="A181" i="5"/>
  <c r="B180" i="5"/>
  <c r="A180" i="5"/>
  <c r="B179" i="5"/>
  <c r="A179" i="5"/>
  <c r="B178" i="5"/>
  <c r="A178" i="5"/>
  <c r="B177" i="5"/>
  <c r="A177" i="5"/>
  <c r="B176" i="5"/>
  <c r="A176" i="5"/>
  <c r="B175" i="5"/>
  <c r="A175" i="5"/>
  <c r="B174" i="5"/>
  <c r="A174" i="5"/>
  <c r="B173" i="5"/>
  <c r="A173" i="5"/>
  <c r="B172" i="5"/>
  <c r="A172" i="5"/>
  <c r="B171" i="5"/>
  <c r="A171" i="5"/>
  <c r="B170" i="5"/>
  <c r="A170" i="5"/>
  <c r="B169" i="5"/>
  <c r="A169" i="5"/>
  <c r="B168" i="5"/>
  <c r="A168" i="5"/>
  <c r="B167" i="5"/>
  <c r="A167" i="5"/>
  <c r="B166" i="5"/>
  <c r="A166" i="5"/>
  <c r="B165" i="5"/>
  <c r="A165" i="5"/>
  <c r="B164" i="5"/>
  <c r="A164" i="5"/>
  <c r="B163" i="5"/>
  <c r="A163" i="5"/>
  <c r="B162" i="5"/>
  <c r="A162" i="5"/>
  <c r="B161" i="5"/>
  <c r="A161" i="5"/>
  <c r="B160" i="5"/>
  <c r="A160" i="5"/>
  <c r="B159" i="5"/>
  <c r="A159" i="5"/>
  <c r="B158" i="5"/>
  <c r="A158" i="5"/>
  <c r="B157" i="5"/>
  <c r="A157" i="5"/>
  <c r="B156" i="5"/>
  <c r="A156" i="5"/>
  <c r="B155" i="5"/>
  <c r="A155" i="5"/>
  <c r="B154" i="5"/>
  <c r="A154" i="5"/>
  <c r="B153" i="5"/>
  <c r="A153" i="5"/>
  <c r="B152" i="5"/>
  <c r="A152" i="5"/>
  <c r="B151" i="5"/>
  <c r="A151" i="5"/>
  <c r="B150" i="5"/>
  <c r="A150" i="5"/>
  <c r="B149" i="5"/>
  <c r="A149" i="5"/>
  <c r="B148" i="5"/>
  <c r="A148" i="5"/>
  <c r="B147" i="5"/>
  <c r="A147" i="5"/>
  <c r="B146" i="5"/>
  <c r="A146" i="5"/>
  <c r="B145" i="5"/>
  <c r="A145" i="5"/>
  <c r="B144" i="5"/>
  <c r="A144" i="5"/>
  <c r="B143" i="5"/>
  <c r="A143" i="5"/>
  <c r="B142" i="5"/>
  <c r="A142" i="5"/>
  <c r="B141" i="5"/>
  <c r="A141" i="5"/>
  <c r="B140" i="5"/>
  <c r="A140" i="5"/>
  <c r="B139" i="5"/>
  <c r="A139" i="5"/>
  <c r="B138" i="5"/>
  <c r="A138" i="5"/>
  <c r="B137" i="5"/>
  <c r="A137" i="5"/>
  <c r="B136" i="5"/>
  <c r="A136" i="5"/>
  <c r="B135" i="5"/>
  <c r="A135" i="5"/>
  <c r="B134" i="5"/>
  <c r="A134" i="5"/>
  <c r="B133" i="5"/>
  <c r="A133" i="5"/>
  <c r="B132" i="5"/>
  <c r="A132" i="5"/>
  <c r="B131" i="5"/>
  <c r="A131" i="5"/>
  <c r="B130" i="5"/>
  <c r="A130" i="5"/>
  <c r="B129" i="5"/>
  <c r="A129" i="5"/>
  <c r="B128" i="5"/>
  <c r="A128" i="5"/>
  <c r="B127" i="5"/>
  <c r="A127" i="5"/>
  <c r="B126" i="5"/>
  <c r="A126" i="5"/>
  <c r="B125" i="5"/>
  <c r="A125" i="5"/>
  <c r="B124" i="5"/>
  <c r="A124" i="5"/>
  <c r="B123" i="5"/>
  <c r="A123" i="5"/>
  <c r="B122" i="5"/>
  <c r="A122" i="5"/>
  <c r="B121" i="5"/>
  <c r="A121" i="5"/>
  <c r="B120" i="5"/>
  <c r="A120" i="5"/>
  <c r="B119" i="5"/>
  <c r="A119" i="5"/>
  <c r="B118" i="5"/>
  <c r="A118" i="5"/>
  <c r="B117" i="5"/>
  <c r="A117" i="5"/>
  <c r="B116" i="5"/>
  <c r="A116" i="5"/>
  <c r="B115" i="5"/>
  <c r="A115" i="5"/>
  <c r="B114" i="5"/>
  <c r="A114" i="5"/>
  <c r="B113" i="5"/>
  <c r="A113" i="5"/>
  <c r="B112" i="5"/>
  <c r="A112" i="5"/>
  <c r="B111" i="5"/>
  <c r="A111" i="5"/>
  <c r="B110" i="5"/>
  <c r="A110" i="5"/>
  <c r="B109" i="5"/>
  <c r="A109" i="5"/>
  <c r="B108" i="5"/>
  <c r="A108" i="5"/>
  <c r="B107" i="5"/>
  <c r="A107" i="5"/>
  <c r="B106" i="5"/>
  <c r="A106" i="5"/>
  <c r="B105" i="5"/>
  <c r="A105" i="5"/>
  <c r="B104" i="5"/>
  <c r="A104" i="5"/>
  <c r="B103" i="5"/>
  <c r="A103" i="5"/>
  <c r="B102" i="5"/>
  <c r="A102" i="5"/>
  <c r="B101" i="5"/>
  <c r="A101" i="5"/>
  <c r="B100" i="5"/>
  <c r="A100" i="5"/>
  <c r="B99" i="5"/>
  <c r="A99" i="5"/>
  <c r="B98" i="5"/>
  <c r="A98" i="5"/>
  <c r="B97" i="5"/>
  <c r="A97" i="5"/>
  <c r="B96" i="5"/>
  <c r="A96" i="5"/>
  <c r="B95" i="5"/>
  <c r="A95" i="5"/>
  <c r="B94" i="5"/>
  <c r="A94" i="5"/>
  <c r="B93" i="5"/>
  <c r="A93" i="5"/>
  <c r="B92" i="5"/>
  <c r="A92" i="5"/>
  <c r="B91" i="5"/>
  <c r="A91" i="5"/>
  <c r="B90" i="5"/>
  <c r="A90" i="5"/>
  <c r="B89" i="5"/>
  <c r="A89" i="5"/>
  <c r="B88" i="5"/>
  <c r="A88" i="5"/>
  <c r="B87" i="5"/>
  <c r="A87" i="5"/>
  <c r="B86" i="5"/>
  <c r="A86" i="5"/>
  <c r="B85" i="5"/>
  <c r="A85" i="5"/>
  <c r="B84" i="5"/>
  <c r="A84" i="5"/>
  <c r="B83" i="5"/>
  <c r="A83" i="5"/>
  <c r="B82" i="5"/>
  <c r="A82" i="5"/>
  <c r="B81" i="5"/>
  <c r="A81" i="5"/>
  <c r="B80" i="5"/>
  <c r="A80" i="5"/>
  <c r="B79" i="5"/>
  <c r="A79" i="5"/>
  <c r="B78" i="5"/>
  <c r="A78" i="5"/>
  <c r="B77" i="5"/>
  <c r="A77" i="5"/>
  <c r="B76" i="5"/>
  <c r="A76" i="5"/>
  <c r="B75" i="5"/>
  <c r="A75" i="5"/>
  <c r="B74" i="5"/>
  <c r="A74" i="5"/>
  <c r="B73" i="5"/>
  <c r="A73" i="5"/>
  <c r="B72" i="5"/>
  <c r="A72" i="5"/>
  <c r="B71" i="5"/>
  <c r="A71" i="5"/>
  <c r="B70" i="5"/>
  <c r="A70" i="5"/>
  <c r="B69" i="5"/>
  <c r="A69" i="5"/>
  <c r="B68" i="5"/>
  <c r="A68" i="5"/>
  <c r="B67" i="5"/>
  <c r="A67" i="5"/>
  <c r="B66" i="5"/>
  <c r="A66" i="5"/>
  <c r="B65" i="5"/>
  <c r="A65" i="5"/>
  <c r="B64" i="5"/>
  <c r="A64" i="5"/>
  <c r="B63" i="5"/>
  <c r="A63" i="5"/>
  <c r="B62" i="5"/>
  <c r="A62" i="5"/>
  <c r="B61" i="5"/>
  <c r="A61" i="5"/>
  <c r="B60" i="5"/>
  <c r="A60" i="5"/>
  <c r="B59" i="5"/>
  <c r="A59" i="5"/>
  <c r="B58" i="5"/>
  <c r="A58" i="5"/>
  <c r="B57" i="5"/>
  <c r="A57" i="5"/>
  <c r="B56" i="5"/>
  <c r="A56" i="5"/>
  <c r="B55" i="5"/>
  <c r="A55" i="5"/>
  <c r="B54" i="5"/>
  <c r="A54" i="5"/>
  <c r="B53" i="5"/>
  <c r="A53" i="5"/>
  <c r="B52" i="5"/>
  <c r="A52" i="5"/>
  <c r="B51" i="5"/>
  <c r="A51" i="5"/>
  <c r="B50" i="5"/>
  <c r="A50" i="5"/>
  <c r="B49" i="5"/>
  <c r="A49" i="5"/>
  <c r="B48" i="5"/>
  <c r="A48" i="5"/>
  <c r="B47" i="5"/>
  <c r="A47" i="5"/>
  <c r="B46" i="5"/>
  <c r="A46" i="5"/>
  <c r="B45" i="5"/>
  <c r="A45" i="5"/>
  <c r="B44" i="5"/>
  <c r="A44" i="5"/>
  <c r="B43" i="5"/>
  <c r="A43" i="5"/>
  <c r="B42" i="5"/>
  <c r="A42" i="5"/>
  <c r="B41" i="5"/>
  <c r="A41" i="5"/>
  <c r="B40" i="5"/>
  <c r="A40" i="5"/>
  <c r="B39" i="5"/>
  <c r="A39" i="5"/>
  <c r="B38" i="5"/>
  <c r="A38" i="5"/>
  <c r="B37" i="5"/>
  <c r="A37" i="5"/>
  <c r="B36" i="5"/>
  <c r="A36" i="5"/>
  <c r="B35" i="5"/>
  <c r="A35" i="5"/>
  <c r="B34" i="5"/>
  <c r="A34" i="5"/>
  <c r="B33" i="5"/>
  <c r="A33" i="5"/>
  <c r="B32" i="5"/>
  <c r="A32" i="5"/>
  <c r="B31" i="5"/>
  <c r="A31" i="5"/>
  <c r="B30" i="5"/>
  <c r="A30" i="5"/>
  <c r="B29" i="5"/>
  <c r="A29" i="5"/>
  <c r="B28" i="5"/>
  <c r="A28" i="5"/>
  <c r="B27" i="5"/>
  <c r="A27" i="5"/>
  <c r="B26" i="5"/>
  <c r="A26" i="5"/>
  <c r="B25" i="5"/>
  <c r="A25" i="5"/>
  <c r="B24" i="5"/>
  <c r="A24" i="5"/>
  <c r="B23" i="5"/>
  <c r="A23" i="5"/>
  <c r="B22" i="5"/>
  <c r="A22" i="5"/>
  <c r="B21" i="5"/>
  <c r="A21" i="5"/>
  <c r="B20" i="5"/>
  <c r="A20" i="5"/>
  <c r="B19" i="5"/>
  <c r="A19" i="5"/>
  <c r="B18" i="5"/>
  <c r="A18" i="5"/>
  <c r="B17" i="5"/>
  <c r="A17" i="5"/>
  <c r="B16" i="5"/>
  <c r="A16" i="5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B8" i="5"/>
  <c r="A8" i="5"/>
  <c r="A7" i="5"/>
  <c r="B7" i="5" s="1"/>
  <c r="A6" i="5"/>
  <c r="B6" i="5" s="1"/>
  <c r="A5" i="5"/>
  <c r="B5" i="5" s="1"/>
  <c r="A4" i="5"/>
  <c r="B4" i="5" s="1"/>
  <c r="A3" i="5"/>
  <c r="B3" i="5" s="1"/>
  <c r="A2" i="5"/>
  <c r="B2" i="5" s="1"/>
  <c r="AA501" i="4"/>
  <c r="H501" i="4"/>
  <c r="C501" i="4"/>
  <c r="B501" i="9" s="1"/>
  <c r="A501" i="4"/>
  <c r="AA500" i="4"/>
  <c r="H500" i="4"/>
  <c r="C500" i="4"/>
  <c r="B500" i="9" s="1"/>
  <c r="A500" i="4"/>
  <c r="AA499" i="4"/>
  <c r="H499" i="4"/>
  <c r="C499" i="4"/>
  <c r="B499" i="9" s="1"/>
  <c r="A499" i="4"/>
  <c r="AA498" i="4"/>
  <c r="H498" i="4"/>
  <c r="C498" i="4"/>
  <c r="B498" i="9" s="1"/>
  <c r="A498" i="4"/>
  <c r="AA497" i="4"/>
  <c r="H497" i="4"/>
  <c r="C497" i="4"/>
  <c r="B497" i="9" s="1"/>
  <c r="A497" i="4"/>
  <c r="AA496" i="4"/>
  <c r="H496" i="4"/>
  <c r="C496" i="4"/>
  <c r="B496" i="9" s="1"/>
  <c r="A496" i="4"/>
  <c r="AA495" i="4"/>
  <c r="H495" i="4"/>
  <c r="C495" i="4"/>
  <c r="B495" i="9" s="1"/>
  <c r="A495" i="4"/>
  <c r="AA494" i="4"/>
  <c r="H494" i="4"/>
  <c r="C494" i="4"/>
  <c r="B494" i="9" s="1"/>
  <c r="A494" i="4"/>
  <c r="AA493" i="4"/>
  <c r="H493" i="4"/>
  <c r="C493" i="4"/>
  <c r="B493" i="9" s="1"/>
  <c r="A493" i="4"/>
  <c r="AA492" i="4"/>
  <c r="H492" i="4"/>
  <c r="C492" i="4"/>
  <c r="B492" i="9" s="1"/>
  <c r="A492" i="4"/>
  <c r="AA491" i="4"/>
  <c r="H491" i="4"/>
  <c r="C491" i="4"/>
  <c r="B491" i="9" s="1"/>
  <c r="A491" i="4"/>
  <c r="AA490" i="4"/>
  <c r="H490" i="4"/>
  <c r="C490" i="4"/>
  <c r="B490" i="9" s="1"/>
  <c r="A490" i="4"/>
  <c r="AA489" i="4"/>
  <c r="H489" i="4"/>
  <c r="C489" i="4"/>
  <c r="B489" i="9" s="1"/>
  <c r="A489" i="4"/>
  <c r="AA488" i="4"/>
  <c r="H488" i="4"/>
  <c r="C488" i="4"/>
  <c r="B488" i="9" s="1"/>
  <c r="A488" i="4"/>
  <c r="AA487" i="4"/>
  <c r="H487" i="4"/>
  <c r="C487" i="4"/>
  <c r="B487" i="9" s="1"/>
  <c r="A487" i="4"/>
  <c r="AA486" i="4"/>
  <c r="H486" i="4"/>
  <c r="C486" i="4"/>
  <c r="B486" i="9" s="1"/>
  <c r="A486" i="4"/>
  <c r="AA485" i="4"/>
  <c r="H485" i="4"/>
  <c r="C485" i="4"/>
  <c r="B485" i="9" s="1"/>
  <c r="A485" i="4"/>
  <c r="AA484" i="4"/>
  <c r="H484" i="4"/>
  <c r="C484" i="4"/>
  <c r="B484" i="9" s="1"/>
  <c r="A484" i="4"/>
  <c r="AA483" i="4"/>
  <c r="H483" i="4"/>
  <c r="C483" i="4"/>
  <c r="B483" i="9" s="1"/>
  <c r="A483" i="4"/>
  <c r="AA482" i="4"/>
  <c r="H482" i="4"/>
  <c r="C482" i="4"/>
  <c r="B482" i="9" s="1"/>
  <c r="A482" i="4"/>
  <c r="AA481" i="4"/>
  <c r="H481" i="4"/>
  <c r="C481" i="4"/>
  <c r="B481" i="9" s="1"/>
  <c r="A481" i="4"/>
  <c r="AA480" i="4"/>
  <c r="H480" i="4"/>
  <c r="C480" i="4"/>
  <c r="B480" i="9" s="1"/>
  <c r="A480" i="4"/>
  <c r="AA479" i="4"/>
  <c r="H479" i="4"/>
  <c r="C479" i="4"/>
  <c r="B479" i="9" s="1"/>
  <c r="A479" i="4"/>
  <c r="AA478" i="4"/>
  <c r="H478" i="4"/>
  <c r="C478" i="4"/>
  <c r="B478" i="9" s="1"/>
  <c r="A478" i="4"/>
  <c r="AA477" i="4"/>
  <c r="H477" i="4"/>
  <c r="C477" i="4"/>
  <c r="B477" i="9" s="1"/>
  <c r="A477" i="4"/>
  <c r="AA476" i="4"/>
  <c r="H476" i="4"/>
  <c r="C476" i="4"/>
  <c r="B476" i="9" s="1"/>
  <c r="A476" i="4"/>
  <c r="AA475" i="4"/>
  <c r="H475" i="4"/>
  <c r="C475" i="4"/>
  <c r="B475" i="9" s="1"/>
  <c r="A475" i="4"/>
  <c r="AA474" i="4"/>
  <c r="H474" i="4"/>
  <c r="C474" i="4"/>
  <c r="B474" i="9" s="1"/>
  <c r="A474" i="4"/>
  <c r="AA473" i="4"/>
  <c r="H473" i="4"/>
  <c r="C473" i="4"/>
  <c r="B473" i="9" s="1"/>
  <c r="A473" i="4"/>
  <c r="AA472" i="4"/>
  <c r="H472" i="4"/>
  <c r="C472" i="4"/>
  <c r="B472" i="9" s="1"/>
  <c r="A472" i="4"/>
  <c r="AA471" i="4"/>
  <c r="H471" i="4"/>
  <c r="C471" i="4"/>
  <c r="B471" i="9" s="1"/>
  <c r="A471" i="4"/>
  <c r="AA470" i="4"/>
  <c r="H470" i="4"/>
  <c r="C470" i="4"/>
  <c r="B470" i="9" s="1"/>
  <c r="A470" i="4"/>
  <c r="AA469" i="4"/>
  <c r="H469" i="4"/>
  <c r="C469" i="4"/>
  <c r="B469" i="9" s="1"/>
  <c r="A469" i="4"/>
  <c r="AA468" i="4"/>
  <c r="H468" i="4"/>
  <c r="C468" i="4"/>
  <c r="B468" i="9" s="1"/>
  <c r="A468" i="4"/>
  <c r="AA467" i="4"/>
  <c r="H467" i="4"/>
  <c r="C467" i="4"/>
  <c r="B467" i="9" s="1"/>
  <c r="A467" i="4"/>
  <c r="AA466" i="4"/>
  <c r="H466" i="4"/>
  <c r="C466" i="4"/>
  <c r="B466" i="9" s="1"/>
  <c r="A466" i="4"/>
  <c r="AA465" i="4"/>
  <c r="H465" i="4"/>
  <c r="C465" i="4"/>
  <c r="B465" i="9" s="1"/>
  <c r="A465" i="4"/>
  <c r="AA464" i="4"/>
  <c r="H464" i="4"/>
  <c r="C464" i="4"/>
  <c r="B464" i="9" s="1"/>
  <c r="A464" i="4"/>
  <c r="AA463" i="4"/>
  <c r="H463" i="4"/>
  <c r="C463" i="4"/>
  <c r="B463" i="9" s="1"/>
  <c r="A463" i="4"/>
  <c r="AA462" i="4"/>
  <c r="H462" i="4"/>
  <c r="C462" i="4"/>
  <c r="B462" i="9" s="1"/>
  <c r="A462" i="4"/>
  <c r="AA461" i="4"/>
  <c r="H461" i="4"/>
  <c r="C461" i="4"/>
  <c r="B461" i="9" s="1"/>
  <c r="A461" i="4"/>
  <c r="AA460" i="4"/>
  <c r="H460" i="4"/>
  <c r="C460" i="4"/>
  <c r="B460" i="9" s="1"/>
  <c r="A460" i="4"/>
  <c r="AA459" i="4"/>
  <c r="H459" i="4"/>
  <c r="C459" i="4"/>
  <c r="B459" i="9" s="1"/>
  <c r="A459" i="4"/>
  <c r="AA458" i="4"/>
  <c r="H458" i="4"/>
  <c r="C458" i="4"/>
  <c r="B458" i="9" s="1"/>
  <c r="A458" i="4"/>
  <c r="AA457" i="4"/>
  <c r="H457" i="4"/>
  <c r="C457" i="4"/>
  <c r="B457" i="9" s="1"/>
  <c r="A457" i="4"/>
  <c r="AA456" i="4"/>
  <c r="H456" i="4"/>
  <c r="C456" i="4"/>
  <c r="B456" i="9" s="1"/>
  <c r="A456" i="4"/>
  <c r="AA455" i="4"/>
  <c r="H455" i="4"/>
  <c r="C455" i="4"/>
  <c r="B455" i="9" s="1"/>
  <c r="A455" i="4"/>
  <c r="AA454" i="4"/>
  <c r="H454" i="4"/>
  <c r="C454" i="4"/>
  <c r="B454" i="9" s="1"/>
  <c r="A454" i="4"/>
  <c r="AA453" i="4"/>
  <c r="H453" i="4"/>
  <c r="C453" i="4"/>
  <c r="B453" i="9" s="1"/>
  <c r="A453" i="4"/>
  <c r="AA452" i="4"/>
  <c r="H452" i="4"/>
  <c r="C452" i="4"/>
  <c r="B452" i="9" s="1"/>
  <c r="A452" i="4"/>
  <c r="AA451" i="4"/>
  <c r="H451" i="4"/>
  <c r="C451" i="4"/>
  <c r="B451" i="9" s="1"/>
  <c r="A451" i="4"/>
  <c r="AA450" i="4"/>
  <c r="H450" i="4"/>
  <c r="C450" i="4"/>
  <c r="B450" i="9" s="1"/>
  <c r="A450" i="4"/>
  <c r="AA449" i="4"/>
  <c r="H449" i="4"/>
  <c r="C449" i="4"/>
  <c r="B449" i="9" s="1"/>
  <c r="A449" i="4"/>
  <c r="AA448" i="4"/>
  <c r="H448" i="4"/>
  <c r="C448" i="4"/>
  <c r="B448" i="9" s="1"/>
  <c r="A448" i="4"/>
  <c r="AA447" i="4"/>
  <c r="H447" i="4"/>
  <c r="C447" i="4"/>
  <c r="B447" i="9" s="1"/>
  <c r="A447" i="4"/>
  <c r="AA446" i="4"/>
  <c r="H446" i="4"/>
  <c r="C446" i="4"/>
  <c r="B446" i="9" s="1"/>
  <c r="A446" i="4"/>
  <c r="AA445" i="4"/>
  <c r="H445" i="4"/>
  <c r="C445" i="4"/>
  <c r="B445" i="9" s="1"/>
  <c r="A445" i="4"/>
  <c r="AA444" i="4"/>
  <c r="H444" i="4"/>
  <c r="C444" i="4"/>
  <c r="B444" i="9" s="1"/>
  <c r="A444" i="4"/>
  <c r="AA443" i="4"/>
  <c r="H443" i="4"/>
  <c r="C443" i="4"/>
  <c r="B443" i="9" s="1"/>
  <c r="A443" i="4"/>
  <c r="AA442" i="4"/>
  <c r="H442" i="4"/>
  <c r="C442" i="4"/>
  <c r="B442" i="9" s="1"/>
  <c r="A442" i="4"/>
  <c r="AA441" i="4"/>
  <c r="H441" i="4"/>
  <c r="C441" i="4"/>
  <c r="B441" i="9" s="1"/>
  <c r="A441" i="4"/>
  <c r="AA440" i="4"/>
  <c r="H440" i="4"/>
  <c r="C440" i="4"/>
  <c r="B440" i="9" s="1"/>
  <c r="A440" i="4"/>
  <c r="AA439" i="4"/>
  <c r="H439" i="4"/>
  <c r="C439" i="4"/>
  <c r="B439" i="9" s="1"/>
  <c r="A439" i="4"/>
  <c r="AA438" i="4"/>
  <c r="H438" i="4"/>
  <c r="C438" i="4"/>
  <c r="B438" i="9" s="1"/>
  <c r="A438" i="4"/>
  <c r="AA437" i="4"/>
  <c r="H437" i="4"/>
  <c r="C437" i="4"/>
  <c r="B437" i="9" s="1"/>
  <c r="A437" i="4"/>
  <c r="AA436" i="4"/>
  <c r="H436" i="4"/>
  <c r="C436" i="4"/>
  <c r="B436" i="9" s="1"/>
  <c r="A436" i="4"/>
  <c r="AA435" i="4"/>
  <c r="H435" i="4"/>
  <c r="C435" i="4"/>
  <c r="B435" i="9" s="1"/>
  <c r="A435" i="4"/>
  <c r="AA434" i="4"/>
  <c r="H434" i="4"/>
  <c r="C434" i="4"/>
  <c r="B434" i="9" s="1"/>
  <c r="A434" i="4"/>
  <c r="AA433" i="4"/>
  <c r="H433" i="4"/>
  <c r="C433" i="4"/>
  <c r="B433" i="9" s="1"/>
  <c r="A433" i="4"/>
  <c r="AA432" i="4"/>
  <c r="H432" i="4"/>
  <c r="C432" i="4"/>
  <c r="B432" i="9" s="1"/>
  <c r="A432" i="4"/>
  <c r="AA431" i="4"/>
  <c r="H431" i="4"/>
  <c r="C431" i="4"/>
  <c r="B431" i="9" s="1"/>
  <c r="A431" i="4"/>
  <c r="AA430" i="4"/>
  <c r="H430" i="4"/>
  <c r="C430" i="4"/>
  <c r="B430" i="9" s="1"/>
  <c r="A430" i="4"/>
  <c r="AA429" i="4"/>
  <c r="H429" i="4"/>
  <c r="C429" i="4"/>
  <c r="B429" i="9" s="1"/>
  <c r="A429" i="4"/>
  <c r="AA428" i="4"/>
  <c r="H428" i="4"/>
  <c r="C428" i="4"/>
  <c r="B428" i="9" s="1"/>
  <c r="A428" i="4"/>
  <c r="AA427" i="4"/>
  <c r="H427" i="4"/>
  <c r="C427" i="4"/>
  <c r="B427" i="9" s="1"/>
  <c r="A427" i="4"/>
  <c r="AA426" i="4"/>
  <c r="H426" i="4"/>
  <c r="C426" i="4"/>
  <c r="B426" i="9" s="1"/>
  <c r="A426" i="4"/>
  <c r="AA425" i="4"/>
  <c r="H425" i="4"/>
  <c r="C425" i="4"/>
  <c r="B425" i="9" s="1"/>
  <c r="A425" i="4"/>
  <c r="AA424" i="4"/>
  <c r="H424" i="4"/>
  <c r="C424" i="4"/>
  <c r="B424" i="9" s="1"/>
  <c r="A424" i="4"/>
  <c r="AA423" i="4"/>
  <c r="H423" i="4"/>
  <c r="C423" i="4"/>
  <c r="B423" i="9" s="1"/>
  <c r="A423" i="4"/>
  <c r="AA422" i="4"/>
  <c r="H422" i="4"/>
  <c r="C422" i="4"/>
  <c r="B422" i="9" s="1"/>
  <c r="A422" i="4"/>
  <c r="AA421" i="4"/>
  <c r="H421" i="4"/>
  <c r="C421" i="4"/>
  <c r="B421" i="9" s="1"/>
  <c r="A421" i="4"/>
  <c r="AA420" i="4"/>
  <c r="H420" i="4"/>
  <c r="C420" i="4"/>
  <c r="B420" i="9" s="1"/>
  <c r="A420" i="4"/>
  <c r="AA419" i="4"/>
  <c r="H419" i="4"/>
  <c r="C419" i="4"/>
  <c r="B419" i="9" s="1"/>
  <c r="A419" i="4"/>
  <c r="AA418" i="4"/>
  <c r="H418" i="4"/>
  <c r="C418" i="4"/>
  <c r="B418" i="9" s="1"/>
  <c r="A418" i="4"/>
  <c r="AA417" i="4"/>
  <c r="H417" i="4"/>
  <c r="C417" i="4"/>
  <c r="B417" i="9" s="1"/>
  <c r="A417" i="4"/>
  <c r="AA416" i="4"/>
  <c r="H416" i="4"/>
  <c r="C416" i="4"/>
  <c r="B416" i="9" s="1"/>
  <c r="A416" i="4"/>
  <c r="AA415" i="4"/>
  <c r="H415" i="4"/>
  <c r="C415" i="4"/>
  <c r="B415" i="9" s="1"/>
  <c r="A415" i="4"/>
  <c r="AA414" i="4"/>
  <c r="H414" i="4"/>
  <c r="C414" i="4"/>
  <c r="B414" i="9" s="1"/>
  <c r="A414" i="4"/>
  <c r="AA413" i="4"/>
  <c r="H413" i="4"/>
  <c r="C413" i="4"/>
  <c r="B413" i="9" s="1"/>
  <c r="A413" i="4"/>
  <c r="AA412" i="4"/>
  <c r="H412" i="4"/>
  <c r="C412" i="4"/>
  <c r="B412" i="9" s="1"/>
  <c r="A412" i="4"/>
  <c r="AA411" i="4"/>
  <c r="H411" i="4"/>
  <c r="C411" i="4"/>
  <c r="B411" i="9" s="1"/>
  <c r="A411" i="4"/>
  <c r="AA410" i="4"/>
  <c r="H410" i="4"/>
  <c r="C410" i="4"/>
  <c r="B410" i="9" s="1"/>
  <c r="A410" i="4"/>
  <c r="AA409" i="4"/>
  <c r="H409" i="4"/>
  <c r="C409" i="4"/>
  <c r="B409" i="9" s="1"/>
  <c r="A409" i="4"/>
  <c r="AA408" i="4"/>
  <c r="H408" i="4"/>
  <c r="C408" i="4"/>
  <c r="B408" i="9" s="1"/>
  <c r="A408" i="4"/>
  <c r="AA407" i="4"/>
  <c r="H407" i="4"/>
  <c r="C407" i="4"/>
  <c r="B407" i="9" s="1"/>
  <c r="A407" i="4"/>
  <c r="AA406" i="4"/>
  <c r="H406" i="4"/>
  <c r="C406" i="4"/>
  <c r="B406" i="9" s="1"/>
  <c r="A406" i="4"/>
  <c r="AA405" i="4"/>
  <c r="H405" i="4"/>
  <c r="C405" i="4"/>
  <c r="B405" i="9" s="1"/>
  <c r="A405" i="4"/>
  <c r="AA404" i="4"/>
  <c r="H404" i="4"/>
  <c r="C404" i="4"/>
  <c r="B404" i="9" s="1"/>
  <c r="A404" i="4"/>
  <c r="AA403" i="4"/>
  <c r="H403" i="4"/>
  <c r="C403" i="4"/>
  <c r="B403" i="9" s="1"/>
  <c r="A403" i="4"/>
  <c r="AA402" i="4"/>
  <c r="H402" i="4"/>
  <c r="C402" i="4"/>
  <c r="B402" i="9" s="1"/>
  <c r="A402" i="4"/>
  <c r="AA401" i="4"/>
  <c r="H401" i="4"/>
  <c r="C401" i="4"/>
  <c r="B401" i="9" s="1"/>
  <c r="A401" i="4"/>
  <c r="AA400" i="4"/>
  <c r="H400" i="4"/>
  <c r="C400" i="4"/>
  <c r="B400" i="9" s="1"/>
  <c r="A400" i="4"/>
  <c r="AA399" i="4"/>
  <c r="H399" i="4"/>
  <c r="C399" i="4"/>
  <c r="B399" i="9" s="1"/>
  <c r="A399" i="4"/>
  <c r="AA398" i="4"/>
  <c r="H398" i="4"/>
  <c r="C398" i="4"/>
  <c r="B398" i="9" s="1"/>
  <c r="A398" i="4"/>
  <c r="AA397" i="4"/>
  <c r="H397" i="4"/>
  <c r="C397" i="4"/>
  <c r="B397" i="9" s="1"/>
  <c r="A397" i="4"/>
  <c r="AA396" i="4"/>
  <c r="H396" i="4"/>
  <c r="C396" i="4"/>
  <c r="B396" i="9" s="1"/>
  <c r="A396" i="4"/>
  <c r="AA395" i="4"/>
  <c r="H395" i="4"/>
  <c r="C395" i="4"/>
  <c r="B395" i="9" s="1"/>
  <c r="A395" i="4"/>
  <c r="AA394" i="4"/>
  <c r="H394" i="4"/>
  <c r="C394" i="4"/>
  <c r="B394" i="9" s="1"/>
  <c r="A394" i="4"/>
  <c r="AA393" i="4"/>
  <c r="H393" i="4"/>
  <c r="C393" i="4"/>
  <c r="B393" i="9" s="1"/>
  <c r="A393" i="4"/>
  <c r="AA392" i="4"/>
  <c r="H392" i="4"/>
  <c r="C392" i="4"/>
  <c r="B392" i="9" s="1"/>
  <c r="A392" i="4"/>
  <c r="AA391" i="4"/>
  <c r="H391" i="4"/>
  <c r="C391" i="4"/>
  <c r="B391" i="9" s="1"/>
  <c r="A391" i="4"/>
  <c r="AA390" i="4"/>
  <c r="H390" i="4"/>
  <c r="C390" i="4"/>
  <c r="B390" i="9" s="1"/>
  <c r="A390" i="4"/>
  <c r="AA389" i="4"/>
  <c r="H389" i="4"/>
  <c r="C389" i="4"/>
  <c r="B389" i="9" s="1"/>
  <c r="A389" i="4"/>
  <c r="AA388" i="4"/>
  <c r="H388" i="4"/>
  <c r="C388" i="4"/>
  <c r="B388" i="9" s="1"/>
  <c r="A388" i="4"/>
  <c r="AA387" i="4"/>
  <c r="H387" i="4"/>
  <c r="C387" i="4"/>
  <c r="B387" i="9" s="1"/>
  <c r="A387" i="4"/>
  <c r="AA386" i="4"/>
  <c r="H386" i="4"/>
  <c r="C386" i="4"/>
  <c r="B386" i="9" s="1"/>
  <c r="A386" i="4"/>
  <c r="AA385" i="4"/>
  <c r="H385" i="4"/>
  <c r="C385" i="4"/>
  <c r="B385" i="9" s="1"/>
  <c r="A385" i="4"/>
  <c r="AA384" i="4"/>
  <c r="H384" i="4"/>
  <c r="C384" i="4"/>
  <c r="B384" i="9" s="1"/>
  <c r="A384" i="4"/>
  <c r="AA383" i="4"/>
  <c r="H383" i="4"/>
  <c r="C383" i="4"/>
  <c r="B383" i="9" s="1"/>
  <c r="A383" i="4"/>
  <c r="AA382" i="4"/>
  <c r="H382" i="4"/>
  <c r="C382" i="4"/>
  <c r="B382" i="9" s="1"/>
  <c r="A382" i="4"/>
  <c r="AA381" i="4"/>
  <c r="H381" i="4"/>
  <c r="C381" i="4"/>
  <c r="B381" i="9" s="1"/>
  <c r="A381" i="4"/>
  <c r="AA380" i="4"/>
  <c r="H380" i="4"/>
  <c r="C380" i="4"/>
  <c r="B380" i="9" s="1"/>
  <c r="A380" i="4"/>
  <c r="AA379" i="4"/>
  <c r="H379" i="4"/>
  <c r="C379" i="4"/>
  <c r="B379" i="9" s="1"/>
  <c r="A379" i="4"/>
  <c r="AA378" i="4"/>
  <c r="H378" i="4"/>
  <c r="C378" i="4"/>
  <c r="B378" i="9" s="1"/>
  <c r="A378" i="4"/>
  <c r="AA377" i="4"/>
  <c r="H377" i="4"/>
  <c r="C377" i="4"/>
  <c r="B377" i="9" s="1"/>
  <c r="A377" i="4"/>
  <c r="AA376" i="4"/>
  <c r="H376" i="4"/>
  <c r="C376" i="4"/>
  <c r="B376" i="9" s="1"/>
  <c r="A376" i="4"/>
  <c r="AA375" i="4"/>
  <c r="H375" i="4"/>
  <c r="C375" i="4"/>
  <c r="B375" i="9" s="1"/>
  <c r="A375" i="4"/>
  <c r="AA374" i="4"/>
  <c r="H374" i="4"/>
  <c r="C374" i="4"/>
  <c r="B374" i="9" s="1"/>
  <c r="A374" i="4"/>
  <c r="AA373" i="4"/>
  <c r="H373" i="4"/>
  <c r="C373" i="4"/>
  <c r="B373" i="9" s="1"/>
  <c r="A373" i="4"/>
  <c r="AA372" i="4"/>
  <c r="H372" i="4"/>
  <c r="C372" i="4"/>
  <c r="B372" i="9" s="1"/>
  <c r="A372" i="4"/>
  <c r="AA371" i="4"/>
  <c r="H371" i="4"/>
  <c r="C371" i="4"/>
  <c r="B371" i="9" s="1"/>
  <c r="A371" i="4"/>
  <c r="AA370" i="4"/>
  <c r="H370" i="4"/>
  <c r="C370" i="4"/>
  <c r="B370" i="9" s="1"/>
  <c r="A370" i="4"/>
  <c r="AA369" i="4"/>
  <c r="H369" i="4"/>
  <c r="C369" i="4"/>
  <c r="B369" i="9" s="1"/>
  <c r="A369" i="4"/>
  <c r="AA368" i="4"/>
  <c r="H368" i="4"/>
  <c r="C368" i="4"/>
  <c r="B368" i="9" s="1"/>
  <c r="A368" i="4"/>
  <c r="AA367" i="4"/>
  <c r="H367" i="4"/>
  <c r="C367" i="4"/>
  <c r="B367" i="9" s="1"/>
  <c r="A367" i="4"/>
  <c r="AA366" i="4"/>
  <c r="H366" i="4"/>
  <c r="C366" i="4"/>
  <c r="B366" i="9" s="1"/>
  <c r="A366" i="4"/>
  <c r="AA365" i="4"/>
  <c r="H365" i="4"/>
  <c r="C365" i="4"/>
  <c r="B365" i="9" s="1"/>
  <c r="A365" i="4"/>
  <c r="AA364" i="4"/>
  <c r="H364" i="4"/>
  <c r="C364" i="4"/>
  <c r="B364" i="9" s="1"/>
  <c r="A364" i="4"/>
  <c r="AA363" i="4"/>
  <c r="H363" i="4"/>
  <c r="C363" i="4"/>
  <c r="B363" i="9" s="1"/>
  <c r="A363" i="4"/>
  <c r="AA362" i="4"/>
  <c r="H362" i="4"/>
  <c r="C362" i="4"/>
  <c r="B362" i="9" s="1"/>
  <c r="A362" i="4"/>
  <c r="AA361" i="4"/>
  <c r="H361" i="4"/>
  <c r="C361" i="4"/>
  <c r="B361" i="9" s="1"/>
  <c r="A361" i="4"/>
  <c r="AA360" i="4"/>
  <c r="H360" i="4"/>
  <c r="C360" i="4"/>
  <c r="B360" i="9" s="1"/>
  <c r="A360" i="4"/>
  <c r="AA359" i="4"/>
  <c r="H359" i="4"/>
  <c r="C359" i="4"/>
  <c r="B359" i="9" s="1"/>
  <c r="A359" i="4"/>
  <c r="AA358" i="4"/>
  <c r="H358" i="4"/>
  <c r="C358" i="4"/>
  <c r="B358" i="9" s="1"/>
  <c r="A358" i="4"/>
  <c r="AA357" i="4"/>
  <c r="H357" i="4"/>
  <c r="C357" i="4"/>
  <c r="B357" i="9" s="1"/>
  <c r="A357" i="4"/>
  <c r="AA356" i="4"/>
  <c r="H356" i="4"/>
  <c r="C356" i="4"/>
  <c r="B356" i="9" s="1"/>
  <c r="A356" i="4"/>
  <c r="AA355" i="4"/>
  <c r="H355" i="4"/>
  <c r="C355" i="4"/>
  <c r="B355" i="9" s="1"/>
  <c r="A355" i="4"/>
  <c r="AA354" i="4"/>
  <c r="H354" i="4"/>
  <c r="C354" i="4"/>
  <c r="B354" i="9" s="1"/>
  <c r="A354" i="4"/>
  <c r="AA353" i="4"/>
  <c r="H353" i="4"/>
  <c r="C353" i="4"/>
  <c r="B353" i="9" s="1"/>
  <c r="A353" i="4"/>
  <c r="AA352" i="4"/>
  <c r="H352" i="4"/>
  <c r="C352" i="4"/>
  <c r="B352" i="9" s="1"/>
  <c r="A352" i="4"/>
  <c r="AA351" i="4"/>
  <c r="H351" i="4"/>
  <c r="C351" i="4"/>
  <c r="B351" i="9" s="1"/>
  <c r="A351" i="4"/>
  <c r="AA350" i="4"/>
  <c r="H350" i="4"/>
  <c r="C350" i="4"/>
  <c r="B350" i="9" s="1"/>
  <c r="A350" i="4"/>
  <c r="AA349" i="4"/>
  <c r="H349" i="4"/>
  <c r="C349" i="4"/>
  <c r="B349" i="9" s="1"/>
  <c r="A349" i="4"/>
  <c r="AA348" i="4"/>
  <c r="H348" i="4"/>
  <c r="C348" i="4"/>
  <c r="B348" i="9" s="1"/>
  <c r="A348" i="4"/>
  <c r="AA347" i="4"/>
  <c r="H347" i="4"/>
  <c r="C347" i="4"/>
  <c r="B347" i="9" s="1"/>
  <c r="A347" i="4"/>
  <c r="AA346" i="4"/>
  <c r="H346" i="4"/>
  <c r="C346" i="4"/>
  <c r="B346" i="9" s="1"/>
  <c r="A346" i="4"/>
  <c r="AA345" i="4"/>
  <c r="H345" i="4"/>
  <c r="C345" i="4"/>
  <c r="B345" i="9" s="1"/>
  <c r="A345" i="4"/>
  <c r="AA344" i="4"/>
  <c r="H344" i="4"/>
  <c r="C344" i="4"/>
  <c r="B344" i="9" s="1"/>
  <c r="A344" i="4"/>
  <c r="AA343" i="4"/>
  <c r="H343" i="4"/>
  <c r="C343" i="4"/>
  <c r="B343" i="9" s="1"/>
  <c r="A343" i="4"/>
  <c r="AA342" i="4"/>
  <c r="H342" i="4"/>
  <c r="C342" i="4"/>
  <c r="B342" i="9" s="1"/>
  <c r="A342" i="4"/>
  <c r="AA341" i="4"/>
  <c r="H341" i="4"/>
  <c r="C341" i="4"/>
  <c r="B341" i="9" s="1"/>
  <c r="A341" i="4"/>
  <c r="AA340" i="4"/>
  <c r="H340" i="4"/>
  <c r="C340" i="4"/>
  <c r="B340" i="9" s="1"/>
  <c r="A340" i="4"/>
  <c r="AA339" i="4"/>
  <c r="H339" i="4"/>
  <c r="C339" i="4"/>
  <c r="B339" i="9" s="1"/>
  <c r="A339" i="4"/>
  <c r="AA338" i="4"/>
  <c r="H338" i="4"/>
  <c r="C338" i="4"/>
  <c r="B338" i="9" s="1"/>
  <c r="A338" i="4"/>
  <c r="AA337" i="4"/>
  <c r="H337" i="4"/>
  <c r="C337" i="4"/>
  <c r="B337" i="9" s="1"/>
  <c r="A337" i="4"/>
  <c r="AA336" i="4"/>
  <c r="H336" i="4"/>
  <c r="C336" i="4"/>
  <c r="B336" i="9" s="1"/>
  <c r="A336" i="4"/>
  <c r="AA335" i="4"/>
  <c r="H335" i="4"/>
  <c r="C335" i="4"/>
  <c r="B335" i="9" s="1"/>
  <c r="A335" i="4"/>
  <c r="AA334" i="4"/>
  <c r="H334" i="4"/>
  <c r="C334" i="4"/>
  <c r="B334" i="9" s="1"/>
  <c r="A334" i="4"/>
  <c r="AA333" i="4"/>
  <c r="H333" i="4"/>
  <c r="C333" i="4"/>
  <c r="B333" i="9" s="1"/>
  <c r="A333" i="4"/>
  <c r="AA332" i="4"/>
  <c r="H332" i="4"/>
  <c r="C332" i="4"/>
  <c r="B332" i="9" s="1"/>
  <c r="A332" i="4"/>
  <c r="AA331" i="4"/>
  <c r="H331" i="4"/>
  <c r="C331" i="4"/>
  <c r="B331" i="9" s="1"/>
  <c r="A331" i="4"/>
  <c r="AA330" i="4"/>
  <c r="H330" i="4"/>
  <c r="C330" i="4"/>
  <c r="B330" i="9" s="1"/>
  <c r="A330" i="4"/>
  <c r="AA329" i="4"/>
  <c r="H329" i="4"/>
  <c r="C329" i="4"/>
  <c r="B329" i="9" s="1"/>
  <c r="A329" i="4"/>
  <c r="AA328" i="4"/>
  <c r="H328" i="4"/>
  <c r="C328" i="4"/>
  <c r="B328" i="9" s="1"/>
  <c r="A328" i="4"/>
  <c r="AA327" i="4"/>
  <c r="H327" i="4"/>
  <c r="C327" i="4"/>
  <c r="B327" i="9" s="1"/>
  <c r="A327" i="4"/>
  <c r="AA326" i="4"/>
  <c r="H326" i="4"/>
  <c r="C326" i="4"/>
  <c r="B326" i="9" s="1"/>
  <c r="A326" i="4"/>
  <c r="AA325" i="4"/>
  <c r="H325" i="4"/>
  <c r="C325" i="4"/>
  <c r="B325" i="9" s="1"/>
  <c r="A325" i="4"/>
  <c r="AA324" i="4"/>
  <c r="H324" i="4"/>
  <c r="C324" i="4"/>
  <c r="B324" i="9" s="1"/>
  <c r="A324" i="4"/>
  <c r="AA323" i="4"/>
  <c r="H323" i="4"/>
  <c r="C323" i="4"/>
  <c r="B323" i="9" s="1"/>
  <c r="A323" i="4"/>
  <c r="AA322" i="4"/>
  <c r="H322" i="4"/>
  <c r="C322" i="4"/>
  <c r="B322" i="9" s="1"/>
  <c r="A322" i="4"/>
  <c r="AA321" i="4"/>
  <c r="H321" i="4"/>
  <c r="C321" i="4"/>
  <c r="B321" i="9" s="1"/>
  <c r="A321" i="4"/>
  <c r="AA320" i="4"/>
  <c r="H320" i="4"/>
  <c r="C320" i="4"/>
  <c r="B320" i="9" s="1"/>
  <c r="A320" i="4"/>
  <c r="AA319" i="4"/>
  <c r="H319" i="4"/>
  <c r="C319" i="4"/>
  <c r="B319" i="9" s="1"/>
  <c r="A319" i="4"/>
  <c r="AA318" i="4"/>
  <c r="H318" i="4"/>
  <c r="C318" i="4"/>
  <c r="B318" i="9" s="1"/>
  <c r="A318" i="4"/>
  <c r="AA317" i="4"/>
  <c r="H317" i="4"/>
  <c r="C317" i="4"/>
  <c r="B317" i="9" s="1"/>
  <c r="A317" i="4"/>
  <c r="AA316" i="4"/>
  <c r="H316" i="4"/>
  <c r="C316" i="4"/>
  <c r="B316" i="9" s="1"/>
  <c r="A316" i="4"/>
  <c r="AA315" i="4"/>
  <c r="H315" i="4"/>
  <c r="C315" i="4"/>
  <c r="B315" i="9" s="1"/>
  <c r="A315" i="4"/>
  <c r="AA314" i="4"/>
  <c r="H314" i="4"/>
  <c r="C314" i="4"/>
  <c r="B314" i="9" s="1"/>
  <c r="A314" i="4"/>
  <c r="AA313" i="4"/>
  <c r="H313" i="4"/>
  <c r="C313" i="4"/>
  <c r="B313" i="9" s="1"/>
  <c r="A313" i="4"/>
  <c r="AA312" i="4"/>
  <c r="H312" i="4"/>
  <c r="C312" i="4"/>
  <c r="B312" i="9" s="1"/>
  <c r="A312" i="4"/>
  <c r="AA311" i="4"/>
  <c r="H311" i="4"/>
  <c r="C311" i="4"/>
  <c r="B311" i="9" s="1"/>
  <c r="A311" i="4"/>
  <c r="AA310" i="4"/>
  <c r="H310" i="4"/>
  <c r="C310" i="4"/>
  <c r="B310" i="9" s="1"/>
  <c r="A310" i="4"/>
  <c r="AA309" i="4"/>
  <c r="H309" i="4"/>
  <c r="C309" i="4"/>
  <c r="B309" i="9" s="1"/>
  <c r="A309" i="4"/>
  <c r="AA308" i="4"/>
  <c r="H308" i="4"/>
  <c r="C308" i="4"/>
  <c r="B308" i="9" s="1"/>
  <c r="A308" i="4"/>
  <c r="AA307" i="4"/>
  <c r="H307" i="4"/>
  <c r="C307" i="4"/>
  <c r="B307" i="9" s="1"/>
  <c r="A307" i="4"/>
  <c r="AA306" i="4"/>
  <c r="H306" i="4"/>
  <c r="C306" i="4"/>
  <c r="B306" i="9" s="1"/>
  <c r="A306" i="4"/>
  <c r="AA305" i="4"/>
  <c r="H305" i="4"/>
  <c r="C305" i="4"/>
  <c r="B305" i="9" s="1"/>
  <c r="A305" i="4"/>
  <c r="AA304" i="4"/>
  <c r="H304" i="4"/>
  <c r="C304" i="4"/>
  <c r="B304" i="9" s="1"/>
  <c r="A304" i="4"/>
  <c r="AA303" i="4"/>
  <c r="H303" i="4"/>
  <c r="C303" i="4"/>
  <c r="B303" i="9" s="1"/>
  <c r="A303" i="4"/>
  <c r="AA302" i="4"/>
  <c r="H302" i="4"/>
  <c r="C302" i="4"/>
  <c r="B302" i="9" s="1"/>
  <c r="A302" i="4"/>
  <c r="AA301" i="4"/>
  <c r="H301" i="4"/>
  <c r="C301" i="4"/>
  <c r="B301" i="9" s="1"/>
  <c r="A301" i="4"/>
  <c r="AA300" i="4"/>
  <c r="H300" i="4"/>
  <c r="C300" i="4"/>
  <c r="B300" i="9" s="1"/>
  <c r="A300" i="4"/>
  <c r="AA299" i="4"/>
  <c r="H299" i="4"/>
  <c r="C299" i="4"/>
  <c r="B299" i="9" s="1"/>
  <c r="A299" i="4"/>
  <c r="AA298" i="4"/>
  <c r="H298" i="4"/>
  <c r="C298" i="4"/>
  <c r="B298" i="9" s="1"/>
  <c r="A298" i="4"/>
  <c r="AA297" i="4"/>
  <c r="H297" i="4"/>
  <c r="C297" i="4"/>
  <c r="B297" i="9" s="1"/>
  <c r="A297" i="4"/>
  <c r="AA296" i="4"/>
  <c r="H296" i="4"/>
  <c r="C296" i="4"/>
  <c r="B296" i="9" s="1"/>
  <c r="A296" i="4"/>
  <c r="AA295" i="4"/>
  <c r="H295" i="4"/>
  <c r="C295" i="4"/>
  <c r="B295" i="9" s="1"/>
  <c r="A295" i="4"/>
  <c r="AA294" i="4"/>
  <c r="H294" i="4"/>
  <c r="C294" i="4"/>
  <c r="B294" i="9" s="1"/>
  <c r="A294" i="4"/>
  <c r="AA293" i="4"/>
  <c r="H293" i="4"/>
  <c r="C293" i="4"/>
  <c r="B293" i="9" s="1"/>
  <c r="A293" i="4"/>
  <c r="AA292" i="4"/>
  <c r="H292" i="4"/>
  <c r="C292" i="4"/>
  <c r="B292" i="9" s="1"/>
  <c r="A292" i="4"/>
  <c r="AA291" i="4"/>
  <c r="H291" i="4"/>
  <c r="C291" i="4"/>
  <c r="B291" i="9" s="1"/>
  <c r="A291" i="4"/>
  <c r="AA290" i="4"/>
  <c r="H290" i="4"/>
  <c r="C290" i="4"/>
  <c r="B290" i="9" s="1"/>
  <c r="A290" i="4"/>
  <c r="AA289" i="4"/>
  <c r="H289" i="4"/>
  <c r="C289" i="4"/>
  <c r="B289" i="9" s="1"/>
  <c r="A289" i="4"/>
  <c r="AA288" i="4"/>
  <c r="H288" i="4"/>
  <c r="C288" i="4"/>
  <c r="B288" i="9" s="1"/>
  <c r="A288" i="4"/>
  <c r="AA287" i="4"/>
  <c r="H287" i="4"/>
  <c r="C287" i="4"/>
  <c r="B287" i="9" s="1"/>
  <c r="A287" i="4"/>
  <c r="AA286" i="4"/>
  <c r="H286" i="4"/>
  <c r="C286" i="4"/>
  <c r="B286" i="9" s="1"/>
  <c r="A286" i="4"/>
  <c r="AA285" i="4"/>
  <c r="H285" i="4"/>
  <c r="C285" i="4"/>
  <c r="B285" i="9" s="1"/>
  <c r="A285" i="4"/>
  <c r="AA284" i="4"/>
  <c r="H284" i="4"/>
  <c r="C284" i="4"/>
  <c r="B284" i="9" s="1"/>
  <c r="A284" i="4"/>
  <c r="AA283" i="4"/>
  <c r="H283" i="4"/>
  <c r="C283" i="4"/>
  <c r="B283" i="9" s="1"/>
  <c r="A283" i="4"/>
  <c r="AA282" i="4"/>
  <c r="H282" i="4"/>
  <c r="C282" i="4"/>
  <c r="B282" i="9" s="1"/>
  <c r="A282" i="4"/>
  <c r="AA281" i="4"/>
  <c r="H281" i="4"/>
  <c r="C281" i="4"/>
  <c r="B281" i="9" s="1"/>
  <c r="A281" i="4"/>
  <c r="AA280" i="4"/>
  <c r="H280" i="4"/>
  <c r="C280" i="4"/>
  <c r="B280" i="9" s="1"/>
  <c r="A280" i="4"/>
  <c r="AA279" i="4"/>
  <c r="H279" i="4"/>
  <c r="C279" i="4"/>
  <c r="B279" i="9" s="1"/>
  <c r="A279" i="4"/>
  <c r="AA278" i="4"/>
  <c r="H278" i="4"/>
  <c r="C278" i="4"/>
  <c r="B278" i="9" s="1"/>
  <c r="A278" i="4"/>
  <c r="AA277" i="4"/>
  <c r="H277" i="4"/>
  <c r="C277" i="4"/>
  <c r="B277" i="9" s="1"/>
  <c r="A277" i="4"/>
  <c r="AA276" i="4"/>
  <c r="H276" i="4"/>
  <c r="C276" i="4"/>
  <c r="B276" i="9" s="1"/>
  <c r="A276" i="4"/>
  <c r="AA275" i="4"/>
  <c r="H275" i="4"/>
  <c r="C275" i="4"/>
  <c r="B275" i="9" s="1"/>
  <c r="A275" i="4"/>
  <c r="AA274" i="4"/>
  <c r="H274" i="4"/>
  <c r="C274" i="4"/>
  <c r="B274" i="9" s="1"/>
  <c r="A274" i="4"/>
  <c r="AA273" i="4"/>
  <c r="H273" i="4"/>
  <c r="C273" i="4"/>
  <c r="B273" i="9" s="1"/>
  <c r="A273" i="4"/>
  <c r="AA272" i="4"/>
  <c r="H272" i="4"/>
  <c r="C272" i="4"/>
  <c r="B272" i="9" s="1"/>
  <c r="A272" i="4"/>
  <c r="AA271" i="4"/>
  <c r="H271" i="4"/>
  <c r="C271" i="4"/>
  <c r="B271" i="9" s="1"/>
  <c r="A271" i="4"/>
  <c r="AA270" i="4"/>
  <c r="H270" i="4"/>
  <c r="C270" i="4"/>
  <c r="B270" i="9" s="1"/>
  <c r="A270" i="4"/>
  <c r="AA269" i="4"/>
  <c r="H269" i="4"/>
  <c r="C269" i="4"/>
  <c r="B269" i="9" s="1"/>
  <c r="A269" i="4"/>
  <c r="AA268" i="4"/>
  <c r="H268" i="4"/>
  <c r="C268" i="4"/>
  <c r="B268" i="9" s="1"/>
  <c r="A268" i="4"/>
  <c r="AA267" i="4"/>
  <c r="H267" i="4"/>
  <c r="C267" i="4"/>
  <c r="B267" i="9" s="1"/>
  <c r="A267" i="4"/>
  <c r="AA266" i="4"/>
  <c r="H266" i="4"/>
  <c r="C266" i="4"/>
  <c r="B266" i="9" s="1"/>
  <c r="A266" i="4"/>
  <c r="AA265" i="4"/>
  <c r="H265" i="4"/>
  <c r="C265" i="4"/>
  <c r="B265" i="9" s="1"/>
  <c r="A265" i="4"/>
  <c r="AA264" i="4"/>
  <c r="H264" i="4"/>
  <c r="C264" i="4"/>
  <c r="B264" i="9" s="1"/>
  <c r="A264" i="4"/>
  <c r="AA263" i="4"/>
  <c r="H263" i="4"/>
  <c r="C263" i="4"/>
  <c r="B263" i="9" s="1"/>
  <c r="A263" i="4"/>
  <c r="AA262" i="4"/>
  <c r="H262" i="4"/>
  <c r="C262" i="4"/>
  <c r="B262" i="9" s="1"/>
  <c r="A262" i="4"/>
  <c r="AA261" i="4"/>
  <c r="H261" i="4"/>
  <c r="C261" i="4"/>
  <c r="B261" i="9" s="1"/>
  <c r="A261" i="4"/>
  <c r="AA260" i="4"/>
  <c r="H260" i="4"/>
  <c r="C260" i="4"/>
  <c r="B260" i="9" s="1"/>
  <c r="A260" i="4"/>
  <c r="AA259" i="4"/>
  <c r="H259" i="4"/>
  <c r="C259" i="4"/>
  <c r="B259" i="9" s="1"/>
  <c r="A259" i="4"/>
  <c r="AA258" i="4"/>
  <c r="H258" i="4"/>
  <c r="C258" i="4"/>
  <c r="B258" i="9" s="1"/>
  <c r="A258" i="4"/>
  <c r="AA257" i="4"/>
  <c r="H257" i="4"/>
  <c r="C257" i="4"/>
  <c r="B257" i="9" s="1"/>
  <c r="A257" i="4"/>
  <c r="AA256" i="4"/>
  <c r="H256" i="4"/>
  <c r="C256" i="4"/>
  <c r="B256" i="9" s="1"/>
  <c r="A256" i="4"/>
  <c r="AA255" i="4"/>
  <c r="H255" i="4"/>
  <c r="C255" i="4"/>
  <c r="B255" i="9" s="1"/>
  <c r="A255" i="4"/>
  <c r="AA254" i="4"/>
  <c r="H254" i="4"/>
  <c r="C254" i="4"/>
  <c r="B254" i="9" s="1"/>
  <c r="A254" i="4"/>
  <c r="AA253" i="4"/>
  <c r="H253" i="4"/>
  <c r="C253" i="4"/>
  <c r="B253" i="9" s="1"/>
  <c r="A253" i="4"/>
  <c r="AA252" i="4"/>
  <c r="H252" i="4"/>
  <c r="C252" i="4"/>
  <c r="B252" i="9" s="1"/>
  <c r="A252" i="4"/>
  <c r="AA251" i="4"/>
  <c r="H251" i="4"/>
  <c r="C251" i="4"/>
  <c r="B251" i="9" s="1"/>
  <c r="A251" i="4"/>
  <c r="AA250" i="4"/>
  <c r="H250" i="4"/>
  <c r="C250" i="4"/>
  <c r="B250" i="9" s="1"/>
  <c r="A250" i="4"/>
  <c r="AA249" i="4"/>
  <c r="H249" i="4"/>
  <c r="C249" i="4"/>
  <c r="B249" i="9" s="1"/>
  <c r="A249" i="4"/>
  <c r="AA248" i="4"/>
  <c r="H248" i="4"/>
  <c r="C248" i="4"/>
  <c r="B248" i="9" s="1"/>
  <c r="A248" i="4"/>
  <c r="AA247" i="4"/>
  <c r="H247" i="4"/>
  <c r="C247" i="4"/>
  <c r="B247" i="9" s="1"/>
  <c r="A247" i="4"/>
  <c r="AA246" i="4"/>
  <c r="H246" i="4"/>
  <c r="C246" i="4"/>
  <c r="B246" i="9" s="1"/>
  <c r="A246" i="4"/>
  <c r="AA245" i="4"/>
  <c r="H245" i="4"/>
  <c r="C245" i="4"/>
  <c r="B245" i="9" s="1"/>
  <c r="A245" i="4"/>
  <c r="AA244" i="4"/>
  <c r="H244" i="4"/>
  <c r="C244" i="4"/>
  <c r="B244" i="9" s="1"/>
  <c r="A244" i="4"/>
  <c r="AA243" i="4"/>
  <c r="H243" i="4"/>
  <c r="C243" i="4"/>
  <c r="B243" i="9" s="1"/>
  <c r="A243" i="4"/>
  <c r="AA242" i="4"/>
  <c r="H242" i="4"/>
  <c r="C242" i="4"/>
  <c r="B242" i="9" s="1"/>
  <c r="A242" i="4"/>
  <c r="AA241" i="4"/>
  <c r="H241" i="4"/>
  <c r="C241" i="4"/>
  <c r="B241" i="9" s="1"/>
  <c r="A241" i="4"/>
  <c r="AA240" i="4"/>
  <c r="H240" i="4"/>
  <c r="C240" i="4"/>
  <c r="B240" i="9" s="1"/>
  <c r="A240" i="4"/>
  <c r="AA239" i="4"/>
  <c r="H239" i="4"/>
  <c r="C239" i="4"/>
  <c r="B239" i="9" s="1"/>
  <c r="A239" i="4"/>
  <c r="AA238" i="4"/>
  <c r="H238" i="4"/>
  <c r="C238" i="4"/>
  <c r="B238" i="9" s="1"/>
  <c r="A238" i="4"/>
  <c r="AA237" i="4"/>
  <c r="H237" i="4"/>
  <c r="C237" i="4"/>
  <c r="B237" i="9" s="1"/>
  <c r="A237" i="4"/>
  <c r="AA236" i="4"/>
  <c r="H236" i="4"/>
  <c r="C236" i="4"/>
  <c r="B236" i="9" s="1"/>
  <c r="A236" i="4"/>
  <c r="AA235" i="4"/>
  <c r="H235" i="4"/>
  <c r="C235" i="4"/>
  <c r="B235" i="9" s="1"/>
  <c r="A235" i="4"/>
  <c r="AA234" i="4"/>
  <c r="H234" i="4"/>
  <c r="C234" i="4"/>
  <c r="B234" i="9" s="1"/>
  <c r="A234" i="4"/>
  <c r="AA233" i="4"/>
  <c r="H233" i="4"/>
  <c r="C233" i="4"/>
  <c r="B233" i="9" s="1"/>
  <c r="A233" i="4"/>
  <c r="AA232" i="4"/>
  <c r="H232" i="4"/>
  <c r="C232" i="4"/>
  <c r="B232" i="9" s="1"/>
  <c r="A232" i="4"/>
  <c r="AA231" i="4"/>
  <c r="H231" i="4"/>
  <c r="C231" i="4"/>
  <c r="B231" i="9" s="1"/>
  <c r="A231" i="4"/>
  <c r="AA230" i="4"/>
  <c r="H230" i="4"/>
  <c r="C230" i="4"/>
  <c r="B230" i="9" s="1"/>
  <c r="A230" i="4"/>
  <c r="AA229" i="4"/>
  <c r="H229" i="4"/>
  <c r="C229" i="4"/>
  <c r="B229" i="9" s="1"/>
  <c r="A229" i="4"/>
  <c r="AA228" i="4"/>
  <c r="H228" i="4"/>
  <c r="C228" i="4"/>
  <c r="B228" i="9" s="1"/>
  <c r="A228" i="4"/>
  <c r="AA227" i="4"/>
  <c r="H227" i="4"/>
  <c r="C227" i="4"/>
  <c r="B227" i="9" s="1"/>
  <c r="A227" i="4"/>
  <c r="AA226" i="4"/>
  <c r="H226" i="4"/>
  <c r="C226" i="4"/>
  <c r="B226" i="9" s="1"/>
  <c r="A226" i="4"/>
  <c r="AA225" i="4"/>
  <c r="H225" i="4"/>
  <c r="C225" i="4"/>
  <c r="B225" i="9" s="1"/>
  <c r="A225" i="4"/>
  <c r="AA224" i="4"/>
  <c r="H224" i="4"/>
  <c r="C224" i="4"/>
  <c r="B224" i="9" s="1"/>
  <c r="A224" i="4"/>
  <c r="AA223" i="4"/>
  <c r="H223" i="4"/>
  <c r="C223" i="4"/>
  <c r="B223" i="9" s="1"/>
  <c r="A223" i="4"/>
  <c r="AA222" i="4"/>
  <c r="H222" i="4"/>
  <c r="C222" i="4"/>
  <c r="B222" i="9" s="1"/>
  <c r="A222" i="4"/>
  <c r="AA221" i="4"/>
  <c r="H221" i="4"/>
  <c r="C221" i="4"/>
  <c r="B221" i="9" s="1"/>
  <c r="A221" i="4"/>
  <c r="AA220" i="4"/>
  <c r="H220" i="4"/>
  <c r="C220" i="4"/>
  <c r="B220" i="9" s="1"/>
  <c r="A220" i="4"/>
  <c r="AA219" i="4"/>
  <c r="H219" i="4"/>
  <c r="C219" i="4"/>
  <c r="B219" i="9" s="1"/>
  <c r="A219" i="4"/>
  <c r="AA218" i="4"/>
  <c r="H218" i="4"/>
  <c r="C218" i="4"/>
  <c r="B218" i="9" s="1"/>
  <c r="A218" i="4"/>
  <c r="AA217" i="4"/>
  <c r="H217" i="4"/>
  <c r="C217" i="4"/>
  <c r="B217" i="9" s="1"/>
  <c r="A217" i="4"/>
  <c r="AA216" i="4"/>
  <c r="H216" i="4"/>
  <c r="C216" i="4"/>
  <c r="B216" i="9" s="1"/>
  <c r="A216" i="4"/>
  <c r="AA215" i="4"/>
  <c r="H215" i="4"/>
  <c r="C215" i="4"/>
  <c r="B215" i="9" s="1"/>
  <c r="A215" i="4"/>
  <c r="AA214" i="4"/>
  <c r="H214" i="4"/>
  <c r="C214" i="4"/>
  <c r="B214" i="9" s="1"/>
  <c r="A214" i="4"/>
  <c r="AA213" i="4"/>
  <c r="H213" i="4"/>
  <c r="C213" i="4"/>
  <c r="B213" i="9" s="1"/>
  <c r="A213" i="4"/>
  <c r="AA212" i="4"/>
  <c r="H212" i="4"/>
  <c r="C212" i="4"/>
  <c r="B212" i="9" s="1"/>
  <c r="A212" i="4"/>
  <c r="AA211" i="4"/>
  <c r="H211" i="4"/>
  <c r="C211" i="4"/>
  <c r="B211" i="9" s="1"/>
  <c r="A211" i="4"/>
  <c r="AA210" i="4"/>
  <c r="H210" i="4"/>
  <c r="C210" i="4"/>
  <c r="B210" i="9" s="1"/>
  <c r="A210" i="4"/>
  <c r="AA209" i="4"/>
  <c r="H209" i="4"/>
  <c r="C209" i="4"/>
  <c r="B209" i="9" s="1"/>
  <c r="A209" i="4"/>
  <c r="AA208" i="4"/>
  <c r="H208" i="4"/>
  <c r="C208" i="4"/>
  <c r="B208" i="9" s="1"/>
  <c r="A208" i="4"/>
  <c r="AA207" i="4"/>
  <c r="H207" i="4"/>
  <c r="C207" i="4"/>
  <c r="B207" i="9" s="1"/>
  <c r="A207" i="4"/>
  <c r="AA206" i="4"/>
  <c r="H206" i="4"/>
  <c r="C206" i="4"/>
  <c r="B206" i="9" s="1"/>
  <c r="A206" i="4"/>
  <c r="AA205" i="4"/>
  <c r="H205" i="4"/>
  <c r="C205" i="4"/>
  <c r="B205" i="9" s="1"/>
  <c r="A205" i="4"/>
  <c r="AA204" i="4"/>
  <c r="H204" i="4"/>
  <c r="C204" i="4"/>
  <c r="B204" i="9" s="1"/>
  <c r="A204" i="4"/>
  <c r="AA203" i="4"/>
  <c r="H203" i="4"/>
  <c r="C203" i="4"/>
  <c r="B203" i="9" s="1"/>
  <c r="A203" i="4"/>
  <c r="AA202" i="4"/>
  <c r="H202" i="4"/>
  <c r="C202" i="4"/>
  <c r="B202" i="9" s="1"/>
  <c r="A202" i="4"/>
  <c r="AA201" i="4"/>
  <c r="H201" i="4"/>
  <c r="C201" i="4"/>
  <c r="B201" i="9" s="1"/>
  <c r="A201" i="4"/>
  <c r="AA200" i="4"/>
  <c r="H200" i="4"/>
  <c r="C200" i="4"/>
  <c r="B200" i="9" s="1"/>
  <c r="A200" i="4"/>
  <c r="AA199" i="4"/>
  <c r="H199" i="4"/>
  <c r="C199" i="4"/>
  <c r="B199" i="9" s="1"/>
  <c r="A199" i="4"/>
  <c r="AA198" i="4"/>
  <c r="H198" i="4"/>
  <c r="C198" i="4"/>
  <c r="B198" i="9" s="1"/>
  <c r="A198" i="4"/>
  <c r="AA197" i="4"/>
  <c r="H197" i="4"/>
  <c r="C197" i="4"/>
  <c r="B197" i="9" s="1"/>
  <c r="A197" i="4"/>
  <c r="AA196" i="4"/>
  <c r="H196" i="4"/>
  <c r="C196" i="4"/>
  <c r="B196" i="9" s="1"/>
  <c r="A196" i="4"/>
  <c r="AA195" i="4"/>
  <c r="H195" i="4"/>
  <c r="C195" i="4"/>
  <c r="B195" i="9" s="1"/>
  <c r="A195" i="4"/>
  <c r="AA194" i="4"/>
  <c r="H194" i="4"/>
  <c r="C194" i="4"/>
  <c r="B194" i="9" s="1"/>
  <c r="A194" i="4"/>
  <c r="AA193" i="4"/>
  <c r="H193" i="4"/>
  <c r="C193" i="4"/>
  <c r="B193" i="9" s="1"/>
  <c r="A193" i="4"/>
  <c r="AA192" i="4"/>
  <c r="H192" i="4"/>
  <c r="C192" i="4"/>
  <c r="B192" i="9" s="1"/>
  <c r="A192" i="4"/>
  <c r="AA191" i="4"/>
  <c r="H191" i="4"/>
  <c r="C191" i="4"/>
  <c r="B191" i="9" s="1"/>
  <c r="A191" i="4"/>
  <c r="AA190" i="4"/>
  <c r="H190" i="4"/>
  <c r="C190" i="4"/>
  <c r="B190" i="9" s="1"/>
  <c r="A190" i="4"/>
  <c r="AA189" i="4"/>
  <c r="H189" i="4"/>
  <c r="C189" i="4"/>
  <c r="B189" i="9" s="1"/>
  <c r="A189" i="4"/>
  <c r="AA188" i="4"/>
  <c r="H188" i="4"/>
  <c r="C188" i="4"/>
  <c r="B188" i="9" s="1"/>
  <c r="A188" i="4"/>
  <c r="AA187" i="4"/>
  <c r="H187" i="4"/>
  <c r="C187" i="4"/>
  <c r="B187" i="9" s="1"/>
  <c r="A187" i="4"/>
  <c r="AA186" i="4"/>
  <c r="H186" i="4"/>
  <c r="C186" i="4"/>
  <c r="B186" i="9" s="1"/>
  <c r="A186" i="4"/>
  <c r="AA185" i="4"/>
  <c r="H185" i="4"/>
  <c r="C185" i="4"/>
  <c r="B185" i="9" s="1"/>
  <c r="A185" i="4"/>
  <c r="AA184" i="4"/>
  <c r="H184" i="4"/>
  <c r="C184" i="4"/>
  <c r="B184" i="9" s="1"/>
  <c r="A184" i="4"/>
  <c r="AA183" i="4"/>
  <c r="H183" i="4"/>
  <c r="C183" i="4"/>
  <c r="B183" i="9" s="1"/>
  <c r="A183" i="4"/>
  <c r="AA182" i="4"/>
  <c r="H182" i="4"/>
  <c r="C182" i="4"/>
  <c r="B182" i="9" s="1"/>
  <c r="A182" i="4"/>
  <c r="AA181" i="4"/>
  <c r="H181" i="4"/>
  <c r="C181" i="4"/>
  <c r="B181" i="9" s="1"/>
  <c r="A181" i="4"/>
  <c r="AA180" i="4"/>
  <c r="H180" i="4"/>
  <c r="C180" i="4"/>
  <c r="B180" i="9" s="1"/>
  <c r="A180" i="4"/>
  <c r="AA179" i="4"/>
  <c r="H179" i="4"/>
  <c r="C179" i="4"/>
  <c r="B179" i="9" s="1"/>
  <c r="A179" i="4"/>
  <c r="AA178" i="4"/>
  <c r="H178" i="4"/>
  <c r="C178" i="4"/>
  <c r="B178" i="9" s="1"/>
  <c r="A178" i="4"/>
  <c r="AA177" i="4"/>
  <c r="H177" i="4"/>
  <c r="C177" i="4"/>
  <c r="B177" i="9" s="1"/>
  <c r="A177" i="4"/>
  <c r="AA176" i="4"/>
  <c r="H176" i="4"/>
  <c r="C176" i="4"/>
  <c r="B176" i="9" s="1"/>
  <c r="A176" i="4"/>
  <c r="AA175" i="4"/>
  <c r="H175" i="4"/>
  <c r="C175" i="4"/>
  <c r="B175" i="9" s="1"/>
  <c r="A175" i="4"/>
  <c r="AA174" i="4"/>
  <c r="H174" i="4"/>
  <c r="C174" i="4"/>
  <c r="B174" i="9" s="1"/>
  <c r="A174" i="4"/>
  <c r="AA173" i="4"/>
  <c r="H173" i="4"/>
  <c r="C173" i="4"/>
  <c r="B173" i="9" s="1"/>
  <c r="A173" i="4"/>
  <c r="AA172" i="4"/>
  <c r="H172" i="4"/>
  <c r="C172" i="4"/>
  <c r="B172" i="9" s="1"/>
  <c r="A172" i="4"/>
  <c r="AA171" i="4"/>
  <c r="H171" i="4"/>
  <c r="C171" i="4"/>
  <c r="B171" i="9" s="1"/>
  <c r="A171" i="4"/>
  <c r="AA170" i="4"/>
  <c r="H170" i="4"/>
  <c r="C170" i="4"/>
  <c r="B170" i="9" s="1"/>
  <c r="A170" i="4"/>
  <c r="AA169" i="4"/>
  <c r="H169" i="4"/>
  <c r="C169" i="4"/>
  <c r="B169" i="9" s="1"/>
  <c r="A169" i="4"/>
  <c r="AA168" i="4"/>
  <c r="H168" i="4"/>
  <c r="C168" i="4"/>
  <c r="B168" i="9" s="1"/>
  <c r="A168" i="4"/>
  <c r="AA167" i="4"/>
  <c r="H167" i="4"/>
  <c r="C167" i="4"/>
  <c r="B167" i="9" s="1"/>
  <c r="A167" i="4"/>
  <c r="AA166" i="4"/>
  <c r="H166" i="4"/>
  <c r="C166" i="4"/>
  <c r="B166" i="9" s="1"/>
  <c r="A166" i="4"/>
  <c r="AA165" i="4"/>
  <c r="H165" i="4"/>
  <c r="C165" i="4"/>
  <c r="B165" i="9" s="1"/>
  <c r="A165" i="4"/>
  <c r="AA164" i="4"/>
  <c r="H164" i="4"/>
  <c r="C164" i="4"/>
  <c r="B164" i="9" s="1"/>
  <c r="A164" i="4"/>
  <c r="AA163" i="4"/>
  <c r="H163" i="4"/>
  <c r="C163" i="4"/>
  <c r="B163" i="9" s="1"/>
  <c r="A163" i="4"/>
  <c r="AA162" i="4"/>
  <c r="H162" i="4"/>
  <c r="C162" i="4"/>
  <c r="B162" i="9" s="1"/>
  <c r="A162" i="4"/>
  <c r="AA161" i="4"/>
  <c r="H161" i="4"/>
  <c r="C161" i="4"/>
  <c r="B161" i="9" s="1"/>
  <c r="A161" i="4"/>
  <c r="AA160" i="4"/>
  <c r="H160" i="4"/>
  <c r="C160" i="4"/>
  <c r="B160" i="9" s="1"/>
  <c r="A160" i="4"/>
  <c r="AA159" i="4"/>
  <c r="H159" i="4"/>
  <c r="C159" i="4"/>
  <c r="B159" i="9" s="1"/>
  <c r="A159" i="4"/>
  <c r="AA158" i="4"/>
  <c r="H158" i="4"/>
  <c r="C158" i="4"/>
  <c r="B158" i="9" s="1"/>
  <c r="A158" i="4"/>
  <c r="AA157" i="4"/>
  <c r="H157" i="4"/>
  <c r="C157" i="4"/>
  <c r="B157" i="9" s="1"/>
  <c r="A157" i="4"/>
  <c r="AA156" i="4"/>
  <c r="H156" i="4"/>
  <c r="C156" i="4"/>
  <c r="B156" i="9" s="1"/>
  <c r="A156" i="4"/>
  <c r="AA155" i="4"/>
  <c r="H155" i="4"/>
  <c r="C155" i="4"/>
  <c r="B155" i="9" s="1"/>
  <c r="A155" i="4"/>
  <c r="AA154" i="4"/>
  <c r="H154" i="4"/>
  <c r="C154" i="4"/>
  <c r="B154" i="9" s="1"/>
  <c r="A154" i="4"/>
  <c r="AA153" i="4"/>
  <c r="H153" i="4"/>
  <c r="C153" i="4"/>
  <c r="B153" i="9" s="1"/>
  <c r="A153" i="4"/>
  <c r="AA152" i="4"/>
  <c r="H152" i="4"/>
  <c r="C152" i="4"/>
  <c r="B152" i="9" s="1"/>
  <c r="A152" i="4"/>
  <c r="AA151" i="4"/>
  <c r="H151" i="4"/>
  <c r="C151" i="4"/>
  <c r="B151" i="9" s="1"/>
  <c r="A151" i="4"/>
  <c r="AA150" i="4"/>
  <c r="H150" i="4"/>
  <c r="C150" i="4"/>
  <c r="B150" i="9" s="1"/>
  <c r="A150" i="4"/>
  <c r="AA149" i="4"/>
  <c r="H149" i="4"/>
  <c r="C149" i="4"/>
  <c r="B149" i="9" s="1"/>
  <c r="A149" i="4"/>
  <c r="AA148" i="4"/>
  <c r="H148" i="4"/>
  <c r="C148" i="4"/>
  <c r="B148" i="9" s="1"/>
  <c r="A148" i="4"/>
  <c r="AA147" i="4"/>
  <c r="H147" i="4"/>
  <c r="C147" i="4"/>
  <c r="B147" i="9" s="1"/>
  <c r="A147" i="4"/>
  <c r="AA146" i="4"/>
  <c r="H146" i="4"/>
  <c r="C146" i="4"/>
  <c r="B146" i="9" s="1"/>
  <c r="A146" i="4"/>
  <c r="AA145" i="4"/>
  <c r="H145" i="4"/>
  <c r="C145" i="4"/>
  <c r="B145" i="9" s="1"/>
  <c r="A145" i="4"/>
  <c r="AA144" i="4"/>
  <c r="H144" i="4"/>
  <c r="C144" i="4"/>
  <c r="B144" i="9" s="1"/>
  <c r="A144" i="4"/>
  <c r="AA143" i="4"/>
  <c r="H143" i="4"/>
  <c r="C143" i="4"/>
  <c r="B143" i="9" s="1"/>
  <c r="A143" i="4"/>
  <c r="AA142" i="4"/>
  <c r="H142" i="4"/>
  <c r="C142" i="4"/>
  <c r="B142" i="9" s="1"/>
  <c r="A142" i="4"/>
  <c r="AA141" i="4"/>
  <c r="H141" i="4"/>
  <c r="C141" i="4"/>
  <c r="B141" i="9" s="1"/>
  <c r="A141" i="4"/>
  <c r="AA140" i="4"/>
  <c r="H140" i="4"/>
  <c r="C140" i="4"/>
  <c r="B140" i="9" s="1"/>
  <c r="A140" i="4"/>
  <c r="AA139" i="4"/>
  <c r="H139" i="4"/>
  <c r="C139" i="4"/>
  <c r="B139" i="9" s="1"/>
  <c r="A139" i="4"/>
  <c r="AA138" i="4"/>
  <c r="H138" i="4"/>
  <c r="C138" i="4"/>
  <c r="B138" i="9" s="1"/>
  <c r="A138" i="4"/>
  <c r="AA137" i="4"/>
  <c r="H137" i="4"/>
  <c r="C137" i="4"/>
  <c r="B137" i="9" s="1"/>
  <c r="A137" i="4"/>
  <c r="AA136" i="4"/>
  <c r="H136" i="4"/>
  <c r="C136" i="4"/>
  <c r="B136" i="9" s="1"/>
  <c r="A136" i="4"/>
  <c r="AA135" i="4"/>
  <c r="H135" i="4"/>
  <c r="C135" i="4"/>
  <c r="B135" i="9" s="1"/>
  <c r="A135" i="4"/>
  <c r="AA134" i="4"/>
  <c r="H134" i="4"/>
  <c r="C134" i="4"/>
  <c r="B134" i="9" s="1"/>
  <c r="A134" i="4"/>
  <c r="AA133" i="4"/>
  <c r="H133" i="4"/>
  <c r="C133" i="4"/>
  <c r="B133" i="9" s="1"/>
  <c r="A133" i="4"/>
  <c r="AA132" i="4"/>
  <c r="H132" i="4"/>
  <c r="C132" i="4"/>
  <c r="B132" i="9" s="1"/>
  <c r="A132" i="4"/>
  <c r="AA131" i="4"/>
  <c r="H131" i="4"/>
  <c r="C131" i="4"/>
  <c r="B131" i="9" s="1"/>
  <c r="A131" i="4"/>
  <c r="AA130" i="4"/>
  <c r="H130" i="4"/>
  <c r="C130" i="4"/>
  <c r="B130" i="9" s="1"/>
  <c r="A130" i="4"/>
  <c r="AA129" i="4"/>
  <c r="H129" i="4"/>
  <c r="C129" i="4"/>
  <c r="B129" i="9" s="1"/>
  <c r="A129" i="4"/>
  <c r="AA128" i="4"/>
  <c r="H128" i="4"/>
  <c r="C128" i="4"/>
  <c r="B128" i="9" s="1"/>
  <c r="A128" i="4"/>
  <c r="AA127" i="4"/>
  <c r="H127" i="4"/>
  <c r="C127" i="4"/>
  <c r="B127" i="9" s="1"/>
  <c r="A127" i="4"/>
  <c r="AA126" i="4"/>
  <c r="H126" i="4"/>
  <c r="C126" i="4"/>
  <c r="B126" i="9" s="1"/>
  <c r="A126" i="4"/>
  <c r="AA125" i="4"/>
  <c r="H125" i="4"/>
  <c r="C125" i="4"/>
  <c r="B125" i="9" s="1"/>
  <c r="A125" i="4"/>
  <c r="AA124" i="4"/>
  <c r="H124" i="4"/>
  <c r="C124" i="4"/>
  <c r="B124" i="9" s="1"/>
  <c r="A124" i="4"/>
  <c r="AA123" i="4"/>
  <c r="H123" i="4"/>
  <c r="C123" i="4"/>
  <c r="B123" i="9" s="1"/>
  <c r="A123" i="4"/>
  <c r="AA122" i="4"/>
  <c r="H122" i="4"/>
  <c r="C122" i="4"/>
  <c r="B122" i="9" s="1"/>
  <c r="A122" i="4"/>
  <c r="AA121" i="4"/>
  <c r="H121" i="4"/>
  <c r="C121" i="4"/>
  <c r="B121" i="9" s="1"/>
  <c r="A121" i="4"/>
  <c r="AA120" i="4"/>
  <c r="H120" i="4"/>
  <c r="C120" i="4"/>
  <c r="B120" i="9" s="1"/>
  <c r="A120" i="4"/>
  <c r="AA119" i="4"/>
  <c r="H119" i="4"/>
  <c r="C119" i="4"/>
  <c r="B119" i="9" s="1"/>
  <c r="A119" i="4"/>
  <c r="AA118" i="4"/>
  <c r="H118" i="4"/>
  <c r="C118" i="4"/>
  <c r="B118" i="9" s="1"/>
  <c r="A118" i="4"/>
  <c r="AA117" i="4"/>
  <c r="H117" i="4"/>
  <c r="C117" i="4"/>
  <c r="B117" i="9" s="1"/>
  <c r="A117" i="4"/>
  <c r="AA116" i="4"/>
  <c r="H116" i="4"/>
  <c r="C116" i="4"/>
  <c r="B116" i="9" s="1"/>
  <c r="A116" i="4"/>
  <c r="AA115" i="4"/>
  <c r="H115" i="4"/>
  <c r="C115" i="4"/>
  <c r="B115" i="9" s="1"/>
  <c r="A115" i="4"/>
  <c r="AA114" i="4"/>
  <c r="H114" i="4"/>
  <c r="C114" i="4"/>
  <c r="B114" i="9" s="1"/>
  <c r="A114" i="4"/>
  <c r="AA113" i="4"/>
  <c r="H113" i="4"/>
  <c r="C113" i="4"/>
  <c r="B113" i="9" s="1"/>
  <c r="A113" i="4"/>
  <c r="AA112" i="4"/>
  <c r="H112" i="4"/>
  <c r="C112" i="4"/>
  <c r="B112" i="9" s="1"/>
  <c r="A112" i="4"/>
  <c r="AA111" i="4"/>
  <c r="H111" i="4"/>
  <c r="C111" i="4"/>
  <c r="B111" i="9" s="1"/>
  <c r="A111" i="4"/>
  <c r="AA110" i="4"/>
  <c r="H110" i="4"/>
  <c r="C110" i="4"/>
  <c r="B110" i="9" s="1"/>
  <c r="A110" i="4"/>
  <c r="AA109" i="4"/>
  <c r="H109" i="4"/>
  <c r="C109" i="4"/>
  <c r="B109" i="9" s="1"/>
  <c r="A109" i="4"/>
  <c r="AA108" i="4"/>
  <c r="H108" i="4"/>
  <c r="C108" i="4"/>
  <c r="B108" i="9" s="1"/>
  <c r="A108" i="4"/>
  <c r="AA107" i="4"/>
  <c r="H107" i="4"/>
  <c r="C107" i="4"/>
  <c r="B107" i="9" s="1"/>
  <c r="A107" i="4"/>
  <c r="AA106" i="4"/>
  <c r="H106" i="4"/>
  <c r="C106" i="4"/>
  <c r="B106" i="9" s="1"/>
  <c r="A106" i="4"/>
  <c r="AA105" i="4"/>
  <c r="H105" i="4"/>
  <c r="C105" i="4"/>
  <c r="B105" i="9" s="1"/>
  <c r="A105" i="4"/>
  <c r="AA104" i="4"/>
  <c r="H104" i="4"/>
  <c r="C104" i="4"/>
  <c r="B104" i="9" s="1"/>
  <c r="A104" i="4"/>
  <c r="AA103" i="4"/>
  <c r="H103" i="4"/>
  <c r="C103" i="4"/>
  <c r="B103" i="9" s="1"/>
  <c r="A103" i="4"/>
  <c r="AA102" i="4"/>
  <c r="H102" i="4"/>
  <c r="C102" i="4"/>
  <c r="B102" i="9" s="1"/>
  <c r="A102" i="4"/>
  <c r="AA101" i="4"/>
  <c r="H101" i="4"/>
  <c r="C101" i="4"/>
  <c r="B101" i="9" s="1"/>
  <c r="A101" i="4"/>
  <c r="AA100" i="4"/>
  <c r="H100" i="4"/>
  <c r="C100" i="4"/>
  <c r="B100" i="9" s="1"/>
  <c r="A100" i="4"/>
  <c r="AA99" i="4"/>
  <c r="H99" i="4"/>
  <c r="C99" i="4"/>
  <c r="B99" i="9" s="1"/>
  <c r="A99" i="4"/>
  <c r="AA98" i="4"/>
  <c r="H98" i="4"/>
  <c r="C98" i="4"/>
  <c r="B98" i="9" s="1"/>
  <c r="A98" i="4"/>
  <c r="AA97" i="4"/>
  <c r="H97" i="4"/>
  <c r="C97" i="4"/>
  <c r="B97" i="9" s="1"/>
  <c r="A97" i="4"/>
  <c r="AA96" i="4"/>
  <c r="H96" i="4"/>
  <c r="C96" i="4"/>
  <c r="B96" i="9" s="1"/>
  <c r="A96" i="4"/>
  <c r="AA95" i="4"/>
  <c r="H95" i="4"/>
  <c r="C95" i="4"/>
  <c r="B95" i="9" s="1"/>
  <c r="A95" i="4"/>
  <c r="AA94" i="4"/>
  <c r="H94" i="4"/>
  <c r="C94" i="4"/>
  <c r="B94" i="9" s="1"/>
  <c r="A94" i="4"/>
  <c r="AA93" i="4"/>
  <c r="H93" i="4"/>
  <c r="C93" i="4"/>
  <c r="B93" i="9" s="1"/>
  <c r="A93" i="4"/>
  <c r="AA92" i="4"/>
  <c r="H92" i="4"/>
  <c r="C92" i="4"/>
  <c r="B92" i="9" s="1"/>
  <c r="A92" i="4"/>
  <c r="AA91" i="4"/>
  <c r="H91" i="4"/>
  <c r="C91" i="4"/>
  <c r="B91" i="9" s="1"/>
  <c r="A91" i="4"/>
  <c r="AA90" i="4"/>
  <c r="H90" i="4"/>
  <c r="C90" i="4"/>
  <c r="B90" i="9" s="1"/>
  <c r="A90" i="4"/>
  <c r="AA89" i="4"/>
  <c r="H89" i="4"/>
  <c r="C89" i="4"/>
  <c r="B89" i="9" s="1"/>
  <c r="A89" i="4"/>
  <c r="AA88" i="4"/>
  <c r="H88" i="4"/>
  <c r="C88" i="4"/>
  <c r="B88" i="9" s="1"/>
  <c r="A88" i="4"/>
  <c r="AA87" i="4"/>
  <c r="H87" i="4"/>
  <c r="C87" i="4"/>
  <c r="B87" i="9" s="1"/>
  <c r="A87" i="4"/>
  <c r="AA86" i="4"/>
  <c r="H86" i="4"/>
  <c r="C86" i="4"/>
  <c r="B86" i="9" s="1"/>
  <c r="A86" i="4"/>
  <c r="AA85" i="4"/>
  <c r="H85" i="4"/>
  <c r="C85" i="4"/>
  <c r="B85" i="9" s="1"/>
  <c r="A85" i="4"/>
  <c r="AA84" i="4"/>
  <c r="H84" i="4"/>
  <c r="C84" i="4"/>
  <c r="B84" i="9" s="1"/>
  <c r="A84" i="4"/>
  <c r="AA83" i="4"/>
  <c r="H83" i="4"/>
  <c r="C83" i="4"/>
  <c r="B83" i="9" s="1"/>
  <c r="A83" i="4"/>
  <c r="AA82" i="4"/>
  <c r="H82" i="4"/>
  <c r="C82" i="4"/>
  <c r="B82" i="9" s="1"/>
  <c r="A82" i="4"/>
  <c r="AA81" i="4"/>
  <c r="H81" i="4"/>
  <c r="C81" i="4"/>
  <c r="B81" i="9" s="1"/>
  <c r="A81" i="4"/>
  <c r="AA80" i="4"/>
  <c r="H80" i="4"/>
  <c r="C80" i="4"/>
  <c r="B80" i="9" s="1"/>
  <c r="A80" i="4"/>
  <c r="AA79" i="4"/>
  <c r="H79" i="4"/>
  <c r="C79" i="4"/>
  <c r="B79" i="9" s="1"/>
  <c r="A79" i="4"/>
  <c r="AA78" i="4"/>
  <c r="H78" i="4"/>
  <c r="C78" i="4"/>
  <c r="B78" i="9" s="1"/>
  <c r="A78" i="4"/>
  <c r="AA77" i="4"/>
  <c r="H77" i="4"/>
  <c r="C77" i="4"/>
  <c r="B77" i="9" s="1"/>
  <c r="A77" i="4"/>
  <c r="AA76" i="4"/>
  <c r="H76" i="4"/>
  <c r="C76" i="4"/>
  <c r="B76" i="9" s="1"/>
  <c r="A76" i="4"/>
  <c r="AA75" i="4"/>
  <c r="H75" i="4"/>
  <c r="C75" i="4"/>
  <c r="B75" i="9" s="1"/>
  <c r="A75" i="4"/>
  <c r="AA74" i="4"/>
  <c r="H74" i="4"/>
  <c r="C74" i="4"/>
  <c r="B74" i="9" s="1"/>
  <c r="A74" i="4"/>
  <c r="AA73" i="4"/>
  <c r="H73" i="4"/>
  <c r="C73" i="4"/>
  <c r="B73" i="9" s="1"/>
  <c r="A73" i="4"/>
  <c r="AA72" i="4"/>
  <c r="H72" i="4"/>
  <c r="C72" i="4"/>
  <c r="B72" i="9" s="1"/>
  <c r="A72" i="4"/>
  <c r="AA71" i="4"/>
  <c r="H71" i="4"/>
  <c r="C71" i="4"/>
  <c r="B71" i="9" s="1"/>
  <c r="A71" i="4"/>
  <c r="AA70" i="4"/>
  <c r="H70" i="4"/>
  <c r="C70" i="4"/>
  <c r="B70" i="9" s="1"/>
  <c r="A70" i="4"/>
  <c r="AA69" i="4"/>
  <c r="H69" i="4"/>
  <c r="C69" i="4"/>
  <c r="B69" i="9" s="1"/>
  <c r="A69" i="4"/>
  <c r="AA68" i="4"/>
  <c r="H68" i="4"/>
  <c r="C68" i="4"/>
  <c r="B68" i="9" s="1"/>
  <c r="A68" i="4"/>
  <c r="AA67" i="4"/>
  <c r="H67" i="4"/>
  <c r="C67" i="4"/>
  <c r="B67" i="9" s="1"/>
  <c r="A67" i="4"/>
  <c r="AA66" i="4"/>
  <c r="H66" i="4"/>
  <c r="C66" i="4"/>
  <c r="B66" i="9" s="1"/>
  <c r="A66" i="4"/>
  <c r="AA65" i="4"/>
  <c r="H65" i="4"/>
  <c r="C65" i="4"/>
  <c r="B65" i="9" s="1"/>
  <c r="A65" i="4"/>
  <c r="AA64" i="4"/>
  <c r="H64" i="4"/>
  <c r="C64" i="4"/>
  <c r="B64" i="9" s="1"/>
  <c r="A64" i="4"/>
  <c r="AA63" i="4"/>
  <c r="H63" i="4"/>
  <c r="C63" i="4"/>
  <c r="B63" i="9" s="1"/>
  <c r="A63" i="4"/>
  <c r="AA62" i="4"/>
  <c r="H62" i="4"/>
  <c r="C62" i="4"/>
  <c r="B62" i="9" s="1"/>
  <c r="A62" i="4"/>
  <c r="AA61" i="4"/>
  <c r="H61" i="4"/>
  <c r="C61" i="4"/>
  <c r="B61" i="9" s="1"/>
  <c r="A61" i="4"/>
  <c r="AA60" i="4"/>
  <c r="H60" i="4"/>
  <c r="C60" i="4"/>
  <c r="B60" i="9" s="1"/>
  <c r="A60" i="4"/>
  <c r="AA59" i="4"/>
  <c r="H59" i="4"/>
  <c r="C59" i="4"/>
  <c r="B59" i="9" s="1"/>
  <c r="A59" i="4"/>
  <c r="AA58" i="4"/>
  <c r="H58" i="4"/>
  <c r="C58" i="4"/>
  <c r="B58" i="9" s="1"/>
  <c r="A58" i="4"/>
  <c r="AA57" i="4"/>
  <c r="H57" i="4"/>
  <c r="C57" i="4"/>
  <c r="B57" i="9" s="1"/>
  <c r="A57" i="4"/>
  <c r="AA56" i="4"/>
  <c r="H56" i="4"/>
  <c r="C56" i="4"/>
  <c r="B56" i="9" s="1"/>
  <c r="A56" i="4"/>
  <c r="AA55" i="4"/>
  <c r="H55" i="4"/>
  <c r="C55" i="4"/>
  <c r="B55" i="9" s="1"/>
  <c r="A55" i="4"/>
  <c r="AA54" i="4"/>
  <c r="H54" i="4"/>
  <c r="C54" i="4"/>
  <c r="B54" i="9" s="1"/>
  <c r="A54" i="4"/>
  <c r="AA53" i="4"/>
  <c r="H53" i="4"/>
  <c r="C53" i="4"/>
  <c r="B53" i="9" s="1"/>
  <c r="A53" i="4"/>
  <c r="AA52" i="4"/>
  <c r="H52" i="4"/>
  <c r="C52" i="4"/>
  <c r="B52" i="9" s="1"/>
  <c r="A52" i="4"/>
  <c r="AA51" i="4"/>
  <c r="H51" i="4"/>
  <c r="C51" i="4"/>
  <c r="B51" i="9" s="1"/>
  <c r="A51" i="4"/>
  <c r="AA50" i="4"/>
  <c r="H50" i="4"/>
  <c r="C50" i="4"/>
  <c r="B50" i="9" s="1"/>
  <c r="A50" i="4"/>
  <c r="AA49" i="4"/>
  <c r="H49" i="4"/>
  <c r="C49" i="4"/>
  <c r="B49" i="9" s="1"/>
  <c r="A49" i="4"/>
  <c r="AA48" i="4"/>
  <c r="H48" i="4"/>
  <c r="C48" i="4"/>
  <c r="B48" i="9" s="1"/>
  <c r="A48" i="4"/>
  <c r="AA47" i="4"/>
  <c r="H47" i="4"/>
  <c r="C47" i="4"/>
  <c r="B47" i="9" s="1"/>
  <c r="A47" i="4"/>
  <c r="AA46" i="4"/>
  <c r="H46" i="4"/>
  <c r="C46" i="4"/>
  <c r="B46" i="9" s="1"/>
  <c r="A46" i="4"/>
  <c r="AA45" i="4"/>
  <c r="H45" i="4"/>
  <c r="C45" i="4"/>
  <c r="B45" i="9" s="1"/>
  <c r="A45" i="4"/>
  <c r="AA44" i="4"/>
  <c r="H44" i="4"/>
  <c r="C44" i="4"/>
  <c r="B44" i="9" s="1"/>
  <c r="A44" i="4"/>
  <c r="AA43" i="4"/>
  <c r="H43" i="4"/>
  <c r="C43" i="4"/>
  <c r="B43" i="9" s="1"/>
  <c r="A43" i="4"/>
  <c r="AA42" i="4"/>
  <c r="H42" i="4"/>
  <c r="C42" i="4"/>
  <c r="B42" i="9" s="1"/>
  <c r="A42" i="4"/>
  <c r="AA41" i="4"/>
  <c r="H41" i="4"/>
  <c r="C41" i="4"/>
  <c r="B41" i="9" s="1"/>
  <c r="A41" i="4"/>
  <c r="AA40" i="4"/>
  <c r="H40" i="4"/>
  <c r="C40" i="4"/>
  <c r="B40" i="9" s="1"/>
  <c r="A40" i="4"/>
  <c r="AA39" i="4"/>
  <c r="H39" i="4"/>
  <c r="C39" i="4"/>
  <c r="B39" i="9" s="1"/>
  <c r="A39" i="4"/>
  <c r="AA38" i="4"/>
  <c r="H38" i="4"/>
  <c r="C38" i="4"/>
  <c r="B38" i="9" s="1"/>
  <c r="A38" i="4"/>
  <c r="AA37" i="4"/>
  <c r="H37" i="4"/>
  <c r="C37" i="4"/>
  <c r="B37" i="9" s="1"/>
  <c r="A37" i="4"/>
  <c r="AA36" i="4"/>
  <c r="H36" i="4"/>
  <c r="C36" i="4"/>
  <c r="B36" i="9" s="1"/>
  <c r="A36" i="4"/>
  <c r="AA35" i="4"/>
  <c r="H35" i="4"/>
  <c r="C35" i="4"/>
  <c r="B35" i="9" s="1"/>
  <c r="A35" i="4"/>
  <c r="AA34" i="4"/>
  <c r="H34" i="4"/>
  <c r="C34" i="4"/>
  <c r="B34" i="9" s="1"/>
  <c r="A34" i="4"/>
  <c r="AA33" i="4"/>
  <c r="H33" i="4"/>
  <c r="C33" i="4"/>
  <c r="B33" i="9" s="1"/>
  <c r="A33" i="4"/>
  <c r="AA32" i="4"/>
  <c r="H32" i="4"/>
  <c r="C32" i="4"/>
  <c r="B32" i="9" s="1"/>
  <c r="A32" i="4"/>
  <c r="AA31" i="4"/>
  <c r="H31" i="4"/>
  <c r="C31" i="4"/>
  <c r="B31" i="9" s="1"/>
  <c r="A31" i="4"/>
  <c r="AA30" i="4"/>
  <c r="H30" i="4"/>
  <c r="C30" i="4"/>
  <c r="B30" i="9" s="1"/>
  <c r="A30" i="4"/>
  <c r="AA29" i="4"/>
  <c r="H29" i="4"/>
  <c r="C29" i="4"/>
  <c r="B29" i="9" s="1"/>
  <c r="A29" i="4"/>
  <c r="AA28" i="4"/>
  <c r="H28" i="4"/>
  <c r="C28" i="4"/>
  <c r="B28" i="9" s="1"/>
  <c r="A28" i="4"/>
  <c r="AA27" i="4"/>
  <c r="H27" i="4"/>
  <c r="C27" i="4"/>
  <c r="B27" i="9" s="1"/>
  <c r="A27" i="4"/>
  <c r="AA26" i="4"/>
  <c r="H26" i="4"/>
  <c r="C26" i="4"/>
  <c r="B26" i="9" s="1"/>
  <c r="A26" i="4"/>
  <c r="AA25" i="4"/>
  <c r="H25" i="4"/>
  <c r="C25" i="4"/>
  <c r="B25" i="9" s="1"/>
  <c r="A25" i="4"/>
  <c r="AA24" i="4"/>
  <c r="H24" i="4"/>
  <c r="C24" i="4"/>
  <c r="B24" i="9" s="1"/>
  <c r="A24" i="4"/>
  <c r="AA23" i="4"/>
  <c r="H23" i="4"/>
  <c r="C23" i="4"/>
  <c r="B23" i="9" s="1"/>
  <c r="A23" i="4"/>
  <c r="AA22" i="4"/>
  <c r="H22" i="4"/>
  <c r="C22" i="4"/>
  <c r="B22" i="9" s="1"/>
  <c r="A22" i="4"/>
  <c r="H21" i="4"/>
  <c r="C21" i="4"/>
  <c r="B21" i="9" s="1"/>
  <c r="A21" i="4"/>
  <c r="H20" i="4"/>
  <c r="C20" i="4" s="1"/>
  <c r="B20" i="9" s="1"/>
  <c r="A20" i="4"/>
  <c r="H19" i="4"/>
  <c r="C19" i="4"/>
  <c r="B19" i="9" s="1"/>
  <c r="A19" i="4"/>
  <c r="H18" i="4"/>
  <c r="A18" i="4"/>
  <c r="H17" i="4"/>
  <c r="C17" i="4"/>
  <c r="B17" i="9" s="1"/>
  <c r="A17" i="4"/>
  <c r="H16" i="4"/>
  <c r="C16" i="4"/>
  <c r="B16" i="9" s="1"/>
  <c r="A16" i="4"/>
  <c r="H15" i="4"/>
  <c r="C15" i="4"/>
  <c r="B15" i="9" s="1"/>
  <c r="A15" i="4"/>
  <c r="H14" i="4"/>
  <c r="C14" i="4"/>
  <c r="B14" i="9" s="1"/>
  <c r="A14" i="4"/>
  <c r="H13" i="4"/>
  <c r="C13" i="4"/>
  <c r="B13" i="9" s="1"/>
  <c r="A13" i="4"/>
  <c r="H12" i="4"/>
  <c r="C12" i="4"/>
  <c r="B12" i="9" s="1"/>
  <c r="A12" i="4"/>
  <c r="H11" i="4"/>
  <c r="C11" i="4"/>
  <c r="B11" i="9" s="1"/>
  <c r="A11" i="4"/>
  <c r="H10" i="4"/>
  <c r="C10" i="4"/>
  <c r="B10" i="9" s="1"/>
  <c r="A10" i="4"/>
  <c r="H9" i="4"/>
  <c r="C9" i="4"/>
  <c r="B9" i="9" s="1"/>
  <c r="A9" i="4"/>
  <c r="H8" i="4"/>
  <c r="C8" i="4"/>
  <c r="B8" i="9" s="1"/>
  <c r="A8" i="4"/>
  <c r="H7" i="4"/>
  <c r="C7" i="4"/>
  <c r="B7" i="9" s="1"/>
  <c r="A7" i="4"/>
  <c r="H6" i="4"/>
  <c r="C6" i="4"/>
  <c r="B6" i="9" s="1"/>
  <c r="A6" i="4"/>
  <c r="H5" i="4"/>
  <c r="C5" i="4"/>
  <c r="B5" i="9" s="1"/>
  <c r="A5" i="4"/>
  <c r="H4" i="4"/>
  <c r="C4" i="4"/>
  <c r="B4" i="9" s="1"/>
  <c r="A4" i="4"/>
  <c r="H3" i="4"/>
  <c r="C3" i="4"/>
  <c r="B3" i="9" s="1"/>
  <c r="A3" i="4"/>
  <c r="H2" i="4"/>
  <c r="C2" i="4"/>
  <c r="A2" i="4"/>
  <c r="A505" i="14" l="1"/>
  <c r="A501" i="9"/>
  <c r="A504" i="14"/>
  <c r="A500" i="9"/>
  <c r="A503" i="14"/>
  <c r="A499" i="9"/>
  <c r="A502" i="14"/>
  <c r="A498" i="9"/>
  <c r="A501" i="14"/>
  <c r="A497" i="9"/>
  <c r="A500" i="14"/>
  <c r="A496" i="9"/>
  <c r="A495" i="9"/>
  <c r="A499" i="14"/>
  <c r="A494" i="9"/>
  <c r="A498" i="14"/>
  <c r="A493" i="9"/>
  <c r="A497" i="14"/>
  <c r="A492" i="9"/>
  <c r="A496" i="14"/>
  <c r="A495" i="14"/>
  <c r="A491" i="9"/>
  <c r="A490" i="9"/>
  <c r="A494" i="14"/>
  <c r="A489" i="9"/>
  <c r="A493" i="14"/>
  <c r="A492" i="14"/>
  <c r="A488" i="9"/>
  <c r="A491" i="14"/>
  <c r="A487" i="9"/>
  <c r="A490" i="14"/>
  <c r="A486" i="9"/>
  <c r="A489" i="14"/>
  <c r="A485" i="9"/>
  <c r="A488" i="14"/>
  <c r="A484" i="9"/>
  <c r="A487" i="14"/>
  <c r="A483" i="9"/>
  <c r="A486" i="14"/>
  <c r="A482" i="9"/>
  <c r="A485" i="14"/>
  <c r="A481" i="9"/>
  <c r="A480" i="9"/>
  <c r="A484" i="14"/>
  <c r="A479" i="9"/>
  <c r="A483" i="14"/>
  <c r="A478" i="9"/>
  <c r="A482" i="14"/>
  <c r="A481" i="14"/>
  <c r="A477" i="9"/>
  <c r="A480" i="14"/>
  <c r="A476" i="9"/>
  <c r="A475" i="9"/>
  <c r="A479" i="14"/>
  <c r="A478" i="14"/>
  <c r="A474" i="9"/>
  <c r="A477" i="14"/>
  <c r="A473" i="9"/>
  <c r="A472" i="9"/>
  <c r="A476" i="14"/>
  <c r="A471" i="9"/>
  <c r="A475" i="14"/>
  <c r="A474" i="14"/>
  <c r="A470" i="9"/>
  <c r="A473" i="14"/>
  <c r="A469" i="9"/>
  <c r="A472" i="14"/>
  <c r="A468" i="9"/>
  <c r="A471" i="14"/>
  <c r="A467" i="9"/>
  <c r="A470" i="14"/>
  <c r="A466" i="9"/>
  <c r="A469" i="14"/>
  <c r="A465" i="9"/>
  <c r="A468" i="14"/>
  <c r="A464" i="9"/>
  <c r="A467" i="14"/>
  <c r="A463" i="9"/>
  <c r="A462" i="9"/>
  <c r="A466" i="14"/>
  <c r="A465" i="14"/>
  <c r="A461" i="9"/>
  <c r="A464" i="14"/>
  <c r="A460" i="9"/>
  <c r="A463" i="14"/>
  <c r="A459" i="9"/>
  <c r="A462" i="14"/>
  <c r="A458" i="9"/>
  <c r="A461" i="14"/>
  <c r="A457" i="9"/>
  <c r="A460" i="14"/>
  <c r="A456" i="9"/>
  <c r="A459" i="14"/>
  <c r="A455" i="9"/>
  <c r="A458" i="14"/>
  <c r="A454" i="9"/>
  <c r="A453" i="9"/>
  <c r="A457" i="14"/>
  <c r="A452" i="9"/>
  <c r="A456" i="14"/>
  <c r="A455" i="14"/>
  <c r="A451" i="9"/>
  <c r="A450" i="9"/>
  <c r="A454" i="14"/>
  <c r="A449" i="9"/>
  <c r="A453" i="14"/>
  <c r="A452" i="14"/>
  <c r="A448" i="9"/>
  <c r="A451" i="14"/>
  <c r="A447" i="9"/>
  <c r="A450" i="14"/>
  <c r="A446" i="9"/>
  <c r="A449" i="14"/>
  <c r="A445" i="9"/>
  <c r="A444" i="9"/>
  <c r="A448" i="14"/>
  <c r="A447" i="14"/>
  <c r="A443" i="9"/>
  <c r="A442" i="9"/>
  <c r="A446" i="14"/>
  <c r="A441" i="9"/>
  <c r="A445" i="14"/>
  <c r="A440" i="9"/>
  <c r="A444" i="14"/>
  <c r="A439" i="9"/>
  <c r="A443" i="14"/>
  <c r="A438" i="9"/>
  <c r="A442" i="14"/>
  <c r="A437" i="9"/>
  <c r="A441" i="14"/>
  <c r="A440" i="14"/>
  <c r="A436" i="9"/>
  <c r="A439" i="14"/>
  <c r="A435" i="9"/>
  <c r="A438" i="14"/>
  <c r="A434" i="9"/>
  <c r="A437" i="14"/>
  <c r="A433" i="9"/>
  <c r="A436" i="14"/>
  <c r="A432" i="9"/>
  <c r="A435" i="14"/>
  <c r="A431" i="9"/>
  <c r="A434" i="14"/>
  <c r="A430" i="9"/>
  <c r="A429" i="9"/>
  <c r="A433" i="14"/>
  <c r="A428" i="9"/>
  <c r="A432" i="14"/>
  <c r="A431" i="14"/>
  <c r="A427" i="9"/>
  <c r="A426" i="9"/>
  <c r="A430" i="14"/>
  <c r="A425" i="9"/>
  <c r="A429" i="14"/>
  <c r="A428" i="14"/>
  <c r="A424" i="9"/>
  <c r="A427" i="14"/>
  <c r="A423" i="9"/>
  <c r="A426" i="14"/>
  <c r="A422" i="9"/>
  <c r="A425" i="14"/>
  <c r="A421" i="9"/>
  <c r="A420" i="9"/>
  <c r="A424" i="14"/>
  <c r="A423" i="14"/>
  <c r="A419" i="9"/>
  <c r="A422" i="14"/>
  <c r="A418" i="9"/>
  <c r="A421" i="14"/>
  <c r="A417" i="9"/>
  <c r="A420" i="14"/>
  <c r="A416" i="9"/>
  <c r="A419" i="14"/>
  <c r="A415" i="9"/>
  <c r="A418" i="14"/>
  <c r="A414" i="9"/>
  <c r="A417" i="14"/>
  <c r="A413" i="9"/>
  <c r="A416" i="14"/>
  <c r="A412" i="9"/>
  <c r="A415" i="14"/>
  <c r="A411" i="9"/>
  <c r="A414" i="14"/>
  <c r="A410" i="9"/>
  <c r="A413" i="14"/>
  <c r="A409" i="9"/>
  <c r="A412" i="14"/>
  <c r="A408" i="9"/>
  <c r="A411" i="14"/>
  <c r="A407" i="9"/>
  <c r="A410" i="14"/>
  <c r="A406" i="9"/>
  <c r="A409" i="14"/>
  <c r="A405" i="9"/>
  <c r="A408" i="14"/>
  <c r="A404" i="9"/>
  <c r="A407" i="14"/>
  <c r="A403" i="9"/>
  <c r="A406" i="14"/>
  <c r="A402" i="9"/>
  <c r="A405" i="14"/>
  <c r="A401" i="9"/>
  <c r="A404" i="14"/>
  <c r="A400" i="9"/>
  <c r="A403" i="14"/>
  <c r="A399" i="9"/>
  <c r="A402" i="14"/>
  <c r="A398" i="9"/>
  <c r="A397" i="9"/>
  <c r="A401" i="14"/>
  <c r="A400" i="14"/>
  <c r="A396" i="9"/>
  <c r="A399" i="14"/>
  <c r="A395" i="9"/>
  <c r="A398" i="14"/>
  <c r="A394" i="9"/>
  <c r="A397" i="14"/>
  <c r="A393" i="9"/>
  <c r="A396" i="14"/>
  <c r="A392" i="9"/>
  <c r="A395" i="14"/>
  <c r="A391" i="9"/>
  <c r="A394" i="14"/>
  <c r="A390" i="9"/>
  <c r="A393" i="14"/>
  <c r="A389" i="9"/>
  <c r="A392" i="14"/>
  <c r="A388" i="9"/>
  <c r="A391" i="14"/>
  <c r="A387" i="9"/>
  <c r="A390" i="14"/>
  <c r="A386" i="9"/>
  <c r="A385" i="9"/>
  <c r="A389" i="14"/>
  <c r="A388" i="14"/>
  <c r="A384" i="9"/>
  <c r="A387" i="14"/>
  <c r="A383" i="9"/>
  <c r="A386" i="14"/>
  <c r="A382" i="9"/>
  <c r="A385" i="14"/>
  <c r="A381" i="9"/>
  <c r="A384" i="14"/>
  <c r="A380" i="9"/>
  <c r="A379" i="9"/>
  <c r="A383" i="14"/>
  <c r="A378" i="9"/>
  <c r="A382" i="14"/>
  <c r="A377" i="9"/>
  <c r="A381" i="14"/>
  <c r="A376" i="9"/>
  <c r="A380" i="14"/>
  <c r="A375" i="9"/>
  <c r="A379" i="14"/>
  <c r="A374" i="9"/>
  <c r="A378" i="14"/>
  <c r="A373" i="9"/>
  <c r="A377" i="14"/>
  <c r="A376" i="14"/>
  <c r="A372" i="9"/>
  <c r="A375" i="14"/>
  <c r="A371" i="9"/>
  <c r="A374" i="14"/>
  <c r="A370" i="9"/>
  <c r="A373" i="14"/>
  <c r="A369" i="9"/>
  <c r="A372" i="14"/>
  <c r="A368" i="9"/>
  <c r="A367" i="9"/>
  <c r="A371" i="14"/>
  <c r="A366" i="9"/>
  <c r="A370" i="14"/>
  <c r="A365" i="9"/>
  <c r="A369" i="14"/>
  <c r="A368" i="14"/>
  <c r="A364" i="9"/>
  <c r="A367" i="14"/>
  <c r="A363" i="9"/>
  <c r="A366" i="14"/>
  <c r="A362" i="9"/>
  <c r="A365" i="14"/>
  <c r="A361" i="9"/>
  <c r="A360" i="9"/>
  <c r="A364" i="14"/>
  <c r="A359" i="9"/>
  <c r="A363" i="14"/>
  <c r="A362" i="14"/>
  <c r="A358" i="9"/>
  <c r="A357" i="9"/>
  <c r="A361" i="14"/>
  <c r="A360" i="14"/>
  <c r="A356" i="9"/>
  <c r="A359" i="14"/>
  <c r="A355" i="9"/>
  <c r="A358" i="14"/>
  <c r="A354" i="9"/>
  <c r="A353" i="9"/>
  <c r="A357" i="14"/>
  <c r="A352" i="9"/>
  <c r="A356" i="14"/>
  <c r="A355" i="14"/>
  <c r="A351" i="9"/>
  <c r="A350" i="9"/>
  <c r="A354" i="14"/>
  <c r="A349" i="9"/>
  <c r="A353" i="14"/>
  <c r="A348" i="9"/>
  <c r="A352" i="14"/>
  <c r="A347" i="9"/>
  <c r="A351" i="14"/>
  <c r="A350" i="14"/>
  <c r="A346" i="9"/>
  <c r="A345" i="9"/>
  <c r="A349" i="14"/>
  <c r="A348" i="14"/>
  <c r="A344" i="9"/>
  <c r="A347" i="14"/>
  <c r="A343" i="9"/>
  <c r="A346" i="14"/>
  <c r="A342" i="9"/>
  <c r="A341" i="9"/>
  <c r="A345" i="14"/>
  <c r="A344" i="14"/>
  <c r="A340" i="9"/>
  <c r="A339" i="9"/>
  <c r="A343" i="14"/>
  <c r="A342" i="14"/>
  <c r="A338" i="9"/>
  <c r="A341" i="14"/>
  <c r="A337" i="9"/>
  <c r="A340" i="14"/>
  <c r="A336" i="9"/>
  <c r="A339" i="14"/>
  <c r="A335" i="9"/>
  <c r="A334" i="9"/>
  <c r="A338" i="14"/>
  <c r="A333" i="9"/>
  <c r="A337" i="14"/>
  <c r="A332" i="9"/>
  <c r="A336" i="14"/>
  <c r="A331" i="9"/>
  <c r="A335" i="14"/>
  <c r="A334" i="14"/>
  <c r="A330" i="9"/>
  <c r="A333" i="14"/>
  <c r="A329" i="9"/>
  <c r="A328" i="9"/>
  <c r="A332" i="14"/>
  <c r="A327" i="9"/>
  <c r="A331" i="14"/>
  <c r="A330" i="14"/>
  <c r="A326" i="9"/>
  <c r="A325" i="9"/>
  <c r="A329" i="14"/>
  <c r="A324" i="9"/>
  <c r="A328" i="14"/>
  <c r="A323" i="9"/>
  <c r="A327" i="14"/>
  <c r="A326" i="14"/>
  <c r="A322" i="9"/>
  <c r="A325" i="14"/>
  <c r="A321" i="9"/>
  <c r="A324" i="14"/>
  <c r="A320" i="9"/>
  <c r="A319" i="9"/>
  <c r="A323" i="14"/>
  <c r="A318" i="9"/>
  <c r="A322" i="14"/>
  <c r="A317" i="9"/>
  <c r="A321" i="14"/>
  <c r="A316" i="9"/>
  <c r="A320" i="14"/>
  <c r="A315" i="9"/>
  <c r="A319" i="14"/>
  <c r="A314" i="9"/>
  <c r="A318" i="14"/>
  <c r="A313" i="9"/>
  <c r="A317" i="14"/>
  <c r="A312" i="9"/>
  <c r="A316" i="14"/>
  <c r="A315" i="14"/>
  <c r="A311" i="9"/>
  <c r="A314" i="14"/>
  <c r="A310" i="9"/>
  <c r="A313" i="14"/>
  <c r="A309" i="9"/>
  <c r="A308" i="9"/>
  <c r="A312" i="14"/>
  <c r="A311" i="14"/>
  <c r="A307" i="9"/>
  <c r="A310" i="14"/>
  <c r="A306" i="9"/>
  <c r="A309" i="14"/>
  <c r="A305" i="9"/>
  <c r="A308" i="14"/>
  <c r="A304" i="9"/>
  <c r="A307" i="14"/>
  <c r="A303" i="9"/>
  <c r="A306" i="14"/>
  <c r="A302" i="9"/>
  <c r="A305" i="14"/>
  <c r="A301" i="9"/>
  <c r="A304" i="14"/>
  <c r="A300" i="9"/>
  <c r="A303" i="14"/>
  <c r="A299" i="9"/>
  <c r="A302" i="14"/>
  <c r="A298" i="9"/>
  <c r="A301" i="14"/>
  <c r="A297" i="9"/>
  <c r="A300" i="14"/>
  <c r="A296" i="9"/>
  <c r="A299" i="14"/>
  <c r="A295" i="9"/>
  <c r="A298" i="14"/>
  <c r="A294" i="9"/>
  <c r="A297" i="14"/>
  <c r="A293" i="9"/>
  <c r="A296" i="14"/>
  <c r="A292" i="9"/>
  <c r="A295" i="14"/>
  <c r="A291" i="9"/>
  <c r="A294" i="14"/>
  <c r="A290" i="9"/>
  <c r="A289" i="9"/>
  <c r="A293" i="14"/>
  <c r="A288" i="9"/>
  <c r="A292" i="14"/>
  <c r="A287" i="9"/>
  <c r="A291" i="14"/>
  <c r="A290" i="14"/>
  <c r="A286" i="9"/>
  <c r="A289" i="14"/>
  <c r="A285" i="9"/>
  <c r="A288" i="14"/>
  <c r="A284" i="9"/>
  <c r="A287" i="14"/>
  <c r="A283" i="9"/>
  <c r="A286" i="14"/>
  <c r="A282" i="9"/>
  <c r="A285" i="14"/>
  <c r="A281" i="9"/>
  <c r="A284" i="14"/>
  <c r="A280" i="9"/>
  <c r="A283" i="14"/>
  <c r="A279" i="9"/>
  <c r="A282" i="14"/>
  <c r="A278" i="9"/>
  <c r="A281" i="14"/>
  <c r="A277" i="9"/>
  <c r="A280" i="14"/>
  <c r="A276" i="9"/>
  <c r="A279" i="14"/>
  <c r="A275" i="9"/>
  <c r="A274" i="9"/>
  <c r="A278" i="14"/>
  <c r="A277" i="14"/>
  <c r="A273" i="9"/>
  <c r="A276" i="14"/>
  <c r="A272" i="9"/>
  <c r="A275" i="14"/>
  <c r="A271" i="9"/>
  <c r="A270" i="9"/>
  <c r="A274" i="14"/>
  <c r="A269" i="9"/>
  <c r="A273" i="14"/>
  <c r="A268" i="9"/>
  <c r="A272" i="14"/>
  <c r="A267" i="9"/>
  <c r="A271" i="14"/>
  <c r="A266" i="9"/>
  <c r="A270" i="14"/>
  <c r="A265" i="9"/>
  <c r="A269" i="14"/>
  <c r="A264" i="9"/>
  <c r="A268" i="14"/>
  <c r="A263" i="9"/>
  <c r="A267" i="14"/>
  <c r="A262" i="9"/>
  <c r="A266" i="14"/>
  <c r="A261" i="9"/>
  <c r="A265" i="14"/>
  <c r="A260" i="9"/>
  <c r="A264" i="14"/>
  <c r="A263" i="14"/>
  <c r="A259" i="9"/>
  <c r="A262" i="14"/>
  <c r="A258" i="9"/>
  <c r="A261" i="14"/>
  <c r="A257" i="9"/>
  <c r="A260" i="14"/>
  <c r="A256" i="9"/>
  <c r="A259" i="14"/>
  <c r="A255" i="9"/>
  <c r="A258" i="14"/>
  <c r="A254" i="9"/>
  <c r="A257" i="14"/>
  <c r="A253" i="9"/>
  <c r="A256" i="14"/>
  <c r="A252" i="9"/>
  <c r="A255" i="14"/>
  <c r="A251" i="9"/>
  <c r="A254" i="14"/>
  <c r="A250" i="9"/>
  <c r="A253" i="14"/>
  <c r="A249" i="9"/>
  <c r="A252" i="14"/>
  <c r="A248" i="9"/>
  <c r="A251" i="14"/>
  <c r="A247" i="9"/>
  <c r="A250" i="14"/>
  <c r="A246" i="9"/>
  <c r="A249" i="14"/>
  <c r="A245" i="9"/>
  <c r="A248" i="14"/>
  <c r="A244" i="9"/>
  <c r="A247" i="14"/>
  <c r="A243" i="9"/>
  <c r="A242" i="9"/>
  <c r="A246" i="14"/>
  <c r="A245" i="14"/>
  <c r="A241" i="9"/>
  <c r="A240" i="9"/>
  <c r="A244" i="14"/>
  <c r="A243" i="14"/>
  <c r="A239" i="9"/>
  <c r="A238" i="9"/>
  <c r="A242" i="14"/>
  <c r="A237" i="9"/>
  <c r="A241" i="14"/>
  <c r="A240" i="14"/>
  <c r="A236" i="9"/>
  <c r="A239" i="14"/>
  <c r="A235" i="9"/>
  <c r="A238" i="14"/>
  <c r="A234" i="9"/>
  <c r="A237" i="14"/>
  <c r="A233" i="9"/>
  <c r="A236" i="14"/>
  <c r="A232" i="9"/>
  <c r="A235" i="14"/>
  <c r="A231" i="9"/>
  <c r="A234" i="14"/>
  <c r="A230" i="9"/>
  <c r="A233" i="14"/>
  <c r="A229" i="9"/>
  <c r="A232" i="14"/>
  <c r="A228" i="9"/>
  <c r="A231" i="14"/>
  <c r="A227" i="9"/>
  <c r="A230" i="14"/>
  <c r="A226" i="9"/>
  <c r="A225" i="9"/>
  <c r="A229" i="14"/>
  <c r="A224" i="9"/>
  <c r="A228" i="14"/>
  <c r="A223" i="9"/>
  <c r="A227" i="14"/>
  <c r="A222" i="9"/>
  <c r="A226" i="14"/>
  <c r="A221" i="9"/>
  <c r="A225" i="14"/>
  <c r="A220" i="9"/>
  <c r="A224" i="14"/>
  <c r="A219" i="9"/>
  <c r="A223" i="14"/>
  <c r="A222" i="14"/>
  <c r="A218" i="9"/>
  <c r="A217" i="9"/>
  <c r="A221" i="14"/>
  <c r="A216" i="9"/>
  <c r="A220" i="14"/>
  <c r="A215" i="9"/>
  <c r="A219" i="14"/>
  <c r="A214" i="9"/>
  <c r="A218" i="14"/>
  <c r="A217" i="14"/>
  <c r="A213" i="9"/>
  <c r="A212" i="9"/>
  <c r="A216" i="14"/>
  <c r="A211" i="9"/>
  <c r="A215" i="14"/>
  <c r="A210" i="9"/>
  <c r="A214" i="14"/>
  <c r="A213" i="14"/>
  <c r="A209" i="9"/>
  <c r="A212" i="14"/>
  <c r="A208" i="9"/>
  <c r="A207" i="9"/>
  <c r="A211" i="14"/>
  <c r="A206" i="9"/>
  <c r="A210" i="14"/>
  <c r="A205" i="9"/>
  <c r="A209" i="14"/>
  <c r="A208" i="14"/>
  <c r="A204" i="9"/>
  <c r="A203" i="9"/>
  <c r="A207" i="14"/>
  <c r="A202" i="9"/>
  <c r="A206" i="14"/>
  <c r="A205" i="14"/>
  <c r="A201" i="9"/>
  <c r="A200" i="9"/>
  <c r="A204" i="14"/>
  <c r="A199" i="9"/>
  <c r="A203" i="14"/>
  <c r="A198" i="9"/>
  <c r="A202" i="14"/>
  <c r="A201" i="14"/>
  <c r="A197" i="9"/>
  <c r="A200" i="14"/>
  <c r="A196" i="9"/>
  <c r="A199" i="14"/>
  <c r="A195" i="9"/>
  <c r="A194" i="9"/>
  <c r="A198" i="14"/>
  <c r="A193" i="9"/>
  <c r="A197" i="14"/>
  <c r="A192" i="9"/>
  <c r="A196" i="14"/>
  <c r="A195" i="14"/>
  <c r="A191" i="9"/>
  <c r="A190" i="9"/>
  <c r="A194" i="14"/>
  <c r="A189" i="9"/>
  <c r="A193" i="14"/>
  <c r="A188" i="9"/>
  <c r="A192" i="14"/>
  <c r="A191" i="14"/>
  <c r="A187" i="9"/>
  <c r="A190" i="14"/>
  <c r="A186" i="9"/>
  <c r="A189" i="14"/>
  <c r="A185" i="9"/>
  <c r="A188" i="14"/>
  <c r="A184" i="9"/>
  <c r="A187" i="14"/>
  <c r="A183" i="9"/>
  <c r="A182" i="9"/>
  <c r="A186" i="14"/>
  <c r="A185" i="14"/>
  <c r="A181" i="9"/>
  <c r="A184" i="14"/>
  <c r="A180" i="9"/>
  <c r="A183" i="14"/>
  <c r="A179" i="9"/>
  <c r="A182" i="14"/>
  <c r="A178" i="9"/>
  <c r="A181" i="14"/>
  <c r="A177" i="9"/>
  <c r="A176" i="9"/>
  <c r="A180" i="14"/>
  <c r="A179" i="14"/>
  <c r="A175" i="9"/>
  <c r="A174" i="9"/>
  <c r="A178" i="14"/>
  <c r="A173" i="9"/>
  <c r="A177" i="14"/>
  <c r="A176" i="14"/>
  <c r="A172" i="9"/>
  <c r="A175" i="14"/>
  <c r="A171" i="9"/>
  <c r="A174" i="14"/>
  <c r="A170" i="9"/>
  <c r="A173" i="14"/>
  <c r="A169" i="9"/>
  <c r="A172" i="14"/>
  <c r="A168" i="9"/>
  <c r="A171" i="14"/>
  <c r="A167" i="9"/>
  <c r="A170" i="14"/>
  <c r="A166" i="9"/>
  <c r="A169" i="14"/>
  <c r="A165" i="9"/>
  <c r="A164" i="9"/>
  <c r="A168" i="14"/>
  <c r="A167" i="14"/>
  <c r="A163" i="9"/>
  <c r="A166" i="14"/>
  <c r="A162" i="9"/>
  <c r="A165" i="14"/>
  <c r="A161" i="9"/>
  <c r="A160" i="9"/>
  <c r="A164" i="14"/>
  <c r="A159" i="9"/>
  <c r="A163" i="14"/>
  <c r="A158" i="9"/>
  <c r="A162" i="14"/>
  <c r="A157" i="9"/>
  <c r="A161" i="14"/>
  <c r="A160" i="14"/>
  <c r="A156" i="9"/>
  <c r="A155" i="9"/>
  <c r="A159" i="14"/>
  <c r="A158" i="14"/>
  <c r="A154" i="9"/>
  <c r="A157" i="14"/>
  <c r="A153" i="9"/>
  <c r="A156" i="14"/>
  <c r="A152" i="9"/>
  <c r="A151" i="9"/>
  <c r="A155" i="14"/>
  <c r="A154" i="14"/>
  <c r="A150" i="9"/>
  <c r="A153" i="14"/>
  <c r="A149" i="9"/>
  <c r="A152" i="14"/>
  <c r="A148" i="9"/>
  <c r="A151" i="14"/>
  <c r="A147" i="9"/>
  <c r="A150" i="14"/>
  <c r="A146" i="9"/>
  <c r="A149" i="14"/>
  <c r="A145" i="9"/>
  <c r="A148" i="14"/>
  <c r="A144" i="9"/>
  <c r="A143" i="9"/>
  <c r="A147" i="14"/>
  <c r="A142" i="9"/>
  <c r="A146" i="14"/>
  <c r="A145" i="14"/>
  <c r="A141" i="9"/>
  <c r="A140" i="9"/>
  <c r="A144" i="14"/>
  <c r="A139" i="9"/>
  <c r="A143" i="14"/>
  <c r="A142" i="14"/>
  <c r="A138" i="9"/>
  <c r="A141" i="14"/>
  <c r="A137" i="9"/>
  <c r="A140" i="14"/>
  <c r="A136" i="9"/>
  <c r="A139" i="14"/>
  <c r="A135" i="9"/>
  <c r="A138" i="14"/>
  <c r="A134" i="9"/>
  <c r="A137" i="14"/>
  <c r="A133" i="9"/>
  <c r="A136" i="14"/>
  <c r="A132" i="9"/>
  <c r="A131" i="9"/>
  <c r="A135" i="14"/>
  <c r="A134" i="14"/>
  <c r="A130" i="9"/>
  <c r="A133" i="14"/>
  <c r="A129" i="9"/>
  <c r="A128" i="9"/>
  <c r="A132" i="14"/>
  <c r="A127" i="9"/>
  <c r="A131" i="14"/>
  <c r="A130" i="14"/>
  <c r="A126" i="9"/>
  <c r="A129" i="14"/>
  <c r="A125" i="9"/>
  <c r="A128" i="14"/>
  <c r="A124" i="9"/>
  <c r="A127" i="14"/>
  <c r="A123" i="9"/>
  <c r="A126" i="14"/>
  <c r="A122" i="9"/>
  <c r="A125" i="14"/>
  <c r="A121" i="9"/>
  <c r="A120" i="9"/>
  <c r="A124" i="14"/>
  <c r="A119" i="9"/>
  <c r="A123" i="14"/>
  <c r="A122" i="14"/>
  <c r="A118" i="9"/>
  <c r="A121" i="14"/>
  <c r="A117" i="9"/>
  <c r="A120" i="14"/>
  <c r="A116" i="9"/>
  <c r="A119" i="14"/>
  <c r="A115" i="9"/>
  <c r="A118" i="14"/>
  <c r="A114" i="9"/>
  <c r="A113" i="9"/>
  <c r="A117" i="14"/>
  <c r="A116" i="14"/>
  <c r="A112" i="9"/>
  <c r="A111" i="9"/>
  <c r="A115" i="14"/>
  <c r="A110" i="9"/>
  <c r="A114" i="14"/>
  <c r="A109" i="9"/>
  <c r="A113" i="14"/>
  <c r="A108" i="9"/>
  <c r="A112" i="14"/>
  <c r="A107" i="9"/>
  <c r="A111" i="14"/>
  <c r="A106" i="9"/>
  <c r="A110" i="14"/>
  <c r="A105" i="9"/>
  <c r="A109" i="14"/>
  <c r="A108" i="14"/>
  <c r="A104" i="9"/>
  <c r="A103" i="9"/>
  <c r="A107" i="14"/>
  <c r="A102" i="9"/>
  <c r="A106" i="14"/>
  <c r="A101" i="9"/>
  <c r="A105" i="14"/>
  <c r="A100" i="9"/>
  <c r="A104" i="14"/>
  <c r="A99" i="9"/>
  <c r="A103" i="14"/>
  <c r="A98" i="9"/>
  <c r="A102" i="14"/>
  <c r="A101" i="14"/>
  <c r="A97" i="9"/>
  <c r="A100" i="14"/>
  <c r="A96" i="9"/>
  <c r="A99" i="14"/>
  <c r="A95" i="9"/>
  <c r="A94" i="9"/>
  <c r="A98" i="14"/>
  <c r="A93" i="9"/>
  <c r="A97" i="14"/>
  <c r="A92" i="9"/>
  <c r="A96" i="14"/>
  <c r="A95" i="14"/>
  <c r="A91" i="9"/>
  <c r="A90" i="9"/>
  <c r="A94" i="14"/>
  <c r="A93" i="14"/>
  <c r="A89" i="9"/>
  <c r="A92" i="14"/>
  <c r="A88" i="9"/>
  <c r="A91" i="14"/>
  <c r="A87" i="9"/>
  <c r="A90" i="14"/>
  <c r="A86" i="9"/>
  <c r="A89" i="14"/>
  <c r="A85" i="9"/>
  <c r="A88" i="14"/>
  <c r="A84" i="9"/>
  <c r="A87" i="14"/>
  <c r="A83" i="9"/>
  <c r="A86" i="14"/>
  <c r="A82" i="9"/>
  <c r="A85" i="14"/>
  <c r="A81" i="9"/>
  <c r="A84" i="14"/>
  <c r="A80" i="9"/>
  <c r="A83" i="14"/>
  <c r="A79" i="9"/>
  <c r="A78" i="9"/>
  <c r="A82" i="14"/>
  <c r="A77" i="9"/>
  <c r="A81" i="14"/>
  <c r="A76" i="9"/>
  <c r="A80" i="14"/>
  <c r="A79" i="14"/>
  <c r="A75" i="9"/>
  <c r="A74" i="9"/>
  <c r="A78" i="14"/>
  <c r="A73" i="9"/>
  <c r="A77" i="14"/>
  <c r="A72" i="9"/>
  <c r="A76" i="14"/>
  <c r="A71" i="9"/>
  <c r="A75" i="14"/>
  <c r="A70" i="9"/>
  <c r="A74" i="14"/>
  <c r="A73" i="14"/>
  <c r="A69" i="9"/>
  <c r="A68" i="9"/>
  <c r="A72" i="14"/>
  <c r="A67" i="9"/>
  <c r="A71" i="14"/>
  <c r="A66" i="9"/>
  <c r="A70" i="14"/>
  <c r="A69" i="14"/>
  <c r="A65" i="9"/>
  <c r="A68" i="14"/>
  <c r="A64" i="9"/>
  <c r="A63" i="9"/>
  <c r="A67" i="14"/>
  <c r="A66" i="14"/>
  <c r="A62" i="9"/>
  <c r="A61" i="9"/>
  <c r="A65" i="14"/>
  <c r="A60" i="9"/>
  <c r="A64" i="14"/>
  <c r="A59" i="9"/>
  <c r="A63" i="14"/>
  <c r="A58" i="9"/>
  <c r="A62" i="14"/>
  <c r="A57" i="9"/>
  <c r="A61" i="14"/>
  <c r="A60" i="14"/>
  <c r="A56" i="9"/>
  <c r="A55" i="9"/>
  <c r="A59" i="14"/>
  <c r="A54" i="9"/>
  <c r="A58" i="14"/>
  <c r="A53" i="9"/>
  <c r="A57" i="14"/>
  <c r="A52" i="9"/>
  <c r="A56" i="14"/>
  <c r="A51" i="9"/>
  <c r="A55" i="14"/>
  <c r="A50" i="9"/>
  <c r="A54" i="14"/>
  <c r="A49" i="9"/>
  <c r="A53" i="14"/>
  <c r="A52" i="14"/>
  <c r="A48" i="9"/>
  <c r="A51" i="14"/>
  <c r="A47" i="9"/>
  <c r="A50" i="14"/>
  <c r="A46" i="9"/>
  <c r="A45" i="9"/>
  <c r="A49" i="14"/>
  <c r="A48" i="14"/>
  <c r="A44" i="9"/>
  <c r="A47" i="14"/>
  <c r="A43" i="9"/>
  <c r="A46" i="14"/>
  <c r="A42" i="9"/>
  <c r="A45" i="14"/>
  <c r="A41" i="9"/>
  <c r="A44" i="14"/>
  <c r="A40" i="9"/>
  <c r="A43" i="14"/>
  <c r="A39" i="9"/>
  <c r="A42" i="14"/>
  <c r="A38" i="9"/>
  <c r="A41" i="14"/>
  <c r="A37" i="9"/>
  <c r="A40" i="14"/>
  <c r="A36" i="9"/>
  <c r="A39" i="14"/>
  <c r="A35" i="9"/>
  <c r="A38" i="14"/>
  <c r="A34" i="9"/>
  <c r="A37" i="14"/>
  <c r="A33" i="9"/>
  <c r="A36" i="14"/>
  <c r="A32" i="9"/>
  <c r="A31" i="9"/>
  <c r="A35" i="14"/>
  <c r="A30" i="9"/>
  <c r="A34" i="14"/>
  <c r="A29" i="9"/>
  <c r="A33" i="14"/>
  <c r="A28" i="9"/>
  <c r="A32" i="14"/>
  <c r="A27" i="9"/>
  <c r="A31" i="14"/>
  <c r="A26" i="9"/>
  <c r="A30" i="14"/>
  <c r="A25" i="9"/>
  <c r="A29" i="14"/>
  <c r="A24" i="9"/>
  <c r="A28" i="14"/>
  <c r="A23" i="9"/>
  <c r="A27" i="14"/>
  <c r="A22" i="9"/>
  <c r="A26" i="14"/>
  <c r="D25" i="14"/>
  <c r="AA21" i="4"/>
  <c r="A21" i="9"/>
  <c r="A25" i="14"/>
  <c r="D24" i="14"/>
  <c r="A24" i="14"/>
  <c r="A20" i="9"/>
  <c r="AA20" i="4"/>
  <c r="A23" i="14"/>
  <c r="D23" i="14"/>
  <c r="AA19" i="4"/>
  <c r="A19" i="9"/>
  <c r="A22" i="14"/>
  <c r="AA18" i="4"/>
  <c r="A18" i="9"/>
  <c r="C18" i="4"/>
  <c r="D21" i="14"/>
  <c r="A21" i="14"/>
  <c r="AA17" i="4"/>
  <c r="A17" i="9"/>
  <c r="D20" i="14"/>
  <c r="A20" i="14"/>
  <c r="A16" i="9"/>
  <c r="AA16" i="4"/>
  <c r="A19" i="14"/>
  <c r="D19" i="14"/>
  <c r="A15" i="9"/>
  <c r="AA15" i="4"/>
  <c r="A14" i="9"/>
  <c r="A18" i="14"/>
  <c r="D18" i="14"/>
  <c r="AA14" i="4"/>
  <c r="A13" i="9"/>
  <c r="A17" i="14"/>
  <c r="D17" i="14"/>
  <c r="AA13" i="4"/>
  <c r="A12" i="9"/>
  <c r="A16" i="14"/>
  <c r="D16" i="14"/>
  <c r="AA12" i="4"/>
  <c r="A11" i="9"/>
  <c r="D15" i="14"/>
  <c r="A15" i="14"/>
  <c r="AA11" i="4"/>
  <c r="A10" i="9"/>
  <c r="D14" i="14"/>
  <c r="A14" i="14"/>
  <c r="AA10" i="4"/>
  <c r="A9" i="9"/>
  <c r="A13" i="14"/>
  <c r="D13" i="14"/>
  <c r="AA9" i="4"/>
  <c r="A8" i="9"/>
  <c r="A12" i="14"/>
  <c r="D12" i="14"/>
  <c r="AA8" i="4"/>
  <c r="A7" i="9"/>
  <c r="A11" i="14"/>
  <c r="D11" i="14"/>
  <c r="AA7" i="4"/>
  <c r="A6" i="9"/>
  <c r="A10" i="14"/>
  <c r="D10" i="14"/>
  <c r="AA6" i="4"/>
  <c r="A5" i="9"/>
  <c r="D9" i="14"/>
  <c r="A9" i="14"/>
  <c r="AA5" i="4"/>
  <c r="A4" i="9"/>
  <c r="A8" i="14"/>
  <c r="AA4" i="4"/>
  <c r="D8" i="14"/>
  <c r="AA3" i="4"/>
  <c r="D7" i="14"/>
  <c r="A7" i="14"/>
  <c r="A3" i="9"/>
  <c r="B2" i="9"/>
  <c r="C19" i="13"/>
  <c r="D6" i="14"/>
  <c r="A6" i="14"/>
  <c r="A2" i="9"/>
  <c r="AA2" i="4"/>
  <c r="F17" i="12" l="1"/>
  <c r="F16" i="12"/>
  <c r="B18" i="9"/>
  <c r="D22" i="14"/>
</calcChain>
</file>

<file path=xl/sharedStrings.xml><?xml version="1.0" encoding="utf-8"?>
<sst xmlns="http://schemas.openxmlformats.org/spreadsheetml/2006/main" count="1247" uniqueCount="726">
  <si>
    <t>Personal Library Manager &amp; Digital Archive</t>
  </si>
  <si>
    <t>Version 3.1 — Excel Application</t>
  </si>
  <si>
    <t>Excel is the authoritative structured-data and metadata layer. The web application is a separate presentation and printing layer.</t>
  </si>
  <si>
    <t>Quick Start</t>
  </si>
  <si>
    <t>1. Open Settings; set library name, loan period, defaults.</t>
  </si>
  <si>
    <t>2. Catalog — books, magazines, journals, newspapers, manuscripts, ephemera (print only).</t>
  </si>
  <si>
    <t>3. Digital_Catalog — E-books, articles, images, photographs, audio, video, manuscripts (digital).</t>
  </si>
  <si>
    <t>4. Archive — archival objects: sculptures, coins, textiles, photographs, mementos, manuscripts, and any physical or digital artefact that is not a regular book.</t>
  </si>
  <si>
    <t>5. Circulation — loans; Catalog status updates automatically.</t>
  </si>
  <si>
    <t>6. Formulas sheet documents every generated cell.</t>
  </si>
  <si>
    <t>Three separate Item Type vocabularies</t>
  </si>
  <si>
    <t>Catalog        — Book, Magazine, Journal, Periodical, Newspaper, Newsletter, Annual, Special Issue, Pamphlet, Brochure, Manuscript, Personal Papers, Ephemera, Other.</t>
  </si>
  <si>
    <t>Digital        — E-Book, E-Journal, E-Magazine, Article, Image, Photograph, Poster, Map, Manuscript, Sound Recording, Audio Recording, Video Recording, AV Recording, Dataset, Website, Software, Other.</t>
  </si>
  <si>
    <t>Archive        — Manuscript, Newspaper, Newspaper Clipping, Photograph, Poster, Map, Painting, Sculpture, Textile, Coin, Medal, Furniture, Memento, Personal Papers, Ephemera, Pamphlet, Brochure, Sound Recording, Audio Recording, Video Recording, AV Recording, Other.</t>
  </si>
  <si>
    <t>Each vocabulary lives in its own code table in Lookup_Codes and has its own dropdown.</t>
  </si>
  <si>
    <t>Subject &amp; Genre / Form (shared across sheets)</t>
  </si>
  <si>
    <t>Subject      — Literature, History, Philosophy, Science &amp; Technology, Politics, Economics, Religion &amp; Mythology, Art &amp; Cinema, Music, Language, Medicine, Law, Education, Biography, Reference, Other.</t>
  </si>
  <si>
    <t>Genre / Form — Novel, Poem, Play, Short Story, Essay, Article, Biography, Autobiography, Travelogue, Science Fiction, Fantasy, Mystery, Thriller, Romance, Children's, Reference, Collected Works, Anthology, Interview, Other.</t>
  </si>
  <si>
    <t>Call Number System</t>
  </si>
  <si>
    <t>Format:  ITEMTYPE-SUBJECT-GENRE-AUTHORCODE-ITEMNUMBER[-VOLUME]</t>
  </si>
  <si>
    <t>Example: BK-LIT-NOV-TAG-001-Vol1</t>
  </si>
  <si>
    <t>Codes are read from Lookup_Codes via VLOOKUP. If a value is not in the code table, the formula shows '?' in that slot. A missing author becomes 'NOC'.</t>
  </si>
  <si>
    <t>Digital_Catalog uses the same pattern with a DIG- prefix.</t>
  </si>
  <si>
    <t>Author Code Logic</t>
  </si>
  <si>
    <t>Author Code uses the last word of Creator (surname for most names). 'Rabindranath Tagore' → TAG. Use Author Code Override to supply a manual code.</t>
  </si>
  <si>
    <t>Location System — semi-controlled</t>
  </si>
  <si>
    <t>Location Type: dropdown (Shelf, Magazine Rack, Journal Rack, Archive, Cabinet, Box, …).</t>
  </si>
  <si>
    <t>Location Identifier: free text (A1, A2, MR1, JR1, ARCH-01, BOX-07).</t>
  </si>
  <si>
    <t>Archive — Extended Fields</t>
  </si>
  <si>
    <t>Collection, Dimensions, Material, Place, Subject / Keywords, Digital File Name, Public Link (hyperlink), Media Preview (auto-generated).</t>
  </si>
  <si>
    <t>Typography</t>
  </si>
  <si>
    <t>Titles          — Garamond</t>
  </si>
  <si>
    <t>Section headers — Baskerville Old Face</t>
  </si>
  <si>
    <t>Body text       — Book Antiqua (Caslon substitute)</t>
  </si>
  <si>
    <t>Call numbers    — Courier New</t>
  </si>
  <si>
    <t>Colour System</t>
  </si>
  <si>
    <t>DarkSlateBlue #483D8B — primary headers, generated values</t>
  </si>
  <si>
    <t>Brown         #A52A2A — secondary headers, alternates</t>
  </si>
  <si>
    <t>Aquamarine    #7FFFD4 — metric values</t>
  </si>
  <si>
    <t>Cream         #FFF8E7 — editable cells</t>
  </si>
  <si>
    <t>Lavender      #E6E6FA — label backgrounds</t>
  </si>
  <si>
    <t>Protection</t>
  </si>
  <si>
    <t>Generated columns are locked; input columns remain editable.</t>
  </si>
  <si>
    <t>Sheet protection password: 'library'. Change in Settings if desired.</t>
  </si>
  <si>
    <t>Important Notes</t>
  </si>
  <si>
    <t>• Accession Number is the permanent identifier. Item ID is internal.</t>
  </si>
  <si>
    <t>• Do not sort by columns other than Item ID — Call Number formulas reference row position.</t>
  </si>
  <si>
    <t>• Open in Excel and press Ctrl+S before uploading to the web app so formula values are cached.</t>
  </si>
  <si>
    <t>• No VBA macros. Compatible with Excel, Google Sheets, and LibreOffice Calc.</t>
  </si>
  <si>
    <t>SETTINGS — Personal Library Manager</t>
  </si>
  <si>
    <t>Setting</t>
  </si>
  <si>
    <t>Value</t>
  </si>
  <si>
    <t>Purpose</t>
  </si>
  <si>
    <t>Library Name</t>
  </si>
  <si>
    <t>Personal Library</t>
  </si>
  <si>
    <t>Display name of the library</t>
  </si>
  <si>
    <t>Collection Name</t>
  </si>
  <si>
    <t>Main Collection</t>
  </si>
  <si>
    <t>Name of the primary collection</t>
  </si>
  <si>
    <t>Default Language</t>
  </si>
  <si>
    <t>English</t>
  </si>
  <si>
    <t>Default language for new records</t>
  </si>
  <si>
    <t>Default Loan Period (days)</t>
  </si>
  <si>
    <t>Circulation loan period in days</t>
  </si>
  <si>
    <t>Accession Prefix</t>
  </si>
  <si>
    <t>ACC</t>
  </si>
  <si>
    <t>Prefix for accession numbers</t>
  </si>
  <si>
    <t>Author Code Length</t>
  </si>
  <si>
    <t>Letters used for auto author code</t>
  </si>
  <si>
    <t>Date Format</t>
  </si>
  <si>
    <t>YYYY-MM-DD</t>
  </si>
  <si>
    <t>Display format for dates</t>
  </si>
  <si>
    <t>Default Resource Type</t>
  </si>
  <si>
    <t>Book</t>
  </si>
  <si>
    <t>Default resource type</t>
  </si>
  <si>
    <t>Metadata Profile Version</t>
  </si>
  <si>
    <t>3.1</t>
  </si>
  <si>
    <t>Dublin Core profile version</t>
  </si>
  <si>
    <t>Workbook Protection Password</t>
  </si>
  <si>
    <t>library</t>
  </si>
  <si>
    <t>Password to unprotect sheets</t>
  </si>
  <si>
    <t>Catalog Item Type (Value)</t>
  </si>
  <si>
    <t>Code</t>
  </si>
  <si>
    <t>Digital Item Type (Value)</t>
  </si>
  <si>
    <t>Archive Item Type (Value)</t>
  </si>
  <si>
    <t>Subject (Value)</t>
  </si>
  <si>
    <t>Genre / Form (Value)</t>
  </si>
  <si>
    <t>Language</t>
  </si>
  <si>
    <t>Format</t>
  </si>
  <si>
    <t>OCR Status</t>
  </si>
  <si>
    <t>Condition</t>
  </si>
  <si>
    <t>Location Type</t>
  </si>
  <si>
    <t>Access Level</t>
  </si>
  <si>
    <t>Rights</t>
  </si>
  <si>
    <t>Acquisition Type</t>
  </si>
  <si>
    <t>Physical/Digital</t>
  </si>
  <si>
    <t>Membership Type</t>
  </si>
  <si>
    <t>Member Status</t>
  </si>
  <si>
    <t>Reading/Usage Status</t>
  </si>
  <si>
    <t>Preservation Status</t>
  </si>
  <si>
    <t>Collection</t>
  </si>
  <si>
    <t>Media Type</t>
  </si>
  <si>
    <t>Circulation Status</t>
  </si>
  <si>
    <t>Frequency</t>
  </si>
  <si>
    <t>Digitisation Status</t>
  </si>
  <si>
    <t>BK</t>
  </si>
  <si>
    <t>E-Book</t>
  </si>
  <si>
    <t>EB</t>
  </si>
  <si>
    <t>Manuscript</t>
  </si>
  <si>
    <t>MS</t>
  </si>
  <si>
    <t>Literature</t>
  </si>
  <si>
    <t>LIT</t>
  </si>
  <si>
    <t>Novel</t>
  </si>
  <si>
    <t>NOV</t>
  </si>
  <si>
    <t>PDF</t>
  </si>
  <si>
    <t>Not Applicable</t>
  </si>
  <si>
    <t>New</t>
  </si>
  <si>
    <t>Shelf</t>
  </si>
  <si>
    <t>Public</t>
  </si>
  <si>
    <t>Copyright</t>
  </si>
  <si>
    <t>Purchase</t>
  </si>
  <si>
    <t>Physical</t>
  </si>
  <si>
    <t>Student</t>
  </si>
  <si>
    <t>Active</t>
  </si>
  <si>
    <t>Read</t>
  </si>
  <si>
    <t>Master</t>
  </si>
  <si>
    <t>Books</t>
  </si>
  <si>
    <t>Image</t>
  </si>
  <si>
    <t>Available</t>
  </si>
  <si>
    <t>Daily</t>
  </si>
  <si>
    <t>Not Digitised</t>
  </si>
  <si>
    <t>Magazine</t>
  </si>
  <si>
    <t>MG</t>
  </si>
  <si>
    <t>E-Journal</t>
  </si>
  <si>
    <t>EJ</t>
  </si>
  <si>
    <t>Newspaper</t>
  </si>
  <si>
    <t>NP</t>
  </si>
  <si>
    <t>History</t>
  </si>
  <si>
    <t>HIS</t>
  </si>
  <si>
    <t>Poem</t>
  </si>
  <si>
    <t>POE</t>
  </si>
  <si>
    <t>Bengali</t>
  </si>
  <si>
    <t>EPUB</t>
  </si>
  <si>
    <t>Excellent</t>
  </si>
  <si>
    <t>Magazine Rack</t>
  </si>
  <si>
    <t>Private</t>
  </si>
  <si>
    <t>Public Domain</t>
  </si>
  <si>
    <t>Gift</t>
  </si>
  <si>
    <t>Digital</t>
  </si>
  <si>
    <t>Faculty</t>
  </si>
  <si>
    <t>Inactive</t>
  </si>
  <si>
    <t>Reading</t>
  </si>
  <si>
    <t>Derivative</t>
  </si>
  <si>
    <t>Manuscripts</t>
  </si>
  <si>
    <t>Audio</t>
  </si>
  <si>
    <t>On Loan</t>
  </si>
  <si>
    <t>Weekly</t>
  </si>
  <si>
    <t>Digitisation Planned</t>
  </si>
  <si>
    <t>Journal</t>
  </si>
  <si>
    <t>JN</t>
  </si>
  <si>
    <t>E-Magazine</t>
  </si>
  <si>
    <t>EM</t>
  </si>
  <si>
    <t>Newspaper Clipping</t>
  </si>
  <si>
    <t>NC</t>
  </si>
  <si>
    <t>Philosophy</t>
  </si>
  <si>
    <t>PHI</t>
  </si>
  <si>
    <t>Play</t>
  </si>
  <si>
    <t>PLY</t>
  </si>
  <si>
    <t>Hindi</t>
  </si>
  <si>
    <t>MOBI</t>
  </si>
  <si>
    <t>Scanned (No OCR)</t>
  </si>
  <si>
    <t>Good</t>
  </si>
  <si>
    <t>Journal Rack</t>
  </si>
  <si>
    <t>Restricted</t>
  </si>
  <si>
    <t>Licensed</t>
  </si>
  <si>
    <t>Donation</t>
  </si>
  <si>
    <t>Both</t>
  </si>
  <si>
    <t>Suspended</t>
  </si>
  <si>
    <t>Unread</t>
  </si>
  <si>
    <t>Archived</t>
  </si>
  <si>
    <t>Photographs</t>
  </si>
  <si>
    <t>Video</t>
  </si>
  <si>
    <t>Reference Only</t>
  </si>
  <si>
    <t>Fortnightly</t>
  </si>
  <si>
    <t>Scanned</t>
  </si>
  <si>
    <t>Periodical</t>
  </si>
  <si>
    <t>PR</t>
  </si>
  <si>
    <t>Article</t>
  </si>
  <si>
    <t>AR</t>
  </si>
  <si>
    <t>Photograph</t>
  </si>
  <si>
    <t>PH</t>
  </si>
  <si>
    <t>Science &amp; Technology</t>
  </si>
  <si>
    <t>SCI</t>
  </si>
  <si>
    <t>Short Story</t>
  </si>
  <si>
    <t>SHT</t>
  </si>
  <si>
    <t>Sanskrit</t>
  </si>
  <si>
    <t>DJVU</t>
  </si>
  <si>
    <t>OCR Pending</t>
  </si>
  <si>
    <t>Fair</t>
  </si>
  <si>
    <t>Archive</t>
  </si>
  <si>
    <t>Research Only</t>
  </si>
  <si>
    <t>Unknown</t>
  </si>
  <si>
    <t>Exchange</t>
  </si>
  <si>
    <t>Institutional</t>
  </si>
  <si>
    <t>N/A</t>
  </si>
  <si>
    <t>At Risk</t>
  </si>
  <si>
    <t>Document</t>
  </si>
  <si>
    <t>Lost</t>
  </si>
  <si>
    <t>Monthly</t>
  </si>
  <si>
    <t>IM</t>
  </si>
  <si>
    <t>Poster</t>
  </si>
  <si>
    <t>PO</t>
  </si>
  <si>
    <t>Politics</t>
  </si>
  <si>
    <t>POL</t>
  </si>
  <si>
    <t>Essay</t>
  </si>
  <si>
    <t>ESS</t>
  </si>
  <si>
    <t>Other</t>
  </si>
  <si>
    <t>TXT</t>
  </si>
  <si>
    <t>OCR Complete</t>
  </si>
  <si>
    <t>Poor</t>
  </si>
  <si>
    <t>Cabinet</t>
  </si>
  <si>
    <t>Permission Required</t>
  </si>
  <si>
    <t>User-Owned</t>
  </si>
  <si>
    <t>Legacy</t>
  </si>
  <si>
    <t>Link</t>
  </si>
  <si>
    <t>Withdrawn</t>
  </si>
  <si>
    <t>Bi-Monthly</t>
  </si>
  <si>
    <t>Newsletter</t>
  </si>
  <si>
    <t>NL</t>
  </si>
  <si>
    <t>Map</t>
  </si>
  <si>
    <t>MP</t>
  </si>
  <si>
    <t>Economics</t>
  </si>
  <si>
    <t>ECO</t>
  </si>
  <si>
    <t>ART</t>
  </si>
  <si>
    <t>DOCX</t>
  </si>
  <si>
    <t>Searchable (OCR)</t>
  </si>
  <si>
    <t>Damaged</t>
  </si>
  <si>
    <t>Box</t>
  </si>
  <si>
    <t>Inherited</t>
  </si>
  <si>
    <t>Mementos</t>
  </si>
  <si>
    <t>None</t>
  </si>
  <si>
    <t>Quarterly</t>
  </si>
  <si>
    <t>OCR Verified</t>
  </si>
  <si>
    <t>Annual</t>
  </si>
  <si>
    <t>AN</t>
  </si>
  <si>
    <t>Painting</t>
  </si>
  <si>
    <t>PT</t>
  </si>
  <si>
    <t>Religion &amp; Mythology</t>
  </si>
  <si>
    <t>REL</t>
  </si>
  <si>
    <t>Biography</t>
  </si>
  <si>
    <t>BIO</t>
  </si>
  <si>
    <t>HTML</t>
  </si>
  <si>
    <t>Image Only</t>
  </si>
  <si>
    <t>Under Repair</t>
  </si>
  <si>
    <t>Display Case</t>
  </si>
  <si>
    <t>Sculptures</t>
  </si>
  <si>
    <t>Special Issue</t>
  </si>
  <si>
    <t>SI</t>
  </si>
  <si>
    <t>Sculpture</t>
  </si>
  <si>
    <t>SC</t>
  </si>
  <si>
    <t>Art &amp; Cinema</t>
  </si>
  <si>
    <t>Autobiography</t>
  </si>
  <si>
    <t>AUT</t>
  </si>
  <si>
    <t>XML</t>
  </si>
  <si>
    <t>Wall</t>
  </si>
  <si>
    <t>Paintings</t>
  </si>
  <si>
    <t>Irregular</t>
  </si>
  <si>
    <t>Pamphlet</t>
  </si>
  <si>
    <t>PM</t>
  </si>
  <si>
    <t>Textile</t>
  </si>
  <si>
    <t>TX</t>
  </si>
  <si>
    <t>Music</t>
  </si>
  <si>
    <t>MUS</t>
  </si>
  <si>
    <t>Travelogue</t>
  </si>
  <si>
    <t>TRV</t>
  </si>
  <si>
    <t>TEI XML</t>
  </si>
  <si>
    <t>Floor</t>
  </si>
  <si>
    <t>Textiles</t>
  </si>
  <si>
    <t>Brochure</t>
  </si>
  <si>
    <t>BR</t>
  </si>
  <si>
    <t>Sound Recording</t>
  </si>
  <si>
    <t>SR</t>
  </si>
  <si>
    <t>Coin</t>
  </si>
  <si>
    <t>CN</t>
  </si>
  <si>
    <t>LAN</t>
  </si>
  <si>
    <t>Science Fiction</t>
  </si>
  <si>
    <t>SCF</t>
  </si>
  <si>
    <t>Markdown</t>
  </si>
  <si>
    <t>Coins &amp; Medals</t>
  </si>
  <si>
    <t>Audio Recording</t>
  </si>
  <si>
    <t>AU</t>
  </si>
  <si>
    <t>Medal</t>
  </si>
  <si>
    <t>MD</t>
  </si>
  <si>
    <t>Medicine</t>
  </si>
  <si>
    <t>MED</t>
  </si>
  <si>
    <t>Fantasy</t>
  </si>
  <si>
    <t>FAN</t>
  </si>
  <si>
    <t>RTF</t>
  </si>
  <si>
    <t>Ephemera</t>
  </si>
  <si>
    <t>Personal Papers</t>
  </si>
  <si>
    <t>PP</t>
  </si>
  <si>
    <t>Video Recording</t>
  </si>
  <si>
    <t>VD</t>
  </si>
  <si>
    <t>Furniture</t>
  </si>
  <si>
    <t>FR</t>
  </si>
  <si>
    <t>Law</t>
  </si>
  <si>
    <t>LAW</t>
  </si>
  <si>
    <t>Mystery</t>
  </si>
  <si>
    <t>MYS</t>
  </si>
  <si>
    <t>JPG</t>
  </si>
  <si>
    <t>Newspapers</t>
  </si>
  <si>
    <t>EP</t>
  </si>
  <si>
    <t>AV Recording</t>
  </si>
  <si>
    <t>AV</t>
  </si>
  <si>
    <t>Memento</t>
  </si>
  <si>
    <t>MN</t>
  </si>
  <si>
    <t>Education</t>
  </si>
  <si>
    <t>EDU</t>
  </si>
  <si>
    <t>Thriller</t>
  </si>
  <si>
    <t>THR</t>
  </si>
  <si>
    <t>JPEG</t>
  </si>
  <si>
    <t>Maps</t>
  </si>
  <si>
    <t>OT</t>
  </si>
  <si>
    <t>Dataset</t>
  </si>
  <si>
    <t>DS</t>
  </si>
  <si>
    <t>Romance</t>
  </si>
  <si>
    <t>ROM</t>
  </si>
  <si>
    <t>PNG</t>
  </si>
  <si>
    <t>Website</t>
  </si>
  <si>
    <t>WB</t>
  </si>
  <si>
    <t>Reference</t>
  </si>
  <si>
    <t>REF</t>
  </si>
  <si>
    <t>Children's</t>
  </si>
  <si>
    <t>CHI</t>
  </si>
  <si>
    <t>TIFF</t>
  </si>
  <si>
    <t>Software</t>
  </si>
  <si>
    <t>SW</t>
  </si>
  <si>
    <t>OTH</t>
  </si>
  <si>
    <t>WebP</t>
  </si>
  <si>
    <t>Collected Works</t>
  </si>
  <si>
    <t>COL</t>
  </si>
  <si>
    <t>SVG</t>
  </si>
  <si>
    <t>Anthology</t>
  </si>
  <si>
    <t>ANT</t>
  </si>
  <si>
    <t>MP3</t>
  </si>
  <si>
    <t>Interview</t>
  </si>
  <si>
    <t>INT</t>
  </si>
  <si>
    <t>WAV</t>
  </si>
  <si>
    <t>FLAC</t>
  </si>
  <si>
    <t>M4A</t>
  </si>
  <si>
    <t>AAC</t>
  </si>
  <si>
    <t>OGG</t>
  </si>
  <si>
    <t>MP4</t>
  </si>
  <si>
    <t>MKV</t>
  </si>
  <si>
    <t>MOV</t>
  </si>
  <si>
    <t>WebM</t>
  </si>
  <si>
    <t>AVI</t>
  </si>
  <si>
    <t>ZIP</t>
  </si>
  <si>
    <t>Item ID</t>
  </si>
  <si>
    <t>Accession Number</t>
  </si>
  <si>
    <t>Call Number</t>
  </si>
  <si>
    <t>Title</t>
  </si>
  <si>
    <t>Subtitle</t>
  </si>
  <si>
    <t>Creator</t>
  </si>
  <si>
    <t>Author Code Override</t>
  </si>
  <si>
    <t>Author Code</t>
  </si>
  <si>
    <t>Editor</t>
  </si>
  <si>
    <t>Translator</t>
  </si>
  <si>
    <t>Item Type</t>
  </si>
  <si>
    <t>Subject</t>
  </si>
  <si>
    <t>Genre / Form</t>
  </si>
  <si>
    <t>Volume</t>
  </si>
  <si>
    <t>Edition</t>
  </si>
  <si>
    <t>Publisher</t>
  </si>
  <si>
    <t>Publication Place</t>
  </si>
  <si>
    <t>Publication Year</t>
  </si>
  <si>
    <t>ISBN</t>
  </si>
  <si>
    <t>ISSN</t>
  </si>
  <si>
    <t>Pages</t>
  </si>
  <si>
    <t>Series</t>
  </si>
  <si>
    <t>Location Identifier</t>
  </si>
  <si>
    <t>Acquisition Date</t>
  </si>
  <si>
    <t>Price</t>
  </si>
  <si>
    <t>Donor/Vendor</t>
  </si>
  <si>
    <t>Notes</t>
  </si>
  <si>
    <t>Description</t>
  </si>
  <si>
    <t>ACC-0001</t>
  </si>
  <si>
    <t>Rabindra Rachanabali</t>
  </si>
  <si>
    <t>Vol 1</t>
  </si>
  <si>
    <t>Rabindranath Tagore</t>
  </si>
  <si>
    <t>A2</t>
  </si>
  <si>
    <t>ACC-0002</t>
  </si>
  <si>
    <t>Vol 2</t>
  </si>
  <si>
    <t>ACC-0003</t>
  </si>
  <si>
    <t>Vol 3</t>
  </si>
  <si>
    <t>ACC-0004</t>
  </si>
  <si>
    <t>Vol 4</t>
  </si>
  <si>
    <t>ACC-0005</t>
  </si>
  <si>
    <t>Vol 5</t>
  </si>
  <si>
    <t>ACC-0006</t>
  </si>
  <si>
    <t>Vol 6</t>
  </si>
  <si>
    <t>ACC-0007</t>
  </si>
  <si>
    <t>Vol 7</t>
  </si>
  <si>
    <t>ACC-0008</t>
  </si>
  <si>
    <t>Vol 8</t>
  </si>
  <si>
    <t>ACC-0009</t>
  </si>
  <si>
    <t>Vol 9</t>
  </si>
  <si>
    <t>A1</t>
  </si>
  <si>
    <t>ACC-0010</t>
  </si>
  <si>
    <t>Vol 10</t>
  </si>
  <si>
    <t>ACC-0011</t>
  </si>
  <si>
    <t>Vol 11</t>
  </si>
  <si>
    <t>ACC-0012</t>
  </si>
  <si>
    <t>Vol 12</t>
  </si>
  <si>
    <t>ACC-0013</t>
  </si>
  <si>
    <t>Vol 13</t>
  </si>
  <si>
    <t>ACC-0014</t>
  </si>
  <si>
    <t>Vol 14</t>
  </si>
  <si>
    <t>ACC-0015</t>
  </si>
  <si>
    <t>Vol 15</t>
  </si>
  <si>
    <t>ACC-0016</t>
  </si>
  <si>
    <t>Vol 16</t>
  </si>
  <si>
    <t>ACC-0017</t>
  </si>
  <si>
    <t>Vol 17</t>
  </si>
  <si>
    <t>ACC-0018</t>
  </si>
  <si>
    <t>Vol 18</t>
  </si>
  <si>
    <t>ACC-0019</t>
  </si>
  <si>
    <t>নীলকণ্ঠ পাখির খোঁজে</t>
  </si>
  <si>
    <t>অতীন বন্দ্যোপাধ্যায়</t>
  </si>
  <si>
    <t>B1</t>
  </si>
  <si>
    <t>ACC-0020</t>
  </si>
  <si>
    <t>Desh</t>
  </si>
  <si>
    <t>MR1</t>
  </si>
  <si>
    <t>Resource ID</t>
  </si>
  <si>
    <t>Digital Call Number</t>
  </si>
  <si>
    <t>Contributor</t>
  </si>
  <si>
    <t>MIME Type</t>
  </si>
  <si>
    <t>File Extension</t>
  </si>
  <si>
    <t>File Size (bytes)</t>
  </si>
  <si>
    <t>Storage Path</t>
  </si>
  <si>
    <t>URI</t>
  </si>
  <si>
    <t>Searchable</t>
  </si>
  <si>
    <t>Date Created</t>
  </si>
  <si>
    <t>Date Added</t>
  </si>
  <si>
    <t>Related Physical ID</t>
  </si>
  <si>
    <t>Related Work ID</t>
  </si>
  <si>
    <t>Archive ID</t>
  </si>
  <si>
    <t>Checksum</t>
  </si>
  <si>
    <t>The Pocket Oracle</t>
  </si>
  <si>
    <t>Baltasar Gracian</t>
  </si>
  <si>
    <t>application/pdf</t>
  </si>
  <si>
    <t>.pdf</t>
  </si>
  <si>
    <t>Drive/Books/Philosophy</t>
  </si>
  <si>
    <t>Yes</t>
  </si>
  <si>
    <t>2024-01-15</t>
  </si>
  <si>
    <t>A pocket edition of Gracian's aphorisms.</t>
  </si>
  <si>
    <t>Drive/Books/Bengali_Classics</t>
  </si>
  <si>
    <t>No</t>
  </si>
  <si>
    <t>2023-06-01</t>
  </si>
  <si>
    <t>Scanned copy of Bengali novel.</t>
  </si>
  <si>
    <t>The Great Derangement</t>
  </si>
  <si>
    <t>Amitav Ghosh</t>
  </si>
  <si>
    <t>application/epub+zip</t>
  </si>
  <si>
    <t>.epub</t>
  </si>
  <si>
    <t>Drive/Books/Essays</t>
  </si>
  <si>
    <t>2023-02-10</t>
  </si>
  <si>
    <t>Climate change essays.</t>
  </si>
  <si>
    <t>Bengali literary reading</t>
  </si>
  <si>
    <t>audio/flac</t>
  </si>
  <si>
    <t>.flac</t>
  </si>
  <si>
    <t>Drive/Archive/Audio</t>
  </si>
  <si>
    <t>2023-08-12</t>
  </si>
  <si>
    <t>Live reading of Tagore poems.</t>
  </si>
  <si>
    <t>Interview with an author</t>
  </si>
  <si>
    <t>video/mp4</t>
  </si>
  <si>
    <t>.mp4</t>
  </si>
  <si>
    <t>Drive/Archive/Video</t>
  </si>
  <si>
    <t>2024-03-01</t>
  </si>
  <si>
    <t>Recorded interview.</t>
  </si>
  <si>
    <t>Scanned Bengali manuscript</t>
  </si>
  <si>
    <t>image/tiff</t>
  </si>
  <si>
    <t>.tiff</t>
  </si>
  <si>
    <t>Archive/Manuscripts</t>
  </si>
  <si>
    <t>2022-01-01</t>
  </si>
  <si>
    <t>High-res scan of 19th-c manuscript.</t>
  </si>
  <si>
    <t>ARC-0001</t>
  </si>
  <si>
    <t>Date</t>
  </si>
  <si>
    <t>Resource Type</t>
  </si>
  <si>
    <t>Provenance</t>
  </si>
  <si>
    <t>Acquisition</t>
  </si>
  <si>
    <t>Digital Surrogate</t>
  </si>
  <si>
    <t>Related Resource ID</t>
  </si>
  <si>
    <t>Dimensions</t>
  </si>
  <si>
    <t>Material</t>
  </si>
  <si>
    <t>Place</t>
  </si>
  <si>
    <t>Subject / Keywords</t>
  </si>
  <si>
    <t>Digital File Name</t>
  </si>
  <si>
    <t>Public Link</t>
  </si>
  <si>
    <t>Media Preview</t>
  </si>
  <si>
    <t>Historical newspaper clipping</t>
  </si>
  <si>
    <t>1947-08-15</t>
  </si>
  <si>
    <t>Bengali newspaper clipping from independence era.</t>
  </si>
  <si>
    <t>Family collection</t>
  </si>
  <si>
    <t>ARCH-01</t>
  </si>
  <si>
    <t>Fragile; store in acid-free sleeve.</t>
  </si>
  <si>
    <t>18 × 12 cm</t>
  </si>
  <si>
    <t>newsprint</t>
  </si>
  <si>
    <t>Kolkata</t>
  </si>
  <si>
    <t>independence, 1947, Bengal</t>
  </si>
  <si>
    <t>1890</t>
  </si>
  <si>
    <t>Digitised manuscript with traditional binding.</t>
  </si>
  <si>
    <t>Purchased at auction</t>
  </si>
  <si>
    <t>ARCH-02</t>
  </si>
  <si>
    <t>High-res TIFF master.</t>
  </si>
  <si>
    <t>24 × 16 × 3 cm</t>
  </si>
  <si>
    <t>paper, ink, cloth</t>
  </si>
  <si>
    <t>Bengal</t>
  </si>
  <si>
    <t>manuscript, 19th century, Bengali</t>
  </si>
  <si>
    <t>manuscript_1890_scan.tif</t>
  </si>
  <si>
    <t>Brass Nataraja statuette</t>
  </si>
  <si>
    <t>c. 1950</t>
  </si>
  <si>
    <t>Small brass sculpture of Nataraja.</t>
  </si>
  <si>
    <t>Family heirloom</t>
  </si>
  <si>
    <t>CAB-01</t>
  </si>
  <si>
    <t>Do not handle with bare hands.</t>
  </si>
  <si>
    <t>12 × 8 × 8 cm</t>
  </si>
  <si>
    <t>brass</t>
  </si>
  <si>
    <t>South India</t>
  </si>
  <si>
    <t>Nataraja, Shiva, brass</t>
  </si>
  <si>
    <t>nataraja_front.jpg</t>
  </si>
  <si>
    <t>Grandmother's wedding saree</t>
  </si>
  <si>
    <t>c. 1930</t>
  </si>
  <si>
    <t>Handwoven silk saree with zari border.</t>
  </si>
  <si>
    <t>BOX-07</t>
  </si>
  <si>
    <t>Preserve in muslin wrap.</t>
  </si>
  <si>
    <t>5.5 × 1.2 m</t>
  </si>
  <si>
    <t>silk, zari</t>
  </si>
  <si>
    <t>saree, wedding, silk, zari</t>
  </si>
  <si>
    <t>saree_detail.jpg</t>
  </si>
  <si>
    <t>Field recording — Baul songs</t>
  </si>
  <si>
    <t>2019-11-20</t>
  </si>
  <si>
    <t>Audio field recording of Baul singers in Birbhum.</t>
  </si>
  <si>
    <t>Own field research</t>
  </si>
  <si>
    <t>Recorded</t>
  </si>
  <si>
    <t>ARCH-03</t>
  </si>
  <si>
    <t>Recorded with Zoom H5.</t>
  </si>
  <si>
    <t>digital (WAV 48 kHz)</t>
  </si>
  <si>
    <t>Birbhum, West Bengal</t>
  </si>
  <si>
    <t>Baul, folk music, oral tradition</t>
  </si>
  <si>
    <t>baul_session_2019.wav</t>
  </si>
  <si>
    <t>Interview with Shri Nabin Das</t>
  </si>
  <si>
    <t>2022-03-15</t>
  </si>
  <si>
    <t>Video interview about local printing history.</t>
  </si>
  <si>
    <t>Own research</t>
  </si>
  <si>
    <t>ARCH-04</t>
  </si>
  <si>
    <t>digital (MP4 H.264)</t>
  </si>
  <si>
    <t>interview, printing, oral history</t>
  </si>
  <si>
    <t>interview_nabin_2022.mp4</t>
  </si>
  <si>
    <t>Loan ID</t>
  </si>
  <si>
    <t>Member ID</t>
  </si>
  <si>
    <t>Borrower Name</t>
  </si>
  <si>
    <t>Checkout Date</t>
  </si>
  <si>
    <t>Due Date</t>
  </si>
  <si>
    <t>Return Date</t>
  </si>
  <si>
    <t>Status</t>
  </si>
  <si>
    <t>Name</t>
  </si>
  <si>
    <t>Contact</t>
  </si>
  <si>
    <t>Join Date</t>
  </si>
  <si>
    <t>M001</t>
  </si>
  <si>
    <t>Sample Borrower</t>
  </si>
  <si>
    <t>2024-01-01</t>
  </si>
  <si>
    <t>Volume/Issue</t>
  </si>
  <si>
    <t>Location</t>
  </si>
  <si>
    <t>Label Type</t>
  </si>
  <si>
    <t>DUBLIN CORE METADATA MAPPING</t>
  </si>
  <si>
    <t>Dublin Core Element</t>
  </si>
  <si>
    <t>Catalog Field</t>
  </si>
  <si>
    <t>title</t>
  </si>
  <si>
    <t>Standard DC element</t>
  </si>
  <si>
    <t>creator</t>
  </si>
  <si>
    <t>contributor</t>
  </si>
  <si>
    <t>Editor, Translator</t>
  </si>
  <si>
    <t>Standard DC element; split</t>
  </si>
  <si>
    <t>publisher</t>
  </si>
  <si>
    <t>date</t>
  </si>
  <si>
    <t>language</t>
  </si>
  <si>
    <t>type</t>
  </si>
  <si>
    <t>Item Type / Genre / Form</t>
  </si>
  <si>
    <t>Standard DC element; two columns</t>
  </si>
  <si>
    <t>format</t>
  </si>
  <si>
    <t>Print medium</t>
  </si>
  <si>
    <t>identifier</t>
  </si>
  <si>
    <t>ISBN, ISSN, Accession, Call No</t>
  </si>
  <si>
    <t>subject</t>
  </si>
  <si>
    <t>description</t>
  </si>
  <si>
    <t>Notes, Description</t>
  </si>
  <si>
    <t>source</t>
  </si>
  <si>
    <t>Donor/Vendor, Acquisition Type</t>
  </si>
  <si>
    <t>relation</t>
  </si>
  <si>
    <t>Volume, Series, Related ID</t>
  </si>
  <si>
    <t>isPartOf qualifier</t>
  </si>
  <si>
    <t>coverage</t>
  </si>
  <si>
    <t>spatial qualifier</t>
  </si>
  <si>
    <t>rights</t>
  </si>
  <si>
    <t>—</t>
  </si>
  <si>
    <t>Item ID, Call Number, Author Code</t>
  </si>
  <si>
    <t>Application-specific</t>
  </si>
  <si>
    <t>Location, Circulation Status, Condition</t>
  </si>
  <si>
    <t>Dimensions, Material, Collection</t>
  </si>
  <si>
    <t>Storage path, OCR status, Public Link, Checksum</t>
  </si>
  <si>
    <t>EXPORT VIEW — Dublin Core element columns</t>
  </si>
  <si>
    <t>dc.title</t>
  </si>
  <si>
    <t>dc.creator</t>
  </si>
  <si>
    <t>dc.contributor</t>
  </si>
  <si>
    <t>dc.publisher</t>
  </si>
  <si>
    <t>dc.date</t>
  </si>
  <si>
    <t>dc.language</t>
  </si>
  <si>
    <t>dc.type</t>
  </si>
  <si>
    <t>dc.format</t>
  </si>
  <si>
    <t>dc.identifier</t>
  </si>
  <si>
    <t>dc.subject</t>
  </si>
  <si>
    <t>dc.description</t>
  </si>
  <si>
    <t>dc.source</t>
  </si>
  <si>
    <t>dc.relation</t>
  </si>
  <si>
    <t>dc.coverage</t>
  </si>
  <si>
    <t>dc.rights</t>
  </si>
  <si>
    <t>DATA QUALITY REPORT</t>
  </si>
  <si>
    <t>Metric</t>
  </si>
  <si>
    <t>Total Catalog records</t>
  </si>
  <si>
    <t>Records missing Title</t>
  </si>
  <si>
    <t>Records missing Creator</t>
  </si>
  <si>
    <t>Records missing Item Type</t>
  </si>
  <si>
    <t>Records missing Subject</t>
  </si>
  <si>
    <t>Records missing Genre/Form</t>
  </si>
  <si>
    <t>Records missing Location Type</t>
  </si>
  <si>
    <t>Records missing Location Id</t>
  </si>
  <si>
    <t>Duplicate ISBNs</t>
  </si>
  <si>
    <t>Duplicate ISSNs</t>
  </si>
  <si>
    <t>Duplicate Accessions</t>
  </si>
  <si>
    <t>Digital resources</t>
  </si>
  <si>
    <t>Archive objects</t>
  </si>
  <si>
    <t>Archive missing Collection</t>
  </si>
  <si>
    <t>Archive missing Dimensions</t>
  </si>
  <si>
    <t>Active loans</t>
  </si>
  <si>
    <t>Overdue loans</t>
  </si>
  <si>
    <t>RECORD-LEVEL CHECKS</t>
  </si>
  <si>
    <t>Issues</t>
  </si>
  <si>
    <t>PERSONAL LIBRARY MANAGER &amp; DIGITAL ARCHIVE</t>
  </si>
  <si>
    <t>Dashboard</t>
  </si>
  <si>
    <t>COLLECTION</t>
  </si>
  <si>
    <t>METADATA</t>
  </si>
  <si>
    <t>Physical items</t>
  </si>
  <si>
    <t>Missing titles</t>
  </si>
  <si>
    <t>Missing creators</t>
  </si>
  <si>
    <t>Missing Item Type</t>
  </si>
  <si>
    <t>Missing Subject</t>
  </si>
  <si>
    <t>Magazines</t>
  </si>
  <si>
    <t>Missing Genre/Form</t>
  </si>
  <si>
    <t>Journals</t>
  </si>
  <si>
    <t>Other print</t>
  </si>
  <si>
    <t>READING STATUS</t>
  </si>
  <si>
    <t>CIRCULATION</t>
  </si>
  <si>
    <t>Overdue</t>
  </si>
  <si>
    <t>ARCHIVE BY COLLECTION</t>
  </si>
  <si>
    <t>DIGITISATION</t>
  </si>
  <si>
    <t>Physical only</t>
  </si>
  <si>
    <t>Digital only</t>
  </si>
  <si>
    <t>FORMULA REFERENCE — Every generated cell in this workbook</t>
  </si>
  <si>
    <t>Row 4 and below list each generated cell, its purpose, and the exact formula pattern (row 2 as example). Only cells with pale-aqua background contain formulas.</t>
  </si>
  <si>
    <t>Sheet</t>
  </si>
  <si>
    <t>Column / Cell</t>
  </si>
  <si>
    <t>Formula</t>
  </si>
  <si>
    <t>Catalog</t>
  </si>
  <si>
    <t>A — Item ID</t>
  </si>
  <si>
    <t>Sequential ID; blank if no Title.</t>
  </si>
  <si>
    <t>C — Call Number</t>
  </si>
  <si>
    <t>Compose call number: Item Type code + Subject code + Genre code + Author Code + ID [+ Volume].</t>
  </si>
  <si>
    <t>H — Author Code</t>
  </si>
  <si>
    <t>Auto 3-letter code from surname; manual override takes precedence.</t>
  </si>
  <si>
    <t>AA — Circulation Status</t>
  </si>
  <si>
    <t>'On Loan' if an active loan exists for this item.</t>
  </si>
  <si>
    <t>Digital_Catalog</t>
  </si>
  <si>
    <t>A — Resource ID</t>
  </si>
  <si>
    <t>B — Digital Call Number</t>
  </si>
  <si>
    <t>Same code pattern with DIG- prefix.</t>
  </si>
  <si>
    <t>A — Archive ID</t>
  </si>
  <si>
    <t>Auto zero-padded archive ID.</t>
  </si>
  <si>
    <t>AB — Media Preview</t>
  </si>
  <si>
    <t>Turn Public Link (AA) into a clickable hyperlink.</t>
  </si>
  <si>
    <t>Circulation</t>
  </si>
  <si>
    <t>A — Loan ID</t>
  </si>
  <si>
    <t>Sequential loan number.</t>
  </si>
  <si>
    <t>D — Borrower Name</t>
  </si>
  <si>
    <t>Look up member name from Member ID.</t>
  </si>
  <si>
    <t>F — Due Date</t>
  </si>
  <si>
    <t>Checkout date + loan period.</t>
  </si>
  <si>
    <t>H — Status</t>
  </si>
  <si>
    <t>Returned / Overdue / Active.</t>
  </si>
  <si>
    <t>Spine_Labels</t>
  </si>
  <si>
    <t>Mirror catalog item ID.</t>
  </si>
  <si>
    <t>B — Call Number</t>
  </si>
  <si>
    <t>Mirror catalog call number.</t>
  </si>
  <si>
    <t>C — Title</t>
  </si>
  <si>
    <t>Mirror title.</t>
  </si>
  <si>
    <t>D — Volume</t>
  </si>
  <si>
    <t>Mirror volume.</t>
  </si>
  <si>
    <t>E — Creator</t>
  </si>
  <si>
    <t>Mirror author.</t>
  </si>
  <si>
    <t>F — Location</t>
  </si>
  <si>
    <t>Location Type + Location Identifier.</t>
  </si>
  <si>
    <t>Dublin_Core</t>
  </si>
  <si>
    <t>Columns A–O</t>
  </si>
  <si>
    <t>Fifteen-column Dublin Core export view, aligned with Catalog.</t>
  </si>
  <si>
    <t>Data_Quality</t>
  </si>
  <si>
    <t>Summary metrics</t>
  </si>
  <si>
    <t>Counts missing, duplicate, and total records.</t>
  </si>
  <si>
    <t>C — Issues</t>
  </si>
  <si>
    <t>Concatenated warning string for each catalog row.</t>
  </si>
  <si>
    <t>Counts by item type.</t>
  </si>
  <si>
    <t>Completeness counters.</t>
  </si>
  <si>
    <t>Available / On Loan / Overdue.</t>
  </si>
  <si>
    <t>Physical/Digital/Both distribution.</t>
  </si>
  <si>
    <t>STRUCTURED EXPORT FOR JSON / CSV PIPELINE</t>
  </si>
  <si>
    <t>Flattened view of Catalog for future JSON conversion. Field names are snake_case.</t>
  </si>
  <si>
    <t>item_id</t>
  </si>
  <si>
    <t>json_snippet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</si>
</sst>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22"/>
      <color rgb="FF483D8B"/>
      <name val="Garamond"/>
    </font>
    <font>
      <b/>
      <sz val="11"/>
      <color rgb="FFFFFFFF"/>
      <name val="Baskerville Old Face"/>
    </font>
    <font>
      <b/>
      <sz val="12"/>
      <color rgb="FF483D8B"/>
      <name val="Book Antiqua"/>
    </font>
    <font>
      <sz val="12"/>
      <color rgb="FF2F4F4F"/>
      <name val="Book Antiqua"/>
    </font>
    <font>
      <i/>
      <sz val="10"/>
      <color rgb="FFCD853F"/>
      <name val="Book Antiqua"/>
    </font>
    <font>
      <b/>
      <sz val="12"/>
      <color rgb="FF483D8B"/>
      <name val="Courier New"/>
    </font>
    <font>
      <sz val="12"/>
      <color rgb="FF483D8B"/>
      <name val="Courier New"/>
    </font>
    <font>
      <sz val="12"/>
      <color rgb="FF2F4F4F"/>
      <name val="Courier New"/>
    </font>
    <font>
      <b/>
      <sz val="16"/>
      <color rgb="FF483D8B"/>
      <name val="Garamond"/>
    </font>
    <font>
      <b/>
      <sz val="10"/>
      <color rgb="FFFFFFFF"/>
      <name val="Courier New"/>
    </font>
    <font>
      <b/>
      <sz val="12"/>
      <color rgb="FF2F4F4F"/>
      <name val="Book Antiqua"/>
    </font>
    <font>
      <sz val="10"/>
      <color rgb="FF2F4F4F"/>
      <name val="Courier New"/>
    </font>
    <font>
      <sz val="10"/>
      <color rgb="FF2F4F4F"/>
      <name val="Book Antiqua"/>
    </font>
    <font>
      <sz val="10"/>
      <color rgb="FFA52A2A"/>
      <name val="Book Antiqua"/>
    </font>
    <font>
      <b/>
      <sz val="13"/>
      <color rgb="FFA52A2A"/>
      <name val="Baskerville Old Face"/>
    </font>
    <font>
      <b/>
      <sz val="13"/>
      <color rgb="FFFFFFFF"/>
      <name val="Baskerville Old Face"/>
    </font>
    <font>
      <b/>
      <sz val="10"/>
      <color rgb="FF483D8B"/>
      <name val="Book Antiqua"/>
    </font>
    <font>
      <b/>
      <sz val="10"/>
      <color rgb="FFA52A2A"/>
      <name val="Book Antiqua"/>
    </font>
    <font>
      <sz val="9"/>
      <color rgb="FF2F4F4F"/>
      <name val="Courier New"/>
    </font>
    <font>
      <i/>
      <sz val="9"/>
      <color rgb="FFCD853F"/>
      <name val="Book Antiqua"/>
    </font>
    <font>
      <sz val="10"/>
      <color rgb="FF483D8B"/>
      <name val="Courier New"/>
    </font>
    <font>
      <b/>
      <sz val="13"/>
      <color rgb="FF483D8B"/>
      <name val="Baskerville Old Face"/>
    </font>
  </fonts>
  <fills count="8">
    <fill>
      <patternFill patternType="none"/>
    </fill>
    <fill>
      <patternFill patternType="gray125"/>
    </fill>
    <fill>
      <patternFill patternType="solid">
        <fgColor rgb="FF483D8B"/>
      </patternFill>
    </fill>
    <fill>
      <patternFill patternType="solid">
        <fgColor rgb="FFA52A2A"/>
      </patternFill>
    </fill>
    <fill>
      <patternFill patternType="solid">
        <fgColor rgb="FFE6E6FA"/>
      </patternFill>
    </fill>
    <fill>
      <patternFill patternType="solid">
        <fgColor rgb="FFFFF8E7"/>
      </patternFill>
    </fill>
    <fill>
      <patternFill patternType="solid">
        <fgColor rgb="FFE6F2F2"/>
      </patternFill>
    </fill>
    <fill>
      <patternFill patternType="solid">
        <fgColor rgb="FF7FFFD4"/>
      </patternFill>
    </fill>
  </fills>
  <borders count="3">
    <border>
      <left/>
      <right/>
      <top/>
      <bottom/>
      <diagonal/>
    </border>
    <border>
      <left style="thin">
        <color rgb="FFB8B8C8"/>
      </left>
      <right style="thin">
        <color rgb="FFB8B8C8"/>
      </right>
      <top style="thin">
        <color rgb="FFB8B8C8"/>
      </top>
      <bottom style="medium">
        <color rgb="FF483D8B"/>
      </bottom>
      <diagonal/>
    </border>
    <border>
      <left style="thin">
        <color rgb="FFB8B8C8"/>
      </left>
      <right style="thin">
        <color rgb="FFB8B8C8"/>
      </right>
      <top style="thin">
        <color rgb="FFB8B8C8"/>
      </top>
      <bottom style="thin">
        <color rgb="FFB8B8C8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Alignment="1">
      <alignment vertical="top" wrapText="1"/>
    </xf>
    <xf numFmtId="0" fontId="1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22" fillId="0" borderId="0" xfId="0" applyFont="1" applyAlignment="1">
      <alignment vertical="top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/>
    <xf numFmtId="0" fontId="4" fillId="5" borderId="2" xfId="0" applyFont="1" applyFill="1" applyBorder="1" applyAlignment="1" applyProtection="1">
      <alignment vertical="center" wrapText="1"/>
      <protection locked="0"/>
    </xf>
    <xf numFmtId="0" fontId="5" fillId="0" borderId="2" xfId="0" applyFont="1" applyBorder="1" applyAlignment="1">
      <alignment vertical="center" wrapText="1"/>
    </xf>
    <xf numFmtId="0" fontId="4" fillId="5" borderId="0" xfId="0" applyFont="1" applyFill="1"/>
    <xf numFmtId="0" fontId="6" fillId="5" borderId="0" xfId="0" applyFont="1" applyFill="1"/>
    <xf numFmtId="0" fontId="4" fillId="0" borderId="0" xfId="0" applyFont="1"/>
    <xf numFmtId="0" fontId="6" fillId="0" borderId="0" xfId="0" applyFont="1"/>
    <xf numFmtId="0" fontId="7" fillId="6" borderId="2" xfId="0" applyFont="1" applyFill="1" applyBorder="1" applyAlignment="1">
      <alignment vertical="center" wrapText="1"/>
    </xf>
    <xf numFmtId="0" fontId="8" fillId="5" borderId="2" xfId="0" applyFont="1" applyFill="1" applyBorder="1" applyAlignment="1" applyProtection="1">
      <alignment vertical="center" wrapText="1"/>
      <protection locked="0"/>
    </xf>
    <xf numFmtId="0" fontId="4" fillId="6" borderId="2" xfId="0" applyFont="1" applyFill="1" applyBorder="1" applyAlignment="1">
      <alignment vertical="center" wrapText="1"/>
    </xf>
    <xf numFmtId="0" fontId="6" fillId="0" borderId="2" xfId="0" applyFont="1" applyBorder="1"/>
    <xf numFmtId="0" fontId="4" fillId="0" borderId="2" xfId="0" applyFont="1" applyBorder="1"/>
    <xf numFmtId="0" fontId="9" fillId="0" borderId="0" xfId="0" applyFont="1"/>
    <xf numFmtId="0" fontId="10" fillId="2" borderId="2" xfId="0" applyFont="1" applyFill="1" applyBorder="1" applyAlignment="1">
      <alignment horizontal="center" vertical="center" wrapText="1"/>
    </xf>
    <xf numFmtId="0" fontId="11" fillId="4" borderId="2" xfId="0" applyFont="1" applyFill="1" applyBorder="1"/>
    <xf numFmtId="0" fontId="6" fillId="7" borderId="2" xfId="0" applyFont="1" applyFill="1" applyBorder="1" applyAlignment="1">
      <alignment horizontal="right" vertical="center"/>
    </xf>
    <xf numFmtId="0" fontId="11" fillId="0" borderId="2" xfId="0" applyFont="1" applyBorder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4" fillId="5" borderId="2" xfId="0" applyFont="1" applyFill="1" applyBorder="1"/>
    <xf numFmtId="0" fontId="17" fillId="0" borderId="2" xfId="0" applyFont="1" applyBorder="1" applyAlignment="1">
      <alignment vertical="top" wrapText="1"/>
    </xf>
    <xf numFmtId="0" fontId="18" fillId="0" borderId="2" xfId="0" applyFont="1" applyBorder="1" applyAlignment="1">
      <alignment vertical="top" wrapText="1"/>
    </xf>
    <xf numFmtId="0" fontId="19" fillId="0" borderId="2" xfId="0" applyFont="1" applyBorder="1" applyAlignment="1">
      <alignment vertical="top" wrapText="1"/>
    </xf>
    <xf numFmtId="0" fontId="20" fillId="0" borderId="2" xfId="0" applyFont="1" applyBorder="1" applyAlignment="1">
      <alignment vertical="top" wrapText="1"/>
    </xf>
    <xf numFmtId="0" fontId="21" fillId="6" borderId="0" xfId="0" applyFont="1" applyFill="1"/>
    <xf numFmtId="0" fontId="1" fillId="0" borderId="0" xfId="0" applyFont="1"/>
    <xf numFmtId="0" fontId="0" fillId="0" borderId="0" xfId="0"/>
    <xf numFmtId="0" fontId="16" fillId="2" borderId="0" xfId="0" applyFont="1" applyFill="1" applyAlignment="1">
      <alignment horizontal="left" vertical="center" indent="1"/>
    </xf>
    <xf numFmtId="0" fontId="16" fillId="3" borderId="0" xfId="0" applyFont="1" applyFill="1" applyAlignment="1">
      <alignment horizontal="left" vertical="center" indent="1"/>
    </xf>
    <xf numFmtId="0" fontId="15" fillId="0" borderId="0" xfId="0" applyFont="1"/>
    <xf numFmtId="0" fontId="5" fillId="0" borderId="0" xfId="0" applyFont="1"/>
  </cellXfs>
  <cellStyles count="1">
    <cellStyle name="Normal" xfId="0" builtinId="0"/>
  </cellStyles>
  <dxfs count="3">
    <dxf>
      <fill>
        <patternFill patternType="solid">
          <fgColor rgb="FFFFFACD"/>
        </patternFill>
      </fill>
    </dxf>
    <dxf>
      <fill>
        <patternFill patternType="solid">
          <fgColor rgb="FFFFFACD"/>
        </patternFill>
      </fill>
    </dxf>
    <dxf>
      <fill>
        <patternFill patternType="solid">
          <fgColor rgb="FFFFE4E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49"/>
  <sheetViews>
    <sheetView workbookViewId="0"/>
  </sheetViews>
  <sheetFormatPr defaultRowHeight="15" x14ac:dyDescent="0.25"/>
  <cols>
    <col min="1" max="1" width="4" customWidth="1"/>
    <col min="2" max="2" width="108" customWidth="1"/>
  </cols>
  <sheetData>
    <row r="1" spans="2:2" ht="36" customHeight="1" x14ac:dyDescent="0.25">
      <c r="B1" s="1" t="s">
        <v>0</v>
      </c>
    </row>
    <row r="2" spans="2:2" ht="24" customHeight="1" x14ac:dyDescent="0.25">
      <c r="B2" s="2" t="s">
        <v>1</v>
      </c>
    </row>
    <row r="3" spans="2:2" ht="26.1" customHeight="1" x14ac:dyDescent="0.25">
      <c r="B3" s="3" t="s">
        <v>2</v>
      </c>
    </row>
    <row r="4" spans="2:2" ht="24" customHeight="1" x14ac:dyDescent="0.25">
      <c r="B4" s="4" t="s">
        <v>3</v>
      </c>
    </row>
    <row r="5" spans="2:2" ht="26.1" customHeight="1" x14ac:dyDescent="0.25">
      <c r="B5" s="3" t="s">
        <v>4</v>
      </c>
    </row>
    <row r="6" spans="2:2" ht="26.1" customHeight="1" x14ac:dyDescent="0.25">
      <c r="B6" s="3" t="s">
        <v>5</v>
      </c>
    </row>
    <row r="7" spans="2:2" ht="26.1" customHeight="1" x14ac:dyDescent="0.25">
      <c r="B7" s="3" t="s">
        <v>6</v>
      </c>
    </row>
    <row r="8" spans="2:2" ht="26.1" customHeight="1" x14ac:dyDescent="0.25">
      <c r="B8" s="3" t="s">
        <v>7</v>
      </c>
    </row>
    <row r="9" spans="2:2" ht="26.1" customHeight="1" x14ac:dyDescent="0.25">
      <c r="B9" s="3" t="s">
        <v>8</v>
      </c>
    </row>
    <row r="10" spans="2:2" ht="26.1" customHeight="1" x14ac:dyDescent="0.25">
      <c r="B10" s="3" t="s">
        <v>9</v>
      </c>
    </row>
    <row r="11" spans="2:2" ht="24" customHeight="1" x14ac:dyDescent="0.25">
      <c r="B11" s="4" t="s">
        <v>10</v>
      </c>
    </row>
    <row r="12" spans="2:2" ht="26.1" customHeight="1" x14ac:dyDescent="0.25">
      <c r="B12" s="3" t="s">
        <v>11</v>
      </c>
    </row>
    <row r="13" spans="2:2" ht="26.1" customHeight="1" x14ac:dyDescent="0.25">
      <c r="B13" s="3" t="s">
        <v>12</v>
      </c>
    </row>
    <row r="14" spans="2:2" ht="26.1" customHeight="1" x14ac:dyDescent="0.25">
      <c r="B14" s="3" t="s">
        <v>13</v>
      </c>
    </row>
    <row r="15" spans="2:2" ht="26.1" customHeight="1" x14ac:dyDescent="0.25">
      <c r="B15" s="3" t="s">
        <v>14</v>
      </c>
    </row>
    <row r="16" spans="2:2" ht="24" customHeight="1" x14ac:dyDescent="0.25">
      <c r="B16" s="4" t="s">
        <v>15</v>
      </c>
    </row>
    <row r="17" spans="2:2" ht="26.1" customHeight="1" x14ac:dyDescent="0.25">
      <c r="B17" s="3" t="s">
        <v>16</v>
      </c>
    </row>
    <row r="18" spans="2:2" ht="26.1" customHeight="1" x14ac:dyDescent="0.25">
      <c r="B18" s="3" t="s">
        <v>17</v>
      </c>
    </row>
    <row r="19" spans="2:2" ht="24" customHeight="1" x14ac:dyDescent="0.25">
      <c r="B19" s="4" t="s">
        <v>18</v>
      </c>
    </row>
    <row r="20" spans="2:2" ht="26.1" customHeight="1" x14ac:dyDescent="0.25">
      <c r="B20" s="3" t="s">
        <v>19</v>
      </c>
    </row>
    <row r="21" spans="2:2" ht="26.1" customHeight="1" x14ac:dyDescent="0.25">
      <c r="B21" s="3" t="s">
        <v>20</v>
      </c>
    </row>
    <row r="22" spans="2:2" ht="26.1" customHeight="1" x14ac:dyDescent="0.25">
      <c r="B22" s="3" t="s">
        <v>21</v>
      </c>
    </row>
    <row r="23" spans="2:2" ht="26.1" customHeight="1" x14ac:dyDescent="0.25">
      <c r="B23" s="3" t="s">
        <v>22</v>
      </c>
    </row>
    <row r="24" spans="2:2" ht="24" customHeight="1" x14ac:dyDescent="0.25">
      <c r="B24" s="4" t="s">
        <v>23</v>
      </c>
    </row>
    <row r="25" spans="2:2" ht="26.1" customHeight="1" x14ac:dyDescent="0.25">
      <c r="B25" s="3" t="s">
        <v>24</v>
      </c>
    </row>
    <row r="26" spans="2:2" ht="24" customHeight="1" x14ac:dyDescent="0.25">
      <c r="B26" s="4" t="s">
        <v>25</v>
      </c>
    </row>
    <row r="27" spans="2:2" ht="26.1" customHeight="1" x14ac:dyDescent="0.25">
      <c r="B27" s="3" t="s">
        <v>26</v>
      </c>
    </row>
    <row r="28" spans="2:2" ht="26.1" customHeight="1" x14ac:dyDescent="0.25">
      <c r="B28" s="3" t="s">
        <v>27</v>
      </c>
    </row>
    <row r="29" spans="2:2" ht="24" customHeight="1" x14ac:dyDescent="0.25">
      <c r="B29" s="4" t="s">
        <v>28</v>
      </c>
    </row>
    <row r="30" spans="2:2" ht="26.1" customHeight="1" x14ac:dyDescent="0.25">
      <c r="B30" s="3" t="s">
        <v>29</v>
      </c>
    </row>
    <row r="31" spans="2:2" ht="24" customHeight="1" x14ac:dyDescent="0.25">
      <c r="B31" s="4" t="s">
        <v>30</v>
      </c>
    </row>
    <row r="32" spans="2:2" ht="26.1" customHeight="1" x14ac:dyDescent="0.25">
      <c r="B32" s="3" t="s">
        <v>31</v>
      </c>
    </row>
    <row r="33" spans="2:2" ht="26.1" customHeight="1" x14ac:dyDescent="0.25">
      <c r="B33" s="3" t="s">
        <v>32</v>
      </c>
    </row>
    <row r="34" spans="2:2" ht="26.1" customHeight="1" x14ac:dyDescent="0.25">
      <c r="B34" s="3" t="s">
        <v>33</v>
      </c>
    </row>
    <row r="35" spans="2:2" ht="26.1" customHeight="1" x14ac:dyDescent="0.25">
      <c r="B35" s="3" t="s">
        <v>34</v>
      </c>
    </row>
    <row r="36" spans="2:2" ht="24" customHeight="1" x14ac:dyDescent="0.25">
      <c r="B36" s="4" t="s">
        <v>35</v>
      </c>
    </row>
    <row r="37" spans="2:2" ht="26.1" customHeight="1" x14ac:dyDescent="0.25">
      <c r="B37" s="3" t="s">
        <v>36</v>
      </c>
    </row>
    <row r="38" spans="2:2" ht="26.1" customHeight="1" x14ac:dyDescent="0.25">
      <c r="B38" s="3" t="s">
        <v>37</v>
      </c>
    </row>
    <row r="39" spans="2:2" ht="26.1" customHeight="1" x14ac:dyDescent="0.25">
      <c r="B39" s="3" t="s">
        <v>38</v>
      </c>
    </row>
    <row r="40" spans="2:2" ht="26.1" customHeight="1" x14ac:dyDescent="0.25">
      <c r="B40" s="3" t="s">
        <v>39</v>
      </c>
    </row>
    <row r="41" spans="2:2" ht="26.1" customHeight="1" x14ac:dyDescent="0.25">
      <c r="B41" s="3" t="s">
        <v>40</v>
      </c>
    </row>
    <row r="42" spans="2:2" ht="24" customHeight="1" x14ac:dyDescent="0.25">
      <c r="B42" s="4" t="s">
        <v>41</v>
      </c>
    </row>
    <row r="43" spans="2:2" ht="26.1" customHeight="1" x14ac:dyDescent="0.25">
      <c r="B43" s="3" t="s">
        <v>42</v>
      </c>
    </row>
    <row r="44" spans="2:2" ht="26.1" customHeight="1" x14ac:dyDescent="0.25">
      <c r="B44" s="3" t="s">
        <v>43</v>
      </c>
    </row>
    <row r="45" spans="2:2" ht="24" customHeight="1" x14ac:dyDescent="0.25">
      <c r="B45" s="4" t="s">
        <v>44</v>
      </c>
    </row>
    <row r="46" spans="2:2" ht="26.1" customHeight="1" x14ac:dyDescent="0.25">
      <c r="B46" s="3" t="s">
        <v>45</v>
      </c>
    </row>
    <row r="47" spans="2:2" ht="26.1" customHeight="1" x14ac:dyDescent="0.25">
      <c r="B47" s="3" t="s">
        <v>46</v>
      </c>
    </row>
    <row r="48" spans="2:2" ht="26.1" customHeight="1" x14ac:dyDescent="0.25">
      <c r="B48" s="3" t="s">
        <v>47</v>
      </c>
    </row>
    <row r="49" spans="2:2" ht="26.1" customHeight="1" x14ac:dyDescent="0.25">
      <c r="B49" s="3" t="s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"/>
  <sheetViews>
    <sheetView workbookViewId="0"/>
  </sheetViews>
  <sheetFormatPr defaultRowHeight="15" x14ac:dyDescent="0.25"/>
  <cols>
    <col min="1" max="1" width="36" customWidth="1"/>
    <col min="2" max="2" width="42" customWidth="1"/>
    <col min="3" max="3" width="55" customWidth="1"/>
  </cols>
  <sheetData>
    <row r="1" spans="1:3" ht="32.1" customHeight="1" x14ac:dyDescent="0.45">
      <c r="A1" s="33" t="s">
        <v>49</v>
      </c>
      <c r="B1" s="34"/>
      <c r="C1" s="34"/>
    </row>
    <row r="3" spans="1:3" x14ac:dyDescent="0.25">
      <c r="A3" s="5" t="s">
        <v>50</v>
      </c>
      <c r="B3" s="5" t="s">
        <v>51</v>
      </c>
      <c r="C3" s="6" t="s">
        <v>52</v>
      </c>
    </row>
    <row r="4" spans="1:3" ht="16.5" x14ac:dyDescent="0.3">
      <c r="A4" s="7" t="s">
        <v>53</v>
      </c>
      <c r="B4" s="8" t="s">
        <v>54</v>
      </c>
      <c r="C4" s="9" t="s">
        <v>55</v>
      </c>
    </row>
    <row r="5" spans="1:3" ht="16.5" x14ac:dyDescent="0.3">
      <c r="A5" s="7" t="s">
        <v>56</v>
      </c>
      <c r="B5" s="8" t="s">
        <v>57</v>
      </c>
      <c r="C5" s="9" t="s">
        <v>58</v>
      </c>
    </row>
    <row r="6" spans="1:3" ht="16.5" x14ac:dyDescent="0.3">
      <c r="A6" s="7" t="s">
        <v>59</v>
      </c>
      <c r="B6" s="8" t="s">
        <v>60</v>
      </c>
      <c r="C6" s="9" t="s">
        <v>61</v>
      </c>
    </row>
    <row r="7" spans="1:3" ht="16.5" x14ac:dyDescent="0.3">
      <c r="A7" s="7" t="s">
        <v>62</v>
      </c>
      <c r="B7" s="8">
        <v>14</v>
      </c>
      <c r="C7" s="9" t="s">
        <v>63</v>
      </c>
    </row>
    <row r="8" spans="1:3" ht="16.5" x14ac:dyDescent="0.3">
      <c r="A8" s="7" t="s">
        <v>64</v>
      </c>
      <c r="B8" s="8" t="s">
        <v>65</v>
      </c>
      <c r="C8" s="9" t="s">
        <v>66</v>
      </c>
    </row>
    <row r="9" spans="1:3" ht="16.5" x14ac:dyDescent="0.3">
      <c r="A9" s="7" t="s">
        <v>67</v>
      </c>
      <c r="B9" s="8">
        <v>3</v>
      </c>
      <c r="C9" s="9" t="s">
        <v>68</v>
      </c>
    </row>
    <row r="10" spans="1:3" ht="16.5" x14ac:dyDescent="0.3">
      <c r="A10" s="7" t="s">
        <v>69</v>
      </c>
      <c r="B10" s="8" t="s">
        <v>70</v>
      </c>
      <c r="C10" s="9" t="s">
        <v>71</v>
      </c>
    </row>
    <row r="11" spans="1:3" ht="16.5" x14ac:dyDescent="0.3">
      <c r="A11" s="7" t="s">
        <v>72</v>
      </c>
      <c r="B11" s="8" t="s">
        <v>73</v>
      </c>
      <c r="C11" s="9" t="s">
        <v>74</v>
      </c>
    </row>
    <row r="12" spans="1:3" ht="16.5" x14ac:dyDescent="0.3">
      <c r="A12" s="7" t="s">
        <v>75</v>
      </c>
      <c r="B12" s="8" t="s">
        <v>76</v>
      </c>
      <c r="C12" s="9" t="s">
        <v>77</v>
      </c>
    </row>
    <row r="13" spans="1:3" ht="16.5" x14ac:dyDescent="0.3">
      <c r="A13" s="7" t="s">
        <v>78</v>
      </c>
      <c r="B13" s="8" t="s">
        <v>79</v>
      </c>
      <c r="C13" s="9" t="s">
        <v>80</v>
      </c>
    </row>
  </sheetData>
  <sheetProtection password="E720" sheet="1"/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1"/>
  <sheetViews>
    <sheetView workbookViewId="0"/>
  </sheetViews>
  <sheetFormatPr defaultRowHeight="15" x14ac:dyDescent="0.25"/>
  <cols>
    <col min="1" max="1" width="24" customWidth="1"/>
    <col min="2" max="2" width="8" customWidth="1"/>
    <col min="3" max="3" width="24" customWidth="1"/>
    <col min="4" max="4" width="8" customWidth="1"/>
    <col min="5" max="5" width="24" customWidth="1"/>
    <col min="6" max="6" width="8" customWidth="1"/>
    <col min="7" max="7" width="24" customWidth="1"/>
    <col min="8" max="8" width="8" customWidth="1"/>
    <col min="9" max="9" width="24" customWidth="1"/>
    <col min="10" max="10" width="8" customWidth="1"/>
    <col min="11" max="21" width="22" customWidth="1"/>
    <col min="22" max="22" width="24" customWidth="1"/>
    <col min="23" max="23" width="23" customWidth="1"/>
    <col min="24" max="27" width="22" customWidth="1"/>
    <col min="28" max="28" width="23" customWidth="1"/>
  </cols>
  <sheetData>
    <row r="1" spans="1:28" ht="30" x14ac:dyDescent="0.25">
      <c r="A1" s="5" t="s">
        <v>81</v>
      </c>
      <c r="B1" s="5" t="s">
        <v>82</v>
      </c>
      <c r="C1" s="5" t="s">
        <v>83</v>
      </c>
      <c r="D1" s="6" t="s">
        <v>82</v>
      </c>
      <c r="E1" s="5" t="s">
        <v>84</v>
      </c>
      <c r="F1" s="5" t="s">
        <v>82</v>
      </c>
      <c r="G1" s="5" t="s">
        <v>85</v>
      </c>
      <c r="H1" s="6" t="s">
        <v>82</v>
      </c>
      <c r="I1" s="5" t="s">
        <v>86</v>
      </c>
      <c r="J1" s="5" t="s">
        <v>82</v>
      </c>
      <c r="K1" s="5" t="s">
        <v>87</v>
      </c>
      <c r="L1" s="5" t="s">
        <v>88</v>
      </c>
      <c r="M1" s="5" t="s">
        <v>89</v>
      </c>
      <c r="N1" s="5" t="s">
        <v>90</v>
      </c>
      <c r="O1" s="5" t="s">
        <v>91</v>
      </c>
      <c r="P1" s="5" t="s">
        <v>92</v>
      </c>
      <c r="Q1" s="5" t="s">
        <v>93</v>
      </c>
      <c r="R1" s="5" t="s">
        <v>94</v>
      </c>
      <c r="S1" s="5" t="s">
        <v>95</v>
      </c>
      <c r="T1" s="5" t="s">
        <v>96</v>
      </c>
      <c r="U1" s="5" t="s">
        <v>97</v>
      </c>
      <c r="V1" s="5" t="s">
        <v>98</v>
      </c>
      <c r="W1" s="5" t="s">
        <v>99</v>
      </c>
      <c r="X1" s="5" t="s">
        <v>100</v>
      </c>
      <c r="Y1" s="5" t="s">
        <v>101</v>
      </c>
      <c r="Z1" s="5" t="s">
        <v>102</v>
      </c>
      <c r="AA1" s="5" t="s">
        <v>103</v>
      </c>
      <c r="AB1" s="5" t="s">
        <v>104</v>
      </c>
    </row>
    <row r="2" spans="1:28" ht="16.5" x14ac:dyDescent="0.3">
      <c r="A2" s="10" t="s">
        <v>73</v>
      </c>
      <c r="B2" s="11" t="s">
        <v>105</v>
      </c>
      <c r="C2" s="10" t="s">
        <v>106</v>
      </c>
      <c r="D2" s="11" t="s">
        <v>107</v>
      </c>
      <c r="E2" s="10" t="s">
        <v>108</v>
      </c>
      <c r="F2" s="11" t="s">
        <v>109</v>
      </c>
      <c r="G2" s="10" t="s">
        <v>110</v>
      </c>
      <c r="H2" s="11" t="s">
        <v>111</v>
      </c>
      <c r="I2" s="10" t="s">
        <v>112</v>
      </c>
      <c r="J2" s="11" t="s">
        <v>113</v>
      </c>
      <c r="K2" s="10" t="s">
        <v>60</v>
      </c>
      <c r="L2" s="10" t="s">
        <v>114</v>
      </c>
      <c r="M2" s="10" t="s">
        <v>115</v>
      </c>
      <c r="N2" s="10" t="s">
        <v>116</v>
      </c>
      <c r="O2" s="10" t="s">
        <v>117</v>
      </c>
      <c r="P2" s="10" t="s">
        <v>118</v>
      </c>
      <c r="Q2" s="10" t="s">
        <v>119</v>
      </c>
      <c r="R2" s="10" t="s">
        <v>120</v>
      </c>
      <c r="S2" s="10" t="s">
        <v>121</v>
      </c>
      <c r="T2" s="10" t="s">
        <v>122</v>
      </c>
      <c r="U2" s="10" t="s">
        <v>123</v>
      </c>
      <c r="V2" s="10" t="s">
        <v>124</v>
      </c>
      <c r="W2" s="10" t="s">
        <v>125</v>
      </c>
      <c r="X2" s="10" t="s">
        <v>126</v>
      </c>
      <c r="Y2" s="10" t="s">
        <v>127</v>
      </c>
      <c r="Z2" s="10" t="s">
        <v>128</v>
      </c>
      <c r="AA2" s="10" t="s">
        <v>129</v>
      </c>
      <c r="AB2" s="10" t="s">
        <v>130</v>
      </c>
    </row>
    <row r="3" spans="1:28" ht="16.5" x14ac:dyDescent="0.3">
      <c r="A3" s="12" t="s">
        <v>131</v>
      </c>
      <c r="B3" s="13" t="s">
        <v>132</v>
      </c>
      <c r="C3" s="12" t="s">
        <v>133</v>
      </c>
      <c r="D3" s="13" t="s">
        <v>134</v>
      </c>
      <c r="E3" s="12" t="s">
        <v>135</v>
      </c>
      <c r="F3" s="13" t="s">
        <v>136</v>
      </c>
      <c r="G3" s="12" t="s">
        <v>137</v>
      </c>
      <c r="H3" s="13" t="s">
        <v>138</v>
      </c>
      <c r="I3" s="12" t="s">
        <v>139</v>
      </c>
      <c r="J3" s="13" t="s">
        <v>140</v>
      </c>
      <c r="K3" s="12" t="s">
        <v>141</v>
      </c>
      <c r="L3" s="12" t="s">
        <v>142</v>
      </c>
      <c r="M3" s="12" t="s">
        <v>130</v>
      </c>
      <c r="N3" s="12" t="s">
        <v>143</v>
      </c>
      <c r="O3" s="12" t="s">
        <v>144</v>
      </c>
      <c r="P3" s="12" t="s">
        <v>145</v>
      </c>
      <c r="Q3" s="12" t="s">
        <v>146</v>
      </c>
      <c r="R3" s="12" t="s">
        <v>147</v>
      </c>
      <c r="S3" s="12" t="s">
        <v>148</v>
      </c>
      <c r="T3" s="12" t="s">
        <v>149</v>
      </c>
      <c r="U3" s="12" t="s">
        <v>150</v>
      </c>
      <c r="V3" s="12" t="s">
        <v>151</v>
      </c>
      <c r="W3" s="12" t="s">
        <v>152</v>
      </c>
      <c r="X3" s="12" t="s">
        <v>153</v>
      </c>
      <c r="Y3" s="12" t="s">
        <v>154</v>
      </c>
      <c r="Z3" s="12" t="s">
        <v>155</v>
      </c>
      <c r="AA3" s="12" t="s">
        <v>156</v>
      </c>
      <c r="AB3" s="12" t="s">
        <v>157</v>
      </c>
    </row>
    <row r="4" spans="1:28" ht="16.5" x14ac:dyDescent="0.3">
      <c r="A4" s="10" t="s">
        <v>158</v>
      </c>
      <c r="B4" s="11" t="s">
        <v>159</v>
      </c>
      <c r="C4" s="10" t="s">
        <v>160</v>
      </c>
      <c r="D4" s="11" t="s">
        <v>161</v>
      </c>
      <c r="E4" s="10" t="s">
        <v>162</v>
      </c>
      <c r="F4" s="11" t="s">
        <v>163</v>
      </c>
      <c r="G4" s="10" t="s">
        <v>164</v>
      </c>
      <c r="H4" s="11" t="s">
        <v>165</v>
      </c>
      <c r="I4" s="10" t="s">
        <v>166</v>
      </c>
      <c r="J4" s="11" t="s">
        <v>167</v>
      </c>
      <c r="K4" s="10" t="s">
        <v>168</v>
      </c>
      <c r="L4" s="10" t="s">
        <v>169</v>
      </c>
      <c r="M4" s="10" t="s">
        <v>170</v>
      </c>
      <c r="N4" s="10" t="s">
        <v>171</v>
      </c>
      <c r="O4" s="10" t="s">
        <v>172</v>
      </c>
      <c r="P4" s="10" t="s">
        <v>173</v>
      </c>
      <c r="Q4" s="10" t="s">
        <v>174</v>
      </c>
      <c r="R4" s="10" t="s">
        <v>175</v>
      </c>
      <c r="S4" s="10" t="s">
        <v>176</v>
      </c>
      <c r="T4" s="10" t="s">
        <v>118</v>
      </c>
      <c r="U4" s="10" t="s">
        <v>177</v>
      </c>
      <c r="V4" s="10" t="s">
        <v>178</v>
      </c>
      <c r="W4" s="10" t="s">
        <v>179</v>
      </c>
      <c r="X4" s="10" t="s">
        <v>180</v>
      </c>
      <c r="Y4" s="10" t="s">
        <v>181</v>
      </c>
      <c r="Z4" s="10" t="s">
        <v>182</v>
      </c>
      <c r="AA4" s="10" t="s">
        <v>183</v>
      </c>
      <c r="AB4" s="10" t="s">
        <v>184</v>
      </c>
    </row>
    <row r="5" spans="1:28" ht="16.5" x14ac:dyDescent="0.3">
      <c r="A5" s="12" t="s">
        <v>185</v>
      </c>
      <c r="B5" s="13" t="s">
        <v>186</v>
      </c>
      <c r="C5" s="12" t="s">
        <v>187</v>
      </c>
      <c r="D5" s="13" t="s">
        <v>188</v>
      </c>
      <c r="E5" s="12" t="s">
        <v>189</v>
      </c>
      <c r="F5" s="13" t="s">
        <v>190</v>
      </c>
      <c r="G5" s="12" t="s">
        <v>191</v>
      </c>
      <c r="H5" s="13" t="s">
        <v>192</v>
      </c>
      <c r="I5" s="12" t="s">
        <v>193</v>
      </c>
      <c r="J5" s="13" t="s">
        <v>194</v>
      </c>
      <c r="K5" s="12" t="s">
        <v>195</v>
      </c>
      <c r="L5" s="12" t="s">
        <v>196</v>
      </c>
      <c r="M5" s="12" t="s">
        <v>197</v>
      </c>
      <c r="N5" s="12" t="s">
        <v>198</v>
      </c>
      <c r="O5" s="12" t="s">
        <v>199</v>
      </c>
      <c r="P5" s="12" t="s">
        <v>200</v>
      </c>
      <c r="Q5" s="12" t="s">
        <v>201</v>
      </c>
      <c r="R5" s="12" t="s">
        <v>202</v>
      </c>
      <c r="T5" s="12" t="s">
        <v>203</v>
      </c>
      <c r="V5" s="12" t="s">
        <v>204</v>
      </c>
      <c r="W5" s="12" t="s">
        <v>205</v>
      </c>
      <c r="X5" s="12" t="s">
        <v>154</v>
      </c>
      <c r="Y5" s="12" t="s">
        <v>206</v>
      </c>
      <c r="Z5" s="12" t="s">
        <v>207</v>
      </c>
      <c r="AA5" s="12" t="s">
        <v>208</v>
      </c>
      <c r="AB5" s="12" t="s">
        <v>197</v>
      </c>
    </row>
    <row r="6" spans="1:28" ht="16.5" x14ac:dyDescent="0.3">
      <c r="A6" s="10" t="s">
        <v>135</v>
      </c>
      <c r="B6" s="11" t="s">
        <v>136</v>
      </c>
      <c r="C6" s="10" t="s">
        <v>127</v>
      </c>
      <c r="D6" s="11" t="s">
        <v>209</v>
      </c>
      <c r="E6" s="10" t="s">
        <v>210</v>
      </c>
      <c r="F6" s="11" t="s">
        <v>211</v>
      </c>
      <c r="G6" s="10" t="s">
        <v>212</v>
      </c>
      <c r="H6" s="11" t="s">
        <v>213</v>
      </c>
      <c r="I6" s="10" t="s">
        <v>214</v>
      </c>
      <c r="J6" s="11" t="s">
        <v>215</v>
      </c>
      <c r="K6" s="10" t="s">
        <v>216</v>
      </c>
      <c r="L6" s="10" t="s">
        <v>217</v>
      </c>
      <c r="M6" s="10" t="s">
        <v>218</v>
      </c>
      <c r="N6" s="10" t="s">
        <v>219</v>
      </c>
      <c r="O6" s="10" t="s">
        <v>220</v>
      </c>
      <c r="P6" s="10" t="s">
        <v>221</v>
      </c>
      <c r="Q6" s="10" t="s">
        <v>222</v>
      </c>
      <c r="R6" s="10" t="s">
        <v>223</v>
      </c>
      <c r="T6" s="10" t="s">
        <v>216</v>
      </c>
      <c r="X6" s="10" t="s">
        <v>181</v>
      </c>
      <c r="Y6" s="10" t="s">
        <v>224</v>
      </c>
      <c r="Z6" s="10" t="s">
        <v>225</v>
      </c>
      <c r="AA6" s="10" t="s">
        <v>226</v>
      </c>
      <c r="AB6" s="10" t="s">
        <v>218</v>
      </c>
    </row>
    <row r="7" spans="1:28" ht="16.5" x14ac:dyDescent="0.3">
      <c r="A7" s="12" t="s">
        <v>227</v>
      </c>
      <c r="B7" s="13" t="s">
        <v>228</v>
      </c>
      <c r="C7" s="12" t="s">
        <v>189</v>
      </c>
      <c r="D7" s="13" t="s">
        <v>190</v>
      </c>
      <c r="E7" s="12" t="s">
        <v>229</v>
      </c>
      <c r="F7" s="13" t="s">
        <v>230</v>
      </c>
      <c r="G7" s="12" t="s">
        <v>231</v>
      </c>
      <c r="H7" s="13" t="s">
        <v>232</v>
      </c>
      <c r="I7" s="12" t="s">
        <v>187</v>
      </c>
      <c r="J7" s="13" t="s">
        <v>233</v>
      </c>
      <c r="L7" s="12" t="s">
        <v>234</v>
      </c>
      <c r="M7" s="12" t="s">
        <v>235</v>
      </c>
      <c r="N7" s="12" t="s">
        <v>236</v>
      </c>
      <c r="O7" s="12" t="s">
        <v>237</v>
      </c>
      <c r="Q7" s="12" t="s">
        <v>203</v>
      </c>
      <c r="R7" s="12" t="s">
        <v>238</v>
      </c>
      <c r="X7" s="12" t="s">
        <v>239</v>
      </c>
      <c r="Y7" s="12" t="s">
        <v>240</v>
      </c>
      <c r="AA7" s="12" t="s">
        <v>241</v>
      </c>
      <c r="AB7" s="12" t="s">
        <v>242</v>
      </c>
    </row>
    <row r="8" spans="1:28" ht="16.5" x14ac:dyDescent="0.3">
      <c r="A8" s="10" t="s">
        <v>243</v>
      </c>
      <c r="B8" s="11" t="s">
        <v>244</v>
      </c>
      <c r="C8" s="10" t="s">
        <v>210</v>
      </c>
      <c r="D8" s="11" t="s">
        <v>211</v>
      </c>
      <c r="E8" s="10" t="s">
        <v>245</v>
      </c>
      <c r="F8" s="11" t="s">
        <v>246</v>
      </c>
      <c r="G8" s="10" t="s">
        <v>247</v>
      </c>
      <c r="H8" s="11" t="s">
        <v>248</v>
      </c>
      <c r="I8" s="10" t="s">
        <v>249</v>
      </c>
      <c r="J8" s="11" t="s">
        <v>250</v>
      </c>
      <c r="L8" s="10" t="s">
        <v>251</v>
      </c>
      <c r="M8" s="10" t="s">
        <v>252</v>
      </c>
      <c r="N8" s="10" t="s">
        <v>253</v>
      </c>
      <c r="O8" s="10" t="s">
        <v>254</v>
      </c>
      <c r="Q8" s="10" t="s">
        <v>216</v>
      </c>
      <c r="R8" s="10" t="s">
        <v>201</v>
      </c>
      <c r="X8" s="10" t="s">
        <v>255</v>
      </c>
      <c r="AA8" s="10" t="s">
        <v>243</v>
      </c>
    </row>
    <row r="9" spans="1:28" ht="16.5" x14ac:dyDescent="0.3">
      <c r="A9" s="12" t="s">
        <v>256</v>
      </c>
      <c r="B9" s="13" t="s">
        <v>257</v>
      </c>
      <c r="C9" s="12" t="s">
        <v>229</v>
      </c>
      <c r="D9" s="13" t="s">
        <v>230</v>
      </c>
      <c r="E9" s="12" t="s">
        <v>258</v>
      </c>
      <c r="F9" s="13" t="s">
        <v>259</v>
      </c>
      <c r="G9" s="12" t="s">
        <v>260</v>
      </c>
      <c r="H9" s="13" t="s">
        <v>233</v>
      </c>
      <c r="I9" s="12" t="s">
        <v>261</v>
      </c>
      <c r="J9" s="13" t="s">
        <v>262</v>
      </c>
      <c r="L9" s="12" t="s">
        <v>263</v>
      </c>
      <c r="O9" s="12" t="s">
        <v>264</v>
      </c>
      <c r="X9" s="12" t="s">
        <v>265</v>
      </c>
      <c r="AA9" s="12" t="s">
        <v>266</v>
      </c>
    </row>
    <row r="10" spans="1:28" ht="16.5" x14ac:dyDescent="0.3">
      <c r="A10" s="10" t="s">
        <v>267</v>
      </c>
      <c r="B10" s="11" t="s">
        <v>268</v>
      </c>
      <c r="C10" s="10" t="s">
        <v>108</v>
      </c>
      <c r="D10" s="11" t="s">
        <v>109</v>
      </c>
      <c r="E10" s="10" t="s">
        <v>269</v>
      </c>
      <c r="F10" s="11" t="s">
        <v>270</v>
      </c>
      <c r="G10" s="10" t="s">
        <v>271</v>
      </c>
      <c r="H10" s="11" t="s">
        <v>272</v>
      </c>
      <c r="I10" s="10" t="s">
        <v>273</v>
      </c>
      <c r="J10" s="11" t="s">
        <v>274</v>
      </c>
      <c r="L10" s="10" t="s">
        <v>275</v>
      </c>
      <c r="O10" s="10" t="s">
        <v>276</v>
      </c>
      <c r="X10" s="10" t="s">
        <v>277</v>
      </c>
    </row>
    <row r="11" spans="1:28" ht="16.5" x14ac:dyDescent="0.3">
      <c r="A11" s="12" t="s">
        <v>278</v>
      </c>
      <c r="B11" s="13" t="s">
        <v>279</v>
      </c>
      <c r="C11" s="12" t="s">
        <v>280</v>
      </c>
      <c r="D11" s="13" t="s">
        <v>281</v>
      </c>
      <c r="E11" s="12" t="s">
        <v>282</v>
      </c>
      <c r="F11" s="13" t="s">
        <v>283</v>
      </c>
      <c r="G11" s="12" t="s">
        <v>87</v>
      </c>
      <c r="H11" s="13" t="s">
        <v>284</v>
      </c>
      <c r="I11" s="12" t="s">
        <v>285</v>
      </c>
      <c r="J11" s="13" t="s">
        <v>286</v>
      </c>
      <c r="L11" s="12" t="s">
        <v>287</v>
      </c>
      <c r="O11" s="12" t="s">
        <v>216</v>
      </c>
      <c r="X11" s="12" t="s">
        <v>288</v>
      </c>
    </row>
    <row r="12" spans="1:28" ht="16.5" x14ac:dyDescent="0.3">
      <c r="A12" s="10" t="s">
        <v>108</v>
      </c>
      <c r="B12" s="11" t="s">
        <v>109</v>
      </c>
      <c r="C12" s="10" t="s">
        <v>289</v>
      </c>
      <c r="D12" s="11" t="s">
        <v>290</v>
      </c>
      <c r="E12" s="10" t="s">
        <v>291</v>
      </c>
      <c r="F12" s="11" t="s">
        <v>292</v>
      </c>
      <c r="G12" s="10" t="s">
        <v>293</v>
      </c>
      <c r="H12" s="11" t="s">
        <v>294</v>
      </c>
      <c r="I12" s="10" t="s">
        <v>295</v>
      </c>
      <c r="J12" s="11" t="s">
        <v>296</v>
      </c>
      <c r="L12" s="10" t="s">
        <v>297</v>
      </c>
      <c r="X12" s="10" t="s">
        <v>298</v>
      </c>
    </row>
    <row r="13" spans="1:28" ht="16.5" x14ac:dyDescent="0.3">
      <c r="A13" s="12" t="s">
        <v>299</v>
      </c>
      <c r="B13" s="13" t="s">
        <v>300</v>
      </c>
      <c r="C13" s="12" t="s">
        <v>301</v>
      </c>
      <c r="D13" s="13" t="s">
        <v>302</v>
      </c>
      <c r="E13" s="12" t="s">
        <v>303</v>
      </c>
      <c r="F13" s="13" t="s">
        <v>304</v>
      </c>
      <c r="G13" s="12" t="s">
        <v>305</v>
      </c>
      <c r="H13" s="13" t="s">
        <v>306</v>
      </c>
      <c r="I13" s="12" t="s">
        <v>307</v>
      </c>
      <c r="J13" s="13" t="s">
        <v>308</v>
      </c>
      <c r="L13" s="12" t="s">
        <v>309</v>
      </c>
      <c r="X13" s="12" t="s">
        <v>310</v>
      </c>
    </row>
    <row r="14" spans="1:28" ht="16.5" x14ac:dyDescent="0.3">
      <c r="A14" s="10" t="s">
        <v>298</v>
      </c>
      <c r="B14" s="11" t="s">
        <v>311</v>
      </c>
      <c r="C14" s="10" t="s">
        <v>312</v>
      </c>
      <c r="D14" s="11" t="s">
        <v>313</v>
      </c>
      <c r="E14" s="10" t="s">
        <v>314</v>
      </c>
      <c r="F14" s="11" t="s">
        <v>315</v>
      </c>
      <c r="G14" s="10" t="s">
        <v>316</v>
      </c>
      <c r="H14" s="11" t="s">
        <v>317</v>
      </c>
      <c r="I14" s="10" t="s">
        <v>318</v>
      </c>
      <c r="J14" s="11" t="s">
        <v>319</v>
      </c>
      <c r="L14" s="10" t="s">
        <v>320</v>
      </c>
      <c r="X14" s="10" t="s">
        <v>321</v>
      </c>
    </row>
    <row r="15" spans="1:28" ht="16.5" x14ac:dyDescent="0.3">
      <c r="A15" s="12" t="s">
        <v>216</v>
      </c>
      <c r="B15" s="13" t="s">
        <v>322</v>
      </c>
      <c r="C15" s="12" t="s">
        <v>323</v>
      </c>
      <c r="D15" s="13" t="s">
        <v>324</v>
      </c>
      <c r="E15" s="12" t="s">
        <v>299</v>
      </c>
      <c r="F15" s="13" t="s">
        <v>300</v>
      </c>
      <c r="G15" s="12" t="s">
        <v>249</v>
      </c>
      <c r="H15" s="13" t="s">
        <v>250</v>
      </c>
      <c r="I15" s="12" t="s">
        <v>325</v>
      </c>
      <c r="J15" s="13" t="s">
        <v>326</v>
      </c>
      <c r="L15" s="12" t="s">
        <v>327</v>
      </c>
      <c r="X15" s="12" t="s">
        <v>303</v>
      </c>
    </row>
    <row r="16" spans="1:28" ht="16.5" x14ac:dyDescent="0.3">
      <c r="C16" s="10" t="s">
        <v>328</v>
      </c>
      <c r="D16" s="11" t="s">
        <v>329</v>
      </c>
      <c r="E16" s="10" t="s">
        <v>298</v>
      </c>
      <c r="F16" s="11" t="s">
        <v>311</v>
      </c>
      <c r="G16" s="10" t="s">
        <v>330</v>
      </c>
      <c r="H16" s="11" t="s">
        <v>331</v>
      </c>
      <c r="I16" s="10" t="s">
        <v>332</v>
      </c>
      <c r="J16" s="11" t="s">
        <v>333</v>
      </c>
      <c r="L16" s="10" t="s">
        <v>334</v>
      </c>
      <c r="X16" s="10" t="s">
        <v>216</v>
      </c>
    </row>
    <row r="17" spans="3:12" ht="16.5" x14ac:dyDescent="0.3">
      <c r="C17" s="12" t="s">
        <v>335</v>
      </c>
      <c r="D17" s="13" t="s">
        <v>336</v>
      </c>
      <c r="E17" s="12" t="s">
        <v>267</v>
      </c>
      <c r="F17" s="13" t="s">
        <v>268</v>
      </c>
      <c r="G17" s="12" t="s">
        <v>216</v>
      </c>
      <c r="H17" s="13" t="s">
        <v>337</v>
      </c>
      <c r="I17" s="12" t="s">
        <v>330</v>
      </c>
      <c r="J17" s="13" t="s">
        <v>331</v>
      </c>
      <c r="L17" s="12" t="s">
        <v>338</v>
      </c>
    </row>
    <row r="18" spans="3:12" ht="16.5" x14ac:dyDescent="0.3">
      <c r="C18" s="10" t="s">
        <v>216</v>
      </c>
      <c r="D18" s="11" t="s">
        <v>322</v>
      </c>
      <c r="E18" s="10" t="s">
        <v>278</v>
      </c>
      <c r="F18" s="11" t="s">
        <v>279</v>
      </c>
      <c r="I18" s="10" t="s">
        <v>339</v>
      </c>
      <c r="J18" s="11" t="s">
        <v>340</v>
      </c>
      <c r="L18" s="10" t="s">
        <v>341</v>
      </c>
    </row>
    <row r="19" spans="3:12" ht="16.5" x14ac:dyDescent="0.3">
      <c r="E19" s="12" t="s">
        <v>280</v>
      </c>
      <c r="F19" s="13" t="s">
        <v>281</v>
      </c>
      <c r="I19" s="12" t="s">
        <v>342</v>
      </c>
      <c r="J19" s="13" t="s">
        <v>343</v>
      </c>
      <c r="L19" s="12" t="s">
        <v>344</v>
      </c>
    </row>
    <row r="20" spans="3:12" ht="16.5" x14ac:dyDescent="0.3">
      <c r="E20" s="10" t="s">
        <v>289</v>
      </c>
      <c r="F20" s="11" t="s">
        <v>290</v>
      </c>
      <c r="I20" s="10" t="s">
        <v>345</v>
      </c>
      <c r="J20" s="11" t="s">
        <v>346</v>
      </c>
      <c r="L20" s="10" t="s">
        <v>347</v>
      </c>
    </row>
    <row r="21" spans="3:12" ht="16.5" x14ac:dyDescent="0.3">
      <c r="E21" s="12" t="s">
        <v>301</v>
      </c>
      <c r="F21" s="13" t="s">
        <v>302</v>
      </c>
      <c r="I21" s="12" t="s">
        <v>216</v>
      </c>
      <c r="J21" s="13" t="s">
        <v>337</v>
      </c>
      <c r="L21" s="12" t="s">
        <v>348</v>
      </c>
    </row>
    <row r="22" spans="3:12" ht="16.5" x14ac:dyDescent="0.3">
      <c r="E22" s="10" t="s">
        <v>312</v>
      </c>
      <c r="F22" s="11" t="s">
        <v>313</v>
      </c>
      <c r="L22" s="10" t="s">
        <v>349</v>
      </c>
    </row>
    <row r="23" spans="3:12" ht="16.5" x14ac:dyDescent="0.3">
      <c r="E23" s="12" t="s">
        <v>216</v>
      </c>
      <c r="F23" s="13" t="s">
        <v>322</v>
      </c>
      <c r="L23" s="12" t="s">
        <v>350</v>
      </c>
    </row>
    <row r="24" spans="3:12" ht="15.75" x14ac:dyDescent="0.25">
      <c r="L24" s="10" t="s">
        <v>351</v>
      </c>
    </row>
    <row r="25" spans="3:12" ht="15.75" x14ac:dyDescent="0.25">
      <c r="L25" s="12" t="s">
        <v>352</v>
      </c>
    </row>
    <row r="26" spans="3:12" ht="15.75" x14ac:dyDescent="0.25">
      <c r="L26" s="10" t="s">
        <v>353</v>
      </c>
    </row>
    <row r="27" spans="3:12" ht="15.75" x14ac:dyDescent="0.25">
      <c r="L27" s="12" t="s">
        <v>354</v>
      </c>
    </row>
    <row r="28" spans="3:12" ht="15.75" x14ac:dyDescent="0.25">
      <c r="L28" s="10" t="s">
        <v>355</v>
      </c>
    </row>
    <row r="29" spans="3:12" ht="15.75" x14ac:dyDescent="0.25">
      <c r="L29" s="12" t="s">
        <v>356</v>
      </c>
    </row>
    <row r="30" spans="3:12" ht="15.75" x14ac:dyDescent="0.25">
      <c r="L30" s="10" t="s">
        <v>357</v>
      </c>
    </row>
    <row r="31" spans="3:12" ht="15.75" x14ac:dyDescent="0.25">
      <c r="L31" s="12" t="s">
        <v>216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01"/>
  <sheetViews>
    <sheetView topLeftCell="E1" workbookViewId="0">
      <pane ySplit="1" topLeftCell="A14" activePane="bottomLeft" state="frozen"/>
      <selection pane="bottomLeft" activeCell="N21" sqref="N21"/>
    </sheetView>
  </sheetViews>
  <sheetFormatPr defaultRowHeight="15" x14ac:dyDescent="0.25"/>
  <cols>
    <col min="1" max="1" width="8" customWidth="1"/>
    <col min="2" max="2" width="16" customWidth="1"/>
    <col min="3" max="3" width="26" customWidth="1"/>
    <col min="4" max="4" width="32" customWidth="1"/>
    <col min="5" max="5" width="22" customWidth="1"/>
    <col min="6" max="6" width="26" customWidth="1"/>
    <col min="7" max="8" width="12" customWidth="1"/>
    <col min="9" max="10" width="20" customWidth="1"/>
    <col min="11" max="11" width="16" customWidth="1"/>
    <col min="12" max="13" width="18" customWidth="1"/>
    <col min="14" max="14" width="14" customWidth="1"/>
    <col min="15" max="15" width="10" customWidth="1"/>
    <col min="16" max="16" width="12" customWidth="1"/>
    <col min="17" max="17" width="22" customWidth="1"/>
    <col min="18" max="18" width="16" customWidth="1"/>
    <col min="19" max="19" width="8" customWidth="1"/>
    <col min="20" max="20" width="16" customWidth="1"/>
    <col min="21" max="21" width="14" customWidth="1"/>
    <col min="22" max="22" width="8" customWidth="1"/>
    <col min="23" max="23" width="20" customWidth="1"/>
    <col min="24" max="25" width="16" customWidth="1"/>
    <col min="26" max="26" width="12" customWidth="1"/>
    <col min="27" max="29" width="14" customWidth="1"/>
    <col min="30" max="30" width="10" customWidth="1"/>
    <col min="31" max="31" width="20" customWidth="1"/>
    <col min="32" max="32" width="30" customWidth="1"/>
    <col min="33" max="33" width="16" customWidth="1"/>
    <col min="34" max="34" width="30" customWidth="1"/>
  </cols>
  <sheetData>
    <row r="1" spans="1:34" ht="33.950000000000003" customHeight="1" x14ac:dyDescent="0.25">
      <c r="A1" s="5" t="s">
        <v>358</v>
      </c>
      <c r="B1" s="5" t="s">
        <v>359</v>
      </c>
      <c r="C1" s="5" t="s">
        <v>360</v>
      </c>
      <c r="D1" s="5" t="s">
        <v>361</v>
      </c>
      <c r="E1" s="5" t="s">
        <v>362</v>
      </c>
      <c r="F1" s="5" t="s">
        <v>363</v>
      </c>
      <c r="G1" s="5" t="s">
        <v>364</v>
      </c>
      <c r="H1" s="5" t="s">
        <v>365</v>
      </c>
      <c r="I1" s="5" t="s">
        <v>366</v>
      </c>
      <c r="J1" s="5" t="s">
        <v>367</v>
      </c>
      <c r="K1" s="5" t="s">
        <v>368</v>
      </c>
      <c r="L1" s="5" t="s">
        <v>369</v>
      </c>
      <c r="M1" s="5" t="s">
        <v>370</v>
      </c>
      <c r="N1" s="5" t="s">
        <v>87</v>
      </c>
      <c r="O1" s="5" t="s">
        <v>371</v>
      </c>
      <c r="P1" s="5" t="s">
        <v>372</v>
      </c>
      <c r="Q1" s="5" t="s">
        <v>373</v>
      </c>
      <c r="R1" s="5" t="s">
        <v>374</v>
      </c>
      <c r="S1" s="5" t="s">
        <v>375</v>
      </c>
      <c r="T1" s="5" t="s">
        <v>376</v>
      </c>
      <c r="U1" s="5" t="s">
        <v>377</v>
      </c>
      <c r="V1" s="5" t="s">
        <v>378</v>
      </c>
      <c r="W1" s="5" t="s">
        <v>379</v>
      </c>
      <c r="X1" s="5" t="s">
        <v>91</v>
      </c>
      <c r="Y1" s="5" t="s">
        <v>380</v>
      </c>
      <c r="Z1" s="5" t="s">
        <v>90</v>
      </c>
      <c r="AA1" s="5" t="s">
        <v>102</v>
      </c>
      <c r="AB1" s="5" t="s">
        <v>381</v>
      </c>
      <c r="AC1" s="5" t="s">
        <v>94</v>
      </c>
      <c r="AD1" s="5" t="s">
        <v>382</v>
      </c>
      <c r="AE1" s="5" t="s">
        <v>383</v>
      </c>
      <c r="AF1" s="5" t="s">
        <v>384</v>
      </c>
      <c r="AG1" s="5" t="s">
        <v>93</v>
      </c>
      <c r="AH1" s="5" t="s">
        <v>385</v>
      </c>
    </row>
    <row r="2" spans="1:34" ht="31.5" x14ac:dyDescent="0.25">
      <c r="A2" s="14">
        <f t="shared" ref="A2:A65" si="0">IF(ISBLANK(D2),"",ROW()-1)</f>
        <v>1</v>
      </c>
      <c r="B2" s="15" t="s">
        <v>386</v>
      </c>
      <c r="C2" s="14" t="str">
        <f t="shared" ref="C2:C65" si="1">IF(OR(ISBLANK(D2),ISBLANK(K2)),"",IFERROR(VLOOKUP(K2,CatItemTypeLookup,2,FALSE),"?")&amp;"-"&amp;IF(L2="","?",IFERROR(VLOOKUP(L2,SubjectLookup,2,FALSE),"="))&amp;"-"&amp;IF(M2="","?",IFERROR(VLOOKUP(M2,GenreLookup,2,FALSE),"="))&amp;"-"&amp;IF(H2="","NOC",H2)&amp;"-"&amp;TEXT(A2,"000")&amp;IF(ISBLANK(O2),"","-"&amp;SUBSTITUTE(O2," ","")))</f>
        <v>BK-LIT-COL-TAG-001-Vol1</v>
      </c>
      <c r="D2" s="8" t="s">
        <v>387</v>
      </c>
      <c r="E2" s="8" t="s">
        <v>388</v>
      </c>
      <c r="F2" s="8" t="s">
        <v>389</v>
      </c>
      <c r="G2" s="8"/>
      <c r="H2" s="14" t="str">
        <f>IF(ISBLANK(F2),"",IF(G2&lt;&gt;"",UPPER(TRIM(G2)),IF(ISNUMBER(SEARCH(" ",TRIM(F2))),UPPER(LEFT(TRIM(RIGHT(SUBSTITUTE(TRIM(F2)," ",REPT(" ",100)),100)),Settings!$B$9)),UPPER(LEFT(TRIM(F2),Settings!$B$9)))))</f>
        <v>TAG</v>
      </c>
      <c r="I2" s="8"/>
      <c r="J2" s="8"/>
      <c r="K2" s="8" t="s">
        <v>73</v>
      </c>
      <c r="L2" s="8" t="s">
        <v>110</v>
      </c>
      <c r="M2" s="8" t="s">
        <v>339</v>
      </c>
      <c r="N2" s="8" t="s">
        <v>141</v>
      </c>
      <c r="O2" s="8" t="s">
        <v>388</v>
      </c>
      <c r="P2" s="8"/>
      <c r="Q2" s="8"/>
      <c r="R2" s="8"/>
      <c r="S2" s="8"/>
      <c r="T2" s="8"/>
      <c r="U2" s="8"/>
      <c r="V2" s="8"/>
      <c r="W2" s="8"/>
      <c r="X2" s="8" t="s">
        <v>117</v>
      </c>
      <c r="Y2" s="8" t="s">
        <v>390</v>
      </c>
      <c r="Z2" s="8" t="s">
        <v>171</v>
      </c>
      <c r="AA2" s="16" t="str">
        <f>IF(ISBLANK(D2),"",IF(COUNTIFS(Circulation!$B$2:$B$500,A2,Circulation!$H$2:$H$500,"Active")&gt;0,"On Loan","Available"))</f>
        <v>Available</v>
      </c>
      <c r="AB2" s="8"/>
      <c r="AC2" s="8"/>
      <c r="AD2" s="8"/>
      <c r="AE2" s="8"/>
      <c r="AF2" s="8"/>
      <c r="AG2" s="8"/>
      <c r="AH2" s="8"/>
    </row>
    <row r="3" spans="1:34" ht="31.5" x14ac:dyDescent="0.25">
      <c r="A3" s="14">
        <f t="shared" si="0"/>
        <v>2</v>
      </c>
      <c r="B3" s="15" t="s">
        <v>391</v>
      </c>
      <c r="C3" s="14" t="str">
        <f t="shared" si="1"/>
        <v>BK-LIT-COL-TAG-002-Vol2</v>
      </c>
      <c r="D3" s="8" t="s">
        <v>387</v>
      </c>
      <c r="E3" s="8" t="s">
        <v>392</v>
      </c>
      <c r="F3" s="8" t="s">
        <v>389</v>
      </c>
      <c r="G3" s="8"/>
      <c r="H3" s="14" t="str">
        <f>IF(ISBLANK(F3),"",IF(G3&lt;&gt;"",UPPER(TRIM(G3)),IF(ISNUMBER(SEARCH(" ",TRIM(F3))),UPPER(LEFT(TRIM(RIGHT(SUBSTITUTE(TRIM(F3)," ",REPT(" ",100)),100)),Settings!$B$9)),UPPER(LEFT(TRIM(F3),Settings!$B$9)))))</f>
        <v>TAG</v>
      </c>
      <c r="I3" s="8"/>
      <c r="J3" s="8"/>
      <c r="K3" s="8" t="s">
        <v>73</v>
      </c>
      <c r="L3" s="8" t="s">
        <v>110</v>
      </c>
      <c r="M3" s="8" t="s">
        <v>339</v>
      </c>
      <c r="N3" s="8" t="s">
        <v>141</v>
      </c>
      <c r="O3" s="8" t="s">
        <v>392</v>
      </c>
      <c r="P3" s="8"/>
      <c r="Q3" s="8"/>
      <c r="R3" s="8"/>
      <c r="S3" s="8"/>
      <c r="T3" s="8"/>
      <c r="U3" s="8"/>
      <c r="V3" s="8"/>
      <c r="W3" s="8"/>
      <c r="X3" s="8" t="s">
        <v>117</v>
      </c>
      <c r="Y3" s="8" t="s">
        <v>390</v>
      </c>
      <c r="Z3" s="8" t="s">
        <v>171</v>
      </c>
      <c r="AA3" s="16" t="str">
        <f>IF(ISBLANK(D3),"",IF(COUNTIFS(Circulation!$B$2:$B$500,A3,Circulation!$H$2:$H$500,"Active")&gt;0,"On Loan","Available"))</f>
        <v>Available</v>
      </c>
      <c r="AB3" s="8"/>
      <c r="AC3" s="8"/>
      <c r="AD3" s="8"/>
      <c r="AE3" s="8"/>
      <c r="AF3" s="8"/>
      <c r="AG3" s="8"/>
      <c r="AH3" s="8"/>
    </row>
    <row r="4" spans="1:34" ht="31.5" x14ac:dyDescent="0.25">
      <c r="A4" s="14">
        <f t="shared" si="0"/>
        <v>3</v>
      </c>
      <c r="B4" s="15" t="s">
        <v>393</v>
      </c>
      <c r="C4" s="14" t="str">
        <f t="shared" si="1"/>
        <v>BK-LIT-COL-TAG-003-Vol3</v>
      </c>
      <c r="D4" s="8" t="s">
        <v>387</v>
      </c>
      <c r="E4" s="8" t="s">
        <v>394</v>
      </c>
      <c r="F4" s="8" t="s">
        <v>389</v>
      </c>
      <c r="G4" s="8"/>
      <c r="H4" s="14" t="str">
        <f>IF(ISBLANK(F4),"",IF(G4&lt;&gt;"",UPPER(TRIM(G4)),IF(ISNUMBER(SEARCH(" ",TRIM(F4))),UPPER(LEFT(TRIM(RIGHT(SUBSTITUTE(TRIM(F4)," ",REPT(" ",100)),100)),Settings!$B$9)),UPPER(LEFT(TRIM(F4),Settings!$B$9)))))</f>
        <v>TAG</v>
      </c>
      <c r="I4" s="8"/>
      <c r="J4" s="8"/>
      <c r="K4" s="8" t="s">
        <v>73</v>
      </c>
      <c r="L4" s="8" t="s">
        <v>110</v>
      </c>
      <c r="M4" s="8" t="s">
        <v>339</v>
      </c>
      <c r="N4" s="8" t="s">
        <v>141</v>
      </c>
      <c r="O4" s="8" t="s">
        <v>394</v>
      </c>
      <c r="P4" s="8"/>
      <c r="Q4" s="8"/>
      <c r="R4" s="8"/>
      <c r="S4" s="8"/>
      <c r="T4" s="8"/>
      <c r="U4" s="8"/>
      <c r="V4" s="8"/>
      <c r="W4" s="8"/>
      <c r="X4" s="8" t="s">
        <v>117</v>
      </c>
      <c r="Y4" s="8" t="s">
        <v>390</v>
      </c>
      <c r="Z4" s="8" t="s">
        <v>171</v>
      </c>
      <c r="AA4" s="16" t="str">
        <f>IF(ISBLANK(D4),"",IF(COUNTIFS(Circulation!$B$2:$B$500,A4,Circulation!$H$2:$H$500,"Active")&gt;0,"On Loan","Available"))</f>
        <v>Available</v>
      </c>
      <c r="AB4" s="8"/>
      <c r="AC4" s="8"/>
      <c r="AD4" s="8"/>
      <c r="AE4" s="8"/>
      <c r="AF4" s="8"/>
      <c r="AG4" s="8"/>
      <c r="AH4" s="8"/>
    </row>
    <row r="5" spans="1:34" ht="31.5" x14ac:dyDescent="0.25">
      <c r="A5" s="14">
        <f t="shared" si="0"/>
        <v>4</v>
      </c>
      <c r="B5" s="15" t="s">
        <v>395</v>
      </c>
      <c r="C5" s="14" t="str">
        <f t="shared" si="1"/>
        <v>BK-LIT-COL-TAG-004-Vol4</v>
      </c>
      <c r="D5" s="8" t="s">
        <v>387</v>
      </c>
      <c r="E5" s="8" t="s">
        <v>396</v>
      </c>
      <c r="F5" s="8" t="s">
        <v>389</v>
      </c>
      <c r="G5" s="8"/>
      <c r="H5" s="14" t="str">
        <f>IF(ISBLANK(F5),"",IF(G5&lt;&gt;"",UPPER(TRIM(G5)),IF(ISNUMBER(SEARCH(" ",TRIM(F5))),UPPER(LEFT(TRIM(RIGHT(SUBSTITUTE(TRIM(F5)," ",REPT(" ",100)),100)),Settings!$B$9)),UPPER(LEFT(TRIM(F5),Settings!$B$9)))))</f>
        <v>TAG</v>
      </c>
      <c r="I5" s="8"/>
      <c r="J5" s="8"/>
      <c r="K5" s="8" t="s">
        <v>73</v>
      </c>
      <c r="L5" s="8" t="s">
        <v>110</v>
      </c>
      <c r="M5" s="8" t="s">
        <v>339</v>
      </c>
      <c r="N5" s="8" t="s">
        <v>141</v>
      </c>
      <c r="O5" s="8" t="s">
        <v>396</v>
      </c>
      <c r="P5" s="8"/>
      <c r="Q5" s="8"/>
      <c r="R5" s="8"/>
      <c r="S5" s="8"/>
      <c r="T5" s="8"/>
      <c r="U5" s="8"/>
      <c r="V5" s="8"/>
      <c r="W5" s="8"/>
      <c r="X5" s="8" t="s">
        <v>117</v>
      </c>
      <c r="Y5" s="8" t="s">
        <v>390</v>
      </c>
      <c r="Z5" s="8" t="s">
        <v>171</v>
      </c>
      <c r="AA5" s="16" t="str">
        <f>IF(ISBLANK(D5),"",IF(COUNTIFS(Circulation!$B$2:$B$500,A5,Circulation!$H$2:$H$500,"Active")&gt;0,"On Loan","Available"))</f>
        <v>Available</v>
      </c>
      <c r="AB5" s="8"/>
      <c r="AC5" s="8"/>
      <c r="AD5" s="8"/>
      <c r="AE5" s="8"/>
      <c r="AF5" s="8"/>
      <c r="AG5" s="8"/>
      <c r="AH5" s="8"/>
    </row>
    <row r="6" spans="1:34" ht="31.5" x14ac:dyDescent="0.25">
      <c r="A6" s="14">
        <f t="shared" si="0"/>
        <v>5</v>
      </c>
      <c r="B6" s="15" t="s">
        <v>397</v>
      </c>
      <c r="C6" s="14" t="str">
        <f t="shared" si="1"/>
        <v>BK-LIT-COL-TAG-005-Vol5</v>
      </c>
      <c r="D6" s="8" t="s">
        <v>387</v>
      </c>
      <c r="E6" s="8" t="s">
        <v>398</v>
      </c>
      <c r="F6" s="8" t="s">
        <v>389</v>
      </c>
      <c r="G6" s="8"/>
      <c r="H6" s="14" t="str">
        <f>IF(ISBLANK(F6),"",IF(G6&lt;&gt;"",UPPER(TRIM(G6)),IF(ISNUMBER(SEARCH(" ",TRIM(F6))),UPPER(LEFT(TRIM(RIGHT(SUBSTITUTE(TRIM(F6)," ",REPT(" ",100)),100)),Settings!$B$9)),UPPER(LEFT(TRIM(F6),Settings!$B$9)))))</f>
        <v>TAG</v>
      </c>
      <c r="I6" s="8"/>
      <c r="J6" s="8"/>
      <c r="K6" s="8" t="s">
        <v>73</v>
      </c>
      <c r="L6" s="8" t="s">
        <v>110</v>
      </c>
      <c r="M6" s="8" t="s">
        <v>339</v>
      </c>
      <c r="N6" s="8" t="s">
        <v>141</v>
      </c>
      <c r="O6" s="8" t="s">
        <v>398</v>
      </c>
      <c r="P6" s="8"/>
      <c r="Q6" s="8"/>
      <c r="R6" s="8"/>
      <c r="S6" s="8"/>
      <c r="T6" s="8"/>
      <c r="U6" s="8"/>
      <c r="V6" s="8"/>
      <c r="W6" s="8"/>
      <c r="X6" s="8" t="s">
        <v>117</v>
      </c>
      <c r="Y6" s="8" t="s">
        <v>390</v>
      </c>
      <c r="Z6" s="8" t="s">
        <v>171</v>
      </c>
      <c r="AA6" s="16" t="str">
        <f>IF(ISBLANK(D6),"",IF(COUNTIFS(Circulation!$B$2:$B$500,A6,Circulation!$H$2:$H$500,"Active")&gt;0,"On Loan","Available"))</f>
        <v>Available</v>
      </c>
      <c r="AB6" s="8"/>
      <c r="AC6" s="8"/>
      <c r="AD6" s="8"/>
      <c r="AE6" s="8"/>
      <c r="AF6" s="8"/>
      <c r="AG6" s="8"/>
      <c r="AH6" s="8"/>
    </row>
    <row r="7" spans="1:34" ht="31.5" x14ac:dyDescent="0.25">
      <c r="A7" s="14">
        <f t="shared" si="0"/>
        <v>6</v>
      </c>
      <c r="B7" s="15" t="s">
        <v>399</v>
      </c>
      <c r="C7" s="14" t="str">
        <f t="shared" si="1"/>
        <v>BK-LIT-COL-TAG-006-Vol6</v>
      </c>
      <c r="D7" s="8" t="s">
        <v>387</v>
      </c>
      <c r="E7" s="8" t="s">
        <v>400</v>
      </c>
      <c r="F7" s="8" t="s">
        <v>389</v>
      </c>
      <c r="G7" s="8"/>
      <c r="H7" s="14" t="str">
        <f>IF(ISBLANK(F7),"",IF(G7&lt;&gt;"",UPPER(TRIM(G7)),IF(ISNUMBER(SEARCH(" ",TRIM(F7))),UPPER(LEFT(TRIM(RIGHT(SUBSTITUTE(TRIM(F7)," ",REPT(" ",100)),100)),Settings!$B$9)),UPPER(LEFT(TRIM(F7),Settings!$B$9)))))</f>
        <v>TAG</v>
      </c>
      <c r="I7" s="8"/>
      <c r="J7" s="8"/>
      <c r="K7" s="8" t="s">
        <v>73</v>
      </c>
      <c r="L7" s="8" t="s">
        <v>110</v>
      </c>
      <c r="M7" s="8" t="s">
        <v>339</v>
      </c>
      <c r="N7" s="8" t="s">
        <v>141</v>
      </c>
      <c r="O7" s="8" t="s">
        <v>400</v>
      </c>
      <c r="P7" s="8"/>
      <c r="Q7" s="8"/>
      <c r="R7" s="8"/>
      <c r="S7" s="8"/>
      <c r="T7" s="8"/>
      <c r="U7" s="8"/>
      <c r="V7" s="8"/>
      <c r="W7" s="8"/>
      <c r="X7" s="8" t="s">
        <v>117</v>
      </c>
      <c r="Y7" s="8" t="s">
        <v>390</v>
      </c>
      <c r="Z7" s="8" t="s">
        <v>171</v>
      </c>
      <c r="AA7" s="16" t="str">
        <f>IF(ISBLANK(D7),"",IF(COUNTIFS(Circulation!$B$2:$B$500,A7,Circulation!$H$2:$H$500,"Active")&gt;0,"On Loan","Available"))</f>
        <v>Available</v>
      </c>
      <c r="AB7" s="8"/>
      <c r="AC7" s="8"/>
      <c r="AD7" s="8"/>
      <c r="AE7" s="8"/>
      <c r="AF7" s="8"/>
      <c r="AG7" s="8"/>
      <c r="AH7" s="8"/>
    </row>
    <row r="8" spans="1:34" ht="31.5" x14ac:dyDescent="0.25">
      <c r="A8" s="14">
        <f t="shared" si="0"/>
        <v>7</v>
      </c>
      <c r="B8" s="15" t="s">
        <v>401</v>
      </c>
      <c r="C8" s="14" t="str">
        <f t="shared" si="1"/>
        <v>BK-LIT-COL-TAG-007-Vol7</v>
      </c>
      <c r="D8" s="8" t="s">
        <v>387</v>
      </c>
      <c r="E8" s="8" t="s">
        <v>402</v>
      </c>
      <c r="F8" s="8" t="s">
        <v>389</v>
      </c>
      <c r="G8" s="8"/>
      <c r="H8" s="14" t="str">
        <f>IF(ISBLANK(F8),"",IF(G8&lt;&gt;"",UPPER(TRIM(G8)),IF(ISNUMBER(SEARCH(" ",TRIM(F8))),UPPER(LEFT(TRIM(RIGHT(SUBSTITUTE(TRIM(F8)," ",REPT(" ",100)),100)),Settings!$B$9)),UPPER(LEFT(TRIM(F8),Settings!$B$9)))))</f>
        <v>TAG</v>
      </c>
      <c r="I8" s="8"/>
      <c r="J8" s="8"/>
      <c r="K8" s="8" t="s">
        <v>73</v>
      </c>
      <c r="L8" s="8" t="s">
        <v>110</v>
      </c>
      <c r="M8" s="8" t="s">
        <v>339</v>
      </c>
      <c r="N8" s="8" t="s">
        <v>141</v>
      </c>
      <c r="O8" s="8" t="s">
        <v>402</v>
      </c>
      <c r="P8" s="8"/>
      <c r="Q8" s="8"/>
      <c r="R8" s="8"/>
      <c r="S8" s="8"/>
      <c r="T8" s="8"/>
      <c r="U8" s="8"/>
      <c r="V8" s="8"/>
      <c r="W8" s="8"/>
      <c r="X8" s="8" t="s">
        <v>117</v>
      </c>
      <c r="Y8" s="8" t="s">
        <v>390</v>
      </c>
      <c r="Z8" s="8" t="s">
        <v>171</v>
      </c>
      <c r="AA8" s="16" t="str">
        <f>IF(ISBLANK(D8),"",IF(COUNTIFS(Circulation!$B$2:$B$500,A8,Circulation!$H$2:$H$500,"Active")&gt;0,"On Loan","Available"))</f>
        <v>Available</v>
      </c>
      <c r="AB8" s="8"/>
      <c r="AC8" s="8"/>
      <c r="AD8" s="8"/>
      <c r="AE8" s="8"/>
      <c r="AF8" s="8"/>
      <c r="AG8" s="8"/>
      <c r="AH8" s="8"/>
    </row>
    <row r="9" spans="1:34" ht="31.5" x14ac:dyDescent="0.25">
      <c r="A9" s="14">
        <f t="shared" si="0"/>
        <v>8</v>
      </c>
      <c r="B9" s="15" t="s">
        <v>403</v>
      </c>
      <c r="C9" s="14" t="str">
        <f t="shared" si="1"/>
        <v>BK-LIT-COL-TAG-008-Vol8</v>
      </c>
      <c r="D9" s="8" t="s">
        <v>387</v>
      </c>
      <c r="E9" s="8" t="s">
        <v>404</v>
      </c>
      <c r="F9" s="8" t="s">
        <v>389</v>
      </c>
      <c r="G9" s="8"/>
      <c r="H9" s="14" t="str">
        <f>IF(ISBLANK(F9),"",IF(G9&lt;&gt;"",UPPER(TRIM(G9)),IF(ISNUMBER(SEARCH(" ",TRIM(F9))),UPPER(LEFT(TRIM(RIGHT(SUBSTITUTE(TRIM(F9)," ",REPT(" ",100)),100)),Settings!$B$9)),UPPER(LEFT(TRIM(F9),Settings!$B$9)))))</f>
        <v>TAG</v>
      </c>
      <c r="I9" s="8"/>
      <c r="J9" s="8"/>
      <c r="K9" s="8" t="s">
        <v>73</v>
      </c>
      <c r="L9" s="8" t="s">
        <v>110</v>
      </c>
      <c r="M9" s="8" t="s">
        <v>339</v>
      </c>
      <c r="N9" s="8" t="s">
        <v>141</v>
      </c>
      <c r="O9" s="8" t="s">
        <v>404</v>
      </c>
      <c r="P9" s="8"/>
      <c r="Q9" s="8"/>
      <c r="R9" s="8"/>
      <c r="S9" s="8"/>
      <c r="T9" s="8"/>
      <c r="U9" s="8"/>
      <c r="V9" s="8"/>
      <c r="W9" s="8"/>
      <c r="X9" s="8" t="s">
        <v>117</v>
      </c>
      <c r="Y9" s="8" t="s">
        <v>390</v>
      </c>
      <c r="Z9" s="8" t="s">
        <v>171</v>
      </c>
      <c r="AA9" s="16" t="str">
        <f>IF(ISBLANK(D9),"",IF(COUNTIFS(Circulation!$B$2:$B$500,A9,Circulation!$H$2:$H$500,"Active")&gt;0,"On Loan","Available"))</f>
        <v>Available</v>
      </c>
      <c r="AB9" s="8"/>
      <c r="AC9" s="8"/>
      <c r="AD9" s="8"/>
      <c r="AE9" s="8"/>
      <c r="AF9" s="8"/>
      <c r="AG9" s="8"/>
      <c r="AH9" s="8"/>
    </row>
    <row r="10" spans="1:34" ht="31.5" x14ac:dyDescent="0.25">
      <c r="A10" s="14">
        <f t="shared" si="0"/>
        <v>9</v>
      </c>
      <c r="B10" s="15" t="s">
        <v>405</v>
      </c>
      <c r="C10" s="14" t="str">
        <f t="shared" si="1"/>
        <v>BK-LIT-COL-TAG-009-Vol9</v>
      </c>
      <c r="D10" s="8" t="s">
        <v>387</v>
      </c>
      <c r="E10" s="8" t="s">
        <v>406</v>
      </c>
      <c r="F10" s="8" t="s">
        <v>389</v>
      </c>
      <c r="G10" s="8"/>
      <c r="H10" s="14" t="str">
        <f>IF(ISBLANK(F10),"",IF(G10&lt;&gt;"",UPPER(TRIM(G10)),IF(ISNUMBER(SEARCH(" ",TRIM(F10))),UPPER(LEFT(TRIM(RIGHT(SUBSTITUTE(TRIM(F10)," ",REPT(" ",100)),100)),Settings!$B$9)),UPPER(LEFT(TRIM(F10),Settings!$B$9)))))</f>
        <v>TAG</v>
      </c>
      <c r="I10" s="8"/>
      <c r="J10" s="8"/>
      <c r="K10" s="8" t="s">
        <v>73</v>
      </c>
      <c r="L10" s="8" t="s">
        <v>110</v>
      </c>
      <c r="M10" s="8" t="s">
        <v>339</v>
      </c>
      <c r="N10" s="8" t="s">
        <v>141</v>
      </c>
      <c r="O10" s="8" t="s">
        <v>406</v>
      </c>
      <c r="P10" s="8"/>
      <c r="Q10" s="8"/>
      <c r="R10" s="8"/>
      <c r="S10" s="8"/>
      <c r="T10" s="8"/>
      <c r="U10" s="8"/>
      <c r="V10" s="8"/>
      <c r="W10" s="8"/>
      <c r="X10" s="8" t="s">
        <v>117</v>
      </c>
      <c r="Y10" s="8" t="s">
        <v>407</v>
      </c>
      <c r="Z10" s="8" t="s">
        <v>171</v>
      </c>
      <c r="AA10" s="16" t="str">
        <f>IF(ISBLANK(D10),"",IF(COUNTIFS(Circulation!$B$2:$B$500,A10,Circulation!$H$2:$H$500,"Active")&gt;0,"On Loan","Available"))</f>
        <v>Available</v>
      </c>
      <c r="AB10" s="8"/>
      <c r="AC10" s="8"/>
      <c r="AD10" s="8"/>
      <c r="AE10" s="8"/>
      <c r="AF10" s="8"/>
      <c r="AG10" s="8"/>
      <c r="AH10" s="8"/>
    </row>
    <row r="11" spans="1:34" ht="31.5" x14ac:dyDescent="0.25">
      <c r="A11" s="14">
        <f t="shared" si="0"/>
        <v>10</v>
      </c>
      <c r="B11" s="15" t="s">
        <v>408</v>
      </c>
      <c r="C11" s="14" t="str">
        <f t="shared" si="1"/>
        <v>BK-LIT-COL-TAG-010-Vol10</v>
      </c>
      <c r="D11" s="8" t="s">
        <v>387</v>
      </c>
      <c r="E11" s="8" t="s">
        <v>409</v>
      </c>
      <c r="F11" s="8" t="s">
        <v>389</v>
      </c>
      <c r="G11" s="8"/>
      <c r="H11" s="14" t="str">
        <f>IF(ISBLANK(F11),"",IF(G11&lt;&gt;"",UPPER(TRIM(G11)),IF(ISNUMBER(SEARCH(" ",TRIM(F11))),UPPER(LEFT(TRIM(RIGHT(SUBSTITUTE(TRIM(F11)," ",REPT(" ",100)),100)),Settings!$B$9)),UPPER(LEFT(TRIM(F11),Settings!$B$9)))))</f>
        <v>TAG</v>
      </c>
      <c r="I11" s="8"/>
      <c r="J11" s="8"/>
      <c r="K11" s="8" t="s">
        <v>73</v>
      </c>
      <c r="L11" s="8" t="s">
        <v>110</v>
      </c>
      <c r="M11" s="8" t="s">
        <v>339</v>
      </c>
      <c r="N11" s="8" t="s">
        <v>141</v>
      </c>
      <c r="O11" s="8" t="s">
        <v>409</v>
      </c>
      <c r="P11" s="8"/>
      <c r="Q11" s="8"/>
      <c r="R11" s="8"/>
      <c r="S11" s="8"/>
      <c r="T11" s="8"/>
      <c r="U11" s="8"/>
      <c r="V11" s="8"/>
      <c r="W11" s="8"/>
      <c r="X11" s="8" t="s">
        <v>117</v>
      </c>
      <c r="Y11" s="8" t="s">
        <v>407</v>
      </c>
      <c r="Z11" s="8" t="s">
        <v>171</v>
      </c>
      <c r="AA11" s="16" t="str">
        <f>IF(ISBLANK(D11),"",IF(COUNTIFS(Circulation!$B$2:$B$500,A11,Circulation!$H$2:$H$500,"Active")&gt;0,"On Loan","Available"))</f>
        <v>Available</v>
      </c>
      <c r="AB11" s="8"/>
      <c r="AC11" s="8"/>
      <c r="AD11" s="8"/>
      <c r="AE11" s="8"/>
      <c r="AF11" s="8"/>
      <c r="AG11" s="8"/>
      <c r="AH11" s="8"/>
    </row>
    <row r="12" spans="1:34" ht="31.5" x14ac:dyDescent="0.25">
      <c r="A12" s="14">
        <f t="shared" si="0"/>
        <v>11</v>
      </c>
      <c r="B12" s="15" t="s">
        <v>410</v>
      </c>
      <c r="C12" s="14" t="str">
        <f t="shared" si="1"/>
        <v>BK-LIT-COL-TAG-011-Vol11</v>
      </c>
      <c r="D12" s="8" t="s">
        <v>387</v>
      </c>
      <c r="E12" s="8" t="s">
        <v>411</v>
      </c>
      <c r="F12" s="8" t="s">
        <v>389</v>
      </c>
      <c r="G12" s="8"/>
      <c r="H12" s="14" t="str">
        <f>IF(ISBLANK(F12),"",IF(G12&lt;&gt;"",UPPER(TRIM(G12)),IF(ISNUMBER(SEARCH(" ",TRIM(F12))),UPPER(LEFT(TRIM(RIGHT(SUBSTITUTE(TRIM(F12)," ",REPT(" ",100)),100)),Settings!$B$9)),UPPER(LEFT(TRIM(F12),Settings!$B$9)))))</f>
        <v>TAG</v>
      </c>
      <c r="I12" s="8"/>
      <c r="J12" s="8"/>
      <c r="K12" s="8" t="s">
        <v>73</v>
      </c>
      <c r="L12" s="8" t="s">
        <v>110</v>
      </c>
      <c r="M12" s="8" t="s">
        <v>339</v>
      </c>
      <c r="N12" s="8" t="s">
        <v>141</v>
      </c>
      <c r="O12" s="8" t="s">
        <v>411</v>
      </c>
      <c r="P12" s="8"/>
      <c r="Q12" s="8"/>
      <c r="R12" s="8"/>
      <c r="S12" s="8"/>
      <c r="T12" s="8"/>
      <c r="U12" s="8"/>
      <c r="V12" s="8"/>
      <c r="W12" s="8"/>
      <c r="X12" s="8" t="s">
        <v>117</v>
      </c>
      <c r="Y12" s="8" t="s">
        <v>407</v>
      </c>
      <c r="Z12" s="8" t="s">
        <v>171</v>
      </c>
      <c r="AA12" s="16" t="str">
        <f>IF(ISBLANK(D12),"",IF(COUNTIFS(Circulation!$B$2:$B$500,A12,Circulation!$H$2:$H$500,"Active")&gt;0,"On Loan","Available"))</f>
        <v>Available</v>
      </c>
      <c r="AB12" s="8"/>
      <c r="AC12" s="8"/>
      <c r="AD12" s="8"/>
      <c r="AE12" s="8"/>
      <c r="AF12" s="8"/>
      <c r="AG12" s="8"/>
      <c r="AH12" s="8"/>
    </row>
    <row r="13" spans="1:34" ht="31.5" x14ac:dyDescent="0.25">
      <c r="A13" s="14">
        <f t="shared" si="0"/>
        <v>12</v>
      </c>
      <c r="B13" s="15" t="s">
        <v>412</v>
      </c>
      <c r="C13" s="14" t="str">
        <f t="shared" si="1"/>
        <v>BK-LIT-COL-TAG-012-Vol12</v>
      </c>
      <c r="D13" s="8" t="s">
        <v>387</v>
      </c>
      <c r="E13" s="8" t="s">
        <v>413</v>
      </c>
      <c r="F13" s="8" t="s">
        <v>389</v>
      </c>
      <c r="G13" s="8"/>
      <c r="H13" s="14" t="str">
        <f>IF(ISBLANK(F13),"",IF(G13&lt;&gt;"",UPPER(TRIM(G13)),IF(ISNUMBER(SEARCH(" ",TRIM(F13))),UPPER(LEFT(TRIM(RIGHT(SUBSTITUTE(TRIM(F13)," ",REPT(" ",100)),100)),Settings!$B$9)),UPPER(LEFT(TRIM(F13),Settings!$B$9)))))</f>
        <v>TAG</v>
      </c>
      <c r="I13" s="8"/>
      <c r="J13" s="8"/>
      <c r="K13" s="8" t="s">
        <v>73</v>
      </c>
      <c r="L13" s="8" t="s">
        <v>110</v>
      </c>
      <c r="M13" s="8" t="s">
        <v>339</v>
      </c>
      <c r="N13" s="8" t="s">
        <v>141</v>
      </c>
      <c r="O13" s="8" t="s">
        <v>413</v>
      </c>
      <c r="P13" s="8"/>
      <c r="Q13" s="8"/>
      <c r="R13" s="8"/>
      <c r="S13" s="8"/>
      <c r="T13" s="8"/>
      <c r="U13" s="8"/>
      <c r="V13" s="8"/>
      <c r="W13" s="8"/>
      <c r="X13" s="8" t="s">
        <v>117</v>
      </c>
      <c r="Y13" s="8" t="s">
        <v>407</v>
      </c>
      <c r="Z13" s="8" t="s">
        <v>171</v>
      </c>
      <c r="AA13" s="16" t="str">
        <f>IF(ISBLANK(D13),"",IF(COUNTIFS(Circulation!$B$2:$B$500,A13,Circulation!$H$2:$H$500,"Active")&gt;0,"On Loan","Available"))</f>
        <v>Available</v>
      </c>
      <c r="AB13" s="8"/>
      <c r="AC13" s="8"/>
      <c r="AD13" s="8"/>
      <c r="AE13" s="8"/>
      <c r="AF13" s="8"/>
      <c r="AG13" s="8"/>
      <c r="AH13" s="8"/>
    </row>
    <row r="14" spans="1:34" ht="31.5" x14ac:dyDescent="0.25">
      <c r="A14" s="14">
        <f t="shared" si="0"/>
        <v>13</v>
      </c>
      <c r="B14" s="15" t="s">
        <v>414</v>
      </c>
      <c r="C14" s="14" t="str">
        <f t="shared" si="1"/>
        <v>BK-LIT-COL-TAG-013-Vol13</v>
      </c>
      <c r="D14" s="8" t="s">
        <v>387</v>
      </c>
      <c r="E14" s="8" t="s">
        <v>415</v>
      </c>
      <c r="F14" s="8" t="s">
        <v>389</v>
      </c>
      <c r="G14" s="8"/>
      <c r="H14" s="14" t="str">
        <f>IF(ISBLANK(F14),"",IF(G14&lt;&gt;"",UPPER(TRIM(G14)),IF(ISNUMBER(SEARCH(" ",TRIM(F14))),UPPER(LEFT(TRIM(RIGHT(SUBSTITUTE(TRIM(F14)," ",REPT(" ",100)),100)),Settings!$B$9)),UPPER(LEFT(TRIM(F14),Settings!$B$9)))))</f>
        <v>TAG</v>
      </c>
      <c r="I14" s="8"/>
      <c r="J14" s="8"/>
      <c r="K14" s="8" t="s">
        <v>73</v>
      </c>
      <c r="L14" s="8" t="s">
        <v>110</v>
      </c>
      <c r="M14" s="8" t="s">
        <v>339</v>
      </c>
      <c r="N14" s="8" t="s">
        <v>141</v>
      </c>
      <c r="O14" s="8" t="s">
        <v>415</v>
      </c>
      <c r="P14" s="8"/>
      <c r="Q14" s="8"/>
      <c r="R14" s="8"/>
      <c r="S14" s="8"/>
      <c r="T14" s="8"/>
      <c r="U14" s="8"/>
      <c r="V14" s="8"/>
      <c r="W14" s="8"/>
      <c r="X14" s="8" t="s">
        <v>117</v>
      </c>
      <c r="Y14" s="8" t="s">
        <v>407</v>
      </c>
      <c r="Z14" s="8" t="s">
        <v>171</v>
      </c>
      <c r="AA14" s="16" t="str">
        <f>IF(ISBLANK(D14),"",IF(COUNTIFS(Circulation!$B$2:$B$500,A14,Circulation!$H$2:$H$500,"Active")&gt;0,"On Loan","Available"))</f>
        <v>Available</v>
      </c>
      <c r="AB14" s="8"/>
      <c r="AC14" s="8"/>
      <c r="AD14" s="8"/>
      <c r="AE14" s="8"/>
      <c r="AF14" s="8"/>
      <c r="AG14" s="8"/>
      <c r="AH14" s="8"/>
    </row>
    <row r="15" spans="1:34" ht="31.5" x14ac:dyDescent="0.25">
      <c r="A15" s="14">
        <f t="shared" si="0"/>
        <v>14</v>
      </c>
      <c r="B15" s="15" t="s">
        <v>416</v>
      </c>
      <c r="C15" s="14" t="str">
        <f t="shared" si="1"/>
        <v>BK-LIT-COL-TAG-014-Vol14</v>
      </c>
      <c r="D15" s="8" t="s">
        <v>387</v>
      </c>
      <c r="E15" s="8" t="s">
        <v>417</v>
      </c>
      <c r="F15" s="8" t="s">
        <v>389</v>
      </c>
      <c r="G15" s="8"/>
      <c r="H15" s="14" t="str">
        <f>IF(ISBLANK(F15),"",IF(G15&lt;&gt;"",UPPER(TRIM(G15)),IF(ISNUMBER(SEARCH(" ",TRIM(F15))),UPPER(LEFT(TRIM(RIGHT(SUBSTITUTE(TRIM(F15)," ",REPT(" ",100)),100)),Settings!$B$9)),UPPER(LEFT(TRIM(F15),Settings!$B$9)))))</f>
        <v>TAG</v>
      </c>
      <c r="I15" s="8"/>
      <c r="J15" s="8"/>
      <c r="K15" s="8" t="s">
        <v>73</v>
      </c>
      <c r="L15" s="8" t="s">
        <v>110</v>
      </c>
      <c r="M15" s="8" t="s">
        <v>339</v>
      </c>
      <c r="N15" s="8" t="s">
        <v>141</v>
      </c>
      <c r="O15" s="8" t="s">
        <v>417</v>
      </c>
      <c r="P15" s="8"/>
      <c r="Q15" s="8"/>
      <c r="R15" s="8"/>
      <c r="S15" s="8"/>
      <c r="T15" s="8"/>
      <c r="U15" s="8"/>
      <c r="V15" s="8"/>
      <c r="W15" s="8"/>
      <c r="X15" s="8" t="s">
        <v>117</v>
      </c>
      <c r="Y15" s="8" t="s">
        <v>407</v>
      </c>
      <c r="Z15" s="8" t="s">
        <v>171</v>
      </c>
      <c r="AA15" s="16" t="str">
        <f>IF(ISBLANK(D15),"",IF(COUNTIFS(Circulation!$B$2:$B$500,A15,Circulation!$H$2:$H$500,"Active")&gt;0,"On Loan","Available"))</f>
        <v>Available</v>
      </c>
      <c r="AB15" s="8"/>
      <c r="AC15" s="8"/>
      <c r="AD15" s="8"/>
      <c r="AE15" s="8"/>
      <c r="AF15" s="8"/>
      <c r="AG15" s="8"/>
      <c r="AH15" s="8"/>
    </row>
    <row r="16" spans="1:34" ht="31.5" x14ac:dyDescent="0.25">
      <c r="A16" s="14">
        <f t="shared" si="0"/>
        <v>15</v>
      </c>
      <c r="B16" s="15" t="s">
        <v>418</v>
      </c>
      <c r="C16" s="14" t="str">
        <f t="shared" si="1"/>
        <v>BK-LIT-COL-TAG-015-Vol15</v>
      </c>
      <c r="D16" s="8" t="s">
        <v>387</v>
      </c>
      <c r="E16" s="8" t="s">
        <v>419</v>
      </c>
      <c r="F16" s="8" t="s">
        <v>389</v>
      </c>
      <c r="G16" s="8"/>
      <c r="H16" s="14" t="str">
        <f>IF(ISBLANK(F16),"",IF(G16&lt;&gt;"",UPPER(TRIM(G16)),IF(ISNUMBER(SEARCH(" ",TRIM(F16))),UPPER(LEFT(TRIM(RIGHT(SUBSTITUTE(TRIM(F16)," ",REPT(" ",100)),100)),Settings!$B$9)),UPPER(LEFT(TRIM(F16),Settings!$B$9)))))</f>
        <v>TAG</v>
      </c>
      <c r="I16" s="8"/>
      <c r="J16" s="8"/>
      <c r="K16" s="8" t="s">
        <v>73</v>
      </c>
      <c r="L16" s="8" t="s">
        <v>110</v>
      </c>
      <c r="M16" s="8" t="s">
        <v>339</v>
      </c>
      <c r="N16" s="8" t="s">
        <v>141</v>
      </c>
      <c r="O16" s="8" t="s">
        <v>419</v>
      </c>
      <c r="P16" s="8"/>
      <c r="Q16" s="8"/>
      <c r="R16" s="8"/>
      <c r="S16" s="8"/>
      <c r="T16" s="8"/>
      <c r="U16" s="8"/>
      <c r="V16" s="8"/>
      <c r="W16" s="8"/>
      <c r="X16" s="8" t="s">
        <v>117</v>
      </c>
      <c r="Y16" s="8" t="s">
        <v>407</v>
      </c>
      <c r="Z16" s="8" t="s">
        <v>171</v>
      </c>
      <c r="AA16" s="16" t="str">
        <f>IF(ISBLANK(D16),"",IF(COUNTIFS(Circulation!$B$2:$B$500,A16,Circulation!$H$2:$H$500,"Active")&gt;0,"On Loan","Available"))</f>
        <v>Available</v>
      </c>
      <c r="AB16" s="8"/>
      <c r="AC16" s="8"/>
      <c r="AD16" s="8"/>
      <c r="AE16" s="8"/>
      <c r="AF16" s="8"/>
      <c r="AG16" s="8"/>
      <c r="AH16" s="8"/>
    </row>
    <row r="17" spans="1:34" ht="31.5" x14ac:dyDescent="0.25">
      <c r="A17" s="14">
        <f t="shared" si="0"/>
        <v>16</v>
      </c>
      <c r="B17" s="15" t="s">
        <v>420</v>
      </c>
      <c r="C17" s="14" t="str">
        <f t="shared" si="1"/>
        <v>BK-LIT-COL-TAG-016-Vol16</v>
      </c>
      <c r="D17" s="8" t="s">
        <v>387</v>
      </c>
      <c r="E17" s="8" t="s">
        <v>421</v>
      </c>
      <c r="F17" s="8" t="s">
        <v>389</v>
      </c>
      <c r="G17" s="8"/>
      <c r="H17" s="14" t="str">
        <f>IF(ISBLANK(F17),"",IF(G17&lt;&gt;"",UPPER(TRIM(G17)),IF(ISNUMBER(SEARCH(" ",TRIM(F17))),UPPER(LEFT(TRIM(RIGHT(SUBSTITUTE(TRIM(F17)," ",REPT(" ",100)),100)),Settings!$B$9)),UPPER(LEFT(TRIM(F17),Settings!$B$9)))))</f>
        <v>TAG</v>
      </c>
      <c r="I17" s="8"/>
      <c r="J17" s="8"/>
      <c r="K17" s="8" t="s">
        <v>73</v>
      </c>
      <c r="L17" s="8" t="s">
        <v>110</v>
      </c>
      <c r="M17" s="8" t="s">
        <v>339</v>
      </c>
      <c r="N17" s="8" t="s">
        <v>141</v>
      </c>
      <c r="O17" s="8" t="s">
        <v>421</v>
      </c>
      <c r="P17" s="8"/>
      <c r="Q17" s="8"/>
      <c r="R17" s="8"/>
      <c r="S17" s="8"/>
      <c r="T17" s="8"/>
      <c r="U17" s="8"/>
      <c r="V17" s="8"/>
      <c r="W17" s="8"/>
      <c r="X17" s="8" t="s">
        <v>117</v>
      </c>
      <c r="Y17" s="8" t="s">
        <v>407</v>
      </c>
      <c r="Z17" s="8" t="s">
        <v>171</v>
      </c>
      <c r="AA17" s="16" t="str">
        <f>IF(ISBLANK(D17),"",IF(COUNTIFS(Circulation!$B$2:$B$500,A17,Circulation!$H$2:$H$500,"Active")&gt;0,"On Loan","Available"))</f>
        <v>Available</v>
      </c>
      <c r="AB17" s="8"/>
      <c r="AC17" s="8"/>
      <c r="AD17" s="8"/>
      <c r="AE17" s="8"/>
      <c r="AF17" s="8"/>
      <c r="AG17" s="8"/>
      <c r="AH17" s="8"/>
    </row>
    <row r="18" spans="1:34" ht="31.5" x14ac:dyDescent="0.25">
      <c r="A18" s="14">
        <f t="shared" si="0"/>
        <v>17</v>
      </c>
      <c r="B18" s="15" t="s">
        <v>422</v>
      </c>
      <c r="C18" s="14" t="str">
        <f t="shared" si="1"/>
        <v>BK-LIT-COL-TAG-017-Vol17</v>
      </c>
      <c r="D18" s="8" t="s">
        <v>387</v>
      </c>
      <c r="E18" s="8" t="s">
        <v>423</v>
      </c>
      <c r="F18" s="8" t="s">
        <v>389</v>
      </c>
      <c r="G18" s="8"/>
      <c r="H18" s="14" t="str">
        <f>IF(ISBLANK(F18),"",IF(G18&lt;&gt;"",UPPER(TRIM(G18)),IF(ISNUMBER(SEARCH(" ",TRIM(F18))),UPPER(LEFT(TRIM(RIGHT(SUBSTITUTE(TRIM(F18)," ",REPT(" ",100)),100)),Settings!$B$9)),UPPER(LEFT(TRIM(F18),Settings!$B$9)))))</f>
        <v>TAG</v>
      </c>
      <c r="I18" s="8"/>
      <c r="J18" s="8"/>
      <c r="K18" s="8" t="s">
        <v>73</v>
      </c>
      <c r="L18" s="8" t="s">
        <v>110</v>
      </c>
      <c r="M18" s="8" t="s">
        <v>339</v>
      </c>
      <c r="N18" s="8" t="s">
        <v>141</v>
      </c>
      <c r="O18" s="8" t="s">
        <v>423</v>
      </c>
      <c r="P18" s="8"/>
      <c r="Q18" s="8"/>
      <c r="R18" s="8"/>
      <c r="S18" s="8"/>
      <c r="T18" s="8"/>
      <c r="U18" s="8"/>
      <c r="V18" s="8"/>
      <c r="W18" s="8"/>
      <c r="X18" s="8" t="s">
        <v>117</v>
      </c>
      <c r="Y18" s="8" t="s">
        <v>407</v>
      </c>
      <c r="Z18" s="8" t="s">
        <v>171</v>
      </c>
      <c r="AA18" s="16" t="str">
        <f>IF(ISBLANK(D18),"",IF(COUNTIFS(Circulation!$B$2:$B$500,A18,Circulation!$H$2:$H$500,"Active")&gt;0,"On Loan","Available"))</f>
        <v>Available</v>
      </c>
      <c r="AB18" s="8"/>
      <c r="AC18" s="8"/>
      <c r="AD18" s="8"/>
      <c r="AE18" s="8"/>
      <c r="AF18" s="8"/>
      <c r="AG18" s="8"/>
      <c r="AH18" s="8"/>
    </row>
    <row r="19" spans="1:34" ht="31.5" x14ac:dyDescent="0.25">
      <c r="A19" s="14">
        <f t="shared" si="0"/>
        <v>18</v>
      </c>
      <c r="B19" s="15" t="s">
        <v>424</v>
      </c>
      <c r="C19" s="14" t="str">
        <f t="shared" si="1"/>
        <v>BK-LIT-COL-TAG-018-Vol18</v>
      </c>
      <c r="D19" s="8" t="s">
        <v>387</v>
      </c>
      <c r="E19" s="8" t="s">
        <v>425</v>
      </c>
      <c r="F19" s="8" t="s">
        <v>389</v>
      </c>
      <c r="G19" s="8"/>
      <c r="H19" s="14" t="str">
        <f>IF(ISBLANK(F19),"",IF(G19&lt;&gt;"",UPPER(TRIM(G19)),IF(ISNUMBER(SEARCH(" ",TRIM(F19))),UPPER(LEFT(TRIM(RIGHT(SUBSTITUTE(TRIM(F19)," ",REPT(" ",100)),100)),Settings!$B$9)),UPPER(LEFT(TRIM(F19),Settings!$B$9)))))</f>
        <v>TAG</v>
      </c>
      <c r="I19" s="8"/>
      <c r="J19" s="8"/>
      <c r="K19" s="8" t="s">
        <v>73</v>
      </c>
      <c r="L19" s="8" t="s">
        <v>110</v>
      </c>
      <c r="M19" s="8" t="s">
        <v>339</v>
      </c>
      <c r="N19" s="8" t="s">
        <v>141</v>
      </c>
      <c r="O19" s="8" t="s">
        <v>425</v>
      </c>
      <c r="P19" s="8"/>
      <c r="Q19" s="8"/>
      <c r="R19" s="8"/>
      <c r="S19" s="8"/>
      <c r="T19" s="8"/>
      <c r="U19" s="8"/>
      <c r="V19" s="8"/>
      <c r="W19" s="8"/>
      <c r="X19" s="8" t="s">
        <v>117</v>
      </c>
      <c r="Y19" s="8" t="s">
        <v>407</v>
      </c>
      <c r="Z19" s="8" t="s">
        <v>171</v>
      </c>
      <c r="AA19" s="16" t="str">
        <f>IF(ISBLANK(D19),"",IF(COUNTIFS(Circulation!$B$2:$B$500,A19,Circulation!$H$2:$H$500,"Active")&gt;0,"On Loan","Available"))</f>
        <v>Available</v>
      </c>
      <c r="AB19" s="8"/>
      <c r="AC19" s="8"/>
      <c r="AD19" s="8"/>
      <c r="AE19" s="8"/>
      <c r="AF19" s="8"/>
      <c r="AG19" s="8"/>
      <c r="AH19" s="8"/>
    </row>
    <row r="20" spans="1:34" ht="31.5" x14ac:dyDescent="0.25">
      <c r="A20" s="14">
        <f t="shared" si="0"/>
        <v>19</v>
      </c>
      <c r="B20" s="15" t="s">
        <v>426</v>
      </c>
      <c r="C20" s="14" t="str">
        <f t="shared" si="1"/>
        <v>BK-LIT-NOV-বন্-019-Vol1</v>
      </c>
      <c r="D20" s="8" t="s">
        <v>427</v>
      </c>
      <c r="E20" s="8" t="s">
        <v>388</v>
      </c>
      <c r="F20" s="8" t="s">
        <v>428</v>
      </c>
      <c r="G20" s="8"/>
      <c r="H20" s="14" t="str">
        <f>IF(ISBLANK(F20),"",IF(G20&lt;&gt;"",UPPER(TRIM(G20)),IF(ISNUMBER(SEARCH(" ",TRIM(F20))),UPPER(LEFT(TRIM(RIGHT(SUBSTITUTE(TRIM(F20)," ",REPT(" ",100)),100)),Settings!$B$9)),UPPER(LEFT(TRIM(F20),Settings!$B$9)))))</f>
        <v>বন্</v>
      </c>
      <c r="I20" s="8"/>
      <c r="J20" s="8"/>
      <c r="K20" s="8" t="s">
        <v>73</v>
      </c>
      <c r="L20" s="8" t="s">
        <v>110</v>
      </c>
      <c r="M20" s="8" t="s">
        <v>112</v>
      </c>
      <c r="N20" s="8" t="s">
        <v>141</v>
      </c>
      <c r="O20" s="8" t="s">
        <v>388</v>
      </c>
      <c r="P20" s="8"/>
      <c r="Q20" s="8"/>
      <c r="R20" s="8"/>
      <c r="S20" s="8"/>
      <c r="T20" s="8"/>
      <c r="U20" s="8"/>
      <c r="V20" s="8"/>
      <c r="W20" s="8"/>
      <c r="X20" s="8" t="s">
        <v>117</v>
      </c>
      <c r="Y20" s="8" t="s">
        <v>429</v>
      </c>
      <c r="Z20" s="8" t="s">
        <v>171</v>
      </c>
      <c r="AA20" s="16" t="str">
        <f>IF(ISBLANK(D20),"",IF(COUNTIFS(Circulation!$B$2:$B$500,A20,Circulation!$H$2:$H$500,"Active")&gt;0,"On Loan","Available"))</f>
        <v>Available</v>
      </c>
      <c r="AB20" s="8"/>
      <c r="AC20" s="8"/>
      <c r="AD20" s="8"/>
      <c r="AE20" s="8"/>
      <c r="AF20" s="8"/>
      <c r="AG20" s="8"/>
      <c r="AH20" s="8"/>
    </row>
    <row r="21" spans="1:34" ht="31.5" x14ac:dyDescent="0.25">
      <c r="A21" s="14">
        <f t="shared" si="0"/>
        <v>20</v>
      </c>
      <c r="B21" s="15" t="s">
        <v>430</v>
      </c>
      <c r="C21" s="14" t="str">
        <f t="shared" si="1"/>
        <v>MG-LIT-OTH-NOC-020</v>
      </c>
      <c r="D21" s="8" t="s">
        <v>431</v>
      </c>
      <c r="E21" s="8"/>
      <c r="F21" s="8"/>
      <c r="G21" s="8"/>
      <c r="H21" s="14" t="str">
        <f>IF(ISBLANK(F21),"",IF(G21&lt;&gt;"",UPPER(TRIM(G21)),IF(ISNUMBER(SEARCH(" ",TRIM(F21))),UPPER(LEFT(TRIM(RIGHT(SUBSTITUTE(TRIM(F21)," ",REPT(" ",100)),100)),Settings!$B$9)),UPPER(LEFT(TRIM(F21),Settings!$B$9)))))</f>
        <v/>
      </c>
      <c r="I21" s="8"/>
      <c r="J21" s="8"/>
      <c r="K21" s="8" t="s">
        <v>131</v>
      </c>
      <c r="L21" s="8" t="s">
        <v>110</v>
      </c>
      <c r="M21" s="8" t="s">
        <v>216</v>
      </c>
      <c r="N21" s="8" t="s">
        <v>141</v>
      </c>
      <c r="O21" s="8"/>
      <c r="P21" s="8"/>
      <c r="Q21" s="8"/>
      <c r="R21" s="8"/>
      <c r="S21" s="8"/>
      <c r="T21" s="8"/>
      <c r="U21" s="8"/>
      <c r="V21" s="8"/>
      <c r="W21" s="8"/>
      <c r="X21" s="8" t="s">
        <v>144</v>
      </c>
      <c r="Y21" s="8" t="s">
        <v>432</v>
      </c>
      <c r="Z21" s="8" t="s">
        <v>171</v>
      </c>
      <c r="AA21" s="16" t="str">
        <f>IF(ISBLANK(D21),"",IF(COUNTIFS(Circulation!$B$2:$B$500,A21,Circulation!$H$2:$H$500,"Active")&gt;0,"On Loan","Available"))</f>
        <v>Available</v>
      </c>
      <c r="AB21" s="8"/>
      <c r="AC21" s="8"/>
      <c r="AD21" s="8"/>
      <c r="AE21" s="8"/>
      <c r="AF21" s="8"/>
      <c r="AG21" s="8"/>
      <c r="AH21" s="8"/>
    </row>
    <row r="22" spans="1:34" ht="15.75" x14ac:dyDescent="0.25">
      <c r="A22" s="14" t="str">
        <f t="shared" si="0"/>
        <v/>
      </c>
      <c r="B22" s="15"/>
      <c r="C22" s="14" t="str">
        <f t="shared" si="1"/>
        <v/>
      </c>
      <c r="D22" s="8"/>
      <c r="E22" s="8"/>
      <c r="F22" s="8"/>
      <c r="G22" s="8"/>
      <c r="H22" s="14" t="str">
        <f>IF(ISBLANK(F22),"",IF(G22&lt;&gt;"",UPPER(TRIM(G22)),IF(ISNUMBER(SEARCH(" ",TRIM(F22))),UPPER(LEFT(TRIM(RIGHT(SUBSTITUTE(TRIM(F22)," ",REPT(" ",100)),100)),Settings!$B$9)),UPPER(LEFT(TRIM(F22),Settings!$B$9)))))</f>
        <v/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16" t="str">
        <f>IF(ISBLANK(D22),"",IF(COUNTIFS(Circulation!$B$2:$B$500,A22,Circulation!$H$2:$H$500,"Active")&gt;0,"On Loan","Available"))</f>
        <v/>
      </c>
      <c r="AB22" s="8"/>
      <c r="AC22" s="8"/>
      <c r="AD22" s="8"/>
      <c r="AE22" s="8"/>
      <c r="AF22" s="8"/>
      <c r="AG22" s="8"/>
      <c r="AH22" s="8"/>
    </row>
    <row r="23" spans="1:34" ht="15.75" x14ac:dyDescent="0.25">
      <c r="A23" s="14" t="str">
        <f t="shared" si="0"/>
        <v/>
      </c>
      <c r="B23" s="15"/>
      <c r="C23" s="14" t="str">
        <f t="shared" si="1"/>
        <v/>
      </c>
      <c r="D23" s="8"/>
      <c r="E23" s="8"/>
      <c r="F23" s="8"/>
      <c r="G23" s="8"/>
      <c r="H23" s="14" t="str">
        <f>IF(ISBLANK(F23),"",IF(G23&lt;&gt;"",UPPER(TRIM(G23)),IF(ISNUMBER(SEARCH(" ",TRIM(F23))),UPPER(LEFT(TRIM(RIGHT(SUBSTITUTE(TRIM(F23)," ",REPT(" ",100)),100)),Settings!$B$9)),UPPER(LEFT(TRIM(F23),Settings!$B$9)))))</f>
        <v/>
      </c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16" t="str">
        <f>IF(ISBLANK(D23),"",IF(COUNTIFS(Circulation!$B$2:$B$500,A23,Circulation!$H$2:$H$500,"Active")&gt;0,"On Loan","Available"))</f>
        <v/>
      </c>
      <c r="AB23" s="8"/>
      <c r="AC23" s="8"/>
      <c r="AD23" s="8"/>
      <c r="AE23" s="8"/>
      <c r="AF23" s="8"/>
      <c r="AG23" s="8"/>
      <c r="AH23" s="8"/>
    </row>
    <row r="24" spans="1:34" ht="15.75" x14ac:dyDescent="0.25">
      <c r="A24" s="14" t="str">
        <f t="shared" si="0"/>
        <v/>
      </c>
      <c r="B24" s="15"/>
      <c r="C24" s="14" t="str">
        <f t="shared" si="1"/>
        <v/>
      </c>
      <c r="D24" s="8"/>
      <c r="E24" s="8"/>
      <c r="F24" s="8"/>
      <c r="G24" s="8"/>
      <c r="H24" s="14" t="str">
        <f>IF(ISBLANK(F24),"",IF(G24&lt;&gt;"",UPPER(TRIM(G24)),IF(ISNUMBER(SEARCH(" ",TRIM(F24))),UPPER(LEFT(TRIM(RIGHT(SUBSTITUTE(TRIM(F24)," ",REPT(" ",100)),100)),Settings!$B$9)),UPPER(LEFT(TRIM(F24),Settings!$B$9)))))</f>
        <v/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16" t="str">
        <f>IF(ISBLANK(D24),"",IF(COUNTIFS(Circulation!$B$2:$B$500,A24,Circulation!$H$2:$H$500,"Active")&gt;0,"On Loan","Available"))</f>
        <v/>
      </c>
      <c r="AB24" s="8"/>
      <c r="AC24" s="8"/>
      <c r="AD24" s="8"/>
      <c r="AE24" s="8"/>
      <c r="AF24" s="8"/>
      <c r="AG24" s="8"/>
      <c r="AH24" s="8"/>
    </row>
    <row r="25" spans="1:34" ht="15.75" x14ac:dyDescent="0.25">
      <c r="A25" s="14" t="str">
        <f t="shared" si="0"/>
        <v/>
      </c>
      <c r="B25" s="15"/>
      <c r="C25" s="14" t="str">
        <f t="shared" si="1"/>
        <v/>
      </c>
      <c r="D25" s="8"/>
      <c r="E25" s="8"/>
      <c r="F25" s="8"/>
      <c r="G25" s="8"/>
      <c r="H25" s="14" t="str">
        <f>IF(ISBLANK(F25),"",IF(G25&lt;&gt;"",UPPER(TRIM(G25)),IF(ISNUMBER(SEARCH(" ",TRIM(F25))),UPPER(LEFT(TRIM(RIGHT(SUBSTITUTE(TRIM(F25)," ",REPT(" ",100)),100)),Settings!$B$9)),UPPER(LEFT(TRIM(F25),Settings!$B$9)))))</f>
        <v/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16" t="str">
        <f>IF(ISBLANK(D25),"",IF(COUNTIFS(Circulation!$B$2:$B$500,A25,Circulation!$H$2:$H$500,"Active")&gt;0,"On Loan","Available"))</f>
        <v/>
      </c>
      <c r="AB25" s="8"/>
      <c r="AC25" s="8"/>
      <c r="AD25" s="8"/>
      <c r="AE25" s="8"/>
      <c r="AF25" s="8"/>
      <c r="AG25" s="8"/>
      <c r="AH25" s="8"/>
    </row>
    <row r="26" spans="1:34" ht="15.75" x14ac:dyDescent="0.25">
      <c r="A26" s="14" t="str">
        <f t="shared" si="0"/>
        <v/>
      </c>
      <c r="B26" s="15"/>
      <c r="C26" s="14" t="str">
        <f t="shared" si="1"/>
        <v/>
      </c>
      <c r="D26" s="8"/>
      <c r="E26" s="8"/>
      <c r="F26" s="8"/>
      <c r="G26" s="8"/>
      <c r="H26" s="14" t="str">
        <f>IF(ISBLANK(F26),"",IF(G26&lt;&gt;"",UPPER(TRIM(G26)),IF(ISNUMBER(SEARCH(" ",TRIM(F26))),UPPER(LEFT(TRIM(RIGHT(SUBSTITUTE(TRIM(F26)," ",REPT(" ",100)),100)),Settings!$B$9)),UPPER(LEFT(TRIM(F26),Settings!$B$9)))))</f>
        <v/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16" t="str">
        <f>IF(ISBLANK(D26),"",IF(COUNTIFS(Circulation!$B$2:$B$500,A26,Circulation!$H$2:$H$500,"Active")&gt;0,"On Loan","Available"))</f>
        <v/>
      </c>
      <c r="AB26" s="8"/>
      <c r="AC26" s="8"/>
      <c r="AD26" s="8"/>
      <c r="AE26" s="8"/>
      <c r="AF26" s="8"/>
      <c r="AG26" s="8"/>
      <c r="AH26" s="8"/>
    </row>
    <row r="27" spans="1:34" ht="15.75" x14ac:dyDescent="0.25">
      <c r="A27" s="14" t="str">
        <f t="shared" si="0"/>
        <v/>
      </c>
      <c r="B27" s="15"/>
      <c r="C27" s="14" t="str">
        <f t="shared" si="1"/>
        <v/>
      </c>
      <c r="D27" s="8"/>
      <c r="E27" s="8"/>
      <c r="F27" s="8"/>
      <c r="G27" s="8"/>
      <c r="H27" s="14" t="str">
        <f>IF(ISBLANK(F27),"",IF(G27&lt;&gt;"",UPPER(TRIM(G27)),IF(ISNUMBER(SEARCH(" ",TRIM(F27))),UPPER(LEFT(TRIM(RIGHT(SUBSTITUTE(TRIM(F27)," ",REPT(" ",100)),100)),Settings!$B$9)),UPPER(LEFT(TRIM(F27),Settings!$B$9)))))</f>
        <v/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16" t="str">
        <f>IF(ISBLANK(D27),"",IF(COUNTIFS(Circulation!$B$2:$B$500,A27,Circulation!$H$2:$H$500,"Active")&gt;0,"On Loan","Available"))</f>
        <v/>
      </c>
      <c r="AB27" s="8"/>
      <c r="AC27" s="8"/>
      <c r="AD27" s="8"/>
      <c r="AE27" s="8"/>
      <c r="AF27" s="8"/>
      <c r="AG27" s="8"/>
      <c r="AH27" s="8"/>
    </row>
    <row r="28" spans="1:34" ht="15.75" x14ac:dyDescent="0.25">
      <c r="A28" s="14" t="str">
        <f t="shared" si="0"/>
        <v/>
      </c>
      <c r="B28" s="15"/>
      <c r="C28" s="14" t="str">
        <f t="shared" si="1"/>
        <v/>
      </c>
      <c r="D28" s="8"/>
      <c r="E28" s="8"/>
      <c r="F28" s="8"/>
      <c r="G28" s="8"/>
      <c r="H28" s="14" t="str">
        <f>IF(ISBLANK(F28),"",IF(G28&lt;&gt;"",UPPER(TRIM(G28)),IF(ISNUMBER(SEARCH(" ",TRIM(F28))),UPPER(LEFT(TRIM(RIGHT(SUBSTITUTE(TRIM(F28)," ",REPT(" ",100)),100)),Settings!$B$9)),UPPER(LEFT(TRIM(F28),Settings!$B$9)))))</f>
        <v/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16" t="str">
        <f>IF(ISBLANK(D28),"",IF(COUNTIFS(Circulation!$B$2:$B$500,A28,Circulation!$H$2:$H$500,"Active")&gt;0,"On Loan","Available"))</f>
        <v/>
      </c>
      <c r="AB28" s="8"/>
      <c r="AC28" s="8"/>
      <c r="AD28" s="8"/>
      <c r="AE28" s="8"/>
      <c r="AF28" s="8"/>
      <c r="AG28" s="8"/>
      <c r="AH28" s="8"/>
    </row>
    <row r="29" spans="1:34" ht="15.75" x14ac:dyDescent="0.25">
      <c r="A29" s="14" t="str">
        <f t="shared" si="0"/>
        <v/>
      </c>
      <c r="B29" s="15"/>
      <c r="C29" s="14" t="str">
        <f t="shared" si="1"/>
        <v/>
      </c>
      <c r="D29" s="8"/>
      <c r="E29" s="8"/>
      <c r="F29" s="8"/>
      <c r="G29" s="8"/>
      <c r="H29" s="14" t="str">
        <f>IF(ISBLANK(F29),"",IF(G29&lt;&gt;"",UPPER(TRIM(G29)),IF(ISNUMBER(SEARCH(" ",TRIM(F29))),UPPER(LEFT(TRIM(RIGHT(SUBSTITUTE(TRIM(F29)," ",REPT(" ",100)),100)),Settings!$B$9)),UPPER(LEFT(TRIM(F29),Settings!$B$9)))))</f>
        <v/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16" t="str">
        <f>IF(ISBLANK(D29),"",IF(COUNTIFS(Circulation!$B$2:$B$500,A29,Circulation!$H$2:$H$500,"Active")&gt;0,"On Loan","Available"))</f>
        <v/>
      </c>
      <c r="AB29" s="8"/>
      <c r="AC29" s="8"/>
      <c r="AD29" s="8"/>
      <c r="AE29" s="8"/>
      <c r="AF29" s="8"/>
      <c r="AG29" s="8"/>
      <c r="AH29" s="8"/>
    </row>
    <row r="30" spans="1:34" ht="15.75" x14ac:dyDescent="0.25">
      <c r="A30" s="14" t="str">
        <f t="shared" si="0"/>
        <v/>
      </c>
      <c r="B30" s="15"/>
      <c r="C30" s="14" t="str">
        <f t="shared" si="1"/>
        <v/>
      </c>
      <c r="D30" s="8"/>
      <c r="E30" s="8"/>
      <c r="F30" s="8"/>
      <c r="G30" s="8"/>
      <c r="H30" s="14" t="str">
        <f>IF(ISBLANK(F30),"",IF(G30&lt;&gt;"",UPPER(TRIM(G30)),IF(ISNUMBER(SEARCH(" ",TRIM(F30))),UPPER(LEFT(TRIM(RIGHT(SUBSTITUTE(TRIM(F30)," ",REPT(" ",100)),100)),Settings!$B$9)),UPPER(LEFT(TRIM(F30),Settings!$B$9)))))</f>
        <v/>
      </c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16" t="str">
        <f>IF(ISBLANK(D30),"",IF(COUNTIFS(Circulation!$B$2:$B$500,A30,Circulation!$H$2:$H$500,"Active")&gt;0,"On Loan","Available"))</f>
        <v/>
      </c>
      <c r="AB30" s="8"/>
      <c r="AC30" s="8"/>
      <c r="AD30" s="8"/>
      <c r="AE30" s="8"/>
      <c r="AF30" s="8"/>
      <c r="AG30" s="8"/>
      <c r="AH30" s="8"/>
    </row>
    <row r="31" spans="1:34" ht="15.75" x14ac:dyDescent="0.25">
      <c r="A31" s="14" t="str">
        <f t="shared" si="0"/>
        <v/>
      </c>
      <c r="B31" s="15"/>
      <c r="C31" s="14" t="str">
        <f t="shared" si="1"/>
        <v/>
      </c>
      <c r="D31" s="8"/>
      <c r="E31" s="8"/>
      <c r="F31" s="8"/>
      <c r="G31" s="8"/>
      <c r="H31" s="14" t="str">
        <f>IF(ISBLANK(F31),"",IF(G31&lt;&gt;"",UPPER(TRIM(G31)),IF(ISNUMBER(SEARCH(" ",TRIM(F31))),UPPER(LEFT(TRIM(RIGHT(SUBSTITUTE(TRIM(F31)," ",REPT(" ",100)),100)),Settings!$B$9)),UPPER(LEFT(TRIM(F31),Settings!$B$9)))))</f>
        <v/>
      </c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16" t="str">
        <f>IF(ISBLANK(D31),"",IF(COUNTIFS(Circulation!$B$2:$B$500,A31,Circulation!$H$2:$H$500,"Active")&gt;0,"On Loan","Available"))</f>
        <v/>
      </c>
      <c r="AB31" s="8"/>
      <c r="AC31" s="8"/>
      <c r="AD31" s="8"/>
      <c r="AE31" s="8"/>
      <c r="AF31" s="8"/>
      <c r="AG31" s="8"/>
      <c r="AH31" s="8"/>
    </row>
    <row r="32" spans="1:34" ht="15.75" x14ac:dyDescent="0.25">
      <c r="A32" s="14" t="str">
        <f t="shared" si="0"/>
        <v/>
      </c>
      <c r="B32" s="15"/>
      <c r="C32" s="14" t="str">
        <f t="shared" si="1"/>
        <v/>
      </c>
      <c r="D32" s="8"/>
      <c r="E32" s="8"/>
      <c r="F32" s="8"/>
      <c r="G32" s="8"/>
      <c r="H32" s="14" t="str">
        <f>IF(ISBLANK(F32),"",IF(G32&lt;&gt;"",UPPER(TRIM(G32)),IF(ISNUMBER(SEARCH(" ",TRIM(F32))),UPPER(LEFT(TRIM(RIGHT(SUBSTITUTE(TRIM(F32)," ",REPT(" ",100)),100)),Settings!$B$9)),UPPER(LEFT(TRIM(F32),Settings!$B$9)))))</f>
        <v/>
      </c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16" t="str">
        <f>IF(ISBLANK(D32),"",IF(COUNTIFS(Circulation!$B$2:$B$500,A32,Circulation!$H$2:$H$500,"Active")&gt;0,"On Loan","Available"))</f>
        <v/>
      </c>
      <c r="AB32" s="8"/>
      <c r="AC32" s="8"/>
      <c r="AD32" s="8"/>
      <c r="AE32" s="8"/>
      <c r="AF32" s="8"/>
      <c r="AG32" s="8"/>
      <c r="AH32" s="8"/>
    </row>
    <row r="33" spans="1:34" ht="15.75" x14ac:dyDescent="0.25">
      <c r="A33" s="14" t="str">
        <f t="shared" si="0"/>
        <v/>
      </c>
      <c r="B33" s="15"/>
      <c r="C33" s="14" t="str">
        <f t="shared" si="1"/>
        <v/>
      </c>
      <c r="D33" s="8"/>
      <c r="E33" s="8"/>
      <c r="F33" s="8"/>
      <c r="G33" s="8"/>
      <c r="H33" s="14" t="str">
        <f>IF(ISBLANK(F33),"",IF(G33&lt;&gt;"",UPPER(TRIM(G33)),IF(ISNUMBER(SEARCH(" ",TRIM(F33))),UPPER(LEFT(TRIM(RIGHT(SUBSTITUTE(TRIM(F33)," ",REPT(" ",100)),100)),Settings!$B$9)),UPPER(LEFT(TRIM(F33),Settings!$B$9)))))</f>
        <v/>
      </c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16" t="str">
        <f>IF(ISBLANK(D33),"",IF(COUNTIFS(Circulation!$B$2:$B$500,A33,Circulation!$H$2:$H$500,"Active")&gt;0,"On Loan","Available"))</f>
        <v/>
      </c>
      <c r="AB33" s="8"/>
      <c r="AC33" s="8"/>
      <c r="AD33" s="8"/>
      <c r="AE33" s="8"/>
      <c r="AF33" s="8"/>
      <c r="AG33" s="8"/>
      <c r="AH33" s="8"/>
    </row>
    <row r="34" spans="1:34" ht="15.75" x14ac:dyDescent="0.25">
      <c r="A34" s="14" t="str">
        <f t="shared" si="0"/>
        <v/>
      </c>
      <c r="B34" s="15"/>
      <c r="C34" s="14" t="str">
        <f t="shared" si="1"/>
        <v/>
      </c>
      <c r="D34" s="8"/>
      <c r="E34" s="8"/>
      <c r="F34" s="8"/>
      <c r="G34" s="8"/>
      <c r="H34" s="14" t="str">
        <f>IF(ISBLANK(F34),"",IF(G34&lt;&gt;"",UPPER(TRIM(G34)),IF(ISNUMBER(SEARCH(" ",TRIM(F34))),UPPER(LEFT(TRIM(RIGHT(SUBSTITUTE(TRIM(F34)," ",REPT(" ",100)),100)),Settings!$B$9)),UPPER(LEFT(TRIM(F34),Settings!$B$9)))))</f>
        <v/>
      </c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16" t="str">
        <f>IF(ISBLANK(D34),"",IF(COUNTIFS(Circulation!$B$2:$B$500,A34,Circulation!$H$2:$H$500,"Active")&gt;0,"On Loan","Available"))</f>
        <v/>
      </c>
      <c r="AB34" s="8"/>
      <c r="AC34" s="8"/>
      <c r="AD34" s="8"/>
      <c r="AE34" s="8"/>
      <c r="AF34" s="8"/>
      <c r="AG34" s="8"/>
      <c r="AH34" s="8"/>
    </row>
    <row r="35" spans="1:34" ht="15.75" x14ac:dyDescent="0.25">
      <c r="A35" s="14" t="str">
        <f t="shared" si="0"/>
        <v/>
      </c>
      <c r="B35" s="15"/>
      <c r="C35" s="14" t="str">
        <f t="shared" si="1"/>
        <v/>
      </c>
      <c r="D35" s="8"/>
      <c r="E35" s="8"/>
      <c r="F35" s="8"/>
      <c r="G35" s="8"/>
      <c r="H35" s="14" t="str">
        <f>IF(ISBLANK(F35),"",IF(G35&lt;&gt;"",UPPER(TRIM(G35)),IF(ISNUMBER(SEARCH(" ",TRIM(F35))),UPPER(LEFT(TRIM(RIGHT(SUBSTITUTE(TRIM(F35)," ",REPT(" ",100)),100)),Settings!$B$9)),UPPER(LEFT(TRIM(F35),Settings!$B$9)))))</f>
        <v/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16" t="str">
        <f>IF(ISBLANK(D35),"",IF(COUNTIFS(Circulation!$B$2:$B$500,A35,Circulation!$H$2:$H$500,"Active")&gt;0,"On Loan","Available"))</f>
        <v/>
      </c>
      <c r="AB35" s="8"/>
      <c r="AC35" s="8"/>
      <c r="AD35" s="8"/>
      <c r="AE35" s="8"/>
      <c r="AF35" s="8"/>
      <c r="AG35" s="8"/>
      <c r="AH35" s="8"/>
    </row>
    <row r="36" spans="1:34" ht="15.75" x14ac:dyDescent="0.25">
      <c r="A36" s="14" t="str">
        <f t="shared" si="0"/>
        <v/>
      </c>
      <c r="B36" s="15"/>
      <c r="C36" s="14" t="str">
        <f t="shared" si="1"/>
        <v/>
      </c>
      <c r="D36" s="8"/>
      <c r="E36" s="8"/>
      <c r="F36" s="8"/>
      <c r="G36" s="8"/>
      <c r="H36" s="14" t="str">
        <f>IF(ISBLANK(F36),"",IF(G36&lt;&gt;"",UPPER(TRIM(G36)),IF(ISNUMBER(SEARCH(" ",TRIM(F36))),UPPER(LEFT(TRIM(RIGHT(SUBSTITUTE(TRIM(F36)," ",REPT(" ",100)),100)),Settings!$B$9)),UPPER(LEFT(TRIM(F36),Settings!$B$9)))))</f>
        <v/>
      </c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16" t="str">
        <f>IF(ISBLANK(D36),"",IF(COUNTIFS(Circulation!$B$2:$B$500,A36,Circulation!$H$2:$H$500,"Active")&gt;0,"On Loan","Available"))</f>
        <v/>
      </c>
      <c r="AB36" s="8"/>
      <c r="AC36" s="8"/>
      <c r="AD36" s="8"/>
      <c r="AE36" s="8"/>
      <c r="AF36" s="8"/>
      <c r="AG36" s="8"/>
      <c r="AH36" s="8"/>
    </row>
    <row r="37" spans="1:34" ht="15.75" x14ac:dyDescent="0.25">
      <c r="A37" s="14" t="str">
        <f t="shared" si="0"/>
        <v/>
      </c>
      <c r="B37" s="15"/>
      <c r="C37" s="14" t="str">
        <f t="shared" si="1"/>
        <v/>
      </c>
      <c r="D37" s="8"/>
      <c r="E37" s="8"/>
      <c r="F37" s="8"/>
      <c r="G37" s="8"/>
      <c r="H37" s="14" t="str">
        <f>IF(ISBLANK(F37),"",IF(G37&lt;&gt;"",UPPER(TRIM(G37)),IF(ISNUMBER(SEARCH(" ",TRIM(F37))),UPPER(LEFT(TRIM(RIGHT(SUBSTITUTE(TRIM(F37)," ",REPT(" ",100)),100)),Settings!$B$9)),UPPER(LEFT(TRIM(F37),Settings!$B$9)))))</f>
        <v/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16" t="str">
        <f>IF(ISBLANK(D37),"",IF(COUNTIFS(Circulation!$B$2:$B$500,A37,Circulation!$H$2:$H$500,"Active")&gt;0,"On Loan","Available"))</f>
        <v/>
      </c>
      <c r="AB37" s="8"/>
      <c r="AC37" s="8"/>
      <c r="AD37" s="8"/>
      <c r="AE37" s="8"/>
      <c r="AF37" s="8"/>
      <c r="AG37" s="8"/>
      <c r="AH37" s="8"/>
    </row>
    <row r="38" spans="1:34" ht="15.75" x14ac:dyDescent="0.25">
      <c r="A38" s="14" t="str">
        <f t="shared" si="0"/>
        <v/>
      </c>
      <c r="B38" s="15"/>
      <c r="C38" s="14" t="str">
        <f t="shared" si="1"/>
        <v/>
      </c>
      <c r="D38" s="8"/>
      <c r="E38" s="8"/>
      <c r="F38" s="8"/>
      <c r="G38" s="8"/>
      <c r="H38" s="14" t="str">
        <f>IF(ISBLANK(F38),"",IF(G38&lt;&gt;"",UPPER(TRIM(G38)),IF(ISNUMBER(SEARCH(" ",TRIM(F38))),UPPER(LEFT(TRIM(RIGHT(SUBSTITUTE(TRIM(F38)," ",REPT(" ",100)),100)),Settings!$B$9)),UPPER(LEFT(TRIM(F38),Settings!$B$9)))))</f>
        <v/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16" t="str">
        <f>IF(ISBLANK(D38),"",IF(COUNTIFS(Circulation!$B$2:$B$500,A38,Circulation!$H$2:$H$500,"Active")&gt;0,"On Loan","Available"))</f>
        <v/>
      </c>
      <c r="AB38" s="8"/>
      <c r="AC38" s="8"/>
      <c r="AD38" s="8"/>
      <c r="AE38" s="8"/>
      <c r="AF38" s="8"/>
      <c r="AG38" s="8"/>
      <c r="AH38" s="8"/>
    </row>
    <row r="39" spans="1:34" ht="15.75" x14ac:dyDescent="0.25">
      <c r="A39" s="14" t="str">
        <f t="shared" si="0"/>
        <v/>
      </c>
      <c r="B39" s="15"/>
      <c r="C39" s="14" t="str">
        <f t="shared" si="1"/>
        <v/>
      </c>
      <c r="D39" s="8"/>
      <c r="E39" s="8"/>
      <c r="F39" s="8"/>
      <c r="G39" s="8"/>
      <c r="H39" s="14" t="str">
        <f>IF(ISBLANK(F39),"",IF(G39&lt;&gt;"",UPPER(TRIM(G39)),IF(ISNUMBER(SEARCH(" ",TRIM(F39))),UPPER(LEFT(TRIM(RIGHT(SUBSTITUTE(TRIM(F39)," ",REPT(" ",100)),100)),Settings!$B$9)),UPPER(LEFT(TRIM(F39),Settings!$B$9)))))</f>
        <v/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16" t="str">
        <f>IF(ISBLANK(D39),"",IF(COUNTIFS(Circulation!$B$2:$B$500,A39,Circulation!$H$2:$H$500,"Active")&gt;0,"On Loan","Available"))</f>
        <v/>
      </c>
      <c r="AB39" s="8"/>
      <c r="AC39" s="8"/>
      <c r="AD39" s="8"/>
      <c r="AE39" s="8"/>
      <c r="AF39" s="8"/>
      <c r="AG39" s="8"/>
      <c r="AH39" s="8"/>
    </row>
    <row r="40" spans="1:34" ht="15.75" x14ac:dyDescent="0.25">
      <c r="A40" s="14" t="str">
        <f t="shared" si="0"/>
        <v/>
      </c>
      <c r="B40" s="15"/>
      <c r="C40" s="14" t="str">
        <f t="shared" si="1"/>
        <v/>
      </c>
      <c r="D40" s="8"/>
      <c r="E40" s="8"/>
      <c r="F40" s="8"/>
      <c r="G40" s="8"/>
      <c r="H40" s="14" t="str">
        <f>IF(ISBLANK(F40),"",IF(G40&lt;&gt;"",UPPER(TRIM(G40)),IF(ISNUMBER(SEARCH(" ",TRIM(F40))),UPPER(LEFT(TRIM(RIGHT(SUBSTITUTE(TRIM(F40)," ",REPT(" ",100)),100)),Settings!$B$9)),UPPER(LEFT(TRIM(F40),Settings!$B$9)))))</f>
        <v/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16" t="str">
        <f>IF(ISBLANK(D40),"",IF(COUNTIFS(Circulation!$B$2:$B$500,A40,Circulation!$H$2:$H$500,"Active")&gt;0,"On Loan","Available"))</f>
        <v/>
      </c>
      <c r="AB40" s="8"/>
      <c r="AC40" s="8"/>
      <c r="AD40" s="8"/>
      <c r="AE40" s="8"/>
      <c r="AF40" s="8"/>
      <c r="AG40" s="8"/>
      <c r="AH40" s="8"/>
    </row>
    <row r="41" spans="1:34" ht="15.75" x14ac:dyDescent="0.25">
      <c r="A41" s="14" t="str">
        <f t="shared" si="0"/>
        <v/>
      </c>
      <c r="B41" s="15"/>
      <c r="C41" s="14" t="str">
        <f t="shared" si="1"/>
        <v/>
      </c>
      <c r="D41" s="8"/>
      <c r="E41" s="8"/>
      <c r="F41" s="8"/>
      <c r="G41" s="8"/>
      <c r="H41" s="14" t="str">
        <f>IF(ISBLANK(F41),"",IF(G41&lt;&gt;"",UPPER(TRIM(G41)),IF(ISNUMBER(SEARCH(" ",TRIM(F41))),UPPER(LEFT(TRIM(RIGHT(SUBSTITUTE(TRIM(F41)," ",REPT(" ",100)),100)),Settings!$B$9)),UPPER(LEFT(TRIM(F41),Settings!$B$9)))))</f>
        <v/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16" t="str">
        <f>IF(ISBLANK(D41),"",IF(COUNTIFS(Circulation!$B$2:$B$500,A41,Circulation!$H$2:$H$500,"Active")&gt;0,"On Loan","Available"))</f>
        <v/>
      </c>
      <c r="AB41" s="8"/>
      <c r="AC41" s="8"/>
      <c r="AD41" s="8"/>
      <c r="AE41" s="8"/>
      <c r="AF41" s="8"/>
      <c r="AG41" s="8"/>
      <c r="AH41" s="8"/>
    </row>
    <row r="42" spans="1:34" ht="15.75" x14ac:dyDescent="0.25">
      <c r="A42" s="14" t="str">
        <f t="shared" si="0"/>
        <v/>
      </c>
      <c r="B42" s="15"/>
      <c r="C42" s="14" t="str">
        <f t="shared" si="1"/>
        <v/>
      </c>
      <c r="D42" s="8"/>
      <c r="E42" s="8"/>
      <c r="F42" s="8"/>
      <c r="G42" s="8"/>
      <c r="H42" s="14" t="str">
        <f>IF(ISBLANK(F42),"",IF(G42&lt;&gt;"",UPPER(TRIM(G42)),IF(ISNUMBER(SEARCH(" ",TRIM(F42))),UPPER(LEFT(TRIM(RIGHT(SUBSTITUTE(TRIM(F42)," ",REPT(" ",100)),100)),Settings!$B$9)),UPPER(LEFT(TRIM(F42),Settings!$B$9)))))</f>
        <v/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16" t="str">
        <f>IF(ISBLANK(D42),"",IF(COUNTIFS(Circulation!$B$2:$B$500,A42,Circulation!$H$2:$H$500,"Active")&gt;0,"On Loan","Available"))</f>
        <v/>
      </c>
      <c r="AB42" s="8"/>
      <c r="AC42" s="8"/>
      <c r="AD42" s="8"/>
      <c r="AE42" s="8"/>
      <c r="AF42" s="8"/>
      <c r="AG42" s="8"/>
      <c r="AH42" s="8"/>
    </row>
    <row r="43" spans="1:34" ht="15.75" x14ac:dyDescent="0.25">
      <c r="A43" s="14" t="str">
        <f t="shared" si="0"/>
        <v/>
      </c>
      <c r="B43" s="15"/>
      <c r="C43" s="14" t="str">
        <f t="shared" si="1"/>
        <v/>
      </c>
      <c r="D43" s="8"/>
      <c r="E43" s="8"/>
      <c r="F43" s="8"/>
      <c r="G43" s="8"/>
      <c r="H43" s="14" t="str">
        <f>IF(ISBLANK(F43),"",IF(G43&lt;&gt;"",UPPER(TRIM(G43)),IF(ISNUMBER(SEARCH(" ",TRIM(F43))),UPPER(LEFT(TRIM(RIGHT(SUBSTITUTE(TRIM(F43)," ",REPT(" ",100)),100)),Settings!$B$9)),UPPER(LEFT(TRIM(F43),Settings!$B$9)))))</f>
        <v/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16" t="str">
        <f>IF(ISBLANK(D43),"",IF(COUNTIFS(Circulation!$B$2:$B$500,A43,Circulation!$H$2:$H$500,"Active")&gt;0,"On Loan","Available"))</f>
        <v/>
      </c>
      <c r="AB43" s="8"/>
      <c r="AC43" s="8"/>
      <c r="AD43" s="8"/>
      <c r="AE43" s="8"/>
      <c r="AF43" s="8"/>
      <c r="AG43" s="8"/>
      <c r="AH43" s="8"/>
    </row>
    <row r="44" spans="1:34" ht="15.75" x14ac:dyDescent="0.25">
      <c r="A44" s="14" t="str">
        <f t="shared" si="0"/>
        <v/>
      </c>
      <c r="B44" s="15"/>
      <c r="C44" s="14" t="str">
        <f t="shared" si="1"/>
        <v/>
      </c>
      <c r="D44" s="8"/>
      <c r="E44" s="8"/>
      <c r="F44" s="8"/>
      <c r="G44" s="8"/>
      <c r="H44" s="14" t="str">
        <f>IF(ISBLANK(F44),"",IF(G44&lt;&gt;"",UPPER(TRIM(G44)),IF(ISNUMBER(SEARCH(" ",TRIM(F44))),UPPER(LEFT(TRIM(RIGHT(SUBSTITUTE(TRIM(F44)," ",REPT(" ",100)),100)),Settings!$B$9)),UPPER(LEFT(TRIM(F44),Settings!$B$9)))))</f>
        <v/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16" t="str">
        <f>IF(ISBLANK(D44),"",IF(COUNTIFS(Circulation!$B$2:$B$500,A44,Circulation!$H$2:$H$500,"Active")&gt;0,"On Loan","Available"))</f>
        <v/>
      </c>
      <c r="AB44" s="8"/>
      <c r="AC44" s="8"/>
      <c r="AD44" s="8"/>
      <c r="AE44" s="8"/>
      <c r="AF44" s="8"/>
      <c r="AG44" s="8"/>
      <c r="AH44" s="8"/>
    </row>
    <row r="45" spans="1:34" ht="15.75" x14ac:dyDescent="0.25">
      <c r="A45" s="14" t="str">
        <f t="shared" si="0"/>
        <v/>
      </c>
      <c r="B45" s="15"/>
      <c r="C45" s="14" t="str">
        <f t="shared" si="1"/>
        <v/>
      </c>
      <c r="D45" s="8"/>
      <c r="E45" s="8"/>
      <c r="F45" s="8"/>
      <c r="G45" s="8"/>
      <c r="H45" s="14" t="str">
        <f>IF(ISBLANK(F45),"",IF(G45&lt;&gt;"",UPPER(TRIM(G45)),IF(ISNUMBER(SEARCH(" ",TRIM(F45))),UPPER(LEFT(TRIM(RIGHT(SUBSTITUTE(TRIM(F45)," ",REPT(" ",100)),100)),Settings!$B$9)),UPPER(LEFT(TRIM(F45),Settings!$B$9)))))</f>
        <v/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16" t="str">
        <f>IF(ISBLANK(D45),"",IF(COUNTIFS(Circulation!$B$2:$B$500,A45,Circulation!$H$2:$H$500,"Active")&gt;0,"On Loan","Available"))</f>
        <v/>
      </c>
      <c r="AB45" s="8"/>
      <c r="AC45" s="8"/>
      <c r="AD45" s="8"/>
      <c r="AE45" s="8"/>
      <c r="AF45" s="8"/>
      <c r="AG45" s="8"/>
      <c r="AH45" s="8"/>
    </row>
    <row r="46" spans="1:34" ht="15.75" x14ac:dyDescent="0.25">
      <c r="A46" s="14" t="str">
        <f t="shared" si="0"/>
        <v/>
      </c>
      <c r="B46" s="15"/>
      <c r="C46" s="14" t="str">
        <f t="shared" si="1"/>
        <v/>
      </c>
      <c r="D46" s="8"/>
      <c r="E46" s="8"/>
      <c r="F46" s="8"/>
      <c r="G46" s="8"/>
      <c r="H46" s="14" t="str">
        <f>IF(ISBLANK(F46),"",IF(G46&lt;&gt;"",UPPER(TRIM(G46)),IF(ISNUMBER(SEARCH(" ",TRIM(F46))),UPPER(LEFT(TRIM(RIGHT(SUBSTITUTE(TRIM(F46)," ",REPT(" ",100)),100)),Settings!$B$9)),UPPER(LEFT(TRIM(F46),Settings!$B$9)))))</f>
        <v/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16" t="str">
        <f>IF(ISBLANK(D46),"",IF(COUNTIFS(Circulation!$B$2:$B$500,A46,Circulation!$H$2:$H$500,"Active")&gt;0,"On Loan","Available"))</f>
        <v/>
      </c>
      <c r="AB46" s="8"/>
      <c r="AC46" s="8"/>
      <c r="AD46" s="8"/>
      <c r="AE46" s="8"/>
      <c r="AF46" s="8"/>
      <c r="AG46" s="8"/>
      <c r="AH46" s="8"/>
    </row>
    <row r="47" spans="1:34" ht="15.75" x14ac:dyDescent="0.25">
      <c r="A47" s="14" t="str">
        <f t="shared" si="0"/>
        <v/>
      </c>
      <c r="B47" s="15"/>
      <c r="C47" s="14" t="str">
        <f t="shared" si="1"/>
        <v/>
      </c>
      <c r="D47" s="8"/>
      <c r="E47" s="8"/>
      <c r="F47" s="8"/>
      <c r="G47" s="8"/>
      <c r="H47" s="14" t="str">
        <f>IF(ISBLANK(F47),"",IF(G47&lt;&gt;"",UPPER(TRIM(G47)),IF(ISNUMBER(SEARCH(" ",TRIM(F47))),UPPER(LEFT(TRIM(RIGHT(SUBSTITUTE(TRIM(F47)," ",REPT(" ",100)),100)),Settings!$B$9)),UPPER(LEFT(TRIM(F47),Settings!$B$9)))))</f>
        <v/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16" t="str">
        <f>IF(ISBLANK(D47),"",IF(COUNTIFS(Circulation!$B$2:$B$500,A47,Circulation!$H$2:$H$500,"Active")&gt;0,"On Loan","Available"))</f>
        <v/>
      </c>
      <c r="AB47" s="8"/>
      <c r="AC47" s="8"/>
      <c r="AD47" s="8"/>
      <c r="AE47" s="8"/>
      <c r="AF47" s="8"/>
      <c r="AG47" s="8"/>
      <c r="AH47" s="8"/>
    </row>
    <row r="48" spans="1:34" ht="15.75" x14ac:dyDescent="0.25">
      <c r="A48" s="14" t="str">
        <f t="shared" si="0"/>
        <v/>
      </c>
      <c r="B48" s="15"/>
      <c r="C48" s="14" t="str">
        <f t="shared" si="1"/>
        <v/>
      </c>
      <c r="D48" s="8"/>
      <c r="E48" s="8"/>
      <c r="F48" s="8"/>
      <c r="G48" s="8"/>
      <c r="H48" s="14" t="str">
        <f>IF(ISBLANK(F48),"",IF(G48&lt;&gt;"",UPPER(TRIM(G48)),IF(ISNUMBER(SEARCH(" ",TRIM(F48))),UPPER(LEFT(TRIM(RIGHT(SUBSTITUTE(TRIM(F48)," ",REPT(" ",100)),100)),Settings!$B$9)),UPPER(LEFT(TRIM(F48),Settings!$B$9)))))</f>
        <v/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16" t="str">
        <f>IF(ISBLANK(D48),"",IF(COUNTIFS(Circulation!$B$2:$B$500,A48,Circulation!$H$2:$H$500,"Active")&gt;0,"On Loan","Available"))</f>
        <v/>
      </c>
      <c r="AB48" s="8"/>
      <c r="AC48" s="8"/>
      <c r="AD48" s="8"/>
      <c r="AE48" s="8"/>
      <c r="AF48" s="8"/>
      <c r="AG48" s="8"/>
      <c r="AH48" s="8"/>
    </row>
    <row r="49" spans="1:34" ht="15.75" x14ac:dyDescent="0.25">
      <c r="A49" s="14" t="str">
        <f t="shared" si="0"/>
        <v/>
      </c>
      <c r="B49" s="15"/>
      <c r="C49" s="14" t="str">
        <f t="shared" si="1"/>
        <v/>
      </c>
      <c r="D49" s="8"/>
      <c r="E49" s="8"/>
      <c r="F49" s="8"/>
      <c r="G49" s="8"/>
      <c r="H49" s="14" t="str">
        <f>IF(ISBLANK(F49),"",IF(G49&lt;&gt;"",UPPER(TRIM(G49)),IF(ISNUMBER(SEARCH(" ",TRIM(F49))),UPPER(LEFT(TRIM(RIGHT(SUBSTITUTE(TRIM(F49)," ",REPT(" ",100)),100)),Settings!$B$9)),UPPER(LEFT(TRIM(F49),Settings!$B$9)))))</f>
        <v/>
      </c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16" t="str">
        <f>IF(ISBLANK(D49),"",IF(COUNTIFS(Circulation!$B$2:$B$500,A49,Circulation!$H$2:$H$500,"Active")&gt;0,"On Loan","Available"))</f>
        <v/>
      </c>
      <c r="AB49" s="8"/>
      <c r="AC49" s="8"/>
      <c r="AD49" s="8"/>
      <c r="AE49" s="8"/>
      <c r="AF49" s="8"/>
      <c r="AG49" s="8"/>
      <c r="AH49" s="8"/>
    </row>
    <row r="50" spans="1:34" ht="15.75" x14ac:dyDescent="0.25">
      <c r="A50" s="14" t="str">
        <f t="shared" si="0"/>
        <v/>
      </c>
      <c r="B50" s="15"/>
      <c r="C50" s="14" t="str">
        <f t="shared" si="1"/>
        <v/>
      </c>
      <c r="D50" s="8"/>
      <c r="E50" s="8"/>
      <c r="F50" s="8"/>
      <c r="G50" s="8"/>
      <c r="H50" s="14" t="str">
        <f>IF(ISBLANK(F50),"",IF(G50&lt;&gt;"",UPPER(TRIM(G50)),IF(ISNUMBER(SEARCH(" ",TRIM(F50))),UPPER(LEFT(TRIM(RIGHT(SUBSTITUTE(TRIM(F50)," ",REPT(" ",100)),100)),Settings!$B$9)),UPPER(LEFT(TRIM(F50),Settings!$B$9)))))</f>
        <v/>
      </c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16" t="str">
        <f>IF(ISBLANK(D50),"",IF(COUNTIFS(Circulation!$B$2:$B$500,A50,Circulation!$H$2:$H$500,"Active")&gt;0,"On Loan","Available"))</f>
        <v/>
      </c>
      <c r="AB50" s="8"/>
      <c r="AC50" s="8"/>
      <c r="AD50" s="8"/>
      <c r="AE50" s="8"/>
      <c r="AF50" s="8"/>
      <c r="AG50" s="8"/>
      <c r="AH50" s="8"/>
    </row>
    <row r="51" spans="1:34" ht="15.75" x14ac:dyDescent="0.25">
      <c r="A51" s="14" t="str">
        <f t="shared" si="0"/>
        <v/>
      </c>
      <c r="B51" s="15"/>
      <c r="C51" s="14" t="str">
        <f t="shared" si="1"/>
        <v/>
      </c>
      <c r="D51" s="8"/>
      <c r="E51" s="8"/>
      <c r="F51" s="8"/>
      <c r="G51" s="8"/>
      <c r="H51" s="14" t="str">
        <f>IF(ISBLANK(F51),"",IF(G51&lt;&gt;"",UPPER(TRIM(G51)),IF(ISNUMBER(SEARCH(" ",TRIM(F51))),UPPER(LEFT(TRIM(RIGHT(SUBSTITUTE(TRIM(F51)," ",REPT(" ",100)),100)),Settings!$B$9)),UPPER(LEFT(TRIM(F51),Settings!$B$9)))))</f>
        <v/>
      </c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16" t="str">
        <f>IF(ISBLANK(D51),"",IF(COUNTIFS(Circulation!$B$2:$B$500,A51,Circulation!$H$2:$H$500,"Active")&gt;0,"On Loan","Available"))</f>
        <v/>
      </c>
      <c r="AB51" s="8"/>
      <c r="AC51" s="8"/>
      <c r="AD51" s="8"/>
      <c r="AE51" s="8"/>
      <c r="AF51" s="8"/>
      <c r="AG51" s="8"/>
      <c r="AH51" s="8"/>
    </row>
    <row r="52" spans="1:34" ht="15.75" x14ac:dyDescent="0.25">
      <c r="A52" s="14" t="str">
        <f t="shared" si="0"/>
        <v/>
      </c>
      <c r="B52" s="15"/>
      <c r="C52" s="14" t="str">
        <f t="shared" si="1"/>
        <v/>
      </c>
      <c r="D52" s="8"/>
      <c r="E52" s="8"/>
      <c r="F52" s="8"/>
      <c r="G52" s="8"/>
      <c r="H52" s="14" t="str">
        <f>IF(ISBLANK(F52),"",IF(G52&lt;&gt;"",UPPER(TRIM(G52)),IF(ISNUMBER(SEARCH(" ",TRIM(F52))),UPPER(LEFT(TRIM(RIGHT(SUBSTITUTE(TRIM(F52)," ",REPT(" ",100)),100)),Settings!$B$9)),UPPER(LEFT(TRIM(F52),Settings!$B$9)))))</f>
        <v/>
      </c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16" t="str">
        <f>IF(ISBLANK(D52),"",IF(COUNTIFS(Circulation!$B$2:$B$500,A52,Circulation!$H$2:$H$500,"Active")&gt;0,"On Loan","Available"))</f>
        <v/>
      </c>
      <c r="AB52" s="8"/>
      <c r="AC52" s="8"/>
      <c r="AD52" s="8"/>
      <c r="AE52" s="8"/>
      <c r="AF52" s="8"/>
      <c r="AG52" s="8"/>
      <c r="AH52" s="8"/>
    </row>
    <row r="53" spans="1:34" ht="15.75" x14ac:dyDescent="0.25">
      <c r="A53" s="14" t="str">
        <f t="shared" si="0"/>
        <v/>
      </c>
      <c r="B53" s="15"/>
      <c r="C53" s="14" t="str">
        <f t="shared" si="1"/>
        <v/>
      </c>
      <c r="D53" s="8"/>
      <c r="E53" s="8"/>
      <c r="F53" s="8"/>
      <c r="G53" s="8"/>
      <c r="H53" s="14" t="str">
        <f>IF(ISBLANK(F53),"",IF(G53&lt;&gt;"",UPPER(TRIM(G53)),IF(ISNUMBER(SEARCH(" ",TRIM(F53))),UPPER(LEFT(TRIM(RIGHT(SUBSTITUTE(TRIM(F53)," ",REPT(" ",100)),100)),Settings!$B$9)),UPPER(LEFT(TRIM(F53),Settings!$B$9)))))</f>
        <v/>
      </c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16" t="str">
        <f>IF(ISBLANK(D53),"",IF(COUNTIFS(Circulation!$B$2:$B$500,A53,Circulation!$H$2:$H$500,"Active")&gt;0,"On Loan","Available"))</f>
        <v/>
      </c>
      <c r="AB53" s="8"/>
      <c r="AC53" s="8"/>
      <c r="AD53" s="8"/>
      <c r="AE53" s="8"/>
      <c r="AF53" s="8"/>
      <c r="AG53" s="8"/>
      <c r="AH53" s="8"/>
    </row>
    <row r="54" spans="1:34" ht="15.75" x14ac:dyDescent="0.25">
      <c r="A54" s="14" t="str">
        <f t="shared" si="0"/>
        <v/>
      </c>
      <c r="B54" s="15"/>
      <c r="C54" s="14" t="str">
        <f t="shared" si="1"/>
        <v/>
      </c>
      <c r="D54" s="8"/>
      <c r="E54" s="8"/>
      <c r="F54" s="8"/>
      <c r="G54" s="8"/>
      <c r="H54" s="14" t="str">
        <f>IF(ISBLANK(F54),"",IF(G54&lt;&gt;"",UPPER(TRIM(G54)),IF(ISNUMBER(SEARCH(" ",TRIM(F54))),UPPER(LEFT(TRIM(RIGHT(SUBSTITUTE(TRIM(F54)," ",REPT(" ",100)),100)),Settings!$B$9)),UPPER(LEFT(TRIM(F54),Settings!$B$9)))))</f>
        <v/>
      </c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16" t="str">
        <f>IF(ISBLANK(D54),"",IF(COUNTIFS(Circulation!$B$2:$B$500,A54,Circulation!$H$2:$H$500,"Active")&gt;0,"On Loan","Available"))</f>
        <v/>
      </c>
      <c r="AB54" s="8"/>
      <c r="AC54" s="8"/>
      <c r="AD54" s="8"/>
      <c r="AE54" s="8"/>
      <c r="AF54" s="8"/>
      <c r="AG54" s="8"/>
      <c r="AH54" s="8"/>
    </row>
    <row r="55" spans="1:34" ht="15.75" x14ac:dyDescent="0.25">
      <c r="A55" s="14" t="str">
        <f t="shared" si="0"/>
        <v/>
      </c>
      <c r="B55" s="15"/>
      <c r="C55" s="14" t="str">
        <f t="shared" si="1"/>
        <v/>
      </c>
      <c r="D55" s="8"/>
      <c r="E55" s="8"/>
      <c r="F55" s="8"/>
      <c r="G55" s="8"/>
      <c r="H55" s="14" t="str">
        <f>IF(ISBLANK(F55),"",IF(G55&lt;&gt;"",UPPER(TRIM(G55)),IF(ISNUMBER(SEARCH(" ",TRIM(F55))),UPPER(LEFT(TRIM(RIGHT(SUBSTITUTE(TRIM(F55)," ",REPT(" ",100)),100)),Settings!$B$9)),UPPER(LEFT(TRIM(F55),Settings!$B$9)))))</f>
        <v/>
      </c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16" t="str">
        <f>IF(ISBLANK(D55),"",IF(COUNTIFS(Circulation!$B$2:$B$500,A55,Circulation!$H$2:$H$500,"Active")&gt;0,"On Loan","Available"))</f>
        <v/>
      </c>
      <c r="AB55" s="8"/>
      <c r="AC55" s="8"/>
      <c r="AD55" s="8"/>
      <c r="AE55" s="8"/>
      <c r="AF55" s="8"/>
      <c r="AG55" s="8"/>
      <c r="AH55" s="8"/>
    </row>
    <row r="56" spans="1:34" ht="15.75" x14ac:dyDescent="0.25">
      <c r="A56" s="14" t="str">
        <f t="shared" si="0"/>
        <v/>
      </c>
      <c r="B56" s="15"/>
      <c r="C56" s="14" t="str">
        <f t="shared" si="1"/>
        <v/>
      </c>
      <c r="D56" s="8"/>
      <c r="E56" s="8"/>
      <c r="F56" s="8"/>
      <c r="G56" s="8"/>
      <c r="H56" s="14" t="str">
        <f>IF(ISBLANK(F56),"",IF(G56&lt;&gt;"",UPPER(TRIM(G56)),IF(ISNUMBER(SEARCH(" ",TRIM(F56))),UPPER(LEFT(TRIM(RIGHT(SUBSTITUTE(TRIM(F56)," ",REPT(" ",100)),100)),Settings!$B$9)),UPPER(LEFT(TRIM(F56),Settings!$B$9)))))</f>
        <v/>
      </c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16" t="str">
        <f>IF(ISBLANK(D56),"",IF(COUNTIFS(Circulation!$B$2:$B$500,A56,Circulation!$H$2:$H$500,"Active")&gt;0,"On Loan","Available"))</f>
        <v/>
      </c>
      <c r="AB56" s="8"/>
      <c r="AC56" s="8"/>
      <c r="AD56" s="8"/>
      <c r="AE56" s="8"/>
      <c r="AF56" s="8"/>
      <c r="AG56" s="8"/>
      <c r="AH56" s="8"/>
    </row>
    <row r="57" spans="1:34" ht="15.75" x14ac:dyDescent="0.25">
      <c r="A57" s="14" t="str">
        <f t="shared" si="0"/>
        <v/>
      </c>
      <c r="B57" s="15"/>
      <c r="C57" s="14" t="str">
        <f t="shared" si="1"/>
        <v/>
      </c>
      <c r="D57" s="8"/>
      <c r="E57" s="8"/>
      <c r="F57" s="8"/>
      <c r="G57" s="8"/>
      <c r="H57" s="14" t="str">
        <f>IF(ISBLANK(F57),"",IF(G57&lt;&gt;"",UPPER(TRIM(G57)),IF(ISNUMBER(SEARCH(" ",TRIM(F57))),UPPER(LEFT(TRIM(RIGHT(SUBSTITUTE(TRIM(F57)," ",REPT(" ",100)),100)),Settings!$B$9)),UPPER(LEFT(TRIM(F57),Settings!$B$9)))))</f>
        <v/>
      </c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16" t="str">
        <f>IF(ISBLANK(D57),"",IF(COUNTIFS(Circulation!$B$2:$B$500,A57,Circulation!$H$2:$H$500,"Active")&gt;0,"On Loan","Available"))</f>
        <v/>
      </c>
      <c r="AB57" s="8"/>
      <c r="AC57" s="8"/>
      <c r="AD57" s="8"/>
      <c r="AE57" s="8"/>
      <c r="AF57" s="8"/>
      <c r="AG57" s="8"/>
      <c r="AH57" s="8"/>
    </row>
    <row r="58" spans="1:34" ht="15.75" x14ac:dyDescent="0.25">
      <c r="A58" s="14" t="str">
        <f t="shared" si="0"/>
        <v/>
      </c>
      <c r="B58" s="15"/>
      <c r="C58" s="14" t="str">
        <f t="shared" si="1"/>
        <v/>
      </c>
      <c r="D58" s="8"/>
      <c r="E58" s="8"/>
      <c r="F58" s="8"/>
      <c r="G58" s="8"/>
      <c r="H58" s="14" t="str">
        <f>IF(ISBLANK(F58),"",IF(G58&lt;&gt;"",UPPER(TRIM(G58)),IF(ISNUMBER(SEARCH(" ",TRIM(F58))),UPPER(LEFT(TRIM(RIGHT(SUBSTITUTE(TRIM(F58)," ",REPT(" ",100)),100)),Settings!$B$9)),UPPER(LEFT(TRIM(F58),Settings!$B$9)))))</f>
        <v/>
      </c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16" t="str">
        <f>IF(ISBLANK(D58),"",IF(COUNTIFS(Circulation!$B$2:$B$500,A58,Circulation!$H$2:$H$500,"Active")&gt;0,"On Loan","Available"))</f>
        <v/>
      </c>
      <c r="AB58" s="8"/>
      <c r="AC58" s="8"/>
      <c r="AD58" s="8"/>
      <c r="AE58" s="8"/>
      <c r="AF58" s="8"/>
      <c r="AG58" s="8"/>
      <c r="AH58" s="8"/>
    </row>
    <row r="59" spans="1:34" ht="15.75" x14ac:dyDescent="0.25">
      <c r="A59" s="14" t="str">
        <f t="shared" si="0"/>
        <v/>
      </c>
      <c r="B59" s="15"/>
      <c r="C59" s="14" t="str">
        <f t="shared" si="1"/>
        <v/>
      </c>
      <c r="D59" s="8"/>
      <c r="E59" s="8"/>
      <c r="F59" s="8"/>
      <c r="G59" s="8"/>
      <c r="H59" s="14" t="str">
        <f>IF(ISBLANK(F59),"",IF(G59&lt;&gt;"",UPPER(TRIM(G59)),IF(ISNUMBER(SEARCH(" ",TRIM(F59))),UPPER(LEFT(TRIM(RIGHT(SUBSTITUTE(TRIM(F59)," ",REPT(" ",100)),100)),Settings!$B$9)),UPPER(LEFT(TRIM(F59),Settings!$B$9)))))</f>
        <v/>
      </c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16" t="str">
        <f>IF(ISBLANK(D59),"",IF(COUNTIFS(Circulation!$B$2:$B$500,A59,Circulation!$H$2:$H$500,"Active")&gt;0,"On Loan","Available"))</f>
        <v/>
      </c>
      <c r="AB59" s="8"/>
      <c r="AC59" s="8"/>
      <c r="AD59" s="8"/>
      <c r="AE59" s="8"/>
      <c r="AF59" s="8"/>
      <c r="AG59" s="8"/>
      <c r="AH59" s="8"/>
    </row>
    <row r="60" spans="1:34" ht="15.75" x14ac:dyDescent="0.25">
      <c r="A60" s="14" t="str">
        <f t="shared" si="0"/>
        <v/>
      </c>
      <c r="B60" s="15"/>
      <c r="C60" s="14" t="str">
        <f t="shared" si="1"/>
        <v/>
      </c>
      <c r="D60" s="8"/>
      <c r="E60" s="8"/>
      <c r="F60" s="8"/>
      <c r="G60" s="8"/>
      <c r="H60" s="14" t="str">
        <f>IF(ISBLANK(F60),"",IF(G60&lt;&gt;"",UPPER(TRIM(G60)),IF(ISNUMBER(SEARCH(" ",TRIM(F60))),UPPER(LEFT(TRIM(RIGHT(SUBSTITUTE(TRIM(F60)," ",REPT(" ",100)),100)),Settings!$B$9)),UPPER(LEFT(TRIM(F60),Settings!$B$9)))))</f>
        <v/>
      </c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16" t="str">
        <f>IF(ISBLANK(D60),"",IF(COUNTIFS(Circulation!$B$2:$B$500,A60,Circulation!$H$2:$H$500,"Active")&gt;0,"On Loan","Available"))</f>
        <v/>
      </c>
      <c r="AB60" s="8"/>
      <c r="AC60" s="8"/>
      <c r="AD60" s="8"/>
      <c r="AE60" s="8"/>
      <c r="AF60" s="8"/>
      <c r="AG60" s="8"/>
      <c r="AH60" s="8"/>
    </row>
    <row r="61" spans="1:34" ht="15.75" x14ac:dyDescent="0.25">
      <c r="A61" s="14" t="str">
        <f t="shared" si="0"/>
        <v/>
      </c>
      <c r="B61" s="15"/>
      <c r="C61" s="14" t="str">
        <f t="shared" si="1"/>
        <v/>
      </c>
      <c r="D61" s="8"/>
      <c r="E61" s="8"/>
      <c r="F61" s="8"/>
      <c r="G61" s="8"/>
      <c r="H61" s="14" t="str">
        <f>IF(ISBLANK(F61),"",IF(G61&lt;&gt;"",UPPER(TRIM(G61)),IF(ISNUMBER(SEARCH(" ",TRIM(F61))),UPPER(LEFT(TRIM(RIGHT(SUBSTITUTE(TRIM(F61)," ",REPT(" ",100)),100)),Settings!$B$9)),UPPER(LEFT(TRIM(F61),Settings!$B$9)))))</f>
        <v/>
      </c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16" t="str">
        <f>IF(ISBLANK(D61),"",IF(COUNTIFS(Circulation!$B$2:$B$500,A61,Circulation!$H$2:$H$500,"Active")&gt;0,"On Loan","Available"))</f>
        <v/>
      </c>
      <c r="AB61" s="8"/>
      <c r="AC61" s="8"/>
      <c r="AD61" s="8"/>
      <c r="AE61" s="8"/>
      <c r="AF61" s="8"/>
      <c r="AG61" s="8"/>
      <c r="AH61" s="8"/>
    </row>
    <row r="62" spans="1:34" ht="15.75" x14ac:dyDescent="0.25">
      <c r="A62" s="14" t="str">
        <f t="shared" si="0"/>
        <v/>
      </c>
      <c r="B62" s="15"/>
      <c r="C62" s="14" t="str">
        <f t="shared" si="1"/>
        <v/>
      </c>
      <c r="D62" s="8"/>
      <c r="E62" s="8"/>
      <c r="F62" s="8"/>
      <c r="G62" s="8"/>
      <c r="H62" s="14" t="str">
        <f>IF(ISBLANK(F62),"",IF(G62&lt;&gt;"",UPPER(TRIM(G62)),IF(ISNUMBER(SEARCH(" ",TRIM(F62))),UPPER(LEFT(TRIM(RIGHT(SUBSTITUTE(TRIM(F62)," ",REPT(" ",100)),100)),Settings!$B$9)),UPPER(LEFT(TRIM(F62),Settings!$B$9)))))</f>
        <v/>
      </c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16" t="str">
        <f>IF(ISBLANK(D62),"",IF(COUNTIFS(Circulation!$B$2:$B$500,A62,Circulation!$H$2:$H$500,"Active")&gt;0,"On Loan","Available"))</f>
        <v/>
      </c>
      <c r="AB62" s="8"/>
      <c r="AC62" s="8"/>
      <c r="AD62" s="8"/>
      <c r="AE62" s="8"/>
      <c r="AF62" s="8"/>
      <c r="AG62" s="8"/>
      <c r="AH62" s="8"/>
    </row>
    <row r="63" spans="1:34" ht="15.75" x14ac:dyDescent="0.25">
      <c r="A63" s="14" t="str">
        <f t="shared" si="0"/>
        <v/>
      </c>
      <c r="B63" s="15"/>
      <c r="C63" s="14" t="str">
        <f t="shared" si="1"/>
        <v/>
      </c>
      <c r="D63" s="8"/>
      <c r="E63" s="8"/>
      <c r="F63" s="8"/>
      <c r="G63" s="8"/>
      <c r="H63" s="14" t="str">
        <f>IF(ISBLANK(F63),"",IF(G63&lt;&gt;"",UPPER(TRIM(G63)),IF(ISNUMBER(SEARCH(" ",TRIM(F63))),UPPER(LEFT(TRIM(RIGHT(SUBSTITUTE(TRIM(F63)," ",REPT(" ",100)),100)),Settings!$B$9)),UPPER(LEFT(TRIM(F63),Settings!$B$9)))))</f>
        <v/>
      </c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16" t="str">
        <f>IF(ISBLANK(D63),"",IF(COUNTIFS(Circulation!$B$2:$B$500,A63,Circulation!$H$2:$H$500,"Active")&gt;0,"On Loan","Available"))</f>
        <v/>
      </c>
      <c r="AB63" s="8"/>
      <c r="AC63" s="8"/>
      <c r="AD63" s="8"/>
      <c r="AE63" s="8"/>
      <c r="AF63" s="8"/>
      <c r="AG63" s="8"/>
      <c r="AH63" s="8"/>
    </row>
    <row r="64" spans="1:34" ht="15.75" x14ac:dyDescent="0.25">
      <c r="A64" s="14" t="str">
        <f t="shared" si="0"/>
        <v/>
      </c>
      <c r="B64" s="15"/>
      <c r="C64" s="14" t="str">
        <f t="shared" si="1"/>
        <v/>
      </c>
      <c r="D64" s="8"/>
      <c r="E64" s="8"/>
      <c r="F64" s="8"/>
      <c r="G64" s="8"/>
      <c r="H64" s="14" t="str">
        <f>IF(ISBLANK(F64),"",IF(G64&lt;&gt;"",UPPER(TRIM(G64)),IF(ISNUMBER(SEARCH(" ",TRIM(F64))),UPPER(LEFT(TRIM(RIGHT(SUBSTITUTE(TRIM(F64)," ",REPT(" ",100)),100)),Settings!$B$9)),UPPER(LEFT(TRIM(F64),Settings!$B$9)))))</f>
        <v/>
      </c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16" t="str">
        <f>IF(ISBLANK(D64),"",IF(COUNTIFS(Circulation!$B$2:$B$500,A64,Circulation!$H$2:$H$500,"Active")&gt;0,"On Loan","Available"))</f>
        <v/>
      </c>
      <c r="AB64" s="8"/>
      <c r="AC64" s="8"/>
      <c r="AD64" s="8"/>
      <c r="AE64" s="8"/>
      <c r="AF64" s="8"/>
      <c r="AG64" s="8"/>
      <c r="AH64" s="8"/>
    </row>
    <row r="65" spans="1:34" ht="15.75" x14ac:dyDescent="0.25">
      <c r="A65" s="14" t="str">
        <f t="shared" si="0"/>
        <v/>
      </c>
      <c r="B65" s="15"/>
      <c r="C65" s="14" t="str">
        <f t="shared" si="1"/>
        <v/>
      </c>
      <c r="D65" s="8"/>
      <c r="E65" s="8"/>
      <c r="F65" s="8"/>
      <c r="G65" s="8"/>
      <c r="H65" s="14" t="str">
        <f>IF(ISBLANK(F65),"",IF(G65&lt;&gt;"",UPPER(TRIM(G65)),IF(ISNUMBER(SEARCH(" ",TRIM(F65))),UPPER(LEFT(TRIM(RIGHT(SUBSTITUTE(TRIM(F65)," ",REPT(" ",100)),100)),Settings!$B$9)),UPPER(LEFT(TRIM(F65),Settings!$B$9)))))</f>
        <v/>
      </c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16" t="str">
        <f>IF(ISBLANK(D65),"",IF(COUNTIFS(Circulation!$B$2:$B$500,A65,Circulation!$H$2:$H$500,"Active")&gt;0,"On Loan","Available"))</f>
        <v/>
      </c>
      <c r="AB65" s="8"/>
      <c r="AC65" s="8"/>
      <c r="AD65" s="8"/>
      <c r="AE65" s="8"/>
      <c r="AF65" s="8"/>
      <c r="AG65" s="8"/>
      <c r="AH65" s="8"/>
    </row>
    <row r="66" spans="1:34" ht="15.75" x14ac:dyDescent="0.25">
      <c r="A66" s="14" t="str">
        <f t="shared" ref="A66:A129" si="2">IF(ISBLANK(D66),"",ROW()-1)</f>
        <v/>
      </c>
      <c r="B66" s="15"/>
      <c r="C66" s="14" t="str">
        <f t="shared" ref="C66:C129" si="3">IF(OR(ISBLANK(D66),ISBLANK(K66)),"",IFERROR(VLOOKUP(K66,CatItemTypeLookup,2,FALSE),"?")&amp;"-"&amp;IF(L66="","?",IFERROR(VLOOKUP(L66,SubjectLookup,2,FALSE),"="))&amp;"-"&amp;IF(M66="","?",IFERROR(VLOOKUP(M66,GenreLookup,2,FALSE),"="))&amp;"-"&amp;IF(H66="","NOC",H66)&amp;"-"&amp;TEXT(A66,"000")&amp;IF(ISBLANK(O66),"","-"&amp;SUBSTITUTE(O66," ","")))</f>
        <v/>
      </c>
      <c r="D66" s="8"/>
      <c r="E66" s="8"/>
      <c r="F66" s="8"/>
      <c r="G66" s="8"/>
      <c r="H66" s="14" t="str">
        <f>IF(ISBLANK(F66),"",IF(G66&lt;&gt;"",UPPER(TRIM(G66)),IF(ISNUMBER(SEARCH(" ",TRIM(F66))),UPPER(LEFT(TRIM(RIGHT(SUBSTITUTE(TRIM(F66)," ",REPT(" ",100)),100)),Settings!$B$9)),UPPER(LEFT(TRIM(F66),Settings!$B$9)))))</f>
        <v/>
      </c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16" t="str">
        <f>IF(ISBLANK(D66),"",IF(COUNTIFS(Circulation!$B$2:$B$500,A66,Circulation!$H$2:$H$500,"Active")&gt;0,"On Loan","Available"))</f>
        <v/>
      </c>
      <c r="AB66" s="8"/>
      <c r="AC66" s="8"/>
      <c r="AD66" s="8"/>
      <c r="AE66" s="8"/>
      <c r="AF66" s="8"/>
      <c r="AG66" s="8"/>
      <c r="AH66" s="8"/>
    </row>
    <row r="67" spans="1:34" ht="15.75" x14ac:dyDescent="0.25">
      <c r="A67" s="14" t="str">
        <f t="shared" si="2"/>
        <v/>
      </c>
      <c r="B67" s="15"/>
      <c r="C67" s="14" t="str">
        <f t="shared" si="3"/>
        <v/>
      </c>
      <c r="D67" s="8"/>
      <c r="E67" s="8"/>
      <c r="F67" s="8"/>
      <c r="G67" s="8"/>
      <c r="H67" s="14" t="str">
        <f>IF(ISBLANK(F67),"",IF(G67&lt;&gt;"",UPPER(TRIM(G67)),IF(ISNUMBER(SEARCH(" ",TRIM(F67))),UPPER(LEFT(TRIM(RIGHT(SUBSTITUTE(TRIM(F67)," ",REPT(" ",100)),100)),Settings!$B$9)),UPPER(LEFT(TRIM(F67),Settings!$B$9)))))</f>
        <v/>
      </c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16" t="str">
        <f>IF(ISBLANK(D67),"",IF(COUNTIFS(Circulation!$B$2:$B$500,A67,Circulation!$H$2:$H$500,"Active")&gt;0,"On Loan","Available"))</f>
        <v/>
      </c>
      <c r="AB67" s="8"/>
      <c r="AC67" s="8"/>
      <c r="AD67" s="8"/>
      <c r="AE67" s="8"/>
      <c r="AF67" s="8"/>
      <c r="AG67" s="8"/>
      <c r="AH67" s="8"/>
    </row>
    <row r="68" spans="1:34" ht="15.75" x14ac:dyDescent="0.25">
      <c r="A68" s="14" t="str">
        <f t="shared" si="2"/>
        <v/>
      </c>
      <c r="B68" s="15"/>
      <c r="C68" s="14" t="str">
        <f t="shared" si="3"/>
        <v/>
      </c>
      <c r="D68" s="8"/>
      <c r="E68" s="8"/>
      <c r="F68" s="8"/>
      <c r="G68" s="8"/>
      <c r="H68" s="14" t="str">
        <f>IF(ISBLANK(F68),"",IF(G68&lt;&gt;"",UPPER(TRIM(G68)),IF(ISNUMBER(SEARCH(" ",TRIM(F68))),UPPER(LEFT(TRIM(RIGHT(SUBSTITUTE(TRIM(F68)," ",REPT(" ",100)),100)),Settings!$B$9)),UPPER(LEFT(TRIM(F68),Settings!$B$9)))))</f>
        <v/>
      </c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16" t="str">
        <f>IF(ISBLANK(D68),"",IF(COUNTIFS(Circulation!$B$2:$B$500,A68,Circulation!$H$2:$H$500,"Active")&gt;0,"On Loan","Available"))</f>
        <v/>
      </c>
      <c r="AB68" s="8"/>
      <c r="AC68" s="8"/>
      <c r="AD68" s="8"/>
      <c r="AE68" s="8"/>
      <c r="AF68" s="8"/>
      <c r="AG68" s="8"/>
      <c r="AH68" s="8"/>
    </row>
    <row r="69" spans="1:34" ht="15.75" x14ac:dyDescent="0.25">
      <c r="A69" s="14" t="str">
        <f t="shared" si="2"/>
        <v/>
      </c>
      <c r="B69" s="15"/>
      <c r="C69" s="14" t="str">
        <f t="shared" si="3"/>
        <v/>
      </c>
      <c r="D69" s="8"/>
      <c r="E69" s="8"/>
      <c r="F69" s="8"/>
      <c r="G69" s="8"/>
      <c r="H69" s="14" t="str">
        <f>IF(ISBLANK(F69),"",IF(G69&lt;&gt;"",UPPER(TRIM(G69)),IF(ISNUMBER(SEARCH(" ",TRIM(F69))),UPPER(LEFT(TRIM(RIGHT(SUBSTITUTE(TRIM(F69)," ",REPT(" ",100)),100)),Settings!$B$9)),UPPER(LEFT(TRIM(F69),Settings!$B$9)))))</f>
        <v/>
      </c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16" t="str">
        <f>IF(ISBLANK(D69),"",IF(COUNTIFS(Circulation!$B$2:$B$500,A69,Circulation!$H$2:$H$500,"Active")&gt;0,"On Loan","Available"))</f>
        <v/>
      </c>
      <c r="AB69" s="8"/>
      <c r="AC69" s="8"/>
      <c r="AD69" s="8"/>
      <c r="AE69" s="8"/>
      <c r="AF69" s="8"/>
      <c r="AG69" s="8"/>
      <c r="AH69" s="8"/>
    </row>
    <row r="70" spans="1:34" ht="15.75" x14ac:dyDescent="0.25">
      <c r="A70" s="14" t="str">
        <f t="shared" si="2"/>
        <v/>
      </c>
      <c r="B70" s="15"/>
      <c r="C70" s="14" t="str">
        <f t="shared" si="3"/>
        <v/>
      </c>
      <c r="D70" s="8"/>
      <c r="E70" s="8"/>
      <c r="F70" s="8"/>
      <c r="G70" s="8"/>
      <c r="H70" s="14" t="str">
        <f>IF(ISBLANK(F70),"",IF(G70&lt;&gt;"",UPPER(TRIM(G70)),IF(ISNUMBER(SEARCH(" ",TRIM(F70))),UPPER(LEFT(TRIM(RIGHT(SUBSTITUTE(TRIM(F70)," ",REPT(" ",100)),100)),Settings!$B$9)),UPPER(LEFT(TRIM(F70),Settings!$B$9)))))</f>
        <v/>
      </c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16" t="str">
        <f>IF(ISBLANK(D70),"",IF(COUNTIFS(Circulation!$B$2:$B$500,A70,Circulation!$H$2:$H$500,"Active")&gt;0,"On Loan","Available"))</f>
        <v/>
      </c>
      <c r="AB70" s="8"/>
      <c r="AC70" s="8"/>
      <c r="AD70" s="8"/>
      <c r="AE70" s="8"/>
      <c r="AF70" s="8"/>
      <c r="AG70" s="8"/>
      <c r="AH70" s="8"/>
    </row>
    <row r="71" spans="1:34" ht="15.75" x14ac:dyDescent="0.25">
      <c r="A71" s="14" t="str">
        <f t="shared" si="2"/>
        <v/>
      </c>
      <c r="B71" s="15"/>
      <c r="C71" s="14" t="str">
        <f t="shared" si="3"/>
        <v/>
      </c>
      <c r="D71" s="8"/>
      <c r="E71" s="8"/>
      <c r="F71" s="8"/>
      <c r="G71" s="8"/>
      <c r="H71" s="14" t="str">
        <f>IF(ISBLANK(F71),"",IF(G71&lt;&gt;"",UPPER(TRIM(G71)),IF(ISNUMBER(SEARCH(" ",TRIM(F71))),UPPER(LEFT(TRIM(RIGHT(SUBSTITUTE(TRIM(F71)," ",REPT(" ",100)),100)),Settings!$B$9)),UPPER(LEFT(TRIM(F71),Settings!$B$9)))))</f>
        <v/>
      </c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16" t="str">
        <f>IF(ISBLANK(D71),"",IF(COUNTIFS(Circulation!$B$2:$B$500,A71,Circulation!$H$2:$H$500,"Active")&gt;0,"On Loan","Available"))</f>
        <v/>
      </c>
      <c r="AB71" s="8"/>
      <c r="AC71" s="8"/>
      <c r="AD71" s="8"/>
      <c r="AE71" s="8"/>
      <c r="AF71" s="8"/>
      <c r="AG71" s="8"/>
      <c r="AH71" s="8"/>
    </row>
    <row r="72" spans="1:34" ht="15.75" x14ac:dyDescent="0.25">
      <c r="A72" s="14" t="str">
        <f t="shared" si="2"/>
        <v/>
      </c>
      <c r="B72" s="15"/>
      <c r="C72" s="14" t="str">
        <f t="shared" si="3"/>
        <v/>
      </c>
      <c r="D72" s="8"/>
      <c r="E72" s="8"/>
      <c r="F72" s="8"/>
      <c r="G72" s="8"/>
      <c r="H72" s="14" t="str">
        <f>IF(ISBLANK(F72),"",IF(G72&lt;&gt;"",UPPER(TRIM(G72)),IF(ISNUMBER(SEARCH(" ",TRIM(F72))),UPPER(LEFT(TRIM(RIGHT(SUBSTITUTE(TRIM(F72)," ",REPT(" ",100)),100)),Settings!$B$9)),UPPER(LEFT(TRIM(F72),Settings!$B$9)))))</f>
        <v/>
      </c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16" t="str">
        <f>IF(ISBLANK(D72),"",IF(COUNTIFS(Circulation!$B$2:$B$500,A72,Circulation!$H$2:$H$500,"Active")&gt;0,"On Loan","Available"))</f>
        <v/>
      </c>
      <c r="AB72" s="8"/>
      <c r="AC72" s="8"/>
      <c r="AD72" s="8"/>
      <c r="AE72" s="8"/>
      <c r="AF72" s="8"/>
      <c r="AG72" s="8"/>
      <c r="AH72" s="8"/>
    </row>
    <row r="73" spans="1:34" ht="15.75" x14ac:dyDescent="0.25">
      <c r="A73" s="14" t="str">
        <f t="shared" si="2"/>
        <v/>
      </c>
      <c r="B73" s="15"/>
      <c r="C73" s="14" t="str">
        <f t="shared" si="3"/>
        <v/>
      </c>
      <c r="D73" s="8"/>
      <c r="E73" s="8"/>
      <c r="F73" s="8"/>
      <c r="G73" s="8"/>
      <c r="H73" s="14" t="str">
        <f>IF(ISBLANK(F73),"",IF(G73&lt;&gt;"",UPPER(TRIM(G73)),IF(ISNUMBER(SEARCH(" ",TRIM(F73))),UPPER(LEFT(TRIM(RIGHT(SUBSTITUTE(TRIM(F73)," ",REPT(" ",100)),100)),Settings!$B$9)),UPPER(LEFT(TRIM(F73),Settings!$B$9)))))</f>
        <v/>
      </c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16" t="str">
        <f>IF(ISBLANK(D73),"",IF(COUNTIFS(Circulation!$B$2:$B$500,A73,Circulation!$H$2:$H$500,"Active")&gt;0,"On Loan","Available"))</f>
        <v/>
      </c>
      <c r="AB73" s="8"/>
      <c r="AC73" s="8"/>
      <c r="AD73" s="8"/>
      <c r="AE73" s="8"/>
      <c r="AF73" s="8"/>
      <c r="AG73" s="8"/>
      <c r="AH73" s="8"/>
    </row>
    <row r="74" spans="1:34" ht="15.75" x14ac:dyDescent="0.25">
      <c r="A74" s="14" t="str">
        <f t="shared" si="2"/>
        <v/>
      </c>
      <c r="B74" s="15"/>
      <c r="C74" s="14" t="str">
        <f t="shared" si="3"/>
        <v/>
      </c>
      <c r="D74" s="8"/>
      <c r="E74" s="8"/>
      <c r="F74" s="8"/>
      <c r="G74" s="8"/>
      <c r="H74" s="14" t="str">
        <f>IF(ISBLANK(F74),"",IF(G74&lt;&gt;"",UPPER(TRIM(G74)),IF(ISNUMBER(SEARCH(" ",TRIM(F74))),UPPER(LEFT(TRIM(RIGHT(SUBSTITUTE(TRIM(F74)," ",REPT(" ",100)),100)),Settings!$B$9)),UPPER(LEFT(TRIM(F74),Settings!$B$9)))))</f>
        <v/>
      </c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16" t="str">
        <f>IF(ISBLANK(D74),"",IF(COUNTIFS(Circulation!$B$2:$B$500,A74,Circulation!$H$2:$H$500,"Active")&gt;0,"On Loan","Available"))</f>
        <v/>
      </c>
      <c r="AB74" s="8"/>
      <c r="AC74" s="8"/>
      <c r="AD74" s="8"/>
      <c r="AE74" s="8"/>
      <c r="AF74" s="8"/>
      <c r="AG74" s="8"/>
      <c r="AH74" s="8"/>
    </row>
    <row r="75" spans="1:34" ht="15.75" x14ac:dyDescent="0.25">
      <c r="A75" s="14" t="str">
        <f t="shared" si="2"/>
        <v/>
      </c>
      <c r="B75" s="15"/>
      <c r="C75" s="14" t="str">
        <f t="shared" si="3"/>
        <v/>
      </c>
      <c r="D75" s="8"/>
      <c r="E75" s="8"/>
      <c r="F75" s="8"/>
      <c r="G75" s="8"/>
      <c r="H75" s="14" t="str">
        <f>IF(ISBLANK(F75),"",IF(G75&lt;&gt;"",UPPER(TRIM(G75)),IF(ISNUMBER(SEARCH(" ",TRIM(F75))),UPPER(LEFT(TRIM(RIGHT(SUBSTITUTE(TRIM(F75)," ",REPT(" ",100)),100)),Settings!$B$9)),UPPER(LEFT(TRIM(F75),Settings!$B$9)))))</f>
        <v/>
      </c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16" t="str">
        <f>IF(ISBLANK(D75),"",IF(COUNTIFS(Circulation!$B$2:$B$500,A75,Circulation!$H$2:$H$500,"Active")&gt;0,"On Loan","Available"))</f>
        <v/>
      </c>
      <c r="AB75" s="8"/>
      <c r="AC75" s="8"/>
      <c r="AD75" s="8"/>
      <c r="AE75" s="8"/>
      <c r="AF75" s="8"/>
      <c r="AG75" s="8"/>
      <c r="AH75" s="8"/>
    </row>
    <row r="76" spans="1:34" ht="15.75" x14ac:dyDescent="0.25">
      <c r="A76" s="14" t="str">
        <f t="shared" si="2"/>
        <v/>
      </c>
      <c r="B76" s="15"/>
      <c r="C76" s="14" t="str">
        <f t="shared" si="3"/>
        <v/>
      </c>
      <c r="D76" s="8"/>
      <c r="E76" s="8"/>
      <c r="F76" s="8"/>
      <c r="G76" s="8"/>
      <c r="H76" s="14" t="str">
        <f>IF(ISBLANK(F76),"",IF(G76&lt;&gt;"",UPPER(TRIM(G76)),IF(ISNUMBER(SEARCH(" ",TRIM(F76))),UPPER(LEFT(TRIM(RIGHT(SUBSTITUTE(TRIM(F76)," ",REPT(" ",100)),100)),Settings!$B$9)),UPPER(LEFT(TRIM(F76),Settings!$B$9)))))</f>
        <v/>
      </c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16" t="str">
        <f>IF(ISBLANK(D76),"",IF(COUNTIFS(Circulation!$B$2:$B$500,A76,Circulation!$H$2:$H$500,"Active")&gt;0,"On Loan","Available"))</f>
        <v/>
      </c>
      <c r="AB76" s="8"/>
      <c r="AC76" s="8"/>
      <c r="AD76" s="8"/>
      <c r="AE76" s="8"/>
      <c r="AF76" s="8"/>
      <c r="AG76" s="8"/>
      <c r="AH76" s="8"/>
    </row>
    <row r="77" spans="1:34" ht="15.75" x14ac:dyDescent="0.25">
      <c r="A77" s="14" t="str">
        <f t="shared" si="2"/>
        <v/>
      </c>
      <c r="B77" s="15"/>
      <c r="C77" s="14" t="str">
        <f t="shared" si="3"/>
        <v/>
      </c>
      <c r="D77" s="8"/>
      <c r="E77" s="8"/>
      <c r="F77" s="8"/>
      <c r="G77" s="8"/>
      <c r="H77" s="14" t="str">
        <f>IF(ISBLANK(F77),"",IF(G77&lt;&gt;"",UPPER(TRIM(G77)),IF(ISNUMBER(SEARCH(" ",TRIM(F77))),UPPER(LEFT(TRIM(RIGHT(SUBSTITUTE(TRIM(F77)," ",REPT(" ",100)),100)),Settings!$B$9)),UPPER(LEFT(TRIM(F77),Settings!$B$9)))))</f>
        <v/>
      </c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16" t="str">
        <f>IF(ISBLANK(D77),"",IF(COUNTIFS(Circulation!$B$2:$B$500,A77,Circulation!$H$2:$H$500,"Active")&gt;0,"On Loan","Available"))</f>
        <v/>
      </c>
      <c r="AB77" s="8"/>
      <c r="AC77" s="8"/>
      <c r="AD77" s="8"/>
      <c r="AE77" s="8"/>
      <c r="AF77" s="8"/>
      <c r="AG77" s="8"/>
      <c r="AH77" s="8"/>
    </row>
    <row r="78" spans="1:34" ht="15.75" x14ac:dyDescent="0.25">
      <c r="A78" s="14" t="str">
        <f t="shared" si="2"/>
        <v/>
      </c>
      <c r="B78" s="15"/>
      <c r="C78" s="14" t="str">
        <f t="shared" si="3"/>
        <v/>
      </c>
      <c r="D78" s="8"/>
      <c r="E78" s="8"/>
      <c r="F78" s="8"/>
      <c r="G78" s="8"/>
      <c r="H78" s="14" t="str">
        <f>IF(ISBLANK(F78),"",IF(G78&lt;&gt;"",UPPER(TRIM(G78)),IF(ISNUMBER(SEARCH(" ",TRIM(F78))),UPPER(LEFT(TRIM(RIGHT(SUBSTITUTE(TRIM(F78)," ",REPT(" ",100)),100)),Settings!$B$9)),UPPER(LEFT(TRIM(F78),Settings!$B$9)))))</f>
        <v/>
      </c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16" t="str">
        <f>IF(ISBLANK(D78),"",IF(COUNTIFS(Circulation!$B$2:$B$500,A78,Circulation!$H$2:$H$500,"Active")&gt;0,"On Loan","Available"))</f>
        <v/>
      </c>
      <c r="AB78" s="8"/>
      <c r="AC78" s="8"/>
      <c r="AD78" s="8"/>
      <c r="AE78" s="8"/>
      <c r="AF78" s="8"/>
      <c r="AG78" s="8"/>
      <c r="AH78" s="8"/>
    </row>
    <row r="79" spans="1:34" ht="15.75" x14ac:dyDescent="0.25">
      <c r="A79" s="14" t="str">
        <f t="shared" si="2"/>
        <v/>
      </c>
      <c r="B79" s="15"/>
      <c r="C79" s="14" t="str">
        <f t="shared" si="3"/>
        <v/>
      </c>
      <c r="D79" s="8"/>
      <c r="E79" s="8"/>
      <c r="F79" s="8"/>
      <c r="G79" s="8"/>
      <c r="H79" s="14" t="str">
        <f>IF(ISBLANK(F79),"",IF(G79&lt;&gt;"",UPPER(TRIM(G79)),IF(ISNUMBER(SEARCH(" ",TRIM(F79))),UPPER(LEFT(TRIM(RIGHT(SUBSTITUTE(TRIM(F79)," ",REPT(" ",100)),100)),Settings!$B$9)),UPPER(LEFT(TRIM(F79),Settings!$B$9)))))</f>
        <v/>
      </c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16" t="str">
        <f>IF(ISBLANK(D79),"",IF(COUNTIFS(Circulation!$B$2:$B$500,A79,Circulation!$H$2:$H$500,"Active")&gt;0,"On Loan","Available"))</f>
        <v/>
      </c>
      <c r="AB79" s="8"/>
      <c r="AC79" s="8"/>
      <c r="AD79" s="8"/>
      <c r="AE79" s="8"/>
      <c r="AF79" s="8"/>
      <c r="AG79" s="8"/>
      <c r="AH79" s="8"/>
    </row>
    <row r="80" spans="1:34" ht="15.75" x14ac:dyDescent="0.25">
      <c r="A80" s="14" t="str">
        <f t="shared" si="2"/>
        <v/>
      </c>
      <c r="B80" s="15"/>
      <c r="C80" s="14" t="str">
        <f t="shared" si="3"/>
        <v/>
      </c>
      <c r="D80" s="8"/>
      <c r="E80" s="8"/>
      <c r="F80" s="8"/>
      <c r="G80" s="8"/>
      <c r="H80" s="14" t="str">
        <f>IF(ISBLANK(F80),"",IF(G80&lt;&gt;"",UPPER(TRIM(G80)),IF(ISNUMBER(SEARCH(" ",TRIM(F80))),UPPER(LEFT(TRIM(RIGHT(SUBSTITUTE(TRIM(F80)," ",REPT(" ",100)),100)),Settings!$B$9)),UPPER(LEFT(TRIM(F80),Settings!$B$9)))))</f>
        <v/>
      </c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16" t="str">
        <f>IF(ISBLANK(D80),"",IF(COUNTIFS(Circulation!$B$2:$B$500,A80,Circulation!$H$2:$H$500,"Active")&gt;0,"On Loan","Available"))</f>
        <v/>
      </c>
      <c r="AB80" s="8"/>
      <c r="AC80" s="8"/>
      <c r="AD80" s="8"/>
      <c r="AE80" s="8"/>
      <c r="AF80" s="8"/>
      <c r="AG80" s="8"/>
      <c r="AH80" s="8"/>
    </row>
    <row r="81" spans="1:34" ht="15.75" x14ac:dyDescent="0.25">
      <c r="A81" s="14" t="str">
        <f t="shared" si="2"/>
        <v/>
      </c>
      <c r="B81" s="15"/>
      <c r="C81" s="14" t="str">
        <f t="shared" si="3"/>
        <v/>
      </c>
      <c r="D81" s="8"/>
      <c r="E81" s="8"/>
      <c r="F81" s="8"/>
      <c r="G81" s="8"/>
      <c r="H81" s="14" t="str">
        <f>IF(ISBLANK(F81),"",IF(G81&lt;&gt;"",UPPER(TRIM(G81)),IF(ISNUMBER(SEARCH(" ",TRIM(F81))),UPPER(LEFT(TRIM(RIGHT(SUBSTITUTE(TRIM(F81)," ",REPT(" ",100)),100)),Settings!$B$9)),UPPER(LEFT(TRIM(F81),Settings!$B$9)))))</f>
        <v/>
      </c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16" t="str">
        <f>IF(ISBLANK(D81),"",IF(COUNTIFS(Circulation!$B$2:$B$500,A81,Circulation!$H$2:$H$500,"Active")&gt;0,"On Loan","Available"))</f>
        <v/>
      </c>
      <c r="AB81" s="8"/>
      <c r="AC81" s="8"/>
      <c r="AD81" s="8"/>
      <c r="AE81" s="8"/>
      <c r="AF81" s="8"/>
      <c r="AG81" s="8"/>
      <c r="AH81" s="8"/>
    </row>
    <row r="82" spans="1:34" ht="15.75" x14ac:dyDescent="0.25">
      <c r="A82" s="14" t="str">
        <f t="shared" si="2"/>
        <v/>
      </c>
      <c r="B82" s="15"/>
      <c r="C82" s="14" t="str">
        <f t="shared" si="3"/>
        <v/>
      </c>
      <c r="D82" s="8"/>
      <c r="E82" s="8"/>
      <c r="F82" s="8"/>
      <c r="G82" s="8"/>
      <c r="H82" s="14" t="str">
        <f>IF(ISBLANK(F82),"",IF(G82&lt;&gt;"",UPPER(TRIM(G82)),IF(ISNUMBER(SEARCH(" ",TRIM(F82))),UPPER(LEFT(TRIM(RIGHT(SUBSTITUTE(TRIM(F82)," ",REPT(" ",100)),100)),Settings!$B$9)),UPPER(LEFT(TRIM(F82),Settings!$B$9)))))</f>
        <v/>
      </c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16" t="str">
        <f>IF(ISBLANK(D82),"",IF(COUNTIFS(Circulation!$B$2:$B$500,A82,Circulation!$H$2:$H$500,"Active")&gt;0,"On Loan","Available"))</f>
        <v/>
      </c>
      <c r="AB82" s="8"/>
      <c r="AC82" s="8"/>
      <c r="AD82" s="8"/>
      <c r="AE82" s="8"/>
      <c r="AF82" s="8"/>
      <c r="AG82" s="8"/>
      <c r="AH82" s="8"/>
    </row>
    <row r="83" spans="1:34" ht="15.75" x14ac:dyDescent="0.25">
      <c r="A83" s="14" t="str">
        <f t="shared" si="2"/>
        <v/>
      </c>
      <c r="B83" s="15"/>
      <c r="C83" s="14" t="str">
        <f t="shared" si="3"/>
        <v/>
      </c>
      <c r="D83" s="8"/>
      <c r="E83" s="8"/>
      <c r="F83" s="8"/>
      <c r="G83" s="8"/>
      <c r="H83" s="14" t="str">
        <f>IF(ISBLANK(F83),"",IF(G83&lt;&gt;"",UPPER(TRIM(G83)),IF(ISNUMBER(SEARCH(" ",TRIM(F83))),UPPER(LEFT(TRIM(RIGHT(SUBSTITUTE(TRIM(F83)," ",REPT(" ",100)),100)),Settings!$B$9)),UPPER(LEFT(TRIM(F83),Settings!$B$9)))))</f>
        <v/>
      </c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16" t="str">
        <f>IF(ISBLANK(D83),"",IF(COUNTIFS(Circulation!$B$2:$B$500,A83,Circulation!$H$2:$H$500,"Active")&gt;0,"On Loan","Available"))</f>
        <v/>
      </c>
      <c r="AB83" s="8"/>
      <c r="AC83" s="8"/>
      <c r="AD83" s="8"/>
      <c r="AE83" s="8"/>
      <c r="AF83" s="8"/>
      <c r="AG83" s="8"/>
      <c r="AH83" s="8"/>
    </row>
    <row r="84" spans="1:34" ht="15.75" x14ac:dyDescent="0.25">
      <c r="A84" s="14" t="str">
        <f t="shared" si="2"/>
        <v/>
      </c>
      <c r="B84" s="15"/>
      <c r="C84" s="14" t="str">
        <f t="shared" si="3"/>
        <v/>
      </c>
      <c r="D84" s="8"/>
      <c r="E84" s="8"/>
      <c r="F84" s="8"/>
      <c r="G84" s="8"/>
      <c r="H84" s="14" t="str">
        <f>IF(ISBLANK(F84),"",IF(G84&lt;&gt;"",UPPER(TRIM(G84)),IF(ISNUMBER(SEARCH(" ",TRIM(F84))),UPPER(LEFT(TRIM(RIGHT(SUBSTITUTE(TRIM(F84)," ",REPT(" ",100)),100)),Settings!$B$9)),UPPER(LEFT(TRIM(F84),Settings!$B$9)))))</f>
        <v/>
      </c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16" t="str">
        <f>IF(ISBLANK(D84),"",IF(COUNTIFS(Circulation!$B$2:$B$500,A84,Circulation!$H$2:$H$500,"Active")&gt;0,"On Loan","Available"))</f>
        <v/>
      </c>
      <c r="AB84" s="8"/>
      <c r="AC84" s="8"/>
      <c r="AD84" s="8"/>
      <c r="AE84" s="8"/>
      <c r="AF84" s="8"/>
      <c r="AG84" s="8"/>
      <c r="AH84" s="8"/>
    </row>
    <row r="85" spans="1:34" ht="15.75" x14ac:dyDescent="0.25">
      <c r="A85" s="14" t="str">
        <f t="shared" si="2"/>
        <v/>
      </c>
      <c r="B85" s="15"/>
      <c r="C85" s="14" t="str">
        <f t="shared" si="3"/>
        <v/>
      </c>
      <c r="D85" s="8"/>
      <c r="E85" s="8"/>
      <c r="F85" s="8"/>
      <c r="G85" s="8"/>
      <c r="H85" s="14" t="str">
        <f>IF(ISBLANK(F85),"",IF(G85&lt;&gt;"",UPPER(TRIM(G85)),IF(ISNUMBER(SEARCH(" ",TRIM(F85))),UPPER(LEFT(TRIM(RIGHT(SUBSTITUTE(TRIM(F85)," ",REPT(" ",100)),100)),Settings!$B$9)),UPPER(LEFT(TRIM(F85),Settings!$B$9)))))</f>
        <v/>
      </c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16" t="str">
        <f>IF(ISBLANK(D85),"",IF(COUNTIFS(Circulation!$B$2:$B$500,A85,Circulation!$H$2:$H$500,"Active")&gt;0,"On Loan","Available"))</f>
        <v/>
      </c>
      <c r="AB85" s="8"/>
      <c r="AC85" s="8"/>
      <c r="AD85" s="8"/>
      <c r="AE85" s="8"/>
      <c r="AF85" s="8"/>
      <c r="AG85" s="8"/>
      <c r="AH85" s="8"/>
    </row>
    <row r="86" spans="1:34" ht="15.75" x14ac:dyDescent="0.25">
      <c r="A86" s="14" t="str">
        <f t="shared" si="2"/>
        <v/>
      </c>
      <c r="B86" s="15"/>
      <c r="C86" s="14" t="str">
        <f t="shared" si="3"/>
        <v/>
      </c>
      <c r="D86" s="8"/>
      <c r="E86" s="8"/>
      <c r="F86" s="8"/>
      <c r="G86" s="8"/>
      <c r="H86" s="14" t="str">
        <f>IF(ISBLANK(F86),"",IF(G86&lt;&gt;"",UPPER(TRIM(G86)),IF(ISNUMBER(SEARCH(" ",TRIM(F86))),UPPER(LEFT(TRIM(RIGHT(SUBSTITUTE(TRIM(F86)," ",REPT(" ",100)),100)),Settings!$B$9)),UPPER(LEFT(TRIM(F86),Settings!$B$9)))))</f>
        <v/>
      </c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16" t="str">
        <f>IF(ISBLANK(D86),"",IF(COUNTIFS(Circulation!$B$2:$B$500,A86,Circulation!$H$2:$H$500,"Active")&gt;0,"On Loan","Available"))</f>
        <v/>
      </c>
      <c r="AB86" s="8"/>
      <c r="AC86" s="8"/>
      <c r="AD86" s="8"/>
      <c r="AE86" s="8"/>
      <c r="AF86" s="8"/>
      <c r="AG86" s="8"/>
      <c r="AH86" s="8"/>
    </row>
    <row r="87" spans="1:34" ht="15.75" x14ac:dyDescent="0.25">
      <c r="A87" s="14" t="str">
        <f t="shared" si="2"/>
        <v/>
      </c>
      <c r="B87" s="15"/>
      <c r="C87" s="14" t="str">
        <f t="shared" si="3"/>
        <v/>
      </c>
      <c r="D87" s="8"/>
      <c r="E87" s="8"/>
      <c r="F87" s="8"/>
      <c r="G87" s="8"/>
      <c r="H87" s="14" t="str">
        <f>IF(ISBLANK(F87),"",IF(G87&lt;&gt;"",UPPER(TRIM(G87)),IF(ISNUMBER(SEARCH(" ",TRIM(F87))),UPPER(LEFT(TRIM(RIGHT(SUBSTITUTE(TRIM(F87)," ",REPT(" ",100)),100)),Settings!$B$9)),UPPER(LEFT(TRIM(F87),Settings!$B$9)))))</f>
        <v/>
      </c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16" t="str">
        <f>IF(ISBLANK(D87),"",IF(COUNTIFS(Circulation!$B$2:$B$500,A87,Circulation!$H$2:$H$500,"Active")&gt;0,"On Loan","Available"))</f>
        <v/>
      </c>
      <c r="AB87" s="8"/>
      <c r="AC87" s="8"/>
      <c r="AD87" s="8"/>
      <c r="AE87" s="8"/>
      <c r="AF87" s="8"/>
      <c r="AG87" s="8"/>
      <c r="AH87" s="8"/>
    </row>
    <row r="88" spans="1:34" ht="15.75" x14ac:dyDescent="0.25">
      <c r="A88" s="14" t="str">
        <f t="shared" si="2"/>
        <v/>
      </c>
      <c r="B88" s="15"/>
      <c r="C88" s="14" t="str">
        <f t="shared" si="3"/>
        <v/>
      </c>
      <c r="D88" s="8"/>
      <c r="E88" s="8"/>
      <c r="F88" s="8"/>
      <c r="G88" s="8"/>
      <c r="H88" s="14" t="str">
        <f>IF(ISBLANK(F88),"",IF(G88&lt;&gt;"",UPPER(TRIM(G88)),IF(ISNUMBER(SEARCH(" ",TRIM(F88))),UPPER(LEFT(TRIM(RIGHT(SUBSTITUTE(TRIM(F88)," ",REPT(" ",100)),100)),Settings!$B$9)),UPPER(LEFT(TRIM(F88),Settings!$B$9)))))</f>
        <v/>
      </c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16" t="str">
        <f>IF(ISBLANK(D88),"",IF(COUNTIFS(Circulation!$B$2:$B$500,A88,Circulation!$H$2:$H$500,"Active")&gt;0,"On Loan","Available"))</f>
        <v/>
      </c>
      <c r="AB88" s="8"/>
      <c r="AC88" s="8"/>
      <c r="AD88" s="8"/>
      <c r="AE88" s="8"/>
      <c r="AF88" s="8"/>
      <c r="AG88" s="8"/>
      <c r="AH88" s="8"/>
    </row>
    <row r="89" spans="1:34" ht="15.75" x14ac:dyDescent="0.25">
      <c r="A89" s="14" t="str">
        <f t="shared" si="2"/>
        <v/>
      </c>
      <c r="B89" s="15"/>
      <c r="C89" s="14" t="str">
        <f t="shared" si="3"/>
        <v/>
      </c>
      <c r="D89" s="8"/>
      <c r="E89" s="8"/>
      <c r="F89" s="8"/>
      <c r="G89" s="8"/>
      <c r="H89" s="14" t="str">
        <f>IF(ISBLANK(F89),"",IF(G89&lt;&gt;"",UPPER(TRIM(G89)),IF(ISNUMBER(SEARCH(" ",TRIM(F89))),UPPER(LEFT(TRIM(RIGHT(SUBSTITUTE(TRIM(F89)," ",REPT(" ",100)),100)),Settings!$B$9)),UPPER(LEFT(TRIM(F89),Settings!$B$9)))))</f>
        <v/>
      </c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16" t="str">
        <f>IF(ISBLANK(D89),"",IF(COUNTIFS(Circulation!$B$2:$B$500,A89,Circulation!$H$2:$H$500,"Active")&gt;0,"On Loan","Available"))</f>
        <v/>
      </c>
      <c r="AB89" s="8"/>
      <c r="AC89" s="8"/>
      <c r="AD89" s="8"/>
      <c r="AE89" s="8"/>
      <c r="AF89" s="8"/>
      <c r="AG89" s="8"/>
      <c r="AH89" s="8"/>
    </row>
    <row r="90" spans="1:34" ht="15.75" x14ac:dyDescent="0.25">
      <c r="A90" s="14" t="str">
        <f t="shared" si="2"/>
        <v/>
      </c>
      <c r="B90" s="15"/>
      <c r="C90" s="14" t="str">
        <f t="shared" si="3"/>
        <v/>
      </c>
      <c r="D90" s="8"/>
      <c r="E90" s="8"/>
      <c r="F90" s="8"/>
      <c r="G90" s="8"/>
      <c r="H90" s="14" t="str">
        <f>IF(ISBLANK(F90),"",IF(G90&lt;&gt;"",UPPER(TRIM(G90)),IF(ISNUMBER(SEARCH(" ",TRIM(F90))),UPPER(LEFT(TRIM(RIGHT(SUBSTITUTE(TRIM(F90)," ",REPT(" ",100)),100)),Settings!$B$9)),UPPER(LEFT(TRIM(F90),Settings!$B$9)))))</f>
        <v/>
      </c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16" t="str">
        <f>IF(ISBLANK(D90),"",IF(COUNTIFS(Circulation!$B$2:$B$500,A90,Circulation!$H$2:$H$500,"Active")&gt;0,"On Loan","Available"))</f>
        <v/>
      </c>
      <c r="AB90" s="8"/>
      <c r="AC90" s="8"/>
      <c r="AD90" s="8"/>
      <c r="AE90" s="8"/>
      <c r="AF90" s="8"/>
      <c r="AG90" s="8"/>
      <c r="AH90" s="8"/>
    </row>
    <row r="91" spans="1:34" ht="15.75" x14ac:dyDescent="0.25">
      <c r="A91" s="14" t="str">
        <f t="shared" si="2"/>
        <v/>
      </c>
      <c r="B91" s="15"/>
      <c r="C91" s="14" t="str">
        <f t="shared" si="3"/>
        <v/>
      </c>
      <c r="D91" s="8"/>
      <c r="E91" s="8"/>
      <c r="F91" s="8"/>
      <c r="G91" s="8"/>
      <c r="H91" s="14" t="str">
        <f>IF(ISBLANK(F91),"",IF(G91&lt;&gt;"",UPPER(TRIM(G91)),IF(ISNUMBER(SEARCH(" ",TRIM(F91))),UPPER(LEFT(TRIM(RIGHT(SUBSTITUTE(TRIM(F91)," ",REPT(" ",100)),100)),Settings!$B$9)),UPPER(LEFT(TRIM(F91),Settings!$B$9)))))</f>
        <v/>
      </c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16" t="str">
        <f>IF(ISBLANK(D91),"",IF(COUNTIFS(Circulation!$B$2:$B$500,A91,Circulation!$H$2:$H$500,"Active")&gt;0,"On Loan","Available"))</f>
        <v/>
      </c>
      <c r="AB91" s="8"/>
      <c r="AC91" s="8"/>
      <c r="AD91" s="8"/>
      <c r="AE91" s="8"/>
      <c r="AF91" s="8"/>
      <c r="AG91" s="8"/>
      <c r="AH91" s="8"/>
    </row>
    <row r="92" spans="1:34" ht="15.75" x14ac:dyDescent="0.25">
      <c r="A92" s="14" t="str">
        <f t="shared" si="2"/>
        <v/>
      </c>
      <c r="B92" s="15"/>
      <c r="C92" s="14" t="str">
        <f t="shared" si="3"/>
        <v/>
      </c>
      <c r="D92" s="8"/>
      <c r="E92" s="8"/>
      <c r="F92" s="8"/>
      <c r="G92" s="8"/>
      <c r="H92" s="14" t="str">
        <f>IF(ISBLANK(F92),"",IF(G92&lt;&gt;"",UPPER(TRIM(G92)),IF(ISNUMBER(SEARCH(" ",TRIM(F92))),UPPER(LEFT(TRIM(RIGHT(SUBSTITUTE(TRIM(F92)," ",REPT(" ",100)),100)),Settings!$B$9)),UPPER(LEFT(TRIM(F92),Settings!$B$9)))))</f>
        <v/>
      </c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16" t="str">
        <f>IF(ISBLANK(D92),"",IF(COUNTIFS(Circulation!$B$2:$B$500,A92,Circulation!$H$2:$H$500,"Active")&gt;0,"On Loan","Available"))</f>
        <v/>
      </c>
      <c r="AB92" s="8"/>
      <c r="AC92" s="8"/>
      <c r="AD92" s="8"/>
      <c r="AE92" s="8"/>
      <c r="AF92" s="8"/>
      <c r="AG92" s="8"/>
      <c r="AH92" s="8"/>
    </row>
    <row r="93" spans="1:34" ht="15.75" x14ac:dyDescent="0.25">
      <c r="A93" s="14" t="str">
        <f t="shared" si="2"/>
        <v/>
      </c>
      <c r="B93" s="15"/>
      <c r="C93" s="14" t="str">
        <f t="shared" si="3"/>
        <v/>
      </c>
      <c r="D93" s="8"/>
      <c r="E93" s="8"/>
      <c r="F93" s="8"/>
      <c r="G93" s="8"/>
      <c r="H93" s="14" t="str">
        <f>IF(ISBLANK(F93),"",IF(G93&lt;&gt;"",UPPER(TRIM(G93)),IF(ISNUMBER(SEARCH(" ",TRIM(F93))),UPPER(LEFT(TRIM(RIGHT(SUBSTITUTE(TRIM(F93)," ",REPT(" ",100)),100)),Settings!$B$9)),UPPER(LEFT(TRIM(F93),Settings!$B$9)))))</f>
        <v/>
      </c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16" t="str">
        <f>IF(ISBLANK(D93),"",IF(COUNTIFS(Circulation!$B$2:$B$500,A93,Circulation!$H$2:$H$500,"Active")&gt;0,"On Loan","Available"))</f>
        <v/>
      </c>
      <c r="AB93" s="8"/>
      <c r="AC93" s="8"/>
      <c r="AD93" s="8"/>
      <c r="AE93" s="8"/>
      <c r="AF93" s="8"/>
      <c r="AG93" s="8"/>
      <c r="AH93" s="8"/>
    </row>
    <row r="94" spans="1:34" ht="15.75" x14ac:dyDescent="0.25">
      <c r="A94" s="14" t="str">
        <f t="shared" si="2"/>
        <v/>
      </c>
      <c r="B94" s="15"/>
      <c r="C94" s="14" t="str">
        <f t="shared" si="3"/>
        <v/>
      </c>
      <c r="D94" s="8"/>
      <c r="E94" s="8"/>
      <c r="F94" s="8"/>
      <c r="G94" s="8"/>
      <c r="H94" s="14" t="str">
        <f>IF(ISBLANK(F94),"",IF(G94&lt;&gt;"",UPPER(TRIM(G94)),IF(ISNUMBER(SEARCH(" ",TRIM(F94))),UPPER(LEFT(TRIM(RIGHT(SUBSTITUTE(TRIM(F94)," ",REPT(" ",100)),100)),Settings!$B$9)),UPPER(LEFT(TRIM(F94),Settings!$B$9)))))</f>
        <v/>
      </c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16" t="str">
        <f>IF(ISBLANK(D94),"",IF(COUNTIFS(Circulation!$B$2:$B$500,A94,Circulation!$H$2:$H$500,"Active")&gt;0,"On Loan","Available"))</f>
        <v/>
      </c>
      <c r="AB94" s="8"/>
      <c r="AC94" s="8"/>
      <c r="AD94" s="8"/>
      <c r="AE94" s="8"/>
      <c r="AF94" s="8"/>
      <c r="AG94" s="8"/>
      <c r="AH94" s="8"/>
    </row>
    <row r="95" spans="1:34" ht="15.75" x14ac:dyDescent="0.25">
      <c r="A95" s="14" t="str">
        <f t="shared" si="2"/>
        <v/>
      </c>
      <c r="B95" s="15"/>
      <c r="C95" s="14" t="str">
        <f t="shared" si="3"/>
        <v/>
      </c>
      <c r="D95" s="8"/>
      <c r="E95" s="8"/>
      <c r="F95" s="8"/>
      <c r="G95" s="8"/>
      <c r="H95" s="14" t="str">
        <f>IF(ISBLANK(F95),"",IF(G95&lt;&gt;"",UPPER(TRIM(G95)),IF(ISNUMBER(SEARCH(" ",TRIM(F95))),UPPER(LEFT(TRIM(RIGHT(SUBSTITUTE(TRIM(F95)," ",REPT(" ",100)),100)),Settings!$B$9)),UPPER(LEFT(TRIM(F95),Settings!$B$9)))))</f>
        <v/>
      </c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16" t="str">
        <f>IF(ISBLANK(D95),"",IF(COUNTIFS(Circulation!$B$2:$B$500,A95,Circulation!$H$2:$H$500,"Active")&gt;0,"On Loan","Available"))</f>
        <v/>
      </c>
      <c r="AB95" s="8"/>
      <c r="AC95" s="8"/>
      <c r="AD95" s="8"/>
      <c r="AE95" s="8"/>
      <c r="AF95" s="8"/>
      <c r="AG95" s="8"/>
      <c r="AH95" s="8"/>
    </row>
    <row r="96" spans="1:34" ht="15.75" x14ac:dyDescent="0.25">
      <c r="A96" s="14" t="str">
        <f t="shared" si="2"/>
        <v/>
      </c>
      <c r="B96" s="15"/>
      <c r="C96" s="14" t="str">
        <f t="shared" si="3"/>
        <v/>
      </c>
      <c r="D96" s="8"/>
      <c r="E96" s="8"/>
      <c r="F96" s="8"/>
      <c r="G96" s="8"/>
      <c r="H96" s="14" t="str">
        <f>IF(ISBLANK(F96),"",IF(G96&lt;&gt;"",UPPER(TRIM(G96)),IF(ISNUMBER(SEARCH(" ",TRIM(F96))),UPPER(LEFT(TRIM(RIGHT(SUBSTITUTE(TRIM(F96)," ",REPT(" ",100)),100)),Settings!$B$9)),UPPER(LEFT(TRIM(F96),Settings!$B$9)))))</f>
        <v/>
      </c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16" t="str">
        <f>IF(ISBLANK(D96),"",IF(COUNTIFS(Circulation!$B$2:$B$500,A96,Circulation!$H$2:$H$500,"Active")&gt;0,"On Loan","Available"))</f>
        <v/>
      </c>
      <c r="AB96" s="8"/>
      <c r="AC96" s="8"/>
      <c r="AD96" s="8"/>
      <c r="AE96" s="8"/>
      <c r="AF96" s="8"/>
      <c r="AG96" s="8"/>
      <c r="AH96" s="8"/>
    </row>
    <row r="97" spans="1:34" ht="15.75" x14ac:dyDescent="0.25">
      <c r="A97" s="14" t="str">
        <f t="shared" si="2"/>
        <v/>
      </c>
      <c r="B97" s="15"/>
      <c r="C97" s="14" t="str">
        <f t="shared" si="3"/>
        <v/>
      </c>
      <c r="D97" s="8"/>
      <c r="E97" s="8"/>
      <c r="F97" s="8"/>
      <c r="G97" s="8"/>
      <c r="H97" s="14" t="str">
        <f>IF(ISBLANK(F97),"",IF(G97&lt;&gt;"",UPPER(TRIM(G97)),IF(ISNUMBER(SEARCH(" ",TRIM(F97))),UPPER(LEFT(TRIM(RIGHT(SUBSTITUTE(TRIM(F97)," ",REPT(" ",100)),100)),Settings!$B$9)),UPPER(LEFT(TRIM(F97),Settings!$B$9)))))</f>
        <v/>
      </c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16" t="str">
        <f>IF(ISBLANK(D97),"",IF(COUNTIFS(Circulation!$B$2:$B$500,A97,Circulation!$H$2:$H$500,"Active")&gt;0,"On Loan","Available"))</f>
        <v/>
      </c>
      <c r="AB97" s="8"/>
      <c r="AC97" s="8"/>
      <c r="AD97" s="8"/>
      <c r="AE97" s="8"/>
      <c r="AF97" s="8"/>
      <c r="AG97" s="8"/>
      <c r="AH97" s="8"/>
    </row>
    <row r="98" spans="1:34" ht="15.75" x14ac:dyDescent="0.25">
      <c r="A98" s="14" t="str">
        <f t="shared" si="2"/>
        <v/>
      </c>
      <c r="B98" s="15"/>
      <c r="C98" s="14" t="str">
        <f t="shared" si="3"/>
        <v/>
      </c>
      <c r="D98" s="8"/>
      <c r="E98" s="8"/>
      <c r="F98" s="8"/>
      <c r="G98" s="8"/>
      <c r="H98" s="14" t="str">
        <f>IF(ISBLANK(F98),"",IF(G98&lt;&gt;"",UPPER(TRIM(G98)),IF(ISNUMBER(SEARCH(" ",TRIM(F98))),UPPER(LEFT(TRIM(RIGHT(SUBSTITUTE(TRIM(F98)," ",REPT(" ",100)),100)),Settings!$B$9)),UPPER(LEFT(TRIM(F98),Settings!$B$9)))))</f>
        <v/>
      </c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16" t="str">
        <f>IF(ISBLANK(D98),"",IF(COUNTIFS(Circulation!$B$2:$B$500,A98,Circulation!$H$2:$H$500,"Active")&gt;0,"On Loan","Available"))</f>
        <v/>
      </c>
      <c r="AB98" s="8"/>
      <c r="AC98" s="8"/>
      <c r="AD98" s="8"/>
      <c r="AE98" s="8"/>
      <c r="AF98" s="8"/>
      <c r="AG98" s="8"/>
      <c r="AH98" s="8"/>
    </row>
    <row r="99" spans="1:34" ht="15.75" x14ac:dyDescent="0.25">
      <c r="A99" s="14" t="str">
        <f t="shared" si="2"/>
        <v/>
      </c>
      <c r="B99" s="15"/>
      <c r="C99" s="14" t="str">
        <f t="shared" si="3"/>
        <v/>
      </c>
      <c r="D99" s="8"/>
      <c r="E99" s="8"/>
      <c r="F99" s="8"/>
      <c r="G99" s="8"/>
      <c r="H99" s="14" t="str">
        <f>IF(ISBLANK(F99),"",IF(G99&lt;&gt;"",UPPER(TRIM(G99)),IF(ISNUMBER(SEARCH(" ",TRIM(F99))),UPPER(LEFT(TRIM(RIGHT(SUBSTITUTE(TRIM(F99)," ",REPT(" ",100)),100)),Settings!$B$9)),UPPER(LEFT(TRIM(F99),Settings!$B$9)))))</f>
        <v/>
      </c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16" t="str">
        <f>IF(ISBLANK(D99),"",IF(COUNTIFS(Circulation!$B$2:$B$500,A99,Circulation!$H$2:$H$500,"Active")&gt;0,"On Loan","Available"))</f>
        <v/>
      </c>
      <c r="AB99" s="8"/>
      <c r="AC99" s="8"/>
      <c r="AD99" s="8"/>
      <c r="AE99" s="8"/>
      <c r="AF99" s="8"/>
      <c r="AG99" s="8"/>
      <c r="AH99" s="8"/>
    </row>
    <row r="100" spans="1:34" ht="15.75" x14ac:dyDescent="0.25">
      <c r="A100" s="14" t="str">
        <f t="shared" si="2"/>
        <v/>
      </c>
      <c r="B100" s="15"/>
      <c r="C100" s="14" t="str">
        <f t="shared" si="3"/>
        <v/>
      </c>
      <c r="D100" s="8"/>
      <c r="E100" s="8"/>
      <c r="F100" s="8"/>
      <c r="G100" s="8"/>
      <c r="H100" s="14" t="str">
        <f>IF(ISBLANK(F100),"",IF(G100&lt;&gt;"",UPPER(TRIM(G100)),IF(ISNUMBER(SEARCH(" ",TRIM(F100))),UPPER(LEFT(TRIM(RIGHT(SUBSTITUTE(TRIM(F100)," ",REPT(" ",100)),100)),Settings!$B$9)),UPPER(LEFT(TRIM(F100),Settings!$B$9)))))</f>
        <v/>
      </c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16" t="str">
        <f>IF(ISBLANK(D100),"",IF(COUNTIFS(Circulation!$B$2:$B$500,A100,Circulation!$H$2:$H$500,"Active")&gt;0,"On Loan","Available"))</f>
        <v/>
      </c>
      <c r="AB100" s="8"/>
      <c r="AC100" s="8"/>
      <c r="AD100" s="8"/>
      <c r="AE100" s="8"/>
      <c r="AF100" s="8"/>
      <c r="AG100" s="8"/>
      <c r="AH100" s="8"/>
    </row>
    <row r="101" spans="1:34" ht="15.75" x14ac:dyDescent="0.25">
      <c r="A101" s="14" t="str">
        <f t="shared" si="2"/>
        <v/>
      </c>
      <c r="B101" s="15"/>
      <c r="C101" s="14" t="str">
        <f t="shared" si="3"/>
        <v/>
      </c>
      <c r="D101" s="8"/>
      <c r="E101" s="8"/>
      <c r="F101" s="8"/>
      <c r="G101" s="8"/>
      <c r="H101" s="14" t="str">
        <f>IF(ISBLANK(F101),"",IF(G101&lt;&gt;"",UPPER(TRIM(G101)),IF(ISNUMBER(SEARCH(" ",TRIM(F101))),UPPER(LEFT(TRIM(RIGHT(SUBSTITUTE(TRIM(F101)," ",REPT(" ",100)),100)),Settings!$B$9)),UPPER(LEFT(TRIM(F101),Settings!$B$9)))))</f>
        <v/>
      </c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16" t="str">
        <f>IF(ISBLANK(D101),"",IF(COUNTIFS(Circulation!$B$2:$B$500,A101,Circulation!$H$2:$H$500,"Active")&gt;0,"On Loan","Available"))</f>
        <v/>
      </c>
      <c r="AB101" s="8"/>
      <c r="AC101" s="8"/>
      <c r="AD101" s="8"/>
      <c r="AE101" s="8"/>
      <c r="AF101" s="8"/>
      <c r="AG101" s="8"/>
      <c r="AH101" s="8"/>
    </row>
    <row r="102" spans="1:34" ht="15.75" x14ac:dyDescent="0.25">
      <c r="A102" s="14" t="str">
        <f t="shared" si="2"/>
        <v/>
      </c>
      <c r="B102" s="15"/>
      <c r="C102" s="14" t="str">
        <f t="shared" si="3"/>
        <v/>
      </c>
      <c r="D102" s="8"/>
      <c r="E102" s="8"/>
      <c r="F102" s="8"/>
      <c r="G102" s="8"/>
      <c r="H102" s="14" t="str">
        <f>IF(ISBLANK(F102),"",IF(G102&lt;&gt;"",UPPER(TRIM(G102)),IF(ISNUMBER(SEARCH(" ",TRIM(F102))),UPPER(LEFT(TRIM(RIGHT(SUBSTITUTE(TRIM(F102)," ",REPT(" ",100)),100)),Settings!$B$9)),UPPER(LEFT(TRIM(F102),Settings!$B$9)))))</f>
        <v/>
      </c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16" t="str">
        <f>IF(ISBLANK(D102),"",IF(COUNTIFS(Circulation!$B$2:$B$500,A102,Circulation!$H$2:$H$500,"Active")&gt;0,"On Loan","Available"))</f>
        <v/>
      </c>
      <c r="AB102" s="8"/>
      <c r="AC102" s="8"/>
      <c r="AD102" s="8"/>
      <c r="AE102" s="8"/>
      <c r="AF102" s="8"/>
      <c r="AG102" s="8"/>
      <c r="AH102" s="8"/>
    </row>
    <row r="103" spans="1:34" ht="15.75" x14ac:dyDescent="0.25">
      <c r="A103" s="14" t="str">
        <f t="shared" si="2"/>
        <v/>
      </c>
      <c r="B103" s="15"/>
      <c r="C103" s="14" t="str">
        <f t="shared" si="3"/>
        <v/>
      </c>
      <c r="D103" s="8"/>
      <c r="E103" s="8"/>
      <c r="F103" s="8"/>
      <c r="G103" s="8"/>
      <c r="H103" s="14" t="str">
        <f>IF(ISBLANK(F103),"",IF(G103&lt;&gt;"",UPPER(TRIM(G103)),IF(ISNUMBER(SEARCH(" ",TRIM(F103))),UPPER(LEFT(TRIM(RIGHT(SUBSTITUTE(TRIM(F103)," ",REPT(" ",100)),100)),Settings!$B$9)),UPPER(LEFT(TRIM(F103),Settings!$B$9)))))</f>
        <v/>
      </c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16" t="str">
        <f>IF(ISBLANK(D103),"",IF(COUNTIFS(Circulation!$B$2:$B$500,A103,Circulation!$H$2:$H$500,"Active")&gt;0,"On Loan","Available"))</f>
        <v/>
      </c>
      <c r="AB103" s="8"/>
      <c r="AC103" s="8"/>
      <c r="AD103" s="8"/>
      <c r="AE103" s="8"/>
      <c r="AF103" s="8"/>
      <c r="AG103" s="8"/>
      <c r="AH103" s="8"/>
    </row>
    <row r="104" spans="1:34" ht="15.75" x14ac:dyDescent="0.25">
      <c r="A104" s="14" t="str">
        <f t="shared" si="2"/>
        <v/>
      </c>
      <c r="B104" s="15"/>
      <c r="C104" s="14" t="str">
        <f t="shared" si="3"/>
        <v/>
      </c>
      <c r="D104" s="8"/>
      <c r="E104" s="8"/>
      <c r="F104" s="8"/>
      <c r="G104" s="8"/>
      <c r="H104" s="14" t="str">
        <f>IF(ISBLANK(F104),"",IF(G104&lt;&gt;"",UPPER(TRIM(G104)),IF(ISNUMBER(SEARCH(" ",TRIM(F104))),UPPER(LEFT(TRIM(RIGHT(SUBSTITUTE(TRIM(F104)," ",REPT(" ",100)),100)),Settings!$B$9)),UPPER(LEFT(TRIM(F104),Settings!$B$9)))))</f>
        <v/>
      </c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16" t="str">
        <f>IF(ISBLANK(D104),"",IF(COUNTIFS(Circulation!$B$2:$B$500,A104,Circulation!$H$2:$H$500,"Active")&gt;0,"On Loan","Available"))</f>
        <v/>
      </c>
      <c r="AB104" s="8"/>
      <c r="AC104" s="8"/>
      <c r="AD104" s="8"/>
      <c r="AE104" s="8"/>
      <c r="AF104" s="8"/>
      <c r="AG104" s="8"/>
      <c r="AH104" s="8"/>
    </row>
    <row r="105" spans="1:34" ht="15.75" x14ac:dyDescent="0.25">
      <c r="A105" s="14" t="str">
        <f t="shared" si="2"/>
        <v/>
      </c>
      <c r="B105" s="15"/>
      <c r="C105" s="14" t="str">
        <f t="shared" si="3"/>
        <v/>
      </c>
      <c r="D105" s="8"/>
      <c r="E105" s="8"/>
      <c r="F105" s="8"/>
      <c r="G105" s="8"/>
      <c r="H105" s="14" t="str">
        <f>IF(ISBLANK(F105),"",IF(G105&lt;&gt;"",UPPER(TRIM(G105)),IF(ISNUMBER(SEARCH(" ",TRIM(F105))),UPPER(LEFT(TRIM(RIGHT(SUBSTITUTE(TRIM(F105)," ",REPT(" ",100)),100)),Settings!$B$9)),UPPER(LEFT(TRIM(F105),Settings!$B$9)))))</f>
        <v/>
      </c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16" t="str">
        <f>IF(ISBLANK(D105),"",IF(COUNTIFS(Circulation!$B$2:$B$500,A105,Circulation!$H$2:$H$500,"Active")&gt;0,"On Loan","Available"))</f>
        <v/>
      </c>
      <c r="AB105" s="8"/>
      <c r="AC105" s="8"/>
      <c r="AD105" s="8"/>
      <c r="AE105" s="8"/>
      <c r="AF105" s="8"/>
      <c r="AG105" s="8"/>
      <c r="AH105" s="8"/>
    </row>
    <row r="106" spans="1:34" ht="15.75" x14ac:dyDescent="0.25">
      <c r="A106" s="14" t="str">
        <f t="shared" si="2"/>
        <v/>
      </c>
      <c r="B106" s="15"/>
      <c r="C106" s="14" t="str">
        <f t="shared" si="3"/>
        <v/>
      </c>
      <c r="D106" s="8"/>
      <c r="E106" s="8"/>
      <c r="F106" s="8"/>
      <c r="G106" s="8"/>
      <c r="H106" s="14" t="str">
        <f>IF(ISBLANK(F106),"",IF(G106&lt;&gt;"",UPPER(TRIM(G106)),IF(ISNUMBER(SEARCH(" ",TRIM(F106))),UPPER(LEFT(TRIM(RIGHT(SUBSTITUTE(TRIM(F106)," ",REPT(" ",100)),100)),Settings!$B$9)),UPPER(LEFT(TRIM(F106),Settings!$B$9)))))</f>
        <v/>
      </c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16" t="str">
        <f>IF(ISBLANK(D106),"",IF(COUNTIFS(Circulation!$B$2:$B$500,A106,Circulation!$H$2:$H$500,"Active")&gt;0,"On Loan","Available"))</f>
        <v/>
      </c>
      <c r="AB106" s="8"/>
      <c r="AC106" s="8"/>
      <c r="AD106" s="8"/>
      <c r="AE106" s="8"/>
      <c r="AF106" s="8"/>
      <c r="AG106" s="8"/>
      <c r="AH106" s="8"/>
    </row>
    <row r="107" spans="1:34" ht="15.75" x14ac:dyDescent="0.25">
      <c r="A107" s="14" t="str">
        <f t="shared" si="2"/>
        <v/>
      </c>
      <c r="B107" s="15"/>
      <c r="C107" s="14" t="str">
        <f t="shared" si="3"/>
        <v/>
      </c>
      <c r="D107" s="8"/>
      <c r="E107" s="8"/>
      <c r="F107" s="8"/>
      <c r="G107" s="8"/>
      <c r="H107" s="14" t="str">
        <f>IF(ISBLANK(F107),"",IF(G107&lt;&gt;"",UPPER(TRIM(G107)),IF(ISNUMBER(SEARCH(" ",TRIM(F107))),UPPER(LEFT(TRIM(RIGHT(SUBSTITUTE(TRIM(F107)," ",REPT(" ",100)),100)),Settings!$B$9)),UPPER(LEFT(TRIM(F107),Settings!$B$9)))))</f>
        <v/>
      </c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16" t="str">
        <f>IF(ISBLANK(D107),"",IF(COUNTIFS(Circulation!$B$2:$B$500,A107,Circulation!$H$2:$H$500,"Active")&gt;0,"On Loan","Available"))</f>
        <v/>
      </c>
      <c r="AB107" s="8"/>
      <c r="AC107" s="8"/>
      <c r="AD107" s="8"/>
      <c r="AE107" s="8"/>
      <c r="AF107" s="8"/>
      <c r="AG107" s="8"/>
      <c r="AH107" s="8"/>
    </row>
    <row r="108" spans="1:34" ht="15.75" x14ac:dyDescent="0.25">
      <c r="A108" s="14" t="str">
        <f t="shared" si="2"/>
        <v/>
      </c>
      <c r="B108" s="15"/>
      <c r="C108" s="14" t="str">
        <f t="shared" si="3"/>
        <v/>
      </c>
      <c r="D108" s="8"/>
      <c r="E108" s="8"/>
      <c r="F108" s="8"/>
      <c r="G108" s="8"/>
      <c r="H108" s="14" t="str">
        <f>IF(ISBLANK(F108),"",IF(G108&lt;&gt;"",UPPER(TRIM(G108)),IF(ISNUMBER(SEARCH(" ",TRIM(F108))),UPPER(LEFT(TRIM(RIGHT(SUBSTITUTE(TRIM(F108)," ",REPT(" ",100)),100)),Settings!$B$9)),UPPER(LEFT(TRIM(F108),Settings!$B$9)))))</f>
        <v/>
      </c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16" t="str">
        <f>IF(ISBLANK(D108),"",IF(COUNTIFS(Circulation!$B$2:$B$500,A108,Circulation!$H$2:$H$500,"Active")&gt;0,"On Loan","Available"))</f>
        <v/>
      </c>
      <c r="AB108" s="8"/>
      <c r="AC108" s="8"/>
      <c r="AD108" s="8"/>
      <c r="AE108" s="8"/>
      <c r="AF108" s="8"/>
      <c r="AG108" s="8"/>
      <c r="AH108" s="8"/>
    </row>
    <row r="109" spans="1:34" ht="15.75" x14ac:dyDescent="0.25">
      <c r="A109" s="14" t="str">
        <f t="shared" si="2"/>
        <v/>
      </c>
      <c r="B109" s="15"/>
      <c r="C109" s="14" t="str">
        <f t="shared" si="3"/>
        <v/>
      </c>
      <c r="D109" s="8"/>
      <c r="E109" s="8"/>
      <c r="F109" s="8"/>
      <c r="G109" s="8"/>
      <c r="H109" s="14" t="str">
        <f>IF(ISBLANK(F109),"",IF(G109&lt;&gt;"",UPPER(TRIM(G109)),IF(ISNUMBER(SEARCH(" ",TRIM(F109))),UPPER(LEFT(TRIM(RIGHT(SUBSTITUTE(TRIM(F109)," ",REPT(" ",100)),100)),Settings!$B$9)),UPPER(LEFT(TRIM(F109),Settings!$B$9)))))</f>
        <v/>
      </c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16" t="str">
        <f>IF(ISBLANK(D109),"",IF(COUNTIFS(Circulation!$B$2:$B$500,A109,Circulation!$H$2:$H$500,"Active")&gt;0,"On Loan","Available"))</f>
        <v/>
      </c>
      <c r="AB109" s="8"/>
      <c r="AC109" s="8"/>
      <c r="AD109" s="8"/>
      <c r="AE109" s="8"/>
      <c r="AF109" s="8"/>
      <c r="AG109" s="8"/>
      <c r="AH109" s="8"/>
    </row>
    <row r="110" spans="1:34" ht="15.75" x14ac:dyDescent="0.25">
      <c r="A110" s="14" t="str">
        <f t="shared" si="2"/>
        <v/>
      </c>
      <c r="B110" s="15"/>
      <c r="C110" s="14" t="str">
        <f t="shared" si="3"/>
        <v/>
      </c>
      <c r="D110" s="8"/>
      <c r="E110" s="8"/>
      <c r="F110" s="8"/>
      <c r="G110" s="8"/>
      <c r="H110" s="14" t="str">
        <f>IF(ISBLANK(F110),"",IF(G110&lt;&gt;"",UPPER(TRIM(G110)),IF(ISNUMBER(SEARCH(" ",TRIM(F110))),UPPER(LEFT(TRIM(RIGHT(SUBSTITUTE(TRIM(F110)," ",REPT(" ",100)),100)),Settings!$B$9)),UPPER(LEFT(TRIM(F110),Settings!$B$9)))))</f>
        <v/>
      </c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16" t="str">
        <f>IF(ISBLANK(D110),"",IF(COUNTIFS(Circulation!$B$2:$B$500,A110,Circulation!$H$2:$H$500,"Active")&gt;0,"On Loan","Available"))</f>
        <v/>
      </c>
      <c r="AB110" s="8"/>
      <c r="AC110" s="8"/>
      <c r="AD110" s="8"/>
      <c r="AE110" s="8"/>
      <c r="AF110" s="8"/>
      <c r="AG110" s="8"/>
      <c r="AH110" s="8"/>
    </row>
    <row r="111" spans="1:34" ht="15.75" x14ac:dyDescent="0.25">
      <c r="A111" s="14" t="str">
        <f t="shared" si="2"/>
        <v/>
      </c>
      <c r="B111" s="15"/>
      <c r="C111" s="14" t="str">
        <f t="shared" si="3"/>
        <v/>
      </c>
      <c r="D111" s="8"/>
      <c r="E111" s="8"/>
      <c r="F111" s="8"/>
      <c r="G111" s="8"/>
      <c r="H111" s="14" t="str">
        <f>IF(ISBLANK(F111),"",IF(G111&lt;&gt;"",UPPER(TRIM(G111)),IF(ISNUMBER(SEARCH(" ",TRIM(F111))),UPPER(LEFT(TRIM(RIGHT(SUBSTITUTE(TRIM(F111)," ",REPT(" ",100)),100)),Settings!$B$9)),UPPER(LEFT(TRIM(F111),Settings!$B$9)))))</f>
        <v/>
      </c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16" t="str">
        <f>IF(ISBLANK(D111),"",IF(COUNTIFS(Circulation!$B$2:$B$500,A111,Circulation!$H$2:$H$500,"Active")&gt;0,"On Loan","Available"))</f>
        <v/>
      </c>
      <c r="AB111" s="8"/>
      <c r="AC111" s="8"/>
      <c r="AD111" s="8"/>
      <c r="AE111" s="8"/>
      <c r="AF111" s="8"/>
      <c r="AG111" s="8"/>
      <c r="AH111" s="8"/>
    </row>
    <row r="112" spans="1:34" ht="15.75" x14ac:dyDescent="0.25">
      <c r="A112" s="14" t="str">
        <f t="shared" si="2"/>
        <v/>
      </c>
      <c r="B112" s="15"/>
      <c r="C112" s="14" t="str">
        <f t="shared" si="3"/>
        <v/>
      </c>
      <c r="D112" s="8"/>
      <c r="E112" s="8"/>
      <c r="F112" s="8"/>
      <c r="G112" s="8"/>
      <c r="H112" s="14" t="str">
        <f>IF(ISBLANK(F112),"",IF(G112&lt;&gt;"",UPPER(TRIM(G112)),IF(ISNUMBER(SEARCH(" ",TRIM(F112))),UPPER(LEFT(TRIM(RIGHT(SUBSTITUTE(TRIM(F112)," ",REPT(" ",100)),100)),Settings!$B$9)),UPPER(LEFT(TRIM(F112),Settings!$B$9)))))</f>
        <v/>
      </c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16" t="str">
        <f>IF(ISBLANK(D112),"",IF(COUNTIFS(Circulation!$B$2:$B$500,A112,Circulation!$H$2:$H$500,"Active")&gt;0,"On Loan","Available"))</f>
        <v/>
      </c>
      <c r="AB112" s="8"/>
      <c r="AC112" s="8"/>
      <c r="AD112" s="8"/>
      <c r="AE112" s="8"/>
      <c r="AF112" s="8"/>
      <c r="AG112" s="8"/>
      <c r="AH112" s="8"/>
    </row>
    <row r="113" spans="1:34" ht="15.75" x14ac:dyDescent="0.25">
      <c r="A113" s="14" t="str">
        <f t="shared" si="2"/>
        <v/>
      </c>
      <c r="B113" s="15"/>
      <c r="C113" s="14" t="str">
        <f t="shared" si="3"/>
        <v/>
      </c>
      <c r="D113" s="8"/>
      <c r="E113" s="8"/>
      <c r="F113" s="8"/>
      <c r="G113" s="8"/>
      <c r="H113" s="14" t="str">
        <f>IF(ISBLANK(F113),"",IF(G113&lt;&gt;"",UPPER(TRIM(G113)),IF(ISNUMBER(SEARCH(" ",TRIM(F113))),UPPER(LEFT(TRIM(RIGHT(SUBSTITUTE(TRIM(F113)," ",REPT(" ",100)),100)),Settings!$B$9)),UPPER(LEFT(TRIM(F113),Settings!$B$9)))))</f>
        <v/>
      </c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16" t="str">
        <f>IF(ISBLANK(D113),"",IF(COUNTIFS(Circulation!$B$2:$B$500,A113,Circulation!$H$2:$H$500,"Active")&gt;0,"On Loan","Available"))</f>
        <v/>
      </c>
      <c r="AB113" s="8"/>
      <c r="AC113" s="8"/>
      <c r="AD113" s="8"/>
      <c r="AE113" s="8"/>
      <c r="AF113" s="8"/>
      <c r="AG113" s="8"/>
      <c r="AH113" s="8"/>
    </row>
    <row r="114" spans="1:34" ht="15.75" x14ac:dyDescent="0.25">
      <c r="A114" s="14" t="str">
        <f t="shared" si="2"/>
        <v/>
      </c>
      <c r="B114" s="15"/>
      <c r="C114" s="14" t="str">
        <f t="shared" si="3"/>
        <v/>
      </c>
      <c r="D114" s="8"/>
      <c r="E114" s="8"/>
      <c r="F114" s="8"/>
      <c r="G114" s="8"/>
      <c r="H114" s="14" t="str">
        <f>IF(ISBLANK(F114),"",IF(G114&lt;&gt;"",UPPER(TRIM(G114)),IF(ISNUMBER(SEARCH(" ",TRIM(F114))),UPPER(LEFT(TRIM(RIGHT(SUBSTITUTE(TRIM(F114)," ",REPT(" ",100)),100)),Settings!$B$9)),UPPER(LEFT(TRIM(F114),Settings!$B$9)))))</f>
        <v/>
      </c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16" t="str">
        <f>IF(ISBLANK(D114),"",IF(COUNTIFS(Circulation!$B$2:$B$500,A114,Circulation!$H$2:$H$500,"Active")&gt;0,"On Loan","Available"))</f>
        <v/>
      </c>
      <c r="AB114" s="8"/>
      <c r="AC114" s="8"/>
      <c r="AD114" s="8"/>
      <c r="AE114" s="8"/>
      <c r="AF114" s="8"/>
      <c r="AG114" s="8"/>
      <c r="AH114" s="8"/>
    </row>
    <row r="115" spans="1:34" ht="15.75" x14ac:dyDescent="0.25">
      <c r="A115" s="14" t="str">
        <f t="shared" si="2"/>
        <v/>
      </c>
      <c r="B115" s="15"/>
      <c r="C115" s="14" t="str">
        <f t="shared" si="3"/>
        <v/>
      </c>
      <c r="D115" s="8"/>
      <c r="E115" s="8"/>
      <c r="F115" s="8"/>
      <c r="G115" s="8"/>
      <c r="H115" s="14" t="str">
        <f>IF(ISBLANK(F115),"",IF(G115&lt;&gt;"",UPPER(TRIM(G115)),IF(ISNUMBER(SEARCH(" ",TRIM(F115))),UPPER(LEFT(TRIM(RIGHT(SUBSTITUTE(TRIM(F115)," ",REPT(" ",100)),100)),Settings!$B$9)),UPPER(LEFT(TRIM(F115),Settings!$B$9)))))</f>
        <v/>
      </c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16" t="str">
        <f>IF(ISBLANK(D115),"",IF(COUNTIFS(Circulation!$B$2:$B$500,A115,Circulation!$H$2:$H$500,"Active")&gt;0,"On Loan","Available"))</f>
        <v/>
      </c>
      <c r="AB115" s="8"/>
      <c r="AC115" s="8"/>
      <c r="AD115" s="8"/>
      <c r="AE115" s="8"/>
      <c r="AF115" s="8"/>
      <c r="AG115" s="8"/>
      <c r="AH115" s="8"/>
    </row>
    <row r="116" spans="1:34" ht="15.75" x14ac:dyDescent="0.25">
      <c r="A116" s="14" t="str">
        <f t="shared" si="2"/>
        <v/>
      </c>
      <c r="B116" s="15"/>
      <c r="C116" s="14" t="str">
        <f t="shared" si="3"/>
        <v/>
      </c>
      <c r="D116" s="8"/>
      <c r="E116" s="8"/>
      <c r="F116" s="8"/>
      <c r="G116" s="8"/>
      <c r="H116" s="14" t="str">
        <f>IF(ISBLANK(F116),"",IF(G116&lt;&gt;"",UPPER(TRIM(G116)),IF(ISNUMBER(SEARCH(" ",TRIM(F116))),UPPER(LEFT(TRIM(RIGHT(SUBSTITUTE(TRIM(F116)," ",REPT(" ",100)),100)),Settings!$B$9)),UPPER(LEFT(TRIM(F116),Settings!$B$9)))))</f>
        <v/>
      </c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16" t="str">
        <f>IF(ISBLANK(D116),"",IF(COUNTIFS(Circulation!$B$2:$B$500,A116,Circulation!$H$2:$H$500,"Active")&gt;0,"On Loan","Available"))</f>
        <v/>
      </c>
      <c r="AB116" s="8"/>
      <c r="AC116" s="8"/>
      <c r="AD116" s="8"/>
      <c r="AE116" s="8"/>
      <c r="AF116" s="8"/>
      <c r="AG116" s="8"/>
      <c r="AH116" s="8"/>
    </row>
    <row r="117" spans="1:34" ht="15.75" x14ac:dyDescent="0.25">
      <c r="A117" s="14" t="str">
        <f t="shared" si="2"/>
        <v/>
      </c>
      <c r="B117" s="15"/>
      <c r="C117" s="14" t="str">
        <f t="shared" si="3"/>
        <v/>
      </c>
      <c r="D117" s="8"/>
      <c r="E117" s="8"/>
      <c r="F117" s="8"/>
      <c r="G117" s="8"/>
      <c r="H117" s="14" t="str">
        <f>IF(ISBLANK(F117),"",IF(G117&lt;&gt;"",UPPER(TRIM(G117)),IF(ISNUMBER(SEARCH(" ",TRIM(F117))),UPPER(LEFT(TRIM(RIGHT(SUBSTITUTE(TRIM(F117)," ",REPT(" ",100)),100)),Settings!$B$9)),UPPER(LEFT(TRIM(F117),Settings!$B$9)))))</f>
        <v/>
      </c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16" t="str">
        <f>IF(ISBLANK(D117),"",IF(COUNTIFS(Circulation!$B$2:$B$500,A117,Circulation!$H$2:$H$500,"Active")&gt;0,"On Loan","Available"))</f>
        <v/>
      </c>
      <c r="AB117" s="8"/>
      <c r="AC117" s="8"/>
      <c r="AD117" s="8"/>
      <c r="AE117" s="8"/>
      <c r="AF117" s="8"/>
      <c r="AG117" s="8"/>
      <c r="AH117" s="8"/>
    </row>
    <row r="118" spans="1:34" ht="15.75" x14ac:dyDescent="0.25">
      <c r="A118" s="14" t="str">
        <f t="shared" si="2"/>
        <v/>
      </c>
      <c r="B118" s="15"/>
      <c r="C118" s="14" t="str">
        <f t="shared" si="3"/>
        <v/>
      </c>
      <c r="D118" s="8"/>
      <c r="E118" s="8"/>
      <c r="F118" s="8"/>
      <c r="G118" s="8"/>
      <c r="H118" s="14" t="str">
        <f>IF(ISBLANK(F118),"",IF(G118&lt;&gt;"",UPPER(TRIM(G118)),IF(ISNUMBER(SEARCH(" ",TRIM(F118))),UPPER(LEFT(TRIM(RIGHT(SUBSTITUTE(TRIM(F118)," ",REPT(" ",100)),100)),Settings!$B$9)),UPPER(LEFT(TRIM(F118),Settings!$B$9)))))</f>
        <v/>
      </c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16" t="str">
        <f>IF(ISBLANK(D118),"",IF(COUNTIFS(Circulation!$B$2:$B$500,A118,Circulation!$H$2:$H$500,"Active")&gt;0,"On Loan","Available"))</f>
        <v/>
      </c>
      <c r="AB118" s="8"/>
      <c r="AC118" s="8"/>
      <c r="AD118" s="8"/>
      <c r="AE118" s="8"/>
      <c r="AF118" s="8"/>
      <c r="AG118" s="8"/>
      <c r="AH118" s="8"/>
    </row>
    <row r="119" spans="1:34" ht="15.75" x14ac:dyDescent="0.25">
      <c r="A119" s="14" t="str">
        <f t="shared" si="2"/>
        <v/>
      </c>
      <c r="B119" s="15"/>
      <c r="C119" s="14" t="str">
        <f t="shared" si="3"/>
        <v/>
      </c>
      <c r="D119" s="8"/>
      <c r="E119" s="8"/>
      <c r="F119" s="8"/>
      <c r="G119" s="8"/>
      <c r="H119" s="14" t="str">
        <f>IF(ISBLANK(F119),"",IF(G119&lt;&gt;"",UPPER(TRIM(G119)),IF(ISNUMBER(SEARCH(" ",TRIM(F119))),UPPER(LEFT(TRIM(RIGHT(SUBSTITUTE(TRIM(F119)," ",REPT(" ",100)),100)),Settings!$B$9)),UPPER(LEFT(TRIM(F119),Settings!$B$9)))))</f>
        <v/>
      </c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16" t="str">
        <f>IF(ISBLANK(D119),"",IF(COUNTIFS(Circulation!$B$2:$B$500,A119,Circulation!$H$2:$H$500,"Active")&gt;0,"On Loan","Available"))</f>
        <v/>
      </c>
      <c r="AB119" s="8"/>
      <c r="AC119" s="8"/>
      <c r="AD119" s="8"/>
      <c r="AE119" s="8"/>
      <c r="AF119" s="8"/>
      <c r="AG119" s="8"/>
      <c r="AH119" s="8"/>
    </row>
    <row r="120" spans="1:34" ht="15.75" x14ac:dyDescent="0.25">
      <c r="A120" s="14" t="str">
        <f t="shared" si="2"/>
        <v/>
      </c>
      <c r="B120" s="15"/>
      <c r="C120" s="14" t="str">
        <f t="shared" si="3"/>
        <v/>
      </c>
      <c r="D120" s="8"/>
      <c r="E120" s="8"/>
      <c r="F120" s="8"/>
      <c r="G120" s="8"/>
      <c r="H120" s="14" t="str">
        <f>IF(ISBLANK(F120),"",IF(G120&lt;&gt;"",UPPER(TRIM(G120)),IF(ISNUMBER(SEARCH(" ",TRIM(F120))),UPPER(LEFT(TRIM(RIGHT(SUBSTITUTE(TRIM(F120)," ",REPT(" ",100)),100)),Settings!$B$9)),UPPER(LEFT(TRIM(F120),Settings!$B$9)))))</f>
        <v/>
      </c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16" t="str">
        <f>IF(ISBLANK(D120),"",IF(COUNTIFS(Circulation!$B$2:$B$500,A120,Circulation!$H$2:$H$500,"Active")&gt;0,"On Loan","Available"))</f>
        <v/>
      </c>
      <c r="AB120" s="8"/>
      <c r="AC120" s="8"/>
      <c r="AD120" s="8"/>
      <c r="AE120" s="8"/>
      <c r="AF120" s="8"/>
      <c r="AG120" s="8"/>
      <c r="AH120" s="8"/>
    </row>
    <row r="121" spans="1:34" ht="15.75" x14ac:dyDescent="0.25">
      <c r="A121" s="14" t="str">
        <f t="shared" si="2"/>
        <v/>
      </c>
      <c r="B121" s="15"/>
      <c r="C121" s="14" t="str">
        <f t="shared" si="3"/>
        <v/>
      </c>
      <c r="D121" s="8"/>
      <c r="E121" s="8"/>
      <c r="F121" s="8"/>
      <c r="G121" s="8"/>
      <c r="H121" s="14" t="str">
        <f>IF(ISBLANK(F121),"",IF(G121&lt;&gt;"",UPPER(TRIM(G121)),IF(ISNUMBER(SEARCH(" ",TRIM(F121))),UPPER(LEFT(TRIM(RIGHT(SUBSTITUTE(TRIM(F121)," ",REPT(" ",100)),100)),Settings!$B$9)),UPPER(LEFT(TRIM(F121),Settings!$B$9)))))</f>
        <v/>
      </c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16" t="str">
        <f>IF(ISBLANK(D121),"",IF(COUNTIFS(Circulation!$B$2:$B$500,A121,Circulation!$H$2:$H$500,"Active")&gt;0,"On Loan","Available"))</f>
        <v/>
      </c>
      <c r="AB121" s="8"/>
      <c r="AC121" s="8"/>
      <c r="AD121" s="8"/>
      <c r="AE121" s="8"/>
      <c r="AF121" s="8"/>
      <c r="AG121" s="8"/>
      <c r="AH121" s="8"/>
    </row>
    <row r="122" spans="1:34" ht="15.75" x14ac:dyDescent="0.25">
      <c r="A122" s="14" t="str">
        <f t="shared" si="2"/>
        <v/>
      </c>
      <c r="B122" s="15"/>
      <c r="C122" s="14" t="str">
        <f t="shared" si="3"/>
        <v/>
      </c>
      <c r="D122" s="8"/>
      <c r="E122" s="8"/>
      <c r="F122" s="8"/>
      <c r="G122" s="8"/>
      <c r="H122" s="14" t="str">
        <f>IF(ISBLANK(F122),"",IF(G122&lt;&gt;"",UPPER(TRIM(G122)),IF(ISNUMBER(SEARCH(" ",TRIM(F122))),UPPER(LEFT(TRIM(RIGHT(SUBSTITUTE(TRIM(F122)," ",REPT(" ",100)),100)),Settings!$B$9)),UPPER(LEFT(TRIM(F122),Settings!$B$9)))))</f>
        <v/>
      </c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16" t="str">
        <f>IF(ISBLANK(D122),"",IF(COUNTIFS(Circulation!$B$2:$B$500,A122,Circulation!$H$2:$H$500,"Active")&gt;0,"On Loan","Available"))</f>
        <v/>
      </c>
      <c r="AB122" s="8"/>
      <c r="AC122" s="8"/>
      <c r="AD122" s="8"/>
      <c r="AE122" s="8"/>
      <c r="AF122" s="8"/>
      <c r="AG122" s="8"/>
      <c r="AH122" s="8"/>
    </row>
    <row r="123" spans="1:34" ht="15.75" x14ac:dyDescent="0.25">
      <c r="A123" s="14" t="str">
        <f t="shared" si="2"/>
        <v/>
      </c>
      <c r="B123" s="15"/>
      <c r="C123" s="14" t="str">
        <f t="shared" si="3"/>
        <v/>
      </c>
      <c r="D123" s="8"/>
      <c r="E123" s="8"/>
      <c r="F123" s="8"/>
      <c r="G123" s="8"/>
      <c r="H123" s="14" t="str">
        <f>IF(ISBLANK(F123),"",IF(G123&lt;&gt;"",UPPER(TRIM(G123)),IF(ISNUMBER(SEARCH(" ",TRIM(F123))),UPPER(LEFT(TRIM(RIGHT(SUBSTITUTE(TRIM(F123)," ",REPT(" ",100)),100)),Settings!$B$9)),UPPER(LEFT(TRIM(F123),Settings!$B$9)))))</f>
        <v/>
      </c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16" t="str">
        <f>IF(ISBLANK(D123),"",IF(COUNTIFS(Circulation!$B$2:$B$500,A123,Circulation!$H$2:$H$500,"Active")&gt;0,"On Loan","Available"))</f>
        <v/>
      </c>
      <c r="AB123" s="8"/>
      <c r="AC123" s="8"/>
      <c r="AD123" s="8"/>
      <c r="AE123" s="8"/>
      <c r="AF123" s="8"/>
      <c r="AG123" s="8"/>
      <c r="AH123" s="8"/>
    </row>
    <row r="124" spans="1:34" ht="15.75" x14ac:dyDescent="0.25">
      <c r="A124" s="14" t="str">
        <f t="shared" si="2"/>
        <v/>
      </c>
      <c r="B124" s="15"/>
      <c r="C124" s="14" t="str">
        <f t="shared" si="3"/>
        <v/>
      </c>
      <c r="D124" s="8"/>
      <c r="E124" s="8"/>
      <c r="F124" s="8"/>
      <c r="G124" s="8"/>
      <c r="H124" s="14" t="str">
        <f>IF(ISBLANK(F124),"",IF(G124&lt;&gt;"",UPPER(TRIM(G124)),IF(ISNUMBER(SEARCH(" ",TRIM(F124))),UPPER(LEFT(TRIM(RIGHT(SUBSTITUTE(TRIM(F124)," ",REPT(" ",100)),100)),Settings!$B$9)),UPPER(LEFT(TRIM(F124),Settings!$B$9)))))</f>
        <v/>
      </c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16" t="str">
        <f>IF(ISBLANK(D124),"",IF(COUNTIFS(Circulation!$B$2:$B$500,A124,Circulation!$H$2:$H$500,"Active")&gt;0,"On Loan","Available"))</f>
        <v/>
      </c>
      <c r="AB124" s="8"/>
      <c r="AC124" s="8"/>
      <c r="AD124" s="8"/>
      <c r="AE124" s="8"/>
      <c r="AF124" s="8"/>
      <c r="AG124" s="8"/>
      <c r="AH124" s="8"/>
    </row>
    <row r="125" spans="1:34" ht="15.75" x14ac:dyDescent="0.25">
      <c r="A125" s="14" t="str">
        <f t="shared" si="2"/>
        <v/>
      </c>
      <c r="B125" s="15"/>
      <c r="C125" s="14" t="str">
        <f t="shared" si="3"/>
        <v/>
      </c>
      <c r="D125" s="8"/>
      <c r="E125" s="8"/>
      <c r="F125" s="8"/>
      <c r="G125" s="8"/>
      <c r="H125" s="14" t="str">
        <f>IF(ISBLANK(F125),"",IF(G125&lt;&gt;"",UPPER(TRIM(G125)),IF(ISNUMBER(SEARCH(" ",TRIM(F125))),UPPER(LEFT(TRIM(RIGHT(SUBSTITUTE(TRIM(F125)," ",REPT(" ",100)),100)),Settings!$B$9)),UPPER(LEFT(TRIM(F125),Settings!$B$9)))))</f>
        <v/>
      </c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16" t="str">
        <f>IF(ISBLANK(D125),"",IF(COUNTIFS(Circulation!$B$2:$B$500,A125,Circulation!$H$2:$H$500,"Active")&gt;0,"On Loan","Available"))</f>
        <v/>
      </c>
      <c r="AB125" s="8"/>
      <c r="AC125" s="8"/>
      <c r="AD125" s="8"/>
      <c r="AE125" s="8"/>
      <c r="AF125" s="8"/>
      <c r="AG125" s="8"/>
      <c r="AH125" s="8"/>
    </row>
    <row r="126" spans="1:34" ht="15.75" x14ac:dyDescent="0.25">
      <c r="A126" s="14" t="str">
        <f t="shared" si="2"/>
        <v/>
      </c>
      <c r="B126" s="15"/>
      <c r="C126" s="14" t="str">
        <f t="shared" si="3"/>
        <v/>
      </c>
      <c r="D126" s="8"/>
      <c r="E126" s="8"/>
      <c r="F126" s="8"/>
      <c r="G126" s="8"/>
      <c r="H126" s="14" t="str">
        <f>IF(ISBLANK(F126),"",IF(G126&lt;&gt;"",UPPER(TRIM(G126)),IF(ISNUMBER(SEARCH(" ",TRIM(F126))),UPPER(LEFT(TRIM(RIGHT(SUBSTITUTE(TRIM(F126)," ",REPT(" ",100)),100)),Settings!$B$9)),UPPER(LEFT(TRIM(F126),Settings!$B$9)))))</f>
        <v/>
      </c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16" t="str">
        <f>IF(ISBLANK(D126),"",IF(COUNTIFS(Circulation!$B$2:$B$500,A126,Circulation!$H$2:$H$500,"Active")&gt;0,"On Loan","Available"))</f>
        <v/>
      </c>
      <c r="AB126" s="8"/>
      <c r="AC126" s="8"/>
      <c r="AD126" s="8"/>
      <c r="AE126" s="8"/>
      <c r="AF126" s="8"/>
      <c r="AG126" s="8"/>
      <c r="AH126" s="8"/>
    </row>
    <row r="127" spans="1:34" ht="15.75" x14ac:dyDescent="0.25">
      <c r="A127" s="14" t="str">
        <f t="shared" si="2"/>
        <v/>
      </c>
      <c r="B127" s="15"/>
      <c r="C127" s="14" t="str">
        <f t="shared" si="3"/>
        <v/>
      </c>
      <c r="D127" s="8"/>
      <c r="E127" s="8"/>
      <c r="F127" s="8"/>
      <c r="G127" s="8"/>
      <c r="H127" s="14" t="str">
        <f>IF(ISBLANK(F127),"",IF(G127&lt;&gt;"",UPPER(TRIM(G127)),IF(ISNUMBER(SEARCH(" ",TRIM(F127))),UPPER(LEFT(TRIM(RIGHT(SUBSTITUTE(TRIM(F127)," ",REPT(" ",100)),100)),Settings!$B$9)),UPPER(LEFT(TRIM(F127),Settings!$B$9)))))</f>
        <v/>
      </c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16" t="str">
        <f>IF(ISBLANK(D127),"",IF(COUNTIFS(Circulation!$B$2:$B$500,A127,Circulation!$H$2:$H$500,"Active")&gt;0,"On Loan","Available"))</f>
        <v/>
      </c>
      <c r="AB127" s="8"/>
      <c r="AC127" s="8"/>
      <c r="AD127" s="8"/>
      <c r="AE127" s="8"/>
      <c r="AF127" s="8"/>
      <c r="AG127" s="8"/>
      <c r="AH127" s="8"/>
    </row>
    <row r="128" spans="1:34" ht="15.75" x14ac:dyDescent="0.25">
      <c r="A128" s="14" t="str">
        <f t="shared" si="2"/>
        <v/>
      </c>
      <c r="B128" s="15"/>
      <c r="C128" s="14" t="str">
        <f t="shared" si="3"/>
        <v/>
      </c>
      <c r="D128" s="8"/>
      <c r="E128" s="8"/>
      <c r="F128" s="8"/>
      <c r="G128" s="8"/>
      <c r="H128" s="14" t="str">
        <f>IF(ISBLANK(F128),"",IF(G128&lt;&gt;"",UPPER(TRIM(G128)),IF(ISNUMBER(SEARCH(" ",TRIM(F128))),UPPER(LEFT(TRIM(RIGHT(SUBSTITUTE(TRIM(F128)," ",REPT(" ",100)),100)),Settings!$B$9)),UPPER(LEFT(TRIM(F128),Settings!$B$9)))))</f>
        <v/>
      </c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16" t="str">
        <f>IF(ISBLANK(D128),"",IF(COUNTIFS(Circulation!$B$2:$B$500,A128,Circulation!$H$2:$H$500,"Active")&gt;0,"On Loan","Available"))</f>
        <v/>
      </c>
      <c r="AB128" s="8"/>
      <c r="AC128" s="8"/>
      <c r="AD128" s="8"/>
      <c r="AE128" s="8"/>
      <c r="AF128" s="8"/>
      <c r="AG128" s="8"/>
      <c r="AH128" s="8"/>
    </row>
    <row r="129" spans="1:34" ht="15.75" x14ac:dyDescent="0.25">
      <c r="A129" s="14" t="str">
        <f t="shared" si="2"/>
        <v/>
      </c>
      <c r="B129" s="15"/>
      <c r="C129" s="14" t="str">
        <f t="shared" si="3"/>
        <v/>
      </c>
      <c r="D129" s="8"/>
      <c r="E129" s="8"/>
      <c r="F129" s="8"/>
      <c r="G129" s="8"/>
      <c r="H129" s="14" t="str">
        <f>IF(ISBLANK(F129),"",IF(G129&lt;&gt;"",UPPER(TRIM(G129)),IF(ISNUMBER(SEARCH(" ",TRIM(F129))),UPPER(LEFT(TRIM(RIGHT(SUBSTITUTE(TRIM(F129)," ",REPT(" ",100)),100)),Settings!$B$9)),UPPER(LEFT(TRIM(F129),Settings!$B$9)))))</f>
        <v/>
      </c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16" t="str">
        <f>IF(ISBLANK(D129),"",IF(COUNTIFS(Circulation!$B$2:$B$500,A129,Circulation!$H$2:$H$500,"Active")&gt;0,"On Loan","Available"))</f>
        <v/>
      </c>
      <c r="AB129" s="8"/>
      <c r="AC129" s="8"/>
      <c r="AD129" s="8"/>
      <c r="AE129" s="8"/>
      <c r="AF129" s="8"/>
      <c r="AG129" s="8"/>
      <c r="AH129" s="8"/>
    </row>
    <row r="130" spans="1:34" ht="15.75" x14ac:dyDescent="0.25">
      <c r="A130" s="14" t="str">
        <f t="shared" ref="A130:A193" si="4">IF(ISBLANK(D130),"",ROW()-1)</f>
        <v/>
      </c>
      <c r="B130" s="15"/>
      <c r="C130" s="14" t="str">
        <f t="shared" ref="C130:C193" si="5">IF(OR(ISBLANK(D130),ISBLANK(K130)),"",IFERROR(VLOOKUP(K130,CatItemTypeLookup,2,FALSE),"?")&amp;"-"&amp;IF(L130="","?",IFERROR(VLOOKUP(L130,SubjectLookup,2,FALSE),"="))&amp;"-"&amp;IF(M130="","?",IFERROR(VLOOKUP(M130,GenreLookup,2,FALSE),"="))&amp;"-"&amp;IF(H130="","NOC",H130)&amp;"-"&amp;TEXT(A130,"000")&amp;IF(ISBLANK(O130),"","-"&amp;SUBSTITUTE(O130," ","")))</f>
        <v/>
      </c>
      <c r="D130" s="8"/>
      <c r="E130" s="8"/>
      <c r="F130" s="8"/>
      <c r="G130" s="8"/>
      <c r="H130" s="14" t="str">
        <f>IF(ISBLANK(F130),"",IF(G130&lt;&gt;"",UPPER(TRIM(G130)),IF(ISNUMBER(SEARCH(" ",TRIM(F130))),UPPER(LEFT(TRIM(RIGHT(SUBSTITUTE(TRIM(F130)," ",REPT(" ",100)),100)),Settings!$B$9)),UPPER(LEFT(TRIM(F130),Settings!$B$9)))))</f>
        <v/>
      </c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16" t="str">
        <f>IF(ISBLANK(D130),"",IF(COUNTIFS(Circulation!$B$2:$B$500,A130,Circulation!$H$2:$H$500,"Active")&gt;0,"On Loan","Available"))</f>
        <v/>
      </c>
      <c r="AB130" s="8"/>
      <c r="AC130" s="8"/>
      <c r="AD130" s="8"/>
      <c r="AE130" s="8"/>
      <c r="AF130" s="8"/>
      <c r="AG130" s="8"/>
      <c r="AH130" s="8"/>
    </row>
    <row r="131" spans="1:34" ht="15.75" x14ac:dyDescent="0.25">
      <c r="A131" s="14" t="str">
        <f t="shared" si="4"/>
        <v/>
      </c>
      <c r="B131" s="15"/>
      <c r="C131" s="14" t="str">
        <f t="shared" si="5"/>
        <v/>
      </c>
      <c r="D131" s="8"/>
      <c r="E131" s="8"/>
      <c r="F131" s="8"/>
      <c r="G131" s="8"/>
      <c r="H131" s="14" t="str">
        <f>IF(ISBLANK(F131),"",IF(G131&lt;&gt;"",UPPER(TRIM(G131)),IF(ISNUMBER(SEARCH(" ",TRIM(F131))),UPPER(LEFT(TRIM(RIGHT(SUBSTITUTE(TRIM(F131)," ",REPT(" ",100)),100)),Settings!$B$9)),UPPER(LEFT(TRIM(F131),Settings!$B$9)))))</f>
        <v/>
      </c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16" t="str">
        <f>IF(ISBLANK(D131),"",IF(COUNTIFS(Circulation!$B$2:$B$500,A131,Circulation!$H$2:$H$500,"Active")&gt;0,"On Loan","Available"))</f>
        <v/>
      </c>
      <c r="AB131" s="8"/>
      <c r="AC131" s="8"/>
      <c r="AD131" s="8"/>
      <c r="AE131" s="8"/>
      <c r="AF131" s="8"/>
      <c r="AG131" s="8"/>
      <c r="AH131" s="8"/>
    </row>
    <row r="132" spans="1:34" ht="15.75" x14ac:dyDescent="0.25">
      <c r="A132" s="14" t="str">
        <f t="shared" si="4"/>
        <v/>
      </c>
      <c r="B132" s="15"/>
      <c r="C132" s="14" t="str">
        <f t="shared" si="5"/>
        <v/>
      </c>
      <c r="D132" s="8"/>
      <c r="E132" s="8"/>
      <c r="F132" s="8"/>
      <c r="G132" s="8"/>
      <c r="H132" s="14" t="str">
        <f>IF(ISBLANK(F132),"",IF(G132&lt;&gt;"",UPPER(TRIM(G132)),IF(ISNUMBER(SEARCH(" ",TRIM(F132))),UPPER(LEFT(TRIM(RIGHT(SUBSTITUTE(TRIM(F132)," ",REPT(" ",100)),100)),Settings!$B$9)),UPPER(LEFT(TRIM(F132),Settings!$B$9)))))</f>
        <v/>
      </c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16" t="str">
        <f>IF(ISBLANK(D132),"",IF(COUNTIFS(Circulation!$B$2:$B$500,A132,Circulation!$H$2:$H$500,"Active")&gt;0,"On Loan","Available"))</f>
        <v/>
      </c>
      <c r="AB132" s="8"/>
      <c r="AC132" s="8"/>
      <c r="AD132" s="8"/>
      <c r="AE132" s="8"/>
      <c r="AF132" s="8"/>
      <c r="AG132" s="8"/>
      <c r="AH132" s="8"/>
    </row>
    <row r="133" spans="1:34" ht="15.75" x14ac:dyDescent="0.25">
      <c r="A133" s="14" t="str">
        <f t="shared" si="4"/>
        <v/>
      </c>
      <c r="B133" s="15"/>
      <c r="C133" s="14" t="str">
        <f t="shared" si="5"/>
        <v/>
      </c>
      <c r="D133" s="8"/>
      <c r="E133" s="8"/>
      <c r="F133" s="8"/>
      <c r="G133" s="8"/>
      <c r="H133" s="14" t="str">
        <f>IF(ISBLANK(F133),"",IF(G133&lt;&gt;"",UPPER(TRIM(G133)),IF(ISNUMBER(SEARCH(" ",TRIM(F133))),UPPER(LEFT(TRIM(RIGHT(SUBSTITUTE(TRIM(F133)," ",REPT(" ",100)),100)),Settings!$B$9)),UPPER(LEFT(TRIM(F133),Settings!$B$9)))))</f>
        <v/>
      </c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16" t="str">
        <f>IF(ISBLANK(D133),"",IF(COUNTIFS(Circulation!$B$2:$B$500,A133,Circulation!$H$2:$H$500,"Active")&gt;0,"On Loan","Available"))</f>
        <v/>
      </c>
      <c r="AB133" s="8"/>
      <c r="AC133" s="8"/>
      <c r="AD133" s="8"/>
      <c r="AE133" s="8"/>
      <c r="AF133" s="8"/>
      <c r="AG133" s="8"/>
      <c r="AH133" s="8"/>
    </row>
    <row r="134" spans="1:34" ht="15.75" x14ac:dyDescent="0.25">
      <c r="A134" s="14" t="str">
        <f t="shared" si="4"/>
        <v/>
      </c>
      <c r="B134" s="15"/>
      <c r="C134" s="14" t="str">
        <f t="shared" si="5"/>
        <v/>
      </c>
      <c r="D134" s="8"/>
      <c r="E134" s="8"/>
      <c r="F134" s="8"/>
      <c r="G134" s="8"/>
      <c r="H134" s="14" t="str">
        <f>IF(ISBLANK(F134),"",IF(G134&lt;&gt;"",UPPER(TRIM(G134)),IF(ISNUMBER(SEARCH(" ",TRIM(F134))),UPPER(LEFT(TRIM(RIGHT(SUBSTITUTE(TRIM(F134)," ",REPT(" ",100)),100)),Settings!$B$9)),UPPER(LEFT(TRIM(F134),Settings!$B$9)))))</f>
        <v/>
      </c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16" t="str">
        <f>IF(ISBLANK(D134),"",IF(COUNTIFS(Circulation!$B$2:$B$500,A134,Circulation!$H$2:$H$500,"Active")&gt;0,"On Loan","Available"))</f>
        <v/>
      </c>
      <c r="AB134" s="8"/>
      <c r="AC134" s="8"/>
      <c r="AD134" s="8"/>
      <c r="AE134" s="8"/>
      <c r="AF134" s="8"/>
      <c r="AG134" s="8"/>
      <c r="AH134" s="8"/>
    </row>
    <row r="135" spans="1:34" ht="15.75" x14ac:dyDescent="0.25">
      <c r="A135" s="14" t="str">
        <f t="shared" si="4"/>
        <v/>
      </c>
      <c r="B135" s="15"/>
      <c r="C135" s="14" t="str">
        <f t="shared" si="5"/>
        <v/>
      </c>
      <c r="D135" s="8"/>
      <c r="E135" s="8"/>
      <c r="F135" s="8"/>
      <c r="G135" s="8"/>
      <c r="H135" s="14" t="str">
        <f>IF(ISBLANK(F135),"",IF(G135&lt;&gt;"",UPPER(TRIM(G135)),IF(ISNUMBER(SEARCH(" ",TRIM(F135))),UPPER(LEFT(TRIM(RIGHT(SUBSTITUTE(TRIM(F135)," ",REPT(" ",100)),100)),Settings!$B$9)),UPPER(LEFT(TRIM(F135),Settings!$B$9)))))</f>
        <v/>
      </c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16" t="str">
        <f>IF(ISBLANK(D135),"",IF(COUNTIFS(Circulation!$B$2:$B$500,A135,Circulation!$H$2:$H$500,"Active")&gt;0,"On Loan","Available"))</f>
        <v/>
      </c>
      <c r="AB135" s="8"/>
      <c r="AC135" s="8"/>
      <c r="AD135" s="8"/>
      <c r="AE135" s="8"/>
      <c r="AF135" s="8"/>
      <c r="AG135" s="8"/>
      <c r="AH135" s="8"/>
    </row>
    <row r="136" spans="1:34" ht="15.75" x14ac:dyDescent="0.25">
      <c r="A136" s="14" t="str">
        <f t="shared" si="4"/>
        <v/>
      </c>
      <c r="B136" s="15"/>
      <c r="C136" s="14" t="str">
        <f t="shared" si="5"/>
        <v/>
      </c>
      <c r="D136" s="8"/>
      <c r="E136" s="8"/>
      <c r="F136" s="8"/>
      <c r="G136" s="8"/>
      <c r="H136" s="14" t="str">
        <f>IF(ISBLANK(F136),"",IF(G136&lt;&gt;"",UPPER(TRIM(G136)),IF(ISNUMBER(SEARCH(" ",TRIM(F136))),UPPER(LEFT(TRIM(RIGHT(SUBSTITUTE(TRIM(F136)," ",REPT(" ",100)),100)),Settings!$B$9)),UPPER(LEFT(TRIM(F136),Settings!$B$9)))))</f>
        <v/>
      </c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16" t="str">
        <f>IF(ISBLANK(D136),"",IF(COUNTIFS(Circulation!$B$2:$B$500,A136,Circulation!$H$2:$H$500,"Active")&gt;0,"On Loan","Available"))</f>
        <v/>
      </c>
      <c r="AB136" s="8"/>
      <c r="AC136" s="8"/>
      <c r="AD136" s="8"/>
      <c r="AE136" s="8"/>
      <c r="AF136" s="8"/>
      <c r="AG136" s="8"/>
      <c r="AH136" s="8"/>
    </row>
    <row r="137" spans="1:34" ht="15.75" x14ac:dyDescent="0.25">
      <c r="A137" s="14" t="str">
        <f t="shared" si="4"/>
        <v/>
      </c>
      <c r="B137" s="15"/>
      <c r="C137" s="14" t="str">
        <f t="shared" si="5"/>
        <v/>
      </c>
      <c r="D137" s="8"/>
      <c r="E137" s="8"/>
      <c r="F137" s="8"/>
      <c r="G137" s="8"/>
      <c r="H137" s="14" t="str">
        <f>IF(ISBLANK(F137),"",IF(G137&lt;&gt;"",UPPER(TRIM(G137)),IF(ISNUMBER(SEARCH(" ",TRIM(F137))),UPPER(LEFT(TRIM(RIGHT(SUBSTITUTE(TRIM(F137)," ",REPT(" ",100)),100)),Settings!$B$9)),UPPER(LEFT(TRIM(F137),Settings!$B$9)))))</f>
        <v/>
      </c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16" t="str">
        <f>IF(ISBLANK(D137),"",IF(COUNTIFS(Circulation!$B$2:$B$500,A137,Circulation!$H$2:$H$500,"Active")&gt;0,"On Loan","Available"))</f>
        <v/>
      </c>
      <c r="AB137" s="8"/>
      <c r="AC137" s="8"/>
      <c r="AD137" s="8"/>
      <c r="AE137" s="8"/>
      <c r="AF137" s="8"/>
      <c r="AG137" s="8"/>
      <c r="AH137" s="8"/>
    </row>
    <row r="138" spans="1:34" ht="15.75" x14ac:dyDescent="0.25">
      <c r="A138" s="14" t="str">
        <f t="shared" si="4"/>
        <v/>
      </c>
      <c r="B138" s="15"/>
      <c r="C138" s="14" t="str">
        <f t="shared" si="5"/>
        <v/>
      </c>
      <c r="D138" s="8"/>
      <c r="E138" s="8"/>
      <c r="F138" s="8"/>
      <c r="G138" s="8"/>
      <c r="H138" s="14" t="str">
        <f>IF(ISBLANK(F138),"",IF(G138&lt;&gt;"",UPPER(TRIM(G138)),IF(ISNUMBER(SEARCH(" ",TRIM(F138))),UPPER(LEFT(TRIM(RIGHT(SUBSTITUTE(TRIM(F138)," ",REPT(" ",100)),100)),Settings!$B$9)),UPPER(LEFT(TRIM(F138),Settings!$B$9)))))</f>
        <v/>
      </c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16" t="str">
        <f>IF(ISBLANK(D138),"",IF(COUNTIFS(Circulation!$B$2:$B$500,A138,Circulation!$H$2:$H$500,"Active")&gt;0,"On Loan","Available"))</f>
        <v/>
      </c>
      <c r="AB138" s="8"/>
      <c r="AC138" s="8"/>
      <c r="AD138" s="8"/>
      <c r="AE138" s="8"/>
      <c r="AF138" s="8"/>
      <c r="AG138" s="8"/>
      <c r="AH138" s="8"/>
    </row>
    <row r="139" spans="1:34" ht="15.75" x14ac:dyDescent="0.25">
      <c r="A139" s="14" t="str">
        <f t="shared" si="4"/>
        <v/>
      </c>
      <c r="B139" s="15"/>
      <c r="C139" s="14" t="str">
        <f t="shared" si="5"/>
        <v/>
      </c>
      <c r="D139" s="8"/>
      <c r="E139" s="8"/>
      <c r="F139" s="8"/>
      <c r="G139" s="8"/>
      <c r="H139" s="14" t="str">
        <f>IF(ISBLANK(F139),"",IF(G139&lt;&gt;"",UPPER(TRIM(G139)),IF(ISNUMBER(SEARCH(" ",TRIM(F139))),UPPER(LEFT(TRIM(RIGHT(SUBSTITUTE(TRIM(F139)," ",REPT(" ",100)),100)),Settings!$B$9)),UPPER(LEFT(TRIM(F139),Settings!$B$9)))))</f>
        <v/>
      </c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16" t="str">
        <f>IF(ISBLANK(D139),"",IF(COUNTIFS(Circulation!$B$2:$B$500,A139,Circulation!$H$2:$H$500,"Active")&gt;0,"On Loan","Available"))</f>
        <v/>
      </c>
      <c r="AB139" s="8"/>
      <c r="AC139" s="8"/>
      <c r="AD139" s="8"/>
      <c r="AE139" s="8"/>
      <c r="AF139" s="8"/>
      <c r="AG139" s="8"/>
      <c r="AH139" s="8"/>
    </row>
    <row r="140" spans="1:34" ht="15.75" x14ac:dyDescent="0.25">
      <c r="A140" s="14" t="str">
        <f t="shared" si="4"/>
        <v/>
      </c>
      <c r="B140" s="15"/>
      <c r="C140" s="14" t="str">
        <f t="shared" si="5"/>
        <v/>
      </c>
      <c r="D140" s="8"/>
      <c r="E140" s="8"/>
      <c r="F140" s="8"/>
      <c r="G140" s="8"/>
      <c r="H140" s="14" t="str">
        <f>IF(ISBLANK(F140),"",IF(G140&lt;&gt;"",UPPER(TRIM(G140)),IF(ISNUMBER(SEARCH(" ",TRIM(F140))),UPPER(LEFT(TRIM(RIGHT(SUBSTITUTE(TRIM(F140)," ",REPT(" ",100)),100)),Settings!$B$9)),UPPER(LEFT(TRIM(F140),Settings!$B$9)))))</f>
        <v/>
      </c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16" t="str">
        <f>IF(ISBLANK(D140),"",IF(COUNTIFS(Circulation!$B$2:$B$500,A140,Circulation!$H$2:$H$500,"Active")&gt;0,"On Loan","Available"))</f>
        <v/>
      </c>
      <c r="AB140" s="8"/>
      <c r="AC140" s="8"/>
      <c r="AD140" s="8"/>
      <c r="AE140" s="8"/>
      <c r="AF140" s="8"/>
      <c r="AG140" s="8"/>
      <c r="AH140" s="8"/>
    </row>
    <row r="141" spans="1:34" ht="15.75" x14ac:dyDescent="0.25">
      <c r="A141" s="14" t="str">
        <f t="shared" si="4"/>
        <v/>
      </c>
      <c r="B141" s="15"/>
      <c r="C141" s="14" t="str">
        <f t="shared" si="5"/>
        <v/>
      </c>
      <c r="D141" s="8"/>
      <c r="E141" s="8"/>
      <c r="F141" s="8"/>
      <c r="G141" s="8"/>
      <c r="H141" s="14" t="str">
        <f>IF(ISBLANK(F141),"",IF(G141&lt;&gt;"",UPPER(TRIM(G141)),IF(ISNUMBER(SEARCH(" ",TRIM(F141))),UPPER(LEFT(TRIM(RIGHT(SUBSTITUTE(TRIM(F141)," ",REPT(" ",100)),100)),Settings!$B$9)),UPPER(LEFT(TRIM(F141),Settings!$B$9)))))</f>
        <v/>
      </c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16" t="str">
        <f>IF(ISBLANK(D141),"",IF(COUNTIFS(Circulation!$B$2:$B$500,A141,Circulation!$H$2:$H$500,"Active")&gt;0,"On Loan","Available"))</f>
        <v/>
      </c>
      <c r="AB141" s="8"/>
      <c r="AC141" s="8"/>
      <c r="AD141" s="8"/>
      <c r="AE141" s="8"/>
      <c r="AF141" s="8"/>
      <c r="AG141" s="8"/>
      <c r="AH141" s="8"/>
    </row>
    <row r="142" spans="1:34" ht="15.75" x14ac:dyDescent="0.25">
      <c r="A142" s="14" t="str">
        <f t="shared" si="4"/>
        <v/>
      </c>
      <c r="B142" s="15"/>
      <c r="C142" s="14" t="str">
        <f t="shared" si="5"/>
        <v/>
      </c>
      <c r="D142" s="8"/>
      <c r="E142" s="8"/>
      <c r="F142" s="8"/>
      <c r="G142" s="8"/>
      <c r="H142" s="14" t="str">
        <f>IF(ISBLANK(F142),"",IF(G142&lt;&gt;"",UPPER(TRIM(G142)),IF(ISNUMBER(SEARCH(" ",TRIM(F142))),UPPER(LEFT(TRIM(RIGHT(SUBSTITUTE(TRIM(F142)," ",REPT(" ",100)),100)),Settings!$B$9)),UPPER(LEFT(TRIM(F142),Settings!$B$9)))))</f>
        <v/>
      </c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16" t="str">
        <f>IF(ISBLANK(D142),"",IF(COUNTIFS(Circulation!$B$2:$B$500,A142,Circulation!$H$2:$H$500,"Active")&gt;0,"On Loan","Available"))</f>
        <v/>
      </c>
      <c r="AB142" s="8"/>
      <c r="AC142" s="8"/>
      <c r="AD142" s="8"/>
      <c r="AE142" s="8"/>
      <c r="AF142" s="8"/>
      <c r="AG142" s="8"/>
      <c r="AH142" s="8"/>
    </row>
    <row r="143" spans="1:34" ht="15.75" x14ac:dyDescent="0.25">
      <c r="A143" s="14" t="str">
        <f t="shared" si="4"/>
        <v/>
      </c>
      <c r="B143" s="15"/>
      <c r="C143" s="14" t="str">
        <f t="shared" si="5"/>
        <v/>
      </c>
      <c r="D143" s="8"/>
      <c r="E143" s="8"/>
      <c r="F143" s="8"/>
      <c r="G143" s="8"/>
      <c r="H143" s="14" t="str">
        <f>IF(ISBLANK(F143),"",IF(G143&lt;&gt;"",UPPER(TRIM(G143)),IF(ISNUMBER(SEARCH(" ",TRIM(F143))),UPPER(LEFT(TRIM(RIGHT(SUBSTITUTE(TRIM(F143)," ",REPT(" ",100)),100)),Settings!$B$9)),UPPER(LEFT(TRIM(F143),Settings!$B$9)))))</f>
        <v/>
      </c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16" t="str">
        <f>IF(ISBLANK(D143),"",IF(COUNTIFS(Circulation!$B$2:$B$500,A143,Circulation!$H$2:$H$500,"Active")&gt;0,"On Loan","Available"))</f>
        <v/>
      </c>
      <c r="AB143" s="8"/>
      <c r="AC143" s="8"/>
      <c r="AD143" s="8"/>
      <c r="AE143" s="8"/>
      <c r="AF143" s="8"/>
      <c r="AG143" s="8"/>
      <c r="AH143" s="8"/>
    </row>
    <row r="144" spans="1:34" ht="15.75" x14ac:dyDescent="0.25">
      <c r="A144" s="14" t="str">
        <f t="shared" si="4"/>
        <v/>
      </c>
      <c r="B144" s="15"/>
      <c r="C144" s="14" t="str">
        <f t="shared" si="5"/>
        <v/>
      </c>
      <c r="D144" s="8"/>
      <c r="E144" s="8"/>
      <c r="F144" s="8"/>
      <c r="G144" s="8"/>
      <c r="H144" s="14" t="str">
        <f>IF(ISBLANK(F144),"",IF(G144&lt;&gt;"",UPPER(TRIM(G144)),IF(ISNUMBER(SEARCH(" ",TRIM(F144))),UPPER(LEFT(TRIM(RIGHT(SUBSTITUTE(TRIM(F144)," ",REPT(" ",100)),100)),Settings!$B$9)),UPPER(LEFT(TRIM(F144),Settings!$B$9)))))</f>
        <v/>
      </c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16" t="str">
        <f>IF(ISBLANK(D144),"",IF(COUNTIFS(Circulation!$B$2:$B$500,A144,Circulation!$H$2:$H$500,"Active")&gt;0,"On Loan","Available"))</f>
        <v/>
      </c>
      <c r="AB144" s="8"/>
      <c r="AC144" s="8"/>
      <c r="AD144" s="8"/>
      <c r="AE144" s="8"/>
      <c r="AF144" s="8"/>
      <c r="AG144" s="8"/>
      <c r="AH144" s="8"/>
    </row>
    <row r="145" spans="1:34" ht="15.75" x14ac:dyDescent="0.25">
      <c r="A145" s="14" t="str">
        <f t="shared" si="4"/>
        <v/>
      </c>
      <c r="B145" s="15"/>
      <c r="C145" s="14" t="str">
        <f t="shared" si="5"/>
        <v/>
      </c>
      <c r="D145" s="8"/>
      <c r="E145" s="8"/>
      <c r="F145" s="8"/>
      <c r="G145" s="8"/>
      <c r="H145" s="14" t="str">
        <f>IF(ISBLANK(F145),"",IF(G145&lt;&gt;"",UPPER(TRIM(G145)),IF(ISNUMBER(SEARCH(" ",TRIM(F145))),UPPER(LEFT(TRIM(RIGHT(SUBSTITUTE(TRIM(F145)," ",REPT(" ",100)),100)),Settings!$B$9)),UPPER(LEFT(TRIM(F145),Settings!$B$9)))))</f>
        <v/>
      </c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16" t="str">
        <f>IF(ISBLANK(D145),"",IF(COUNTIFS(Circulation!$B$2:$B$500,A145,Circulation!$H$2:$H$500,"Active")&gt;0,"On Loan","Available"))</f>
        <v/>
      </c>
      <c r="AB145" s="8"/>
      <c r="AC145" s="8"/>
      <c r="AD145" s="8"/>
      <c r="AE145" s="8"/>
      <c r="AF145" s="8"/>
      <c r="AG145" s="8"/>
      <c r="AH145" s="8"/>
    </row>
    <row r="146" spans="1:34" ht="15.75" x14ac:dyDescent="0.25">
      <c r="A146" s="14" t="str">
        <f t="shared" si="4"/>
        <v/>
      </c>
      <c r="B146" s="15"/>
      <c r="C146" s="14" t="str">
        <f t="shared" si="5"/>
        <v/>
      </c>
      <c r="D146" s="8"/>
      <c r="E146" s="8"/>
      <c r="F146" s="8"/>
      <c r="G146" s="8"/>
      <c r="H146" s="14" t="str">
        <f>IF(ISBLANK(F146),"",IF(G146&lt;&gt;"",UPPER(TRIM(G146)),IF(ISNUMBER(SEARCH(" ",TRIM(F146))),UPPER(LEFT(TRIM(RIGHT(SUBSTITUTE(TRIM(F146)," ",REPT(" ",100)),100)),Settings!$B$9)),UPPER(LEFT(TRIM(F146),Settings!$B$9)))))</f>
        <v/>
      </c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16" t="str">
        <f>IF(ISBLANK(D146),"",IF(COUNTIFS(Circulation!$B$2:$B$500,A146,Circulation!$H$2:$H$500,"Active")&gt;0,"On Loan","Available"))</f>
        <v/>
      </c>
      <c r="AB146" s="8"/>
      <c r="AC146" s="8"/>
      <c r="AD146" s="8"/>
      <c r="AE146" s="8"/>
      <c r="AF146" s="8"/>
      <c r="AG146" s="8"/>
      <c r="AH146" s="8"/>
    </row>
    <row r="147" spans="1:34" ht="15.75" x14ac:dyDescent="0.25">
      <c r="A147" s="14" t="str">
        <f t="shared" si="4"/>
        <v/>
      </c>
      <c r="B147" s="15"/>
      <c r="C147" s="14" t="str">
        <f t="shared" si="5"/>
        <v/>
      </c>
      <c r="D147" s="8"/>
      <c r="E147" s="8"/>
      <c r="F147" s="8"/>
      <c r="G147" s="8"/>
      <c r="H147" s="14" t="str">
        <f>IF(ISBLANK(F147),"",IF(G147&lt;&gt;"",UPPER(TRIM(G147)),IF(ISNUMBER(SEARCH(" ",TRIM(F147))),UPPER(LEFT(TRIM(RIGHT(SUBSTITUTE(TRIM(F147)," ",REPT(" ",100)),100)),Settings!$B$9)),UPPER(LEFT(TRIM(F147),Settings!$B$9)))))</f>
        <v/>
      </c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16" t="str">
        <f>IF(ISBLANK(D147),"",IF(COUNTIFS(Circulation!$B$2:$B$500,A147,Circulation!$H$2:$H$500,"Active")&gt;0,"On Loan","Available"))</f>
        <v/>
      </c>
      <c r="AB147" s="8"/>
      <c r="AC147" s="8"/>
      <c r="AD147" s="8"/>
      <c r="AE147" s="8"/>
      <c r="AF147" s="8"/>
      <c r="AG147" s="8"/>
      <c r="AH147" s="8"/>
    </row>
    <row r="148" spans="1:34" ht="15.75" x14ac:dyDescent="0.25">
      <c r="A148" s="14" t="str">
        <f t="shared" si="4"/>
        <v/>
      </c>
      <c r="B148" s="15"/>
      <c r="C148" s="14" t="str">
        <f t="shared" si="5"/>
        <v/>
      </c>
      <c r="D148" s="8"/>
      <c r="E148" s="8"/>
      <c r="F148" s="8"/>
      <c r="G148" s="8"/>
      <c r="H148" s="14" t="str">
        <f>IF(ISBLANK(F148),"",IF(G148&lt;&gt;"",UPPER(TRIM(G148)),IF(ISNUMBER(SEARCH(" ",TRIM(F148))),UPPER(LEFT(TRIM(RIGHT(SUBSTITUTE(TRIM(F148)," ",REPT(" ",100)),100)),Settings!$B$9)),UPPER(LEFT(TRIM(F148),Settings!$B$9)))))</f>
        <v/>
      </c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16" t="str">
        <f>IF(ISBLANK(D148),"",IF(COUNTIFS(Circulation!$B$2:$B$500,A148,Circulation!$H$2:$H$500,"Active")&gt;0,"On Loan","Available"))</f>
        <v/>
      </c>
      <c r="AB148" s="8"/>
      <c r="AC148" s="8"/>
      <c r="AD148" s="8"/>
      <c r="AE148" s="8"/>
      <c r="AF148" s="8"/>
      <c r="AG148" s="8"/>
      <c r="AH148" s="8"/>
    </row>
    <row r="149" spans="1:34" ht="15.75" x14ac:dyDescent="0.25">
      <c r="A149" s="14" t="str">
        <f t="shared" si="4"/>
        <v/>
      </c>
      <c r="B149" s="15"/>
      <c r="C149" s="14" t="str">
        <f t="shared" si="5"/>
        <v/>
      </c>
      <c r="D149" s="8"/>
      <c r="E149" s="8"/>
      <c r="F149" s="8"/>
      <c r="G149" s="8"/>
      <c r="H149" s="14" t="str">
        <f>IF(ISBLANK(F149),"",IF(G149&lt;&gt;"",UPPER(TRIM(G149)),IF(ISNUMBER(SEARCH(" ",TRIM(F149))),UPPER(LEFT(TRIM(RIGHT(SUBSTITUTE(TRIM(F149)," ",REPT(" ",100)),100)),Settings!$B$9)),UPPER(LEFT(TRIM(F149),Settings!$B$9)))))</f>
        <v/>
      </c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16" t="str">
        <f>IF(ISBLANK(D149),"",IF(COUNTIFS(Circulation!$B$2:$B$500,A149,Circulation!$H$2:$H$500,"Active")&gt;0,"On Loan","Available"))</f>
        <v/>
      </c>
      <c r="AB149" s="8"/>
      <c r="AC149" s="8"/>
      <c r="AD149" s="8"/>
      <c r="AE149" s="8"/>
      <c r="AF149" s="8"/>
      <c r="AG149" s="8"/>
      <c r="AH149" s="8"/>
    </row>
    <row r="150" spans="1:34" ht="15.75" x14ac:dyDescent="0.25">
      <c r="A150" s="14" t="str">
        <f t="shared" si="4"/>
        <v/>
      </c>
      <c r="B150" s="15"/>
      <c r="C150" s="14" t="str">
        <f t="shared" si="5"/>
        <v/>
      </c>
      <c r="D150" s="8"/>
      <c r="E150" s="8"/>
      <c r="F150" s="8"/>
      <c r="G150" s="8"/>
      <c r="H150" s="14" t="str">
        <f>IF(ISBLANK(F150),"",IF(G150&lt;&gt;"",UPPER(TRIM(G150)),IF(ISNUMBER(SEARCH(" ",TRIM(F150))),UPPER(LEFT(TRIM(RIGHT(SUBSTITUTE(TRIM(F150)," ",REPT(" ",100)),100)),Settings!$B$9)),UPPER(LEFT(TRIM(F150),Settings!$B$9)))))</f>
        <v/>
      </c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16" t="str">
        <f>IF(ISBLANK(D150),"",IF(COUNTIFS(Circulation!$B$2:$B$500,A150,Circulation!$H$2:$H$500,"Active")&gt;0,"On Loan","Available"))</f>
        <v/>
      </c>
      <c r="AB150" s="8"/>
      <c r="AC150" s="8"/>
      <c r="AD150" s="8"/>
      <c r="AE150" s="8"/>
      <c r="AF150" s="8"/>
      <c r="AG150" s="8"/>
      <c r="AH150" s="8"/>
    </row>
    <row r="151" spans="1:34" ht="15.75" x14ac:dyDescent="0.25">
      <c r="A151" s="14" t="str">
        <f t="shared" si="4"/>
        <v/>
      </c>
      <c r="B151" s="15"/>
      <c r="C151" s="14" t="str">
        <f t="shared" si="5"/>
        <v/>
      </c>
      <c r="D151" s="8"/>
      <c r="E151" s="8"/>
      <c r="F151" s="8"/>
      <c r="G151" s="8"/>
      <c r="H151" s="14" t="str">
        <f>IF(ISBLANK(F151),"",IF(G151&lt;&gt;"",UPPER(TRIM(G151)),IF(ISNUMBER(SEARCH(" ",TRIM(F151))),UPPER(LEFT(TRIM(RIGHT(SUBSTITUTE(TRIM(F151)," ",REPT(" ",100)),100)),Settings!$B$9)),UPPER(LEFT(TRIM(F151),Settings!$B$9)))))</f>
        <v/>
      </c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16" t="str">
        <f>IF(ISBLANK(D151),"",IF(COUNTIFS(Circulation!$B$2:$B$500,A151,Circulation!$H$2:$H$500,"Active")&gt;0,"On Loan","Available"))</f>
        <v/>
      </c>
      <c r="AB151" s="8"/>
      <c r="AC151" s="8"/>
      <c r="AD151" s="8"/>
      <c r="AE151" s="8"/>
      <c r="AF151" s="8"/>
      <c r="AG151" s="8"/>
      <c r="AH151" s="8"/>
    </row>
    <row r="152" spans="1:34" ht="15.75" x14ac:dyDescent="0.25">
      <c r="A152" s="14" t="str">
        <f t="shared" si="4"/>
        <v/>
      </c>
      <c r="B152" s="15"/>
      <c r="C152" s="14" t="str">
        <f t="shared" si="5"/>
        <v/>
      </c>
      <c r="D152" s="8"/>
      <c r="E152" s="8"/>
      <c r="F152" s="8"/>
      <c r="G152" s="8"/>
      <c r="H152" s="14" t="str">
        <f>IF(ISBLANK(F152),"",IF(G152&lt;&gt;"",UPPER(TRIM(G152)),IF(ISNUMBER(SEARCH(" ",TRIM(F152))),UPPER(LEFT(TRIM(RIGHT(SUBSTITUTE(TRIM(F152)," ",REPT(" ",100)),100)),Settings!$B$9)),UPPER(LEFT(TRIM(F152),Settings!$B$9)))))</f>
        <v/>
      </c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16" t="str">
        <f>IF(ISBLANK(D152),"",IF(COUNTIFS(Circulation!$B$2:$B$500,A152,Circulation!$H$2:$H$500,"Active")&gt;0,"On Loan","Available"))</f>
        <v/>
      </c>
      <c r="AB152" s="8"/>
      <c r="AC152" s="8"/>
      <c r="AD152" s="8"/>
      <c r="AE152" s="8"/>
      <c r="AF152" s="8"/>
      <c r="AG152" s="8"/>
      <c r="AH152" s="8"/>
    </row>
    <row r="153" spans="1:34" ht="15.75" x14ac:dyDescent="0.25">
      <c r="A153" s="14" t="str">
        <f t="shared" si="4"/>
        <v/>
      </c>
      <c r="B153" s="15"/>
      <c r="C153" s="14" t="str">
        <f t="shared" si="5"/>
        <v/>
      </c>
      <c r="D153" s="8"/>
      <c r="E153" s="8"/>
      <c r="F153" s="8"/>
      <c r="G153" s="8"/>
      <c r="H153" s="14" t="str">
        <f>IF(ISBLANK(F153),"",IF(G153&lt;&gt;"",UPPER(TRIM(G153)),IF(ISNUMBER(SEARCH(" ",TRIM(F153))),UPPER(LEFT(TRIM(RIGHT(SUBSTITUTE(TRIM(F153)," ",REPT(" ",100)),100)),Settings!$B$9)),UPPER(LEFT(TRIM(F153),Settings!$B$9)))))</f>
        <v/>
      </c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16" t="str">
        <f>IF(ISBLANK(D153),"",IF(COUNTIFS(Circulation!$B$2:$B$500,A153,Circulation!$H$2:$H$500,"Active")&gt;0,"On Loan","Available"))</f>
        <v/>
      </c>
      <c r="AB153" s="8"/>
      <c r="AC153" s="8"/>
      <c r="AD153" s="8"/>
      <c r="AE153" s="8"/>
      <c r="AF153" s="8"/>
      <c r="AG153" s="8"/>
      <c r="AH153" s="8"/>
    </row>
    <row r="154" spans="1:34" ht="15.75" x14ac:dyDescent="0.25">
      <c r="A154" s="14" t="str">
        <f t="shared" si="4"/>
        <v/>
      </c>
      <c r="B154" s="15"/>
      <c r="C154" s="14" t="str">
        <f t="shared" si="5"/>
        <v/>
      </c>
      <c r="D154" s="8"/>
      <c r="E154" s="8"/>
      <c r="F154" s="8"/>
      <c r="G154" s="8"/>
      <c r="H154" s="14" t="str">
        <f>IF(ISBLANK(F154),"",IF(G154&lt;&gt;"",UPPER(TRIM(G154)),IF(ISNUMBER(SEARCH(" ",TRIM(F154))),UPPER(LEFT(TRIM(RIGHT(SUBSTITUTE(TRIM(F154)," ",REPT(" ",100)),100)),Settings!$B$9)),UPPER(LEFT(TRIM(F154),Settings!$B$9)))))</f>
        <v/>
      </c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16" t="str">
        <f>IF(ISBLANK(D154),"",IF(COUNTIFS(Circulation!$B$2:$B$500,A154,Circulation!$H$2:$H$500,"Active")&gt;0,"On Loan","Available"))</f>
        <v/>
      </c>
      <c r="AB154" s="8"/>
      <c r="AC154" s="8"/>
      <c r="AD154" s="8"/>
      <c r="AE154" s="8"/>
      <c r="AF154" s="8"/>
      <c r="AG154" s="8"/>
      <c r="AH154" s="8"/>
    </row>
    <row r="155" spans="1:34" ht="15.75" x14ac:dyDescent="0.25">
      <c r="A155" s="14" t="str">
        <f t="shared" si="4"/>
        <v/>
      </c>
      <c r="B155" s="15"/>
      <c r="C155" s="14" t="str">
        <f t="shared" si="5"/>
        <v/>
      </c>
      <c r="D155" s="8"/>
      <c r="E155" s="8"/>
      <c r="F155" s="8"/>
      <c r="G155" s="8"/>
      <c r="H155" s="14" t="str">
        <f>IF(ISBLANK(F155),"",IF(G155&lt;&gt;"",UPPER(TRIM(G155)),IF(ISNUMBER(SEARCH(" ",TRIM(F155))),UPPER(LEFT(TRIM(RIGHT(SUBSTITUTE(TRIM(F155)," ",REPT(" ",100)),100)),Settings!$B$9)),UPPER(LEFT(TRIM(F155),Settings!$B$9)))))</f>
        <v/>
      </c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16" t="str">
        <f>IF(ISBLANK(D155),"",IF(COUNTIFS(Circulation!$B$2:$B$500,A155,Circulation!$H$2:$H$500,"Active")&gt;0,"On Loan","Available"))</f>
        <v/>
      </c>
      <c r="AB155" s="8"/>
      <c r="AC155" s="8"/>
      <c r="AD155" s="8"/>
      <c r="AE155" s="8"/>
      <c r="AF155" s="8"/>
      <c r="AG155" s="8"/>
      <c r="AH155" s="8"/>
    </row>
    <row r="156" spans="1:34" ht="15.75" x14ac:dyDescent="0.25">
      <c r="A156" s="14" t="str">
        <f t="shared" si="4"/>
        <v/>
      </c>
      <c r="B156" s="15"/>
      <c r="C156" s="14" t="str">
        <f t="shared" si="5"/>
        <v/>
      </c>
      <c r="D156" s="8"/>
      <c r="E156" s="8"/>
      <c r="F156" s="8"/>
      <c r="G156" s="8"/>
      <c r="H156" s="14" t="str">
        <f>IF(ISBLANK(F156),"",IF(G156&lt;&gt;"",UPPER(TRIM(G156)),IF(ISNUMBER(SEARCH(" ",TRIM(F156))),UPPER(LEFT(TRIM(RIGHT(SUBSTITUTE(TRIM(F156)," ",REPT(" ",100)),100)),Settings!$B$9)),UPPER(LEFT(TRIM(F156),Settings!$B$9)))))</f>
        <v/>
      </c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16" t="str">
        <f>IF(ISBLANK(D156),"",IF(COUNTIFS(Circulation!$B$2:$B$500,A156,Circulation!$H$2:$H$500,"Active")&gt;0,"On Loan","Available"))</f>
        <v/>
      </c>
      <c r="AB156" s="8"/>
      <c r="AC156" s="8"/>
      <c r="AD156" s="8"/>
      <c r="AE156" s="8"/>
      <c r="AF156" s="8"/>
      <c r="AG156" s="8"/>
      <c r="AH156" s="8"/>
    </row>
    <row r="157" spans="1:34" ht="15.75" x14ac:dyDescent="0.25">
      <c r="A157" s="14" t="str">
        <f t="shared" si="4"/>
        <v/>
      </c>
      <c r="B157" s="15"/>
      <c r="C157" s="14" t="str">
        <f t="shared" si="5"/>
        <v/>
      </c>
      <c r="D157" s="8"/>
      <c r="E157" s="8"/>
      <c r="F157" s="8"/>
      <c r="G157" s="8"/>
      <c r="H157" s="14" t="str">
        <f>IF(ISBLANK(F157),"",IF(G157&lt;&gt;"",UPPER(TRIM(G157)),IF(ISNUMBER(SEARCH(" ",TRIM(F157))),UPPER(LEFT(TRIM(RIGHT(SUBSTITUTE(TRIM(F157)," ",REPT(" ",100)),100)),Settings!$B$9)),UPPER(LEFT(TRIM(F157),Settings!$B$9)))))</f>
        <v/>
      </c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16" t="str">
        <f>IF(ISBLANK(D157),"",IF(COUNTIFS(Circulation!$B$2:$B$500,A157,Circulation!$H$2:$H$500,"Active")&gt;0,"On Loan","Available"))</f>
        <v/>
      </c>
      <c r="AB157" s="8"/>
      <c r="AC157" s="8"/>
      <c r="AD157" s="8"/>
      <c r="AE157" s="8"/>
      <c r="AF157" s="8"/>
      <c r="AG157" s="8"/>
      <c r="AH157" s="8"/>
    </row>
    <row r="158" spans="1:34" ht="15.75" x14ac:dyDescent="0.25">
      <c r="A158" s="14" t="str">
        <f t="shared" si="4"/>
        <v/>
      </c>
      <c r="B158" s="15"/>
      <c r="C158" s="14" t="str">
        <f t="shared" si="5"/>
        <v/>
      </c>
      <c r="D158" s="8"/>
      <c r="E158" s="8"/>
      <c r="F158" s="8"/>
      <c r="G158" s="8"/>
      <c r="H158" s="14" t="str">
        <f>IF(ISBLANK(F158),"",IF(G158&lt;&gt;"",UPPER(TRIM(G158)),IF(ISNUMBER(SEARCH(" ",TRIM(F158))),UPPER(LEFT(TRIM(RIGHT(SUBSTITUTE(TRIM(F158)," ",REPT(" ",100)),100)),Settings!$B$9)),UPPER(LEFT(TRIM(F158),Settings!$B$9)))))</f>
        <v/>
      </c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16" t="str">
        <f>IF(ISBLANK(D158),"",IF(COUNTIFS(Circulation!$B$2:$B$500,A158,Circulation!$H$2:$H$500,"Active")&gt;0,"On Loan","Available"))</f>
        <v/>
      </c>
      <c r="AB158" s="8"/>
      <c r="AC158" s="8"/>
      <c r="AD158" s="8"/>
      <c r="AE158" s="8"/>
      <c r="AF158" s="8"/>
      <c r="AG158" s="8"/>
      <c r="AH158" s="8"/>
    </row>
    <row r="159" spans="1:34" ht="15.75" x14ac:dyDescent="0.25">
      <c r="A159" s="14" t="str">
        <f t="shared" si="4"/>
        <v/>
      </c>
      <c r="B159" s="15"/>
      <c r="C159" s="14" t="str">
        <f t="shared" si="5"/>
        <v/>
      </c>
      <c r="D159" s="8"/>
      <c r="E159" s="8"/>
      <c r="F159" s="8"/>
      <c r="G159" s="8"/>
      <c r="H159" s="14" t="str">
        <f>IF(ISBLANK(F159),"",IF(G159&lt;&gt;"",UPPER(TRIM(G159)),IF(ISNUMBER(SEARCH(" ",TRIM(F159))),UPPER(LEFT(TRIM(RIGHT(SUBSTITUTE(TRIM(F159)," ",REPT(" ",100)),100)),Settings!$B$9)),UPPER(LEFT(TRIM(F159),Settings!$B$9)))))</f>
        <v/>
      </c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16" t="str">
        <f>IF(ISBLANK(D159),"",IF(COUNTIFS(Circulation!$B$2:$B$500,A159,Circulation!$H$2:$H$500,"Active")&gt;0,"On Loan","Available"))</f>
        <v/>
      </c>
      <c r="AB159" s="8"/>
      <c r="AC159" s="8"/>
      <c r="AD159" s="8"/>
      <c r="AE159" s="8"/>
      <c r="AF159" s="8"/>
      <c r="AG159" s="8"/>
      <c r="AH159" s="8"/>
    </row>
    <row r="160" spans="1:34" ht="15.75" x14ac:dyDescent="0.25">
      <c r="A160" s="14" t="str">
        <f t="shared" si="4"/>
        <v/>
      </c>
      <c r="B160" s="15"/>
      <c r="C160" s="14" t="str">
        <f t="shared" si="5"/>
        <v/>
      </c>
      <c r="D160" s="8"/>
      <c r="E160" s="8"/>
      <c r="F160" s="8"/>
      <c r="G160" s="8"/>
      <c r="H160" s="14" t="str">
        <f>IF(ISBLANK(F160),"",IF(G160&lt;&gt;"",UPPER(TRIM(G160)),IF(ISNUMBER(SEARCH(" ",TRIM(F160))),UPPER(LEFT(TRIM(RIGHT(SUBSTITUTE(TRIM(F160)," ",REPT(" ",100)),100)),Settings!$B$9)),UPPER(LEFT(TRIM(F160),Settings!$B$9)))))</f>
        <v/>
      </c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16" t="str">
        <f>IF(ISBLANK(D160),"",IF(COUNTIFS(Circulation!$B$2:$B$500,A160,Circulation!$H$2:$H$500,"Active")&gt;0,"On Loan","Available"))</f>
        <v/>
      </c>
      <c r="AB160" s="8"/>
      <c r="AC160" s="8"/>
      <c r="AD160" s="8"/>
      <c r="AE160" s="8"/>
      <c r="AF160" s="8"/>
      <c r="AG160" s="8"/>
      <c r="AH160" s="8"/>
    </row>
    <row r="161" spans="1:34" ht="15.75" x14ac:dyDescent="0.25">
      <c r="A161" s="14" t="str">
        <f t="shared" si="4"/>
        <v/>
      </c>
      <c r="B161" s="15"/>
      <c r="C161" s="14" t="str">
        <f t="shared" si="5"/>
        <v/>
      </c>
      <c r="D161" s="8"/>
      <c r="E161" s="8"/>
      <c r="F161" s="8"/>
      <c r="G161" s="8"/>
      <c r="H161" s="14" t="str">
        <f>IF(ISBLANK(F161),"",IF(G161&lt;&gt;"",UPPER(TRIM(G161)),IF(ISNUMBER(SEARCH(" ",TRIM(F161))),UPPER(LEFT(TRIM(RIGHT(SUBSTITUTE(TRIM(F161)," ",REPT(" ",100)),100)),Settings!$B$9)),UPPER(LEFT(TRIM(F161),Settings!$B$9)))))</f>
        <v/>
      </c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16" t="str">
        <f>IF(ISBLANK(D161),"",IF(COUNTIFS(Circulation!$B$2:$B$500,A161,Circulation!$H$2:$H$500,"Active")&gt;0,"On Loan","Available"))</f>
        <v/>
      </c>
      <c r="AB161" s="8"/>
      <c r="AC161" s="8"/>
      <c r="AD161" s="8"/>
      <c r="AE161" s="8"/>
      <c r="AF161" s="8"/>
      <c r="AG161" s="8"/>
      <c r="AH161" s="8"/>
    </row>
    <row r="162" spans="1:34" ht="15.75" x14ac:dyDescent="0.25">
      <c r="A162" s="14" t="str">
        <f t="shared" si="4"/>
        <v/>
      </c>
      <c r="B162" s="15"/>
      <c r="C162" s="14" t="str">
        <f t="shared" si="5"/>
        <v/>
      </c>
      <c r="D162" s="8"/>
      <c r="E162" s="8"/>
      <c r="F162" s="8"/>
      <c r="G162" s="8"/>
      <c r="H162" s="14" t="str">
        <f>IF(ISBLANK(F162),"",IF(G162&lt;&gt;"",UPPER(TRIM(G162)),IF(ISNUMBER(SEARCH(" ",TRIM(F162))),UPPER(LEFT(TRIM(RIGHT(SUBSTITUTE(TRIM(F162)," ",REPT(" ",100)),100)),Settings!$B$9)),UPPER(LEFT(TRIM(F162),Settings!$B$9)))))</f>
        <v/>
      </c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16" t="str">
        <f>IF(ISBLANK(D162),"",IF(COUNTIFS(Circulation!$B$2:$B$500,A162,Circulation!$H$2:$H$500,"Active")&gt;0,"On Loan","Available"))</f>
        <v/>
      </c>
      <c r="AB162" s="8"/>
      <c r="AC162" s="8"/>
      <c r="AD162" s="8"/>
      <c r="AE162" s="8"/>
      <c r="AF162" s="8"/>
      <c r="AG162" s="8"/>
      <c r="AH162" s="8"/>
    </row>
    <row r="163" spans="1:34" ht="15.75" x14ac:dyDescent="0.25">
      <c r="A163" s="14" t="str">
        <f t="shared" si="4"/>
        <v/>
      </c>
      <c r="B163" s="15"/>
      <c r="C163" s="14" t="str">
        <f t="shared" si="5"/>
        <v/>
      </c>
      <c r="D163" s="8"/>
      <c r="E163" s="8"/>
      <c r="F163" s="8"/>
      <c r="G163" s="8"/>
      <c r="H163" s="14" t="str">
        <f>IF(ISBLANK(F163),"",IF(G163&lt;&gt;"",UPPER(TRIM(G163)),IF(ISNUMBER(SEARCH(" ",TRIM(F163))),UPPER(LEFT(TRIM(RIGHT(SUBSTITUTE(TRIM(F163)," ",REPT(" ",100)),100)),Settings!$B$9)),UPPER(LEFT(TRIM(F163),Settings!$B$9)))))</f>
        <v/>
      </c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16" t="str">
        <f>IF(ISBLANK(D163),"",IF(COUNTIFS(Circulation!$B$2:$B$500,A163,Circulation!$H$2:$H$500,"Active")&gt;0,"On Loan","Available"))</f>
        <v/>
      </c>
      <c r="AB163" s="8"/>
      <c r="AC163" s="8"/>
      <c r="AD163" s="8"/>
      <c r="AE163" s="8"/>
      <c r="AF163" s="8"/>
      <c r="AG163" s="8"/>
      <c r="AH163" s="8"/>
    </row>
    <row r="164" spans="1:34" ht="15.75" x14ac:dyDescent="0.25">
      <c r="A164" s="14" t="str">
        <f t="shared" si="4"/>
        <v/>
      </c>
      <c r="B164" s="15"/>
      <c r="C164" s="14" t="str">
        <f t="shared" si="5"/>
        <v/>
      </c>
      <c r="D164" s="8"/>
      <c r="E164" s="8"/>
      <c r="F164" s="8"/>
      <c r="G164" s="8"/>
      <c r="H164" s="14" t="str">
        <f>IF(ISBLANK(F164),"",IF(G164&lt;&gt;"",UPPER(TRIM(G164)),IF(ISNUMBER(SEARCH(" ",TRIM(F164))),UPPER(LEFT(TRIM(RIGHT(SUBSTITUTE(TRIM(F164)," ",REPT(" ",100)),100)),Settings!$B$9)),UPPER(LEFT(TRIM(F164),Settings!$B$9)))))</f>
        <v/>
      </c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16" t="str">
        <f>IF(ISBLANK(D164),"",IF(COUNTIFS(Circulation!$B$2:$B$500,A164,Circulation!$H$2:$H$500,"Active")&gt;0,"On Loan","Available"))</f>
        <v/>
      </c>
      <c r="AB164" s="8"/>
      <c r="AC164" s="8"/>
      <c r="AD164" s="8"/>
      <c r="AE164" s="8"/>
      <c r="AF164" s="8"/>
      <c r="AG164" s="8"/>
      <c r="AH164" s="8"/>
    </row>
    <row r="165" spans="1:34" ht="15.75" x14ac:dyDescent="0.25">
      <c r="A165" s="14" t="str">
        <f t="shared" si="4"/>
        <v/>
      </c>
      <c r="B165" s="15"/>
      <c r="C165" s="14" t="str">
        <f t="shared" si="5"/>
        <v/>
      </c>
      <c r="D165" s="8"/>
      <c r="E165" s="8"/>
      <c r="F165" s="8"/>
      <c r="G165" s="8"/>
      <c r="H165" s="14" t="str">
        <f>IF(ISBLANK(F165),"",IF(G165&lt;&gt;"",UPPER(TRIM(G165)),IF(ISNUMBER(SEARCH(" ",TRIM(F165))),UPPER(LEFT(TRIM(RIGHT(SUBSTITUTE(TRIM(F165)," ",REPT(" ",100)),100)),Settings!$B$9)),UPPER(LEFT(TRIM(F165),Settings!$B$9)))))</f>
        <v/>
      </c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16" t="str">
        <f>IF(ISBLANK(D165),"",IF(COUNTIFS(Circulation!$B$2:$B$500,A165,Circulation!$H$2:$H$500,"Active")&gt;0,"On Loan","Available"))</f>
        <v/>
      </c>
      <c r="AB165" s="8"/>
      <c r="AC165" s="8"/>
      <c r="AD165" s="8"/>
      <c r="AE165" s="8"/>
      <c r="AF165" s="8"/>
      <c r="AG165" s="8"/>
      <c r="AH165" s="8"/>
    </row>
    <row r="166" spans="1:34" ht="15.75" x14ac:dyDescent="0.25">
      <c r="A166" s="14" t="str">
        <f t="shared" si="4"/>
        <v/>
      </c>
      <c r="B166" s="15"/>
      <c r="C166" s="14" t="str">
        <f t="shared" si="5"/>
        <v/>
      </c>
      <c r="D166" s="8"/>
      <c r="E166" s="8"/>
      <c r="F166" s="8"/>
      <c r="G166" s="8"/>
      <c r="H166" s="14" t="str">
        <f>IF(ISBLANK(F166),"",IF(G166&lt;&gt;"",UPPER(TRIM(G166)),IF(ISNUMBER(SEARCH(" ",TRIM(F166))),UPPER(LEFT(TRIM(RIGHT(SUBSTITUTE(TRIM(F166)," ",REPT(" ",100)),100)),Settings!$B$9)),UPPER(LEFT(TRIM(F166),Settings!$B$9)))))</f>
        <v/>
      </c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16" t="str">
        <f>IF(ISBLANK(D166),"",IF(COUNTIFS(Circulation!$B$2:$B$500,A166,Circulation!$H$2:$H$500,"Active")&gt;0,"On Loan","Available"))</f>
        <v/>
      </c>
      <c r="AB166" s="8"/>
      <c r="AC166" s="8"/>
      <c r="AD166" s="8"/>
      <c r="AE166" s="8"/>
      <c r="AF166" s="8"/>
      <c r="AG166" s="8"/>
      <c r="AH166" s="8"/>
    </row>
    <row r="167" spans="1:34" ht="15.75" x14ac:dyDescent="0.25">
      <c r="A167" s="14" t="str">
        <f t="shared" si="4"/>
        <v/>
      </c>
      <c r="B167" s="15"/>
      <c r="C167" s="14" t="str">
        <f t="shared" si="5"/>
        <v/>
      </c>
      <c r="D167" s="8"/>
      <c r="E167" s="8"/>
      <c r="F167" s="8"/>
      <c r="G167" s="8"/>
      <c r="H167" s="14" t="str">
        <f>IF(ISBLANK(F167),"",IF(G167&lt;&gt;"",UPPER(TRIM(G167)),IF(ISNUMBER(SEARCH(" ",TRIM(F167))),UPPER(LEFT(TRIM(RIGHT(SUBSTITUTE(TRIM(F167)," ",REPT(" ",100)),100)),Settings!$B$9)),UPPER(LEFT(TRIM(F167),Settings!$B$9)))))</f>
        <v/>
      </c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16" t="str">
        <f>IF(ISBLANK(D167),"",IF(COUNTIFS(Circulation!$B$2:$B$500,A167,Circulation!$H$2:$H$500,"Active")&gt;0,"On Loan","Available"))</f>
        <v/>
      </c>
      <c r="AB167" s="8"/>
      <c r="AC167" s="8"/>
      <c r="AD167" s="8"/>
      <c r="AE167" s="8"/>
      <c r="AF167" s="8"/>
      <c r="AG167" s="8"/>
      <c r="AH167" s="8"/>
    </row>
    <row r="168" spans="1:34" ht="15.75" x14ac:dyDescent="0.25">
      <c r="A168" s="14" t="str">
        <f t="shared" si="4"/>
        <v/>
      </c>
      <c r="B168" s="15"/>
      <c r="C168" s="14" t="str">
        <f t="shared" si="5"/>
        <v/>
      </c>
      <c r="D168" s="8"/>
      <c r="E168" s="8"/>
      <c r="F168" s="8"/>
      <c r="G168" s="8"/>
      <c r="H168" s="14" t="str">
        <f>IF(ISBLANK(F168),"",IF(G168&lt;&gt;"",UPPER(TRIM(G168)),IF(ISNUMBER(SEARCH(" ",TRIM(F168))),UPPER(LEFT(TRIM(RIGHT(SUBSTITUTE(TRIM(F168)," ",REPT(" ",100)),100)),Settings!$B$9)),UPPER(LEFT(TRIM(F168),Settings!$B$9)))))</f>
        <v/>
      </c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16" t="str">
        <f>IF(ISBLANK(D168),"",IF(COUNTIFS(Circulation!$B$2:$B$500,A168,Circulation!$H$2:$H$500,"Active")&gt;0,"On Loan","Available"))</f>
        <v/>
      </c>
      <c r="AB168" s="8"/>
      <c r="AC168" s="8"/>
      <c r="AD168" s="8"/>
      <c r="AE168" s="8"/>
      <c r="AF168" s="8"/>
      <c r="AG168" s="8"/>
      <c r="AH168" s="8"/>
    </row>
    <row r="169" spans="1:34" ht="15.75" x14ac:dyDescent="0.25">
      <c r="A169" s="14" t="str">
        <f t="shared" si="4"/>
        <v/>
      </c>
      <c r="B169" s="15"/>
      <c r="C169" s="14" t="str">
        <f t="shared" si="5"/>
        <v/>
      </c>
      <c r="D169" s="8"/>
      <c r="E169" s="8"/>
      <c r="F169" s="8"/>
      <c r="G169" s="8"/>
      <c r="H169" s="14" t="str">
        <f>IF(ISBLANK(F169),"",IF(G169&lt;&gt;"",UPPER(TRIM(G169)),IF(ISNUMBER(SEARCH(" ",TRIM(F169))),UPPER(LEFT(TRIM(RIGHT(SUBSTITUTE(TRIM(F169)," ",REPT(" ",100)),100)),Settings!$B$9)),UPPER(LEFT(TRIM(F169),Settings!$B$9)))))</f>
        <v/>
      </c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16" t="str">
        <f>IF(ISBLANK(D169),"",IF(COUNTIFS(Circulation!$B$2:$B$500,A169,Circulation!$H$2:$H$500,"Active")&gt;0,"On Loan","Available"))</f>
        <v/>
      </c>
      <c r="AB169" s="8"/>
      <c r="AC169" s="8"/>
      <c r="AD169" s="8"/>
      <c r="AE169" s="8"/>
      <c r="AF169" s="8"/>
      <c r="AG169" s="8"/>
      <c r="AH169" s="8"/>
    </row>
    <row r="170" spans="1:34" ht="15.75" x14ac:dyDescent="0.25">
      <c r="A170" s="14" t="str">
        <f t="shared" si="4"/>
        <v/>
      </c>
      <c r="B170" s="15"/>
      <c r="C170" s="14" t="str">
        <f t="shared" si="5"/>
        <v/>
      </c>
      <c r="D170" s="8"/>
      <c r="E170" s="8"/>
      <c r="F170" s="8"/>
      <c r="G170" s="8"/>
      <c r="H170" s="14" t="str">
        <f>IF(ISBLANK(F170),"",IF(G170&lt;&gt;"",UPPER(TRIM(G170)),IF(ISNUMBER(SEARCH(" ",TRIM(F170))),UPPER(LEFT(TRIM(RIGHT(SUBSTITUTE(TRIM(F170)," ",REPT(" ",100)),100)),Settings!$B$9)),UPPER(LEFT(TRIM(F170),Settings!$B$9)))))</f>
        <v/>
      </c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16" t="str">
        <f>IF(ISBLANK(D170),"",IF(COUNTIFS(Circulation!$B$2:$B$500,A170,Circulation!$H$2:$H$500,"Active")&gt;0,"On Loan","Available"))</f>
        <v/>
      </c>
      <c r="AB170" s="8"/>
      <c r="AC170" s="8"/>
      <c r="AD170" s="8"/>
      <c r="AE170" s="8"/>
      <c r="AF170" s="8"/>
      <c r="AG170" s="8"/>
      <c r="AH170" s="8"/>
    </row>
    <row r="171" spans="1:34" ht="15.75" x14ac:dyDescent="0.25">
      <c r="A171" s="14" t="str">
        <f t="shared" si="4"/>
        <v/>
      </c>
      <c r="B171" s="15"/>
      <c r="C171" s="14" t="str">
        <f t="shared" si="5"/>
        <v/>
      </c>
      <c r="D171" s="8"/>
      <c r="E171" s="8"/>
      <c r="F171" s="8"/>
      <c r="G171" s="8"/>
      <c r="H171" s="14" t="str">
        <f>IF(ISBLANK(F171),"",IF(G171&lt;&gt;"",UPPER(TRIM(G171)),IF(ISNUMBER(SEARCH(" ",TRIM(F171))),UPPER(LEFT(TRIM(RIGHT(SUBSTITUTE(TRIM(F171)," ",REPT(" ",100)),100)),Settings!$B$9)),UPPER(LEFT(TRIM(F171),Settings!$B$9)))))</f>
        <v/>
      </c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16" t="str">
        <f>IF(ISBLANK(D171),"",IF(COUNTIFS(Circulation!$B$2:$B$500,A171,Circulation!$H$2:$H$500,"Active")&gt;0,"On Loan","Available"))</f>
        <v/>
      </c>
      <c r="AB171" s="8"/>
      <c r="AC171" s="8"/>
      <c r="AD171" s="8"/>
      <c r="AE171" s="8"/>
      <c r="AF171" s="8"/>
      <c r="AG171" s="8"/>
      <c r="AH171" s="8"/>
    </row>
    <row r="172" spans="1:34" ht="15.75" x14ac:dyDescent="0.25">
      <c r="A172" s="14" t="str">
        <f t="shared" si="4"/>
        <v/>
      </c>
      <c r="B172" s="15"/>
      <c r="C172" s="14" t="str">
        <f t="shared" si="5"/>
        <v/>
      </c>
      <c r="D172" s="8"/>
      <c r="E172" s="8"/>
      <c r="F172" s="8"/>
      <c r="G172" s="8"/>
      <c r="H172" s="14" t="str">
        <f>IF(ISBLANK(F172),"",IF(G172&lt;&gt;"",UPPER(TRIM(G172)),IF(ISNUMBER(SEARCH(" ",TRIM(F172))),UPPER(LEFT(TRIM(RIGHT(SUBSTITUTE(TRIM(F172)," ",REPT(" ",100)),100)),Settings!$B$9)),UPPER(LEFT(TRIM(F172),Settings!$B$9)))))</f>
        <v/>
      </c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16" t="str">
        <f>IF(ISBLANK(D172),"",IF(COUNTIFS(Circulation!$B$2:$B$500,A172,Circulation!$H$2:$H$500,"Active")&gt;0,"On Loan","Available"))</f>
        <v/>
      </c>
      <c r="AB172" s="8"/>
      <c r="AC172" s="8"/>
      <c r="AD172" s="8"/>
      <c r="AE172" s="8"/>
      <c r="AF172" s="8"/>
      <c r="AG172" s="8"/>
      <c r="AH172" s="8"/>
    </row>
    <row r="173" spans="1:34" ht="15.75" x14ac:dyDescent="0.25">
      <c r="A173" s="14" t="str">
        <f t="shared" si="4"/>
        <v/>
      </c>
      <c r="B173" s="15"/>
      <c r="C173" s="14" t="str">
        <f t="shared" si="5"/>
        <v/>
      </c>
      <c r="D173" s="8"/>
      <c r="E173" s="8"/>
      <c r="F173" s="8"/>
      <c r="G173" s="8"/>
      <c r="H173" s="14" t="str">
        <f>IF(ISBLANK(F173),"",IF(G173&lt;&gt;"",UPPER(TRIM(G173)),IF(ISNUMBER(SEARCH(" ",TRIM(F173))),UPPER(LEFT(TRIM(RIGHT(SUBSTITUTE(TRIM(F173)," ",REPT(" ",100)),100)),Settings!$B$9)),UPPER(LEFT(TRIM(F173),Settings!$B$9)))))</f>
        <v/>
      </c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16" t="str">
        <f>IF(ISBLANK(D173),"",IF(COUNTIFS(Circulation!$B$2:$B$500,A173,Circulation!$H$2:$H$500,"Active")&gt;0,"On Loan","Available"))</f>
        <v/>
      </c>
      <c r="AB173" s="8"/>
      <c r="AC173" s="8"/>
      <c r="AD173" s="8"/>
      <c r="AE173" s="8"/>
      <c r="AF173" s="8"/>
      <c r="AG173" s="8"/>
      <c r="AH173" s="8"/>
    </row>
    <row r="174" spans="1:34" ht="15.75" x14ac:dyDescent="0.25">
      <c r="A174" s="14" t="str">
        <f t="shared" si="4"/>
        <v/>
      </c>
      <c r="B174" s="15"/>
      <c r="C174" s="14" t="str">
        <f t="shared" si="5"/>
        <v/>
      </c>
      <c r="D174" s="8"/>
      <c r="E174" s="8"/>
      <c r="F174" s="8"/>
      <c r="G174" s="8"/>
      <c r="H174" s="14" t="str">
        <f>IF(ISBLANK(F174),"",IF(G174&lt;&gt;"",UPPER(TRIM(G174)),IF(ISNUMBER(SEARCH(" ",TRIM(F174))),UPPER(LEFT(TRIM(RIGHT(SUBSTITUTE(TRIM(F174)," ",REPT(" ",100)),100)),Settings!$B$9)),UPPER(LEFT(TRIM(F174),Settings!$B$9)))))</f>
        <v/>
      </c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16" t="str">
        <f>IF(ISBLANK(D174),"",IF(COUNTIFS(Circulation!$B$2:$B$500,A174,Circulation!$H$2:$H$500,"Active")&gt;0,"On Loan","Available"))</f>
        <v/>
      </c>
      <c r="AB174" s="8"/>
      <c r="AC174" s="8"/>
      <c r="AD174" s="8"/>
      <c r="AE174" s="8"/>
      <c r="AF174" s="8"/>
      <c r="AG174" s="8"/>
      <c r="AH174" s="8"/>
    </row>
    <row r="175" spans="1:34" ht="15.75" x14ac:dyDescent="0.25">
      <c r="A175" s="14" t="str">
        <f t="shared" si="4"/>
        <v/>
      </c>
      <c r="B175" s="15"/>
      <c r="C175" s="14" t="str">
        <f t="shared" si="5"/>
        <v/>
      </c>
      <c r="D175" s="8"/>
      <c r="E175" s="8"/>
      <c r="F175" s="8"/>
      <c r="G175" s="8"/>
      <c r="H175" s="14" t="str">
        <f>IF(ISBLANK(F175),"",IF(G175&lt;&gt;"",UPPER(TRIM(G175)),IF(ISNUMBER(SEARCH(" ",TRIM(F175))),UPPER(LEFT(TRIM(RIGHT(SUBSTITUTE(TRIM(F175)," ",REPT(" ",100)),100)),Settings!$B$9)),UPPER(LEFT(TRIM(F175),Settings!$B$9)))))</f>
        <v/>
      </c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16" t="str">
        <f>IF(ISBLANK(D175),"",IF(COUNTIFS(Circulation!$B$2:$B$500,A175,Circulation!$H$2:$H$500,"Active")&gt;0,"On Loan","Available"))</f>
        <v/>
      </c>
      <c r="AB175" s="8"/>
      <c r="AC175" s="8"/>
      <c r="AD175" s="8"/>
      <c r="AE175" s="8"/>
      <c r="AF175" s="8"/>
      <c r="AG175" s="8"/>
      <c r="AH175" s="8"/>
    </row>
    <row r="176" spans="1:34" ht="15.75" x14ac:dyDescent="0.25">
      <c r="A176" s="14" t="str">
        <f t="shared" si="4"/>
        <v/>
      </c>
      <c r="B176" s="15"/>
      <c r="C176" s="14" t="str">
        <f t="shared" si="5"/>
        <v/>
      </c>
      <c r="D176" s="8"/>
      <c r="E176" s="8"/>
      <c r="F176" s="8"/>
      <c r="G176" s="8"/>
      <c r="H176" s="14" t="str">
        <f>IF(ISBLANK(F176),"",IF(G176&lt;&gt;"",UPPER(TRIM(G176)),IF(ISNUMBER(SEARCH(" ",TRIM(F176))),UPPER(LEFT(TRIM(RIGHT(SUBSTITUTE(TRIM(F176)," ",REPT(" ",100)),100)),Settings!$B$9)),UPPER(LEFT(TRIM(F176),Settings!$B$9)))))</f>
        <v/>
      </c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16" t="str">
        <f>IF(ISBLANK(D176),"",IF(COUNTIFS(Circulation!$B$2:$B$500,A176,Circulation!$H$2:$H$500,"Active")&gt;0,"On Loan","Available"))</f>
        <v/>
      </c>
      <c r="AB176" s="8"/>
      <c r="AC176" s="8"/>
      <c r="AD176" s="8"/>
      <c r="AE176" s="8"/>
      <c r="AF176" s="8"/>
      <c r="AG176" s="8"/>
      <c r="AH176" s="8"/>
    </row>
    <row r="177" spans="1:34" ht="15.75" x14ac:dyDescent="0.25">
      <c r="A177" s="14" t="str">
        <f t="shared" si="4"/>
        <v/>
      </c>
      <c r="B177" s="15"/>
      <c r="C177" s="14" t="str">
        <f t="shared" si="5"/>
        <v/>
      </c>
      <c r="D177" s="8"/>
      <c r="E177" s="8"/>
      <c r="F177" s="8"/>
      <c r="G177" s="8"/>
      <c r="H177" s="14" t="str">
        <f>IF(ISBLANK(F177),"",IF(G177&lt;&gt;"",UPPER(TRIM(G177)),IF(ISNUMBER(SEARCH(" ",TRIM(F177))),UPPER(LEFT(TRIM(RIGHT(SUBSTITUTE(TRIM(F177)," ",REPT(" ",100)),100)),Settings!$B$9)),UPPER(LEFT(TRIM(F177),Settings!$B$9)))))</f>
        <v/>
      </c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16" t="str">
        <f>IF(ISBLANK(D177),"",IF(COUNTIFS(Circulation!$B$2:$B$500,A177,Circulation!$H$2:$H$500,"Active")&gt;0,"On Loan","Available"))</f>
        <v/>
      </c>
      <c r="AB177" s="8"/>
      <c r="AC177" s="8"/>
      <c r="AD177" s="8"/>
      <c r="AE177" s="8"/>
      <c r="AF177" s="8"/>
      <c r="AG177" s="8"/>
      <c r="AH177" s="8"/>
    </row>
    <row r="178" spans="1:34" ht="15.75" x14ac:dyDescent="0.25">
      <c r="A178" s="14" t="str">
        <f t="shared" si="4"/>
        <v/>
      </c>
      <c r="B178" s="15"/>
      <c r="C178" s="14" t="str">
        <f t="shared" si="5"/>
        <v/>
      </c>
      <c r="D178" s="8"/>
      <c r="E178" s="8"/>
      <c r="F178" s="8"/>
      <c r="G178" s="8"/>
      <c r="H178" s="14" t="str">
        <f>IF(ISBLANK(F178),"",IF(G178&lt;&gt;"",UPPER(TRIM(G178)),IF(ISNUMBER(SEARCH(" ",TRIM(F178))),UPPER(LEFT(TRIM(RIGHT(SUBSTITUTE(TRIM(F178)," ",REPT(" ",100)),100)),Settings!$B$9)),UPPER(LEFT(TRIM(F178),Settings!$B$9)))))</f>
        <v/>
      </c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16" t="str">
        <f>IF(ISBLANK(D178),"",IF(COUNTIFS(Circulation!$B$2:$B$500,A178,Circulation!$H$2:$H$500,"Active")&gt;0,"On Loan","Available"))</f>
        <v/>
      </c>
      <c r="AB178" s="8"/>
      <c r="AC178" s="8"/>
      <c r="AD178" s="8"/>
      <c r="AE178" s="8"/>
      <c r="AF178" s="8"/>
      <c r="AG178" s="8"/>
      <c r="AH178" s="8"/>
    </row>
    <row r="179" spans="1:34" ht="15.75" x14ac:dyDescent="0.25">
      <c r="A179" s="14" t="str">
        <f t="shared" si="4"/>
        <v/>
      </c>
      <c r="B179" s="15"/>
      <c r="C179" s="14" t="str">
        <f t="shared" si="5"/>
        <v/>
      </c>
      <c r="D179" s="8"/>
      <c r="E179" s="8"/>
      <c r="F179" s="8"/>
      <c r="G179" s="8"/>
      <c r="H179" s="14" t="str">
        <f>IF(ISBLANK(F179),"",IF(G179&lt;&gt;"",UPPER(TRIM(G179)),IF(ISNUMBER(SEARCH(" ",TRIM(F179))),UPPER(LEFT(TRIM(RIGHT(SUBSTITUTE(TRIM(F179)," ",REPT(" ",100)),100)),Settings!$B$9)),UPPER(LEFT(TRIM(F179),Settings!$B$9)))))</f>
        <v/>
      </c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16" t="str">
        <f>IF(ISBLANK(D179),"",IF(COUNTIFS(Circulation!$B$2:$B$500,A179,Circulation!$H$2:$H$500,"Active")&gt;0,"On Loan","Available"))</f>
        <v/>
      </c>
      <c r="AB179" s="8"/>
      <c r="AC179" s="8"/>
      <c r="AD179" s="8"/>
      <c r="AE179" s="8"/>
      <c r="AF179" s="8"/>
      <c r="AG179" s="8"/>
      <c r="AH179" s="8"/>
    </row>
    <row r="180" spans="1:34" ht="15.75" x14ac:dyDescent="0.25">
      <c r="A180" s="14" t="str">
        <f t="shared" si="4"/>
        <v/>
      </c>
      <c r="B180" s="15"/>
      <c r="C180" s="14" t="str">
        <f t="shared" si="5"/>
        <v/>
      </c>
      <c r="D180" s="8"/>
      <c r="E180" s="8"/>
      <c r="F180" s="8"/>
      <c r="G180" s="8"/>
      <c r="H180" s="14" t="str">
        <f>IF(ISBLANK(F180),"",IF(G180&lt;&gt;"",UPPER(TRIM(G180)),IF(ISNUMBER(SEARCH(" ",TRIM(F180))),UPPER(LEFT(TRIM(RIGHT(SUBSTITUTE(TRIM(F180)," ",REPT(" ",100)),100)),Settings!$B$9)),UPPER(LEFT(TRIM(F180),Settings!$B$9)))))</f>
        <v/>
      </c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16" t="str">
        <f>IF(ISBLANK(D180),"",IF(COUNTIFS(Circulation!$B$2:$B$500,A180,Circulation!$H$2:$H$500,"Active")&gt;0,"On Loan","Available"))</f>
        <v/>
      </c>
      <c r="AB180" s="8"/>
      <c r="AC180" s="8"/>
      <c r="AD180" s="8"/>
      <c r="AE180" s="8"/>
      <c r="AF180" s="8"/>
      <c r="AG180" s="8"/>
      <c r="AH180" s="8"/>
    </row>
    <row r="181" spans="1:34" ht="15.75" x14ac:dyDescent="0.25">
      <c r="A181" s="14" t="str">
        <f t="shared" si="4"/>
        <v/>
      </c>
      <c r="B181" s="15"/>
      <c r="C181" s="14" t="str">
        <f t="shared" si="5"/>
        <v/>
      </c>
      <c r="D181" s="8"/>
      <c r="E181" s="8"/>
      <c r="F181" s="8"/>
      <c r="G181" s="8"/>
      <c r="H181" s="14" t="str">
        <f>IF(ISBLANK(F181),"",IF(G181&lt;&gt;"",UPPER(TRIM(G181)),IF(ISNUMBER(SEARCH(" ",TRIM(F181))),UPPER(LEFT(TRIM(RIGHT(SUBSTITUTE(TRIM(F181)," ",REPT(" ",100)),100)),Settings!$B$9)),UPPER(LEFT(TRIM(F181),Settings!$B$9)))))</f>
        <v/>
      </c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16" t="str">
        <f>IF(ISBLANK(D181),"",IF(COUNTIFS(Circulation!$B$2:$B$500,A181,Circulation!$H$2:$H$500,"Active")&gt;0,"On Loan","Available"))</f>
        <v/>
      </c>
      <c r="AB181" s="8"/>
      <c r="AC181" s="8"/>
      <c r="AD181" s="8"/>
      <c r="AE181" s="8"/>
      <c r="AF181" s="8"/>
      <c r="AG181" s="8"/>
      <c r="AH181" s="8"/>
    </row>
    <row r="182" spans="1:34" ht="15.75" x14ac:dyDescent="0.25">
      <c r="A182" s="14" t="str">
        <f t="shared" si="4"/>
        <v/>
      </c>
      <c r="B182" s="15"/>
      <c r="C182" s="14" t="str">
        <f t="shared" si="5"/>
        <v/>
      </c>
      <c r="D182" s="8"/>
      <c r="E182" s="8"/>
      <c r="F182" s="8"/>
      <c r="G182" s="8"/>
      <c r="H182" s="14" t="str">
        <f>IF(ISBLANK(F182),"",IF(G182&lt;&gt;"",UPPER(TRIM(G182)),IF(ISNUMBER(SEARCH(" ",TRIM(F182))),UPPER(LEFT(TRIM(RIGHT(SUBSTITUTE(TRIM(F182)," ",REPT(" ",100)),100)),Settings!$B$9)),UPPER(LEFT(TRIM(F182),Settings!$B$9)))))</f>
        <v/>
      </c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16" t="str">
        <f>IF(ISBLANK(D182),"",IF(COUNTIFS(Circulation!$B$2:$B$500,A182,Circulation!$H$2:$H$500,"Active")&gt;0,"On Loan","Available"))</f>
        <v/>
      </c>
      <c r="AB182" s="8"/>
      <c r="AC182" s="8"/>
      <c r="AD182" s="8"/>
      <c r="AE182" s="8"/>
      <c r="AF182" s="8"/>
      <c r="AG182" s="8"/>
      <c r="AH182" s="8"/>
    </row>
    <row r="183" spans="1:34" ht="15.75" x14ac:dyDescent="0.25">
      <c r="A183" s="14" t="str">
        <f t="shared" si="4"/>
        <v/>
      </c>
      <c r="B183" s="15"/>
      <c r="C183" s="14" t="str">
        <f t="shared" si="5"/>
        <v/>
      </c>
      <c r="D183" s="8"/>
      <c r="E183" s="8"/>
      <c r="F183" s="8"/>
      <c r="G183" s="8"/>
      <c r="H183" s="14" t="str">
        <f>IF(ISBLANK(F183),"",IF(G183&lt;&gt;"",UPPER(TRIM(G183)),IF(ISNUMBER(SEARCH(" ",TRIM(F183))),UPPER(LEFT(TRIM(RIGHT(SUBSTITUTE(TRIM(F183)," ",REPT(" ",100)),100)),Settings!$B$9)),UPPER(LEFT(TRIM(F183),Settings!$B$9)))))</f>
        <v/>
      </c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16" t="str">
        <f>IF(ISBLANK(D183),"",IF(COUNTIFS(Circulation!$B$2:$B$500,A183,Circulation!$H$2:$H$500,"Active")&gt;0,"On Loan","Available"))</f>
        <v/>
      </c>
      <c r="AB183" s="8"/>
      <c r="AC183" s="8"/>
      <c r="AD183" s="8"/>
      <c r="AE183" s="8"/>
      <c r="AF183" s="8"/>
      <c r="AG183" s="8"/>
      <c r="AH183" s="8"/>
    </row>
    <row r="184" spans="1:34" ht="15.75" x14ac:dyDescent="0.25">
      <c r="A184" s="14" t="str">
        <f t="shared" si="4"/>
        <v/>
      </c>
      <c r="B184" s="15"/>
      <c r="C184" s="14" t="str">
        <f t="shared" si="5"/>
        <v/>
      </c>
      <c r="D184" s="8"/>
      <c r="E184" s="8"/>
      <c r="F184" s="8"/>
      <c r="G184" s="8"/>
      <c r="H184" s="14" t="str">
        <f>IF(ISBLANK(F184),"",IF(G184&lt;&gt;"",UPPER(TRIM(G184)),IF(ISNUMBER(SEARCH(" ",TRIM(F184))),UPPER(LEFT(TRIM(RIGHT(SUBSTITUTE(TRIM(F184)," ",REPT(" ",100)),100)),Settings!$B$9)),UPPER(LEFT(TRIM(F184),Settings!$B$9)))))</f>
        <v/>
      </c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16" t="str">
        <f>IF(ISBLANK(D184),"",IF(COUNTIFS(Circulation!$B$2:$B$500,A184,Circulation!$H$2:$H$500,"Active")&gt;0,"On Loan","Available"))</f>
        <v/>
      </c>
      <c r="AB184" s="8"/>
      <c r="AC184" s="8"/>
      <c r="AD184" s="8"/>
      <c r="AE184" s="8"/>
      <c r="AF184" s="8"/>
      <c r="AG184" s="8"/>
      <c r="AH184" s="8"/>
    </row>
    <row r="185" spans="1:34" ht="15.75" x14ac:dyDescent="0.25">
      <c r="A185" s="14" t="str">
        <f t="shared" si="4"/>
        <v/>
      </c>
      <c r="B185" s="15"/>
      <c r="C185" s="14" t="str">
        <f t="shared" si="5"/>
        <v/>
      </c>
      <c r="D185" s="8"/>
      <c r="E185" s="8"/>
      <c r="F185" s="8"/>
      <c r="G185" s="8"/>
      <c r="H185" s="14" t="str">
        <f>IF(ISBLANK(F185),"",IF(G185&lt;&gt;"",UPPER(TRIM(G185)),IF(ISNUMBER(SEARCH(" ",TRIM(F185))),UPPER(LEFT(TRIM(RIGHT(SUBSTITUTE(TRIM(F185)," ",REPT(" ",100)),100)),Settings!$B$9)),UPPER(LEFT(TRIM(F185),Settings!$B$9)))))</f>
        <v/>
      </c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16" t="str">
        <f>IF(ISBLANK(D185),"",IF(COUNTIFS(Circulation!$B$2:$B$500,A185,Circulation!$H$2:$H$500,"Active")&gt;0,"On Loan","Available"))</f>
        <v/>
      </c>
      <c r="AB185" s="8"/>
      <c r="AC185" s="8"/>
      <c r="AD185" s="8"/>
      <c r="AE185" s="8"/>
      <c r="AF185" s="8"/>
      <c r="AG185" s="8"/>
      <c r="AH185" s="8"/>
    </row>
    <row r="186" spans="1:34" ht="15.75" x14ac:dyDescent="0.25">
      <c r="A186" s="14" t="str">
        <f t="shared" si="4"/>
        <v/>
      </c>
      <c r="B186" s="15"/>
      <c r="C186" s="14" t="str">
        <f t="shared" si="5"/>
        <v/>
      </c>
      <c r="D186" s="8"/>
      <c r="E186" s="8"/>
      <c r="F186" s="8"/>
      <c r="G186" s="8"/>
      <c r="H186" s="14" t="str">
        <f>IF(ISBLANK(F186),"",IF(G186&lt;&gt;"",UPPER(TRIM(G186)),IF(ISNUMBER(SEARCH(" ",TRIM(F186))),UPPER(LEFT(TRIM(RIGHT(SUBSTITUTE(TRIM(F186)," ",REPT(" ",100)),100)),Settings!$B$9)),UPPER(LEFT(TRIM(F186),Settings!$B$9)))))</f>
        <v/>
      </c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16" t="str">
        <f>IF(ISBLANK(D186),"",IF(COUNTIFS(Circulation!$B$2:$B$500,A186,Circulation!$H$2:$H$500,"Active")&gt;0,"On Loan","Available"))</f>
        <v/>
      </c>
      <c r="AB186" s="8"/>
      <c r="AC186" s="8"/>
      <c r="AD186" s="8"/>
      <c r="AE186" s="8"/>
      <c r="AF186" s="8"/>
      <c r="AG186" s="8"/>
      <c r="AH186" s="8"/>
    </row>
    <row r="187" spans="1:34" ht="15.75" x14ac:dyDescent="0.25">
      <c r="A187" s="14" t="str">
        <f t="shared" si="4"/>
        <v/>
      </c>
      <c r="B187" s="15"/>
      <c r="C187" s="14" t="str">
        <f t="shared" si="5"/>
        <v/>
      </c>
      <c r="D187" s="8"/>
      <c r="E187" s="8"/>
      <c r="F187" s="8"/>
      <c r="G187" s="8"/>
      <c r="H187" s="14" t="str">
        <f>IF(ISBLANK(F187),"",IF(G187&lt;&gt;"",UPPER(TRIM(G187)),IF(ISNUMBER(SEARCH(" ",TRIM(F187))),UPPER(LEFT(TRIM(RIGHT(SUBSTITUTE(TRIM(F187)," ",REPT(" ",100)),100)),Settings!$B$9)),UPPER(LEFT(TRIM(F187),Settings!$B$9)))))</f>
        <v/>
      </c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16" t="str">
        <f>IF(ISBLANK(D187),"",IF(COUNTIFS(Circulation!$B$2:$B$500,A187,Circulation!$H$2:$H$500,"Active")&gt;0,"On Loan","Available"))</f>
        <v/>
      </c>
      <c r="AB187" s="8"/>
      <c r="AC187" s="8"/>
      <c r="AD187" s="8"/>
      <c r="AE187" s="8"/>
      <c r="AF187" s="8"/>
      <c r="AG187" s="8"/>
      <c r="AH187" s="8"/>
    </row>
    <row r="188" spans="1:34" ht="15.75" x14ac:dyDescent="0.25">
      <c r="A188" s="14" t="str">
        <f t="shared" si="4"/>
        <v/>
      </c>
      <c r="B188" s="15"/>
      <c r="C188" s="14" t="str">
        <f t="shared" si="5"/>
        <v/>
      </c>
      <c r="D188" s="8"/>
      <c r="E188" s="8"/>
      <c r="F188" s="8"/>
      <c r="G188" s="8"/>
      <c r="H188" s="14" t="str">
        <f>IF(ISBLANK(F188),"",IF(G188&lt;&gt;"",UPPER(TRIM(G188)),IF(ISNUMBER(SEARCH(" ",TRIM(F188))),UPPER(LEFT(TRIM(RIGHT(SUBSTITUTE(TRIM(F188)," ",REPT(" ",100)),100)),Settings!$B$9)),UPPER(LEFT(TRIM(F188),Settings!$B$9)))))</f>
        <v/>
      </c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16" t="str">
        <f>IF(ISBLANK(D188),"",IF(COUNTIFS(Circulation!$B$2:$B$500,A188,Circulation!$H$2:$H$500,"Active")&gt;0,"On Loan","Available"))</f>
        <v/>
      </c>
      <c r="AB188" s="8"/>
      <c r="AC188" s="8"/>
      <c r="AD188" s="8"/>
      <c r="AE188" s="8"/>
      <c r="AF188" s="8"/>
      <c r="AG188" s="8"/>
      <c r="AH188" s="8"/>
    </row>
    <row r="189" spans="1:34" ht="15.75" x14ac:dyDescent="0.25">
      <c r="A189" s="14" t="str">
        <f t="shared" si="4"/>
        <v/>
      </c>
      <c r="B189" s="15"/>
      <c r="C189" s="14" t="str">
        <f t="shared" si="5"/>
        <v/>
      </c>
      <c r="D189" s="8"/>
      <c r="E189" s="8"/>
      <c r="F189" s="8"/>
      <c r="G189" s="8"/>
      <c r="H189" s="14" t="str">
        <f>IF(ISBLANK(F189),"",IF(G189&lt;&gt;"",UPPER(TRIM(G189)),IF(ISNUMBER(SEARCH(" ",TRIM(F189))),UPPER(LEFT(TRIM(RIGHT(SUBSTITUTE(TRIM(F189)," ",REPT(" ",100)),100)),Settings!$B$9)),UPPER(LEFT(TRIM(F189),Settings!$B$9)))))</f>
        <v/>
      </c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16" t="str">
        <f>IF(ISBLANK(D189),"",IF(COUNTIFS(Circulation!$B$2:$B$500,A189,Circulation!$H$2:$H$500,"Active")&gt;0,"On Loan","Available"))</f>
        <v/>
      </c>
      <c r="AB189" s="8"/>
      <c r="AC189" s="8"/>
      <c r="AD189" s="8"/>
      <c r="AE189" s="8"/>
      <c r="AF189" s="8"/>
      <c r="AG189" s="8"/>
      <c r="AH189" s="8"/>
    </row>
    <row r="190" spans="1:34" ht="15.75" x14ac:dyDescent="0.25">
      <c r="A190" s="14" t="str">
        <f t="shared" si="4"/>
        <v/>
      </c>
      <c r="B190" s="15"/>
      <c r="C190" s="14" t="str">
        <f t="shared" si="5"/>
        <v/>
      </c>
      <c r="D190" s="8"/>
      <c r="E190" s="8"/>
      <c r="F190" s="8"/>
      <c r="G190" s="8"/>
      <c r="H190" s="14" t="str">
        <f>IF(ISBLANK(F190),"",IF(G190&lt;&gt;"",UPPER(TRIM(G190)),IF(ISNUMBER(SEARCH(" ",TRIM(F190))),UPPER(LEFT(TRIM(RIGHT(SUBSTITUTE(TRIM(F190)," ",REPT(" ",100)),100)),Settings!$B$9)),UPPER(LEFT(TRIM(F190),Settings!$B$9)))))</f>
        <v/>
      </c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16" t="str">
        <f>IF(ISBLANK(D190),"",IF(COUNTIFS(Circulation!$B$2:$B$500,A190,Circulation!$H$2:$H$500,"Active")&gt;0,"On Loan","Available"))</f>
        <v/>
      </c>
      <c r="AB190" s="8"/>
      <c r="AC190" s="8"/>
      <c r="AD190" s="8"/>
      <c r="AE190" s="8"/>
      <c r="AF190" s="8"/>
      <c r="AG190" s="8"/>
      <c r="AH190" s="8"/>
    </row>
    <row r="191" spans="1:34" ht="15.75" x14ac:dyDescent="0.25">
      <c r="A191" s="14" t="str">
        <f t="shared" si="4"/>
        <v/>
      </c>
      <c r="B191" s="15"/>
      <c r="C191" s="14" t="str">
        <f t="shared" si="5"/>
        <v/>
      </c>
      <c r="D191" s="8"/>
      <c r="E191" s="8"/>
      <c r="F191" s="8"/>
      <c r="G191" s="8"/>
      <c r="H191" s="14" t="str">
        <f>IF(ISBLANK(F191),"",IF(G191&lt;&gt;"",UPPER(TRIM(G191)),IF(ISNUMBER(SEARCH(" ",TRIM(F191))),UPPER(LEFT(TRIM(RIGHT(SUBSTITUTE(TRIM(F191)," ",REPT(" ",100)),100)),Settings!$B$9)),UPPER(LEFT(TRIM(F191),Settings!$B$9)))))</f>
        <v/>
      </c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16" t="str">
        <f>IF(ISBLANK(D191),"",IF(COUNTIFS(Circulation!$B$2:$B$500,A191,Circulation!$H$2:$H$500,"Active")&gt;0,"On Loan","Available"))</f>
        <v/>
      </c>
      <c r="AB191" s="8"/>
      <c r="AC191" s="8"/>
      <c r="AD191" s="8"/>
      <c r="AE191" s="8"/>
      <c r="AF191" s="8"/>
      <c r="AG191" s="8"/>
      <c r="AH191" s="8"/>
    </row>
    <row r="192" spans="1:34" ht="15.75" x14ac:dyDescent="0.25">
      <c r="A192" s="14" t="str">
        <f t="shared" si="4"/>
        <v/>
      </c>
      <c r="B192" s="15"/>
      <c r="C192" s="14" t="str">
        <f t="shared" si="5"/>
        <v/>
      </c>
      <c r="D192" s="8"/>
      <c r="E192" s="8"/>
      <c r="F192" s="8"/>
      <c r="G192" s="8"/>
      <c r="H192" s="14" t="str">
        <f>IF(ISBLANK(F192),"",IF(G192&lt;&gt;"",UPPER(TRIM(G192)),IF(ISNUMBER(SEARCH(" ",TRIM(F192))),UPPER(LEFT(TRIM(RIGHT(SUBSTITUTE(TRIM(F192)," ",REPT(" ",100)),100)),Settings!$B$9)),UPPER(LEFT(TRIM(F192),Settings!$B$9)))))</f>
        <v/>
      </c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16" t="str">
        <f>IF(ISBLANK(D192),"",IF(COUNTIFS(Circulation!$B$2:$B$500,A192,Circulation!$H$2:$H$500,"Active")&gt;0,"On Loan","Available"))</f>
        <v/>
      </c>
      <c r="AB192" s="8"/>
      <c r="AC192" s="8"/>
      <c r="AD192" s="8"/>
      <c r="AE192" s="8"/>
      <c r="AF192" s="8"/>
      <c r="AG192" s="8"/>
      <c r="AH192" s="8"/>
    </row>
    <row r="193" spans="1:34" ht="15.75" x14ac:dyDescent="0.25">
      <c r="A193" s="14" t="str">
        <f t="shared" si="4"/>
        <v/>
      </c>
      <c r="B193" s="15"/>
      <c r="C193" s="14" t="str">
        <f t="shared" si="5"/>
        <v/>
      </c>
      <c r="D193" s="8"/>
      <c r="E193" s="8"/>
      <c r="F193" s="8"/>
      <c r="G193" s="8"/>
      <c r="H193" s="14" t="str">
        <f>IF(ISBLANK(F193),"",IF(G193&lt;&gt;"",UPPER(TRIM(G193)),IF(ISNUMBER(SEARCH(" ",TRIM(F193))),UPPER(LEFT(TRIM(RIGHT(SUBSTITUTE(TRIM(F193)," ",REPT(" ",100)),100)),Settings!$B$9)),UPPER(LEFT(TRIM(F193),Settings!$B$9)))))</f>
        <v/>
      </c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16" t="str">
        <f>IF(ISBLANK(D193),"",IF(COUNTIFS(Circulation!$B$2:$B$500,A193,Circulation!$H$2:$H$500,"Active")&gt;0,"On Loan","Available"))</f>
        <v/>
      </c>
      <c r="AB193" s="8"/>
      <c r="AC193" s="8"/>
      <c r="AD193" s="8"/>
      <c r="AE193" s="8"/>
      <c r="AF193" s="8"/>
      <c r="AG193" s="8"/>
      <c r="AH193" s="8"/>
    </row>
    <row r="194" spans="1:34" ht="15.75" x14ac:dyDescent="0.25">
      <c r="A194" s="14" t="str">
        <f t="shared" ref="A194:A257" si="6">IF(ISBLANK(D194),"",ROW()-1)</f>
        <v/>
      </c>
      <c r="B194" s="15"/>
      <c r="C194" s="14" t="str">
        <f t="shared" ref="C194:C257" si="7">IF(OR(ISBLANK(D194),ISBLANK(K194)),"",IFERROR(VLOOKUP(K194,CatItemTypeLookup,2,FALSE),"?")&amp;"-"&amp;IF(L194="","?",IFERROR(VLOOKUP(L194,SubjectLookup,2,FALSE),"="))&amp;"-"&amp;IF(M194="","?",IFERROR(VLOOKUP(M194,GenreLookup,2,FALSE),"="))&amp;"-"&amp;IF(H194="","NOC",H194)&amp;"-"&amp;TEXT(A194,"000")&amp;IF(ISBLANK(O194),"","-"&amp;SUBSTITUTE(O194," ","")))</f>
        <v/>
      </c>
      <c r="D194" s="8"/>
      <c r="E194" s="8"/>
      <c r="F194" s="8"/>
      <c r="G194" s="8"/>
      <c r="H194" s="14" t="str">
        <f>IF(ISBLANK(F194),"",IF(G194&lt;&gt;"",UPPER(TRIM(G194)),IF(ISNUMBER(SEARCH(" ",TRIM(F194))),UPPER(LEFT(TRIM(RIGHT(SUBSTITUTE(TRIM(F194)," ",REPT(" ",100)),100)),Settings!$B$9)),UPPER(LEFT(TRIM(F194),Settings!$B$9)))))</f>
        <v/>
      </c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16" t="str">
        <f>IF(ISBLANK(D194),"",IF(COUNTIFS(Circulation!$B$2:$B$500,A194,Circulation!$H$2:$H$500,"Active")&gt;0,"On Loan","Available"))</f>
        <v/>
      </c>
      <c r="AB194" s="8"/>
      <c r="AC194" s="8"/>
      <c r="AD194" s="8"/>
      <c r="AE194" s="8"/>
      <c r="AF194" s="8"/>
      <c r="AG194" s="8"/>
      <c r="AH194" s="8"/>
    </row>
    <row r="195" spans="1:34" ht="15.75" x14ac:dyDescent="0.25">
      <c r="A195" s="14" t="str">
        <f t="shared" si="6"/>
        <v/>
      </c>
      <c r="B195" s="15"/>
      <c r="C195" s="14" t="str">
        <f t="shared" si="7"/>
        <v/>
      </c>
      <c r="D195" s="8"/>
      <c r="E195" s="8"/>
      <c r="F195" s="8"/>
      <c r="G195" s="8"/>
      <c r="H195" s="14" t="str">
        <f>IF(ISBLANK(F195),"",IF(G195&lt;&gt;"",UPPER(TRIM(G195)),IF(ISNUMBER(SEARCH(" ",TRIM(F195))),UPPER(LEFT(TRIM(RIGHT(SUBSTITUTE(TRIM(F195)," ",REPT(" ",100)),100)),Settings!$B$9)),UPPER(LEFT(TRIM(F195),Settings!$B$9)))))</f>
        <v/>
      </c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16" t="str">
        <f>IF(ISBLANK(D195),"",IF(COUNTIFS(Circulation!$B$2:$B$500,A195,Circulation!$H$2:$H$500,"Active")&gt;0,"On Loan","Available"))</f>
        <v/>
      </c>
      <c r="AB195" s="8"/>
      <c r="AC195" s="8"/>
      <c r="AD195" s="8"/>
      <c r="AE195" s="8"/>
      <c r="AF195" s="8"/>
      <c r="AG195" s="8"/>
      <c r="AH195" s="8"/>
    </row>
    <row r="196" spans="1:34" ht="15.75" x14ac:dyDescent="0.25">
      <c r="A196" s="14" t="str">
        <f t="shared" si="6"/>
        <v/>
      </c>
      <c r="B196" s="15"/>
      <c r="C196" s="14" t="str">
        <f t="shared" si="7"/>
        <v/>
      </c>
      <c r="D196" s="8"/>
      <c r="E196" s="8"/>
      <c r="F196" s="8"/>
      <c r="G196" s="8"/>
      <c r="H196" s="14" t="str">
        <f>IF(ISBLANK(F196),"",IF(G196&lt;&gt;"",UPPER(TRIM(G196)),IF(ISNUMBER(SEARCH(" ",TRIM(F196))),UPPER(LEFT(TRIM(RIGHT(SUBSTITUTE(TRIM(F196)," ",REPT(" ",100)),100)),Settings!$B$9)),UPPER(LEFT(TRIM(F196),Settings!$B$9)))))</f>
        <v/>
      </c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16" t="str">
        <f>IF(ISBLANK(D196),"",IF(COUNTIFS(Circulation!$B$2:$B$500,A196,Circulation!$H$2:$H$500,"Active")&gt;0,"On Loan","Available"))</f>
        <v/>
      </c>
      <c r="AB196" s="8"/>
      <c r="AC196" s="8"/>
      <c r="AD196" s="8"/>
      <c r="AE196" s="8"/>
      <c r="AF196" s="8"/>
      <c r="AG196" s="8"/>
      <c r="AH196" s="8"/>
    </row>
    <row r="197" spans="1:34" ht="15.75" x14ac:dyDescent="0.25">
      <c r="A197" s="14" t="str">
        <f t="shared" si="6"/>
        <v/>
      </c>
      <c r="B197" s="15"/>
      <c r="C197" s="14" t="str">
        <f t="shared" si="7"/>
        <v/>
      </c>
      <c r="D197" s="8"/>
      <c r="E197" s="8"/>
      <c r="F197" s="8"/>
      <c r="G197" s="8"/>
      <c r="H197" s="14" t="str">
        <f>IF(ISBLANK(F197),"",IF(G197&lt;&gt;"",UPPER(TRIM(G197)),IF(ISNUMBER(SEARCH(" ",TRIM(F197))),UPPER(LEFT(TRIM(RIGHT(SUBSTITUTE(TRIM(F197)," ",REPT(" ",100)),100)),Settings!$B$9)),UPPER(LEFT(TRIM(F197),Settings!$B$9)))))</f>
        <v/>
      </c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16" t="str">
        <f>IF(ISBLANK(D197),"",IF(COUNTIFS(Circulation!$B$2:$B$500,A197,Circulation!$H$2:$H$500,"Active")&gt;0,"On Loan","Available"))</f>
        <v/>
      </c>
      <c r="AB197" s="8"/>
      <c r="AC197" s="8"/>
      <c r="AD197" s="8"/>
      <c r="AE197" s="8"/>
      <c r="AF197" s="8"/>
      <c r="AG197" s="8"/>
      <c r="AH197" s="8"/>
    </row>
    <row r="198" spans="1:34" ht="15.75" x14ac:dyDescent="0.25">
      <c r="A198" s="14" t="str">
        <f t="shared" si="6"/>
        <v/>
      </c>
      <c r="B198" s="15"/>
      <c r="C198" s="14" t="str">
        <f t="shared" si="7"/>
        <v/>
      </c>
      <c r="D198" s="8"/>
      <c r="E198" s="8"/>
      <c r="F198" s="8"/>
      <c r="G198" s="8"/>
      <c r="H198" s="14" t="str">
        <f>IF(ISBLANK(F198),"",IF(G198&lt;&gt;"",UPPER(TRIM(G198)),IF(ISNUMBER(SEARCH(" ",TRIM(F198))),UPPER(LEFT(TRIM(RIGHT(SUBSTITUTE(TRIM(F198)," ",REPT(" ",100)),100)),Settings!$B$9)),UPPER(LEFT(TRIM(F198),Settings!$B$9)))))</f>
        <v/>
      </c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16" t="str">
        <f>IF(ISBLANK(D198),"",IF(COUNTIFS(Circulation!$B$2:$B$500,A198,Circulation!$H$2:$H$500,"Active")&gt;0,"On Loan","Available"))</f>
        <v/>
      </c>
      <c r="AB198" s="8"/>
      <c r="AC198" s="8"/>
      <c r="AD198" s="8"/>
      <c r="AE198" s="8"/>
      <c r="AF198" s="8"/>
      <c r="AG198" s="8"/>
      <c r="AH198" s="8"/>
    </row>
    <row r="199" spans="1:34" ht="15.75" x14ac:dyDescent="0.25">
      <c r="A199" s="14" t="str">
        <f t="shared" si="6"/>
        <v/>
      </c>
      <c r="B199" s="15"/>
      <c r="C199" s="14" t="str">
        <f t="shared" si="7"/>
        <v/>
      </c>
      <c r="D199" s="8"/>
      <c r="E199" s="8"/>
      <c r="F199" s="8"/>
      <c r="G199" s="8"/>
      <c r="H199" s="14" t="str">
        <f>IF(ISBLANK(F199),"",IF(G199&lt;&gt;"",UPPER(TRIM(G199)),IF(ISNUMBER(SEARCH(" ",TRIM(F199))),UPPER(LEFT(TRIM(RIGHT(SUBSTITUTE(TRIM(F199)," ",REPT(" ",100)),100)),Settings!$B$9)),UPPER(LEFT(TRIM(F199),Settings!$B$9)))))</f>
        <v/>
      </c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16" t="str">
        <f>IF(ISBLANK(D199),"",IF(COUNTIFS(Circulation!$B$2:$B$500,A199,Circulation!$H$2:$H$500,"Active")&gt;0,"On Loan","Available"))</f>
        <v/>
      </c>
      <c r="AB199" s="8"/>
      <c r="AC199" s="8"/>
      <c r="AD199" s="8"/>
      <c r="AE199" s="8"/>
      <c r="AF199" s="8"/>
      <c r="AG199" s="8"/>
      <c r="AH199" s="8"/>
    </row>
    <row r="200" spans="1:34" ht="15.75" x14ac:dyDescent="0.25">
      <c r="A200" s="14" t="str">
        <f t="shared" si="6"/>
        <v/>
      </c>
      <c r="B200" s="15"/>
      <c r="C200" s="14" t="str">
        <f t="shared" si="7"/>
        <v/>
      </c>
      <c r="D200" s="8"/>
      <c r="E200" s="8"/>
      <c r="F200" s="8"/>
      <c r="G200" s="8"/>
      <c r="H200" s="14" t="str">
        <f>IF(ISBLANK(F200),"",IF(G200&lt;&gt;"",UPPER(TRIM(G200)),IF(ISNUMBER(SEARCH(" ",TRIM(F200))),UPPER(LEFT(TRIM(RIGHT(SUBSTITUTE(TRIM(F200)," ",REPT(" ",100)),100)),Settings!$B$9)),UPPER(LEFT(TRIM(F200),Settings!$B$9)))))</f>
        <v/>
      </c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16" t="str">
        <f>IF(ISBLANK(D200),"",IF(COUNTIFS(Circulation!$B$2:$B$500,A200,Circulation!$H$2:$H$500,"Active")&gt;0,"On Loan","Available"))</f>
        <v/>
      </c>
      <c r="AB200" s="8"/>
      <c r="AC200" s="8"/>
      <c r="AD200" s="8"/>
      <c r="AE200" s="8"/>
      <c r="AF200" s="8"/>
      <c r="AG200" s="8"/>
      <c r="AH200" s="8"/>
    </row>
    <row r="201" spans="1:34" ht="15.75" x14ac:dyDescent="0.25">
      <c r="A201" s="14" t="str">
        <f t="shared" si="6"/>
        <v/>
      </c>
      <c r="B201" s="15"/>
      <c r="C201" s="14" t="str">
        <f t="shared" si="7"/>
        <v/>
      </c>
      <c r="D201" s="8"/>
      <c r="E201" s="8"/>
      <c r="F201" s="8"/>
      <c r="G201" s="8"/>
      <c r="H201" s="14" t="str">
        <f>IF(ISBLANK(F201),"",IF(G201&lt;&gt;"",UPPER(TRIM(G201)),IF(ISNUMBER(SEARCH(" ",TRIM(F201))),UPPER(LEFT(TRIM(RIGHT(SUBSTITUTE(TRIM(F201)," ",REPT(" ",100)),100)),Settings!$B$9)),UPPER(LEFT(TRIM(F201),Settings!$B$9)))))</f>
        <v/>
      </c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16" t="str">
        <f>IF(ISBLANK(D201),"",IF(COUNTIFS(Circulation!$B$2:$B$500,A201,Circulation!$H$2:$H$500,"Active")&gt;0,"On Loan","Available"))</f>
        <v/>
      </c>
      <c r="AB201" s="8"/>
      <c r="AC201" s="8"/>
      <c r="AD201" s="8"/>
      <c r="AE201" s="8"/>
      <c r="AF201" s="8"/>
      <c r="AG201" s="8"/>
      <c r="AH201" s="8"/>
    </row>
    <row r="202" spans="1:34" ht="15.75" x14ac:dyDescent="0.25">
      <c r="A202" s="14" t="str">
        <f t="shared" si="6"/>
        <v/>
      </c>
      <c r="B202" s="15"/>
      <c r="C202" s="14" t="str">
        <f t="shared" si="7"/>
        <v/>
      </c>
      <c r="D202" s="8"/>
      <c r="E202" s="8"/>
      <c r="F202" s="8"/>
      <c r="G202" s="8"/>
      <c r="H202" s="14" t="str">
        <f>IF(ISBLANK(F202),"",IF(G202&lt;&gt;"",UPPER(TRIM(G202)),IF(ISNUMBER(SEARCH(" ",TRIM(F202))),UPPER(LEFT(TRIM(RIGHT(SUBSTITUTE(TRIM(F202)," ",REPT(" ",100)),100)),Settings!$B$9)),UPPER(LEFT(TRIM(F202),Settings!$B$9)))))</f>
        <v/>
      </c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16" t="str">
        <f>IF(ISBLANK(D202),"",IF(COUNTIFS(Circulation!$B$2:$B$500,A202,Circulation!$H$2:$H$500,"Active")&gt;0,"On Loan","Available"))</f>
        <v/>
      </c>
      <c r="AB202" s="8"/>
      <c r="AC202" s="8"/>
      <c r="AD202" s="8"/>
      <c r="AE202" s="8"/>
      <c r="AF202" s="8"/>
      <c r="AG202" s="8"/>
      <c r="AH202" s="8"/>
    </row>
    <row r="203" spans="1:34" ht="15.75" x14ac:dyDescent="0.25">
      <c r="A203" s="14" t="str">
        <f t="shared" si="6"/>
        <v/>
      </c>
      <c r="B203" s="15"/>
      <c r="C203" s="14" t="str">
        <f t="shared" si="7"/>
        <v/>
      </c>
      <c r="D203" s="8"/>
      <c r="E203" s="8"/>
      <c r="F203" s="8"/>
      <c r="G203" s="8"/>
      <c r="H203" s="14" t="str">
        <f>IF(ISBLANK(F203),"",IF(G203&lt;&gt;"",UPPER(TRIM(G203)),IF(ISNUMBER(SEARCH(" ",TRIM(F203))),UPPER(LEFT(TRIM(RIGHT(SUBSTITUTE(TRIM(F203)," ",REPT(" ",100)),100)),Settings!$B$9)),UPPER(LEFT(TRIM(F203),Settings!$B$9)))))</f>
        <v/>
      </c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16" t="str">
        <f>IF(ISBLANK(D203),"",IF(COUNTIFS(Circulation!$B$2:$B$500,A203,Circulation!$H$2:$H$500,"Active")&gt;0,"On Loan","Available"))</f>
        <v/>
      </c>
      <c r="AB203" s="8"/>
      <c r="AC203" s="8"/>
      <c r="AD203" s="8"/>
      <c r="AE203" s="8"/>
      <c r="AF203" s="8"/>
      <c r="AG203" s="8"/>
      <c r="AH203" s="8"/>
    </row>
    <row r="204" spans="1:34" ht="15.75" x14ac:dyDescent="0.25">
      <c r="A204" s="14" t="str">
        <f t="shared" si="6"/>
        <v/>
      </c>
      <c r="B204" s="15"/>
      <c r="C204" s="14" t="str">
        <f t="shared" si="7"/>
        <v/>
      </c>
      <c r="D204" s="8"/>
      <c r="E204" s="8"/>
      <c r="F204" s="8"/>
      <c r="G204" s="8"/>
      <c r="H204" s="14" t="str">
        <f>IF(ISBLANK(F204),"",IF(G204&lt;&gt;"",UPPER(TRIM(G204)),IF(ISNUMBER(SEARCH(" ",TRIM(F204))),UPPER(LEFT(TRIM(RIGHT(SUBSTITUTE(TRIM(F204)," ",REPT(" ",100)),100)),Settings!$B$9)),UPPER(LEFT(TRIM(F204),Settings!$B$9)))))</f>
        <v/>
      </c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16" t="str">
        <f>IF(ISBLANK(D204),"",IF(COUNTIFS(Circulation!$B$2:$B$500,A204,Circulation!$H$2:$H$500,"Active")&gt;0,"On Loan","Available"))</f>
        <v/>
      </c>
      <c r="AB204" s="8"/>
      <c r="AC204" s="8"/>
      <c r="AD204" s="8"/>
      <c r="AE204" s="8"/>
      <c r="AF204" s="8"/>
      <c r="AG204" s="8"/>
      <c r="AH204" s="8"/>
    </row>
    <row r="205" spans="1:34" ht="15.75" x14ac:dyDescent="0.25">
      <c r="A205" s="14" t="str">
        <f t="shared" si="6"/>
        <v/>
      </c>
      <c r="B205" s="15"/>
      <c r="C205" s="14" t="str">
        <f t="shared" si="7"/>
        <v/>
      </c>
      <c r="D205" s="8"/>
      <c r="E205" s="8"/>
      <c r="F205" s="8"/>
      <c r="G205" s="8"/>
      <c r="H205" s="14" t="str">
        <f>IF(ISBLANK(F205),"",IF(G205&lt;&gt;"",UPPER(TRIM(G205)),IF(ISNUMBER(SEARCH(" ",TRIM(F205))),UPPER(LEFT(TRIM(RIGHT(SUBSTITUTE(TRIM(F205)," ",REPT(" ",100)),100)),Settings!$B$9)),UPPER(LEFT(TRIM(F205),Settings!$B$9)))))</f>
        <v/>
      </c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16" t="str">
        <f>IF(ISBLANK(D205),"",IF(COUNTIFS(Circulation!$B$2:$B$500,A205,Circulation!$H$2:$H$500,"Active")&gt;0,"On Loan","Available"))</f>
        <v/>
      </c>
      <c r="AB205" s="8"/>
      <c r="AC205" s="8"/>
      <c r="AD205" s="8"/>
      <c r="AE205" s="8"/>
      <c r="AF205" s="8"/>
      <c r="AG205" s="8"/>
      <c r="AH205" s="8"/>
    </row>
    <row r="206" spans="1:34" ht="15.75" x14ac:dyDescent="0.25">
      <c r="A206" s="14" t="str">
        <f t="shared" si="6"/>
        <v/>
      </c>
      <c r="B206" s="15"/>
      <c r="C206" s="14" t="str">
        <f t="shared" si="7"/>
        <v/>
      </c>
      <c r="D206" s="8"/>
      <c r="E206" s="8"/>
      <c r="F206" s="8"/>
      <c r="G206" s="8"/>
      <c r="H206" s="14" t="str">
        <f>IF(ISBLANK(F206),"",IF(G206&lt;&gt;"",UPPER(TRIM(G206)),IF(ISNUMBER(SEARCH(" ",TRIM(F206))),UPPER(LEFT(TRIM(RIGHT(SUBSTITUTE(TRIM(F206)," ",REPT(" ",100)),100)),Settings!$B$9)),UPPER(LEFT(TRIM(F206),Settings!$B$9)))))</f>
        <v/>
      </c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16" t="str">
        <f>IF(ISBLANK(D206),"",IF(COUNTIFS(Circulation!$B$2:$B$500,A206,Circulation!$H$2:$H$500,"Active")&gt;0,"On Loan","Available"))</f>
        <v/>
      </c>
      <c r="AB206" s="8"/>
      <c r="AC206" s="8"/>
      <c r="AD206" s="8"/>
      <c r="AE206" s="8"/>
      <c r="AF206" s="8"/>
      <c r="AG206" s="8"/>
      <c r="AH206" s="8"/>
    </row>
    <row r="207" spans="1:34" ht="15.75" x14ac:dyDescent="0.25">
      <c r="A207" s="14" t="str">
        <f t="shared" si="6"/>
        <v/>
      </c>
      <c r="B207" s="15"/>
      <c r="C207" s="14" t="str">
        <f t="shared" si="7"/>
        <v/>
      </c>
      <c r="D207" s="8"/>
      <c r="E207" s="8"/>
      <c r="F207" s="8"/>
      <c r="G207" s="8"/>
      <c r="H207" s="14" t="str">
        <f>IF(ISBLANK(F207),"",IF(G207&lt;&gt;"",UPPER(TRIM(G207)),IF(ISNUMBER(SEARCH(" ",TRIM(F207))),UPPER(LEFT(TRIM(RIGHT(SUBSTITUTE(TRIM(F207)," ",REPT(" ",100)),100)),Settings!$B$9)),UPPER(LEFT(TRIM(F207),Settings!$B$9)))))</f>
        <v/>
      </c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16" t="str">
        <f>IF(ISBLANK(D207),"",IF(COUNTIFS(Circulation!$B$2:$B$500,A207,Circulation!$H$2:$H$500,"Active")&gt;0,"On Loan","Available"))</f>
        <v/>
      </c>
      <c r="AB207" s="8"/>
      <c r="AC207" s="8"/>
      <c r="AD207" s="8"/>
      <c r="AE207" s="8"/>
      <c r="AF207" s="8"/>
      <c r="AG207" s="8"/>
      <c r="AH207" s="8"/>
    </row>
    <row r="208" spans="1:34" ht="15.75" x14ac:dyDescent="0.25">
      <c r="A208" s="14" t="str">
        <f t="shared" si="6"/>
        <v/>
      </c>
      <c r="B208" s="15"/>
      <c r="C208" s="14" t="str">
        <f t="shared" si="7"/>
        <v/>
      </c>
      <c r="D208" s="8"/>
      <c r="E208" s="8"/>
      <c r="F208" s="8"/>
      <c r="G208" s="8"/>
      <c r="H208" s="14" t="str">
        <f>IF(ISBLANK(F208),"",IF(G208&lt;&gt;"",UPPER(TRIM(G208)),IF(ISNUMBER(SEARCH(" ",TRIM(F208))),UPPER(LEFT(TRIM(RIGHT(SUBSTITUTE(TRIM(F208)," ",REPT(" ",100)),100)),Settings!$B$9)),UPPER(LEFT(TRIM(F208),Settings!$B$9)))))</f>
        <v/>
      </c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16" t="str">
        <f>IF(ISBLANK(D208),"",IF(COUNTIFS(Circulation!$B$2:$B$500,A208,Circulation!$H$2:$H$500,"Active")&gt;0,"On Loan","Available"))</f>
        <v/>
      </c>
      <c r="AB208" s="8"/>
      <c r="AC208" s="8"/>
      <c r="AD208" s="8"/>
      <c r="AE208" s="8"/>
      <c r="AF208" s="8"/>
      <c r="AG208" s="8"/>
      <c r="AH208" s="8"/>
    </row>
    <row r="209" spans="1:34" ht="15.75" x14ac:dyDescent="0.25">
      <c r="A209" s="14" t="str">
        <f t="shared" si="6"/>
        <v/>
      </c>
      <c r="B209" s="15"/>
      <c r="C209" s="14" t="str">
        <f t="shared" si="7"/>
        <v/>
      </c>
      <c r="D209" s="8"/>
      <c r="E209" s="8"/>
      <c r="F209" s="8"/>
      <c r="G209" s="8"/>
      <c r="H209" s="14" t="str">
        <f>IF(ISBLANK(F209),"",IF(G209&lt;&gt;"",UPPER(TRIM(G209)),IF(ISNUMBER(SEARCH(" ",TRIM(F209))),UPPER(LEFT(TRIM(RIGHT(SUBSTITUTE(TRIM(F209)," ",REPT(" ",100)),100)),Settings!$B$9)),UPPER(LEFT(TRIM(F209),Settings!$B$9)))))</f>
        <v/>
      </c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16" t="str">
        <f>IF(ISBLANK(D209),"",IF(COUNTIFS(Circulation!$B$2:$B$500,A209,Circulation!$H$2:$H$500,"Active")&gt;0,"On Loan","Available"))</f>
        <v/>
      </c>
      <c r="AB209" s="8"/>
      <c r="AC209" s="8"/>
      <c r="AD209" s="8"/>
      <c r="AE209" s="8"/>
      <c r="AF209" s="8"/>
      <c r="AG209" s="8"/>
      <c r="AH209" s="8"/>
    </row>
    <row r="210" spans="1:34" ht="15.75" x14ac:dyDescent="0.25">
      <c r="A210" s="14" t="str">
        <f t="shared" si="6"/>
        <v/>
      </c>
      <c r="B210" s="15"/>
      <c r="C210" s="14" t="str">
        <f t="shared" si="7"/>
        <v/>
      </c>
      <c r="D210" s="8"/>
      <c r="E210" s="8"/>
      <c r="F210" s="8"/>
      <c r="G210" s="8"/>
      <c r="H210" s="14" t="str">
        <f>IF(ISBLANK(F210),"",IF(G210&lt;&gt;"",UPPER(TRIM(G210)),IF(ISNUMBER(SEARCH(" ",TRIM(F210))),UPPER(LEFT(TRIM(RIGHT(SUBSTITUTE(TRIM(F210)," ",REPT(" ",100)),100)),Settings!$B$9)),UPPER(LEFT(TRIM(F210),Settings!$B$9)))))</f>
        <v/>
      </c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16" t="str">
        <f>IF(ISBLANK(D210),"",IF(COUNTIFS(Circulation!$B$2:$B$500,A210,Circulation!$H$2:$H$500,"Active")&gt;0,"On Loan","Available"))</f>
        <v/>
      </c>
      <c r="AB210" s="8"/>
      <c r="AC210" s="8"/>
      <c r="AD210" s="8"/>
      <c r="AE210" s="8"/>
      <c r="AF210" s="8"/>
      <c r="AG210" s="8"/>
      <c r="AH210" s="8"/>
    </row>
    <row r="211" spans="1:34" ht="15.75" x14ac:dyDescent="0.25">
      <c r="A211" s="14" t="str">
        <f t="shared" si="6"/>
        <v/>
      </c>
      <c r="B211" s="15"/>
      <c r="C211" s="14" t="str">
        <f t="shared" si="7"/>
        <v/>
      </c>
      <c r="D211" s="8"/>
      <c r="E211" s="8"/>
      <c r="F211" s="8"/>
      <c r="G211" s="8"/>
      <c r="H211" s="14" t="str">
        <f>IF(ISBLANK(F211),"",IF(G211&lt;&gt;"",UPPER(TRIM(G211)),IF(ISNUMBER(SEARCH(" ",TRIM(F211))),UPPER(LEFT(TRIM(RIGHT(SUBSTITUTE(TRIM(F211)," ",REPT(" ",100)),100)),Settings!$B$9)),UPPER(LEFT(TRIM(F211),Settings!$B$9)))))</f>
        <v/>
      </c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16" t="str">
        <f>IF(ISBLANK(D211),"",IF(COUNTIFS(Circulation!$B$2:$B$500,A211,Circulation!$H$2:$H$500,"Active")&gt;0,"On Loan","Available"))</f>
        <v/>
      </c>
      <c r="AB211" s="8"/>
      <c r="AC211" s="8"/>
      <c r="AD211" s="8"/>
      <c r="AE211" s="8"/>
      <c r="AF211" s="8"/>
      <c r="AG211" s="8"/>
      <c r="AH211" s="8"/>
    </row>
    <row r="212" spans="1:34" ht="15.75" x14ac:dyDescent="0.25">
      <c r="A212" s="14" t="str">
        <f t="shared" si="6"/>
        <v/>
      </c>
      <c r="B212" s="15"/>
      <c r="C212" s="14" t="str">
        <f t="shared" si="7"/>
        <v/>
      </c>
      <c r="D212" s="8"/>
      <c r="E212" s="8"/>
      <c r="F212" s="8"/>
      <c r="G212" s="8"/>
      <c r="H212" s="14" t="str">
        <f>IF(ISBLANK(F212),"",IF(G212&lt;&gt;"",UPPER(TRIM(G212)),IF(ISNUMBER(SEARCH(" ",TRIM(F212))),UPPER(LEFT(TRIM(RIGHT(SUBSTITUTE(TRIM(F212)," ",REPT(" ",100)),100)),Settings!$B$9)),UPPER(LEFT(TRIM(F212),Settings!$B$9)))))</f>
        <v/>
      </c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16" t="str">
        <f>IF(ISBLANK(D212),"",IF(COUNTIFS(Circulation!$B$2:$B$500,A212,Circulation!$H$2:$H$500,"Active")&gt;0,"On Loan","Available"))</f>
        <v/>
      </c>
      <c r="AB212" s="8"/>
      <c r="AC212" s="8"/>
      <c r="AD212" s="8"/>
      <c r="AE212" s="8"/>
      <c r="AF212" s="8"/>
      <c r="AG212" s="8"/>
      <c r="AH212" s="8"/>
    </row>
    <row r="213" spans="1:34" ht="15.75" x14ac:dyDescent="0.25">
      <c r="A213" s="14" t="str">
        <f t="shared" si="6"/>
        <v/>
      </c>
      <c r="B213" s="15"/>
      <c r="C213" s="14" t="str">
        <f t="shared" si="7"/>
        <v/>
      </c>
      <c r="D213" s="8"/>
      <c r="E213" s="8"/>
      <c r="F213" s="8"/>
      <c r="G213" s="8"/>
      <c r="H213" s="14" t="str">
        <f>IF(ISBLANK(F213),"",IF(G213&lt;&gt;"",UPPER(TRIM(G213)),IF(ISNUMBER(SEARCH(" ",TRIM(F213))),UPPER(LEFT(TRIM(RIGHT(SUBSTITUTE(TRIM(F213)," ",REPT(" ",100)),100)),Settings!$B$9)),UPPER(LEFT(TRIM(F213),Settings!$B$9)))))</f>
        <v/>
      </c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16" t="str">
        <f>IF(ISBLANK(D213),"",IF(COUNTIFS(Circulation!$B$2:$B$500,A213,Circulation!$H$2:$H$500,"Active")&gt;0,"On Loan","Available"))</f>
        <v/>
      </c>
      <c r="AB213" s="8"/>
      <c r="AC213" s="8"/>
      <c r="AD213" s="8"/>
      <c r="AE213" s="8"/>
      <c r="AF213" s="8"/>
      <c r="AG213" s="8"/>
      <c r="AH213" s="8"/>
    </row>
    <row r="214" spans="1:34" ht="15.75" x14ac:dyDescent="0.25">
      <c r="A214" s="14" t="str">
        <f t="shared" si="6"/>
        <v/>
      </c>
      <c r="B214" s="15"/>
      <c r="C214" s="14" t="str">
        <f t="shared" si="7"/>
        <v/>
      </c>
      <c r="D214" s="8"/>
      <c r="E214" s="8"/>
      <c r="F214" s="8"/>
      <c r="G214" s="8"/>
      <c r="H214" s="14" t="str">
        <f>IF(ISBLANK(F214),"",IF(G214&lt;&gt;"",UPPER(TRIM(G214)),IF(ISNUMBER(SEARCH(" ",TRIM(F214))),UPPER(LEFT(TRIM(RIGHT(SUBSTITUTE(TRIM(F214)," ",REPT(" ",100)),100)),Settings!$B$9)),UPPER(LEFT(TRIM(F214),Settings!$B$9)))))</f>
        <v/>
      </c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16" t="str">
        <f>IF(ISBLANK(D214),"",IF(COUNTIFS(Circulation!$B$2:$B$500,A214,Circulation!$H$2:$H$500,"Active")&gt;0,"On Loan","Available"))</f>
        <v/>
      </c>
      <c r="AB214" s="8"/>
      <c r="AC214" s="8"/>
      <c r="AD214" s="8"/>
      <c r="AE214" s="8"/>
      <c r="AF214" s="8"/>
      <c r="AG214" s="8"/>
      <c r="AH214" s="8"/>
    </row>
    <row r="215" spans="1:34" ht="15.75" x14ac:dyDescent="0.25">
      <c r="A215" s="14" t="str">
        <f t="shared" si="6"/>
        <v/>
      </c>
      <c r="B215" s="15"/>
      <c r="C215" s="14" t="str">
        <f t="shared" si="7"/>
        <v/>
      </c>
      <c r="D215" s="8"/>
      <c r="E215" s="8"/>
      <c r="F215" s="8"/>
      <c r="G215" s="8"/>
      <c r="H215" s="14" t="str">
        <f>IF(ISBLANK(F215),"",IF(G215&lt;&gt;"",UPPER(TRIM(G215)),IF(ISNUMBER(SEARCH(" ",TRIM(F215))),UPPER(LEFT(TRIM(RIGHT(SUBSTITUTE(TRIM(F215)," ",REPT(" ",100)),100)),Settings!$B$9)),UPPER(LEFT(TRIM(F215),Settings!$B$9)))))</f>
        <v/>
      </c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16" t="str">
        <f>IF(ISBLANK(D215),"",IF(COUNTIFS(Circulation!$B$2:$B$500,A215,Circulation!$H$2:$H$500,"Active")&gt;0,"On Loan","Available"))</f>
        <v/>
      </c>
      <c r="AB215" s="8"/>
      <c r="AC215" s="8"/>
      <c r="AD215" s="8"/>
      <c r="AE215" s="8"/>
      <c r="AF215" s="8"/>
      <c r="AG215" s="8"/>
      <c r="AH215" s="8"/>
    </row>
    <row r="216" spans="1:34" ht="15.75" x14ac:dyDescent="0.25">
      <c r="A216" s="14" t="str">
        <f t="shared" si="6"/>
        <v/>
      </c>
      <c r="B216" s="15"/>
      <c r="C216" s="14" t="str">
        <f t="shared" si="7"/>
        <v/>
      </c>
      <c r="D216" s="8"/>
      <c r="E216" s="8"/>
      <c r="F216" s="8"/>
      <c r="G216" s="8"/>
      <c r="H216" s="14" t="str">
        <f>IF(ISBLANK(F216),"",IF(G216&lt;&gt;"",UPPER(TRIM(G216)),IF(ISNUMBER(SEARCH(" ",TRIM(F216))),UPPER(LEFT(TRIM(RIGHT(SUBSTITUTE(TRIM(F216)," ",REPT(" ",100)),100)),Settings!$B$9)),UPPER(LEFT(TRIM(F216),Settings!$B$9)))))</f>
        <v/>
      </c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16" t="str">
        <f>IF(ISBLANK(D216),"",IF(COUNTIFS(Circulation!$B$2:$B$500,A216,Circulation!$H$2:$H$500,"Active")&gt;0,"On Loan","Available"))</f>
        <v/>
      </c>
      <c r="AB216" s="8"/>
      <c r="AC216" s="8"/>
      <c r="AD216" s="8"/>
      <c r="AE216" s="8"/>
      <c r="AF216" s="8"/>
      <c r="AG216" s="8"/>
      <c r="AH216" s="8"/>
    </row>
    <row r="217" spans="1:34" ht="15.75" x14ac:dyDescent="0.25">
      <c r="A217" s="14" t="str">
        <f t="shared" si="6"/>
        <v/>
      </c>
      <c r="B217" s="15"/>
      <c r="C217" s="14" t="str">
        <f t="shared" si="7"/>
        <v/>
      </c>
      <c r="D217" s="8"/>
      <c r="E217" s="8"/>
      <c r="F217" s="8"/>
      <c r="G217" s="8"/>
      <c r="H217" s="14" t="str">
        <f>IF(ISBLANK(F217),"",IF(G217&lt;&gt;"",UPPER(TRIM(G217)),IF(ISNUMBER(SEARCH(" ",TRIM(F217))),UPPER(LEFT(TRIM(RIGHT(SUBSTITUTE(TRIM(F217)," ",REPT(" ",100)),100)),Settings!$B$9)),UPPER(LEFT(TRIM(F217),Settings!$B$9)))))</f>
        <v/>
      </c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16" t="str">
        <f>IF(ISBLANK(D217),"",IF(COUNTIFS(Circulation!$B$2:$B$500,A217,Circulation!$H$2:$H$500,"Active")&gt;0,"On Loan","Available"))</f>
        <v/>
      </c>
      <c r="AB217" s="8"/>
      <c r="AC217" s="8"/>
      <c r="AD217" s="8"/>
      <c r="AE217" s="8"/>
      <c r="AF217" s="8"/>
      <c r="AG217" s="8"/>
      <c r="AH217" s="8"/>
    </row>
    <row r="218" spans="1:34" ht="15.75" x14ac:dyDescent="0.25">
      <c r="A218" s="14" t="str">
        <f t="shared" si="6"/>
        <v/>
      </c>
      <c r="B218" s="15"/>
      <c r="C218" s="14" t="str">
        <f t="shared" si="7"/>
        <v/>
      </c>
      <c r="D218" s="8"/>
      <c r="E218" s="8"/>
      <c r="F218" s="8"/>
      <c r="G218" s="8"/>
      <c r="H218" s="14" t="str">
        <f>IF(ISBLANK(F218),"",IF(G218&lt;&gt;"",UPPER(TRIM(G218)),IF(ISNUMBER(SEARCH(" ",TRIM(F218))),UPPER(LEFT(TRIM(RIGHT(SUBSTITUTE(TRIM(F218)," ",REPT(" ",100)),100)),Settings!$B$9)),UPPER(LEFT(TRIM(F218),Settings!$B$9)))))</f>
        <v/>
      </c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16" t="str">
        <f>IF(ISBLANK(D218),"",IF(COUNTIFS(Circulation!$B$2:$B$500,A218,Circulation!$H$2:$H$500,"Active")&gt;0,"On Loan","Available"))</f>
        <v/>
      </c>
      <c r="AB218" s="8"/>
      <c r="AC218" s="8"/>
      <c r="AD218" s="8"/>
      <c r="AE218" s="8"/>
      <c r="AF218" s="8"/>
      <c r="AG218" s="8"/>
      <c r="AH218" s="8"/>
    </row>
    <row r="219" spans="1:34" ht="15.75" x14ac:dyDescent="0.25">
      <c r="A219" s="14" t="str">
        <f t="shared" si="6"/>
        <v/>
      </c>
      <c r="B219" s="15"/>
      <c r="C219" s="14" t="str">
        <f t="shared" si="7"/>
        <v/>
      </c>
      <c r="D219" s="8"/>
      <c r="E219" s="8"/>
      <c r="F219" s="8"/>
      <c r="G219" s="8"/>
      <c r="H219" s="14" t="str">
        <f>IF(ISBLANK(F219),"",IF(G219&lt;&gt;"",UPPER(TRIM(G219)),IF(ISNUMBER(SEARCH(" ",TRIM(F219))),UPPER(LEFT(TRIM(RIGHT(SUBSTITUTE(TRIM(F219)," ",REPT(" ",100)),100)),Settings!$B$9)),UPPER(LEFT(TRIM(F219),Settings!$B$9)))))</f>
        <v/>
      </c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16" t="str">
        <f>IF(ISBLANK(D219),"",IF(COUNTIFS(Circulation!$B$2:$B$500,A219,Circulation!$H$2:$H$500,"Active")&gt;0,"On Loan","Available"))</f>
        <v/>
      </c>
      <c r="AB219" s="8"/>
      <c r="AC219" s="8"/>
      <c r="AD219" s="8"/>
      <c r="AE219" s="8"/>
      <c r="AF219" s="8"/>
      <c r="AG219" s="8"/>
      <c r="AH219" s="8"/>
    </row>
    <row r="220" spans="1:34" ht="15.75" x14ac:dyDescent="0.25">
      <c r="A220" s="14" t="str">
        <f t="shared" si="6"/>
        <v/>
      </c>
      <c r="B220" s="15"/>
      <c r="C220" s="14" t="str">
        <f t="shared" si="7"/>
        <v/>
      </c>
      <c r="D220" s="8"/>
      <c r="E220" s="8"/>
      <c r="F220" s="8"/>
      <c r="G220" s="8"/>
      <c r="H220" s="14" t="str">
        <f>IF(ISBLANK(F220),"",IF(G220&lt;&gt;"",UPPER(TRIM(G220)),IF(ISNUMBER(SEARCH(" ",TRIM(F220))),UPPER(LEFT(TRIM(RIGHT(SUBSTITUTE(TRIM(F220)," ",REPT(" ",100)),100)),Settings!$B$9)),UPPER(LEFT(TRIM(F220),Settings!$B$9)))))</f>
        <v/>
      </c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16" t="str">
        <f>IF(ISBLANK(D220),"",IF(COUNTIFS(Circulation!$B$2:$B$500,A220,Circulation!$H$2:$H$500,"Active")&gt;0,"On Loan","Available"))</f>
        <v/>
      </c>
      <c r="AB220" s="8"/>
      <c r="AC220" s="8"/>
      <c r="AD220" s="8"/>
      <c r="AE220" s="8"/>
      <c r="AF220" s="8"/>
      <c r="AG220" s="8"/>
      <c r="AH220" s="8"/>
    </row>
    <row r="221" spans="1:34" ht="15.75" x14ac:dyDescent="0.25">
      <c r="A221" s="14" t="str">
        <f t="shared" si="6"/>
        <v/>
      </c>
      <c r="B221" s="15"/>
      <c r="C221" s="14" t="str">
        <f t="shared" si="7"/>
        <v/>
      </c>
      <c r="D221" s="8"/>
      <c r="E221" s="8"/>
      <c r="F221" s="8"/>
      <c r="G221" s="8"/>
      <c r="H221" s="14" t="str">
        <f>IF(ISBLANK(F221),"",IF(G221&lt;&gt;"",UPPER(TRIM(G221)),IF(ISNUMBER(SEARCH(" ",TRIM(F221))),UPPER(LEFT(TRIM(RIGHT(SUBSTITUTE(TRIM(F221)," ",REPT(" ",100)),100)),Settings!$B$9)),UPPER(LEFT(TRIM(F221),Settings!$B$9)))))</f>
        <v/>
      </c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16" t="str">
        <f>IF(ISBLANK(D221),"",IF(COUNTIFS(Circulation!$B$2:$B$500,A221,Circulation!$H$2:$H$500,"Active")&gt;0,"On Loan","Available"))</f>
        <v/>
      </c>
      <c r="AB221" s="8"/>
      <c r="AC221" s="8"/>
      <c r="AD221" s="8"/>
      <c r="AE221" s="8"/>
      <c r="AF221" s="8"/>
      <c r="AG221" s="8"/>
      <c r="AH221" s="8"/>
    </row>
    <row r="222" spans="1:34" ht="15.75" x14ac:dyDescent="0.25">
      <c r="A222" s="14" t="str">
        <f t="shared" si="6"/>
        <v/>
      </c>
      <c r="B222" s="15"/>
      <c r="C222" s="14" t="str">
        <f t="shared" si="7"/>
        <v/>
      </c>
      <c r="D222" s="8"/>
      <c r="E222" s="8"/>
      <c r="F222" s="8"/>
      <c r="G222" s="8"/>
      <c r="H222" s="14" t="str">
        <f>IF(ISBLANK(F222),"",IF(G222&lt;&gt;"",UPPER(TRIM(G222)),IF(ISNUMBER(SEARCH(" ",TRIM(F222))),UPPER(LEFT(TRIM(RIGHT(SUBSTITUTE(TRIM(F222)," ",REPT(" ",100)),100)),Settings!$B$9)),UPPER(LEFT(TRIM(F222),Settings!$B$9)))))</f>
        <v/>
      </c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16" t="str">
        <f>IF(ISBLANK(D222),"",IF(COUNTIFS(Circulation!$B$2:$B$500,A222,Circulation!$H$2:$H$500,"Active")&gt;0,"On Loan","Available"))</f>
        <v/>
      </c>
      <c r="AB222" s="8"/>
      <c r="AC222" s="8"/>
      <c r="AD222" s="8"/>
      <c r="AE222" s="8"/>
      <c r="AF222" s="8"/>
      <c r="AG222" s="8"/>
      <c r="AH222" s="8"/>
    </row>
    <row r="223" spans="1:34" ht="15.75" x14ac:dyDescent="0.25">
      <c r="A223" s="14" t="str">
        <f t="shared" si="6"/>
        <v/>
      </c>
      <c r="B223" s="15"/>
      <c r="C223" s="14" t="str">
        <f t="shared" si="7"/>
        <v/>
      </c>
      <c r="D223" s="8"/>
      <c r="E223" s="8"/>
      <c r="F223" s="8"/>
      <c r="G223" s="8"/>
      <c r="H223" s="14" t="str">
        <f>IF(ISBLANK(F223),"",IF(G223&lt;&gt;"",UPPER(TRIM(G223)),IF(ISNUMBER(SEARCH(" ",TRIM(F223))),UPPER(LEFT(TRIM(RIGHT(SUBSTITUTE(TRIM(F223)," ",REPT(" ",100)),100)),Settings!$B$9)),UPPER(LEFT(TRIM(F223),Settings!$B$9)))))</f>
        <v/>
      </c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16" t="str">
        <f>IF(ISBLANK(D223),"",IF(COUNTIFS(Circulation!$B$2:$B$500,A223,Circulation!$H$2:$H$500,"Active")&gt;0,"On Loan","Available"))</f>
        <v/>
      </c>
      <c r="AB223" s="8"/>
      <c r="AC223" s="8"/>
      <c r="AD223" s="8"/>
      <c r="AE223" s="8"/>
      <c r="AF223" s="8"/>
      <c r="AG223" s="8"/>
      <c r="AH223" s="8"/>
    </row>
    <row r="224" spans="1:34" ht="15.75" x14ac:dyDescent="0.25">
      <c r="A224" s="14" t="str">
        <f t="shared" si="6"/>
        <v/>
      </c>
      <c r="B224" s="15"/>
      <c r="C224" s="14" t="str">
        <f t="shared" si="7"/>
        <v/>
      </c>
      <c r="D224" s="8"/>
      <c r="E224" s="8"/>
      <c r="F224" s="8"/>
      <c r="G224" s="8"/>
      <c r="H224" s="14" t="str">
        <f>IF(ISBLANK(F224),"",IF(G224&lt;&gt;"",UPPER(TRIM(G224)),IF(ISNUMBER(SEARCH(" ",TRIM(F224))),UPPER(LEFT(TRIM(RIGHT(SUBSTITUTE(TRIM(F224)," ",REPT(" ",100)),100)),Settings!$B$9)),UPPER(LEFT(TRIM(F224),Settings!$B$9)))))</f>
        <v/>
      </c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16" t="str">
        <f>IF(ISBLANK(D224),"",IF(COUNTIFS(Circulation!$B$2:$B$500,A224,Circulation!$H$2:$H$500,"Active")&gt;0,"On Loan","Available"))</f>
        <v/>
      </c>
      <c r="AB224" s="8"/>
      <c r="AC224" s="8"/>
      <c r="AD224" s="8"/>
      <c r="AE224" s="8"/>
      <c r="AF224" s="8"/>
      <c r="AG224" s="8"/>
      <c r="AH224" s="8"/>
    </row>
    <row r="225" spans="1:34" ht="15.75" x14ac:dyDescent="0.25">
      <c r="A225" s="14" t="str">
        <f t="shared" si="6"/>
        <v/>
      </c>
      <c r="B225" s="15"/>
      <c r="C225" s="14" t="str">
        <f t="shared" si="7"/>
        <v/>
      </c>
      <c r="D225" s="8"/>
      <c r="E225" s="8"/>
      <c r="F225" s="8"/>
      <c r="G225" s="8"/>
      <c r="H225" s="14" t="str">
        <f>IF(ISBLANK(F225),"",IF(G225&lt;&gt;"",UPPER(TRIM(G225)),IF(ISNUMBER(SEARCH(" ",TRIM(F225))),UPPER(LEFT(TRIM(RIGHT(SUBSTITUTE(TRIM(F225)," ",REPT(" ",100)),100)),Settings!$B$9)),UPPER(LEFT(TRIM(F225),Settings!$B$9)))))</f>
        <v/>
      </c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16" t="str">
        <f>IF(ISBLANK(D225),"",IF(COUNTIFS(Circulation!$B$2:$B$500,A225,Circulation!$H$2:$H$500,"Active")&gt;0,"On Loan","Available"))</f>
        <v/>
      </c>
      <c r="AB225" s="8"/>
      <c r="AC225" s="8"/>
      <c r="AD225" s="8"/>
      <c r="AE225" s="8"/>
      <c r="AF225" s="8"/>
      <c r="AG225" s="8"/>
      <c r="AH225" s="8"/>
    </row>
    <row r="226" spans="1:34" ht="15.75" x14ac:dyDescent="0.25">
      <c r="A226" s="14" t="str">
        <f t="shared" si="6"/>
        <v/>
      </c>
      <c r="B226" s="15"/>
      <c r="C226" s="14" t="str">
        <f t="shared" si="7"/>
        <v/>
      </c>
      <c r="D226" s="8"/>
      <c r="E226" s="8"/>
      <c r="F226" s="8"/>
      <c r="G226" s="8"/>
      <c r="H226" s="14" t="str">
        <f>IF(ISBLANK(F226),"",IF(G226&lt;&gt;"",UPPER(TRIM(G226)),IF(ISNUMBER(SEARCH(" ",TRIM(F226))),UPPER(LEFT(TRIM(RIGHT(SUBSTITUTE(TRIM(F226)," ",REPT(" ",100)),100)),Settings!$B$9)),UPPER(LEFT(TRIM(F226),Settings!$B$9)))))</f>
        <v/>
      </c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16" t="str">
        <f>IF(ISBLANK(D226),"",IF(COUNTIFS(Circulation!$B$2:$B$500,A226,Circulation!$H$2:$H$500,"Active")&gt;0,"On Loan","Available"))</f>
        <v/>
      </c>
      <c r="AB226" s="8"/>
      <c r="AC226" s="8"/>
      <c r="AD226" s="8"/>
      <c r="AE226" s="8"/>
      <c r="AF226" s="8"/>
      <c r="AG226" s="8"/>
      <c r="AH226" s="8"/>
    </row>
    <row r="227" spans="1:34" ht="15.75" x14ac:dyDescent="0.25">
      <c r="A227" s="14" t="str">
        <f t="shared" si="6"/>
        <v/>
      </c>
      <c r="B227" s="15"/>
      <c r="C227" s="14" t="str">
        <f t="shared" si="7"/>
        <v/>
      </c>
      <c r="D227" s="8"/>
      <c r="E227" s="8"/>
      <c r="F227" s="8"/>
      <c r="G227" s="8"/>
      <c r="H227" s="14" t="str">
        <f>IF(ISBLANK(F227),"",IF(G227&lt;&gt;"",UPPER(TRIM(G227)),IF(ISNUMBER(SEARCH(" ",TRIM(F227))),UPPER(LEFT(TRIM(RIGHT(SUBSTITUTE(TRIM(F227)," ",REPT(" ",100)),100)),Settings!$B$9)),UPPER(LEFT(TRIM(F227),Settings!$B$9)))))</f>
        <v/>
      </c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16" t="str">
        <f>IF(ISBLANK(D227),"",IF(COUNTIFS(Circulation!$B$2:$B$500,A227,Circulation!$H$2:$H$500,"Active")&gt;0,"On Loan","Available"))</f>
        <v/>
      </c>
      <c r="AB227" s="8"/>
      <c r="AC227" s="8"/>
      <c r="AD227" s="8"/>
      <c r="AE227" s="8"/>
      <c r="AF227" s="8"/>
      <c r="AG227" s="8"/>
      <c r="AH227" s="8"/>
    </row>
    <row r="228" spans="1:34" ht="15.75" x14ac:dyDescent="0.25">
      <c r="A228" s="14" t="str">
        <f t="shared" si="6"/>
        <v/>
      </c>
      <c r="B228" s="15"/>
      <c r="C228" s="14" t="str">
        <f t="shared" si="7"/>
        <v/>
      </c>
      <c r="D228" s="8"/>
      <c r="E228" s="8"/>
      <c r="F228" s="8"/>
      <c r="G228" s="8"/>
      <c r="H228" s="14" t="str">
        <f>IF(ISBLANK(F228),"",IF(G228&lt;&gt;"",UPPER(TRIM(G228)),IF(ISNUMBER(SEARCH(" ",TRIM(F228))),UPPER(LEFT(TRIM(RIGHT(SUBSTITUTE(TRIM(F228)," ",REPT(" ",100)),100)),Settings!$B$9)),UPPER(LEFT(TRIM(F228),Settings!$B$9)))))</f>
        <v/>
      </c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16" t="str">
        <f>IF(ISBLANK(D228),"",IF(COUNTIFS(Circulation!$B$2:$B$500,A228,Circulation!$H$2:$H$500,"Active")&gt;0,"On Loan","Available"))</f>
        <v/>
      </c>
      <c r="AB228" s="8"/>
      <c r="AC228" s="8"/>
      <c r="AD228" s="8"/>
      <c r="AE228" s="8"/>
      <c r="AF228" s="8"/>
      <c r="AG228" s="8"/>
      <c r="AH228" s="8"/>
    </row>
    <row r="229" spans="1:34" ht="15.75" x14ac:dyDescent="0.25">
      <c r="A229" s="14" t="str">
        <f t="shared" si="6"/>
        <v/>
      </c>
      <c r="B229" s="15"/>
      <c r="C229" s="14" t="str">
        <f t="shared" si="7"/>
        <v/>
      </c>
      <c r="D229" s="8"/>
      <c r="E229" s="8"/>
      <c r="F229" s="8"/>
      <c r="G229" s="8"/>
      <c r="H229" s="14" t="str">
        <f>IF(ISBLANK(F229),"",IF(G229&lt;&gt;"",UPPER(TRIM(G229)),IF(ISNUMBER(SEARCH(" ",TRIM(F229))),UPPER(LEFT(TRIM(RIGHT(SUBSTITUTE(TRIM(F229)," ",REPT(" ",100)),100)),Settings!$B$9)),UPPER(LEFT(TRIM(F229),Settings!$B$9)))))</f>
        <v/>
      </c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16" t="str">
        <f>IF(ISBLANK(D229),"",IF(COUNTIFS(Circulation!$B$2:$B$500,A229,Circulation!$H$2:$H$500,"Active")&gt;0,"On Loan","Available"))</f>
        <v/>
      </c>
      <c r="AB229" s="8"/>
      <c r="AC229" s="8"/>
      <c r="AD229" s="8"/>
      <c r="AE229" s="8"/>
      <c r="AF229" s="8"/>
      <c r="AG229" s="8"/>
      <c r="AH229" s="8"/>
    </row>
    <row r="230" spans="1:34" ht="15.75" x14ac:dyDescent="0.25">
      <c r="A230" s="14" t="str">
        <f t="shared" si="6"/>
        <v/>
      </c>
      <c r="B230" s="15"/>
      <c r="C230" s="14" t="str">
        <f t="shared" si="7"/>
        <v/>
      </c>
      <c r="D230" s="8"/>
      <c r="E230" s="8"/>
      <c r="F230" s="8"/>
      <c r="G230" s="8"/>
      <c r="H230" s="14" t="str">
        <f>IF(ISBLANK(F230),"",IF(G230&lt;&gt;"",UPPER(TRIM(G230)),IF(ISNUMBER(SEARCH(" ",TRIM(F230))),UPPER(LEFT(TRIM(RIGHT(SUBSTITUTE(TRIM(F230)," ",REPT(" ",100)),100)),Settings!$B$9)),UPPER(LEFT(TRIM(F230),Settings!$B$9)))))</f>
        <v/>
      </c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16" t="str">
        <f>IF(ISBLANK(D230),"",IF(COUNTIFS(Circulation!$B$2:$B$500,A230,Circulation!$H$2:$H$500,"Active")&gt;0,"On Loan","Available"))</f>
        <v/>
      </c>
      <c r="AB230" s="8"/>
      <c r="AC230" s="8"/>
      <c r="AD230" s="8"/>
      <c r="AE230" s="8"/>
      <c r="AF230" s="8"/>
      <c r="AG230" s="8"/>
      <c r="AH230" s="8"/>
    </row>
    <row r="231" spans="1:34" ht="15.75" x14ac:dyDescent="0.25">
      <c r="A231" s="14" t="str">
        <f t="shared" si="6"/>
        <v/>
      </c>
      <c r="B231" s="15"/>
      <c r="C231" s="14" t="str">
        <f t="shared" si="7"/>
        <v/>
      </c>
      <c r="D231" s="8"/>
      <c r="E231" s="8"/>
      <c r="F231" s="8"/>
      <c r="G231" s="8"/>
      <c r="H231" s="14" t="str">
        <f>IF(ISBLANK(F231),"",IF(G231&lt;&gt;"",UPPER(TRIM(G231)),IF(ISNUMBER(SEARCH(" ",TRIM(F231))),UPPER(LEFT(TRIM(RIGHT(SUBSTITUTE(TRIM(F231)," ",REPT(" ",100)),100)),Settings!$B$9)),UPPER(LEFT(TRIM(F231),Settings!$B$9)))))</f>
        <v/>
      </c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16" t="str">
        <f>IF(ISBLANK(D231),"",IF(COUNTIFS(Circulation!$B$2:$B$500,A231,Circulation!$H$2:$H$500,"Active")&gt;0,"On Loan","Available"))</f>
        <v/>
      </c>
      <c r="AB231" s="8"/>
      <c r="AC231" s="8"/>
      <c r="AD231" s="8"/>
      <c r="AE231" s="8"/>
      <c r="AF231" s="8"/>
      <c r="AG231" s="8"/>
      <c r="AH231" s="8"/>
    </row>
    <row r="232" spans="1:34" ht="15.75" x14ac:dyDescent="0.25">
      <c r="A232" s="14" t="str">
        <f t="shared" si="6"/>
        <v/>
      </c>
      <c r="B232" s="15"/>
      <c r="C232" s="14" t="str">
        <f t="shared" si="7"/>
        <v/>
      </c>
      <c r="D232" s="8"/>
      <c r="E232" s="8"/>
      <c r="F232" s="8"/>
      <c r="G232" s="8"/>
      <c r="H232" s="14" t="str">
        <f>IF(ISBLANK(F232),"",IF(G232&lt;&gt;"",UPPER(TRIM(G232)),IF(ISNUMBER(SEARCH(" ",TRIM(F232))),UPPER(LEFT(TRIM(RIGHT(SUBSTITUTE(TRIM(F232)," ",REPT(" ",100)),100)),Settings!$B$9)),UPPER(LEFT(TRIM(F232),Settings!$B$9)))))</f>
        <v/>
      </c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16" t="str">
        <f>IF(ISBLANK(D232),"",IF(COUNTIFS(Circulation!$B$2:$B$500,A232,Circulation!$H$2:$H$500,"Active")&gt;0,"On Loan","Available"))</f>
        <v/>
      </c>
      <c r="AB232" s="8"/>
      <c r="AC232" s="8"/>
      <c r="AD232" s="8"/>
      <c r="AE232" s="8"/>
      <c r="AF232" s="8"/>
      <c r="AG232" s="8"/>
      <c r="AH232" s="8"/>
    </row>
    <row r="233" spans="1:34" ht="15.75" x14ac:dyDescent="0.25">
      <c r="A233" s="14" t="str">
        <f t="shared" si="6"/>
        <v/>
      </c>
      <c r="B233" s="15"/>
      <c r="C233" s="14" t="str">
        <f t="shared" si="7"/>
        <v/>
      </c>
      <c r="D233" s="8"/>
      <c r="E233" s="8"/>
      <c r="F233" s="8"/>
      <c r="G233" s="8"/>
      <c r="H233" s="14" t="str">
        <f>IF(ISBLANK(F233),"",IF(G233&lt;&gt;"",UPPER(TRIM(G233)),IF(ISNUMBER(SEARCH(" ",TRIM(F233))),UPPER(LEFT(TRIM(RIGHT(SUBSTITUTE(TRIM(F233)," ",REPT(" ",100)),100)),Settings!$B$9)),UPPER(LEFT(TRIM(F233),Settings!$B$9)))))</f>
        <v/>
      </c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16" t="str">
        <f>IF(ISBLANK(D233),"",IF(COUNTIFS(Circulation!$B$2:$B$500,A233,Circulation!$H$2:$H$500,"Active")&gt;0,"On Loan","Available"))</f>
        <v/>
      </c>
      <c r="AB233" s="8"/>
      <c r="AC233" s="8"/>
      <c r="AD233" s="8"/>
      <c r="AE233" s="8"/>
      <c r="AF233" s="8"/>
      <c r="AG233" s="8"/>
      <c r="AH233" s="8"/>
    </row>
    <row r="234" spans="1:34" ht="15.75" x14ac:dyDescent="0.25">
      <c r="A234" s="14" t="str">
        <f t="shared" si="6"/>
        <v/>
      </c>
      <c r="B234" s="15"/>
      <c r="C234" s="14" t="str">
        <f t="shared" si="7"/>
        <v/>
      </c>
      <c r="D234" s="8"/>
      <c r="E234" s="8"/>
      <c r="F234" s="8"/>
      <c r="G234" s="8"/>
      <c r="H234" s="14" t="str">
        <f>IF(ISBLANK(F234),"",IF(G234&lt;&gt;"",UPPER(TRIM(G234)),IF(ISNUMBER(SEARCH(" ",TRIM(F234))),UPPER(LEFT(TRIM(RIGHT(SUBSTITUTE(TRIM(F234)," ",REPT(" ",100)),100)),Settings!$B$9)),UPPER(LEFT(TRIM(F234),Settings!$B$9)))))</f>
        <v/>
      </c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16" t="str">
        <f>IF(ISBLANK(D234),"",IF(COUNTIFS(Circulation!$B$2:$B$500,A234,Circulation!$H$2:$H$500,"Active")&gt;0,"On Loan","Available"))</f>
        <v/>
      </c>
      <c r="AB234" s="8"/>
      <c r="AC234" s="8"/>
      <c r="AD234" s="8"/>
      <c r="AE234" s="8"/>
      <c r="AF234" s="8"/>
      <c r="AG234" s="8"/>
      <c r="AH234" s="8"/>
    </row>
    <row r="235" spans="1:34" ht="15.75" x14ac:dyDescent="0.25">
      <c r="A235" s="14" t="str">
        <f t="shared" si="6"/>
        <v/>
      </c>
      <c r="B235" s="15"/>
      <c r="C235" s="14" t="str">
        <f t="shared" si="7"/>
        <v/>
      </c>
      <c r="D235" s="8"/>
      <c r="E235" s="8"/>
      <c r="F235" s="8"/>
      <c r="G235" s="8"/>
      <c r="H235" s="14" t="str">
        <f>IF(ISBLANK(F235),"",IF(G235&lt;&gt;"",UPPER(TRIM(G235)),IF(ISNUMBER(SEARCH(" ",TRIM(F235))),UPPER(LEFT(TRIM(RIGHT(SUBSTITUTE(TRIM(F235)," ",REPT(" ",100)),100)),Settings!$B$9)),UPPER(LEFT(TRIM(F235),Settings!$B$9)))))</f>
        <v/>
      </c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16" t="str">
        <f>IF(ISBLANK(D235),"",IF(COUNTIFS(Circulation!$B$2:$B$500,A235,Circulation!$H$2:$H$500,"Active")&gt;0,"On Loan","Available"))</f>
        <v/>
      </c>
      <c r="AB235" s="8"/>
      <c r="AC235" s="8"/>
      <c r="AD235" s="8"/>
      <c r="AE235" s="8"/>
      <c r="AF235" s="8"/>
      <c r="AG235" s="8"/>
      <c r="AH235" s="8"/>
    </row>
    <row r="236" spans="1:34" ht="15.75" x14ac:dyDescent="0.25">
      <c r="A236" s="14" t="str">
        <f t="shared" si="6"/>
        <v/>
      </c>
      <c r="B236" s="15"/>
      <c r="C236" s="14" t="str">
        <f t="shared" si="7"/>
        <v/>
      </c>
      <c r="D236" s="8"/>
      <c r="E236" s="8"/>
      <c r="F236" s="8"/>
      <c r="G236" s="8"/>
      <c r="H236" s="14" t="str">
        <f>IF(ISBLANK(F236),"",IF(G236&lt;&gt;"",UPPER(TRIM(G236)),IF(ISNUMBER(SEARCH(" ",TRIM(F236))),UPPER(LEFT(TRIM(RIGHT(SUBSTITUTE(TRIM(F236)," ",REPT(" ",100)),100)),Settings!$B$9)),UPPER(LEFT(TRIM(F236),Settings!$B$9)))))</f>
        <v/>
      </c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16" t="str">
        <f>IF(ISBLANK(D236),"",IF(COUNTIFS(Circulation!$B$2:$B$500,A236,Circulation!$H$2:$H$500,"Active")&gt;0,"On Loan","Available"))</f>
        <v/>
      </c>
      <c r="AB236" s="8"/>
      <c r="AC236" s="8"/>
      <c r="AD236" s="8"/>
      <c r="AE236" s="8"/>
      <c r="AF236" s="8"/>
      <c r="AG236" s="8"/>
      <c r="AH236" s="8"/>
    </row>
    <row r="237" spans="1:34" ht="15.75" x14ac:dyDescent="0.25">
      <c r="A237" s="14" t="str">
        <f t="shared" si="6"/>
        <v/>
      </c>
      <c r="B237" s="15"/>
      <c r="C237" s="14" t="str">
        <f t="shared" si="7"/>
        <v/>
      </c>
      <c r="D237" s="8"/>
      <c r="E237" s="8"/>
      <c r="F237" s="8"/>
      <c r="G237" s="8"/>
      <c r="H237" s="14" t="str">
        <f>IF(ISBLANK(F237),"",IF(G237&lt;&gt;"",UPPER(TRIM(G237)),IF(ISNUMBER(SEARCH(" ",TRIM(F237))),UPPER(LEFT(TRIM(RIGHT(SUBSTITUTE(TRIM(F237)," ",REPT(" ",100)),100)),Settings!$B$9)),UPPER(LEFT(TRIM(F237),Settings!$B$9)))))</f>
        <v/>
      </c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16" t="str">
        <f>IF(ISBLANK(D237),"",IF(COUNTIFS(Circulation!$B$2:$B$500,A237,Circulation!$H$2:$H$500,"Active")&gt;0,"On Loan","Available"))</f>
        <v/>
      </c>
      <c r="AB237" s="8"/>
      <c r="AC237" s="8"/>
      <c r="AD237" s="8"/>
      <c r="AE237" s="8"/>
      <c r="AF237" s="8"/>
      <c r="AG237" s="8"/>
      <c r="AH237" s="8"/>
    </row>
    <row r="238" spans="1:34" ht="15.75" x14ac:dyDescent="0.25">
      <c r="A238" s="14" t="str">
        <f t="shared" si="6"/>
        <v/>
      </c>
      <c r="B238" s="15"/>
      <c r="C238" s="14" t="str">
        <f t="shared" si="7"/>
        <v/>
      </c>
      <c r="D238" s="8"/>
      <c r="E238" s="8"/>
      <c r="F238" s="8"/>
      <c r="G238" s="8"/>
      <c r="H238" s="14" t="str">
        <f>IF(ISBLANK(F238),"",IF(G238&lt;&gt;"",UPPER(TRIM(G238)),IF(ISNUMBER(SEARCH(" ",TRIM(F238))),UPPER(LEFT(TRIM(RIGHT(SUBSTITUTE(TRIM(F238)," ",REPT(" ",100)),100)),Settings!$B$9)),UPPER(LEFT(TRIM(F238),Settings!$B$9)))))</f>
        <v/>
      </c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16" t="str">
        <f>IF(ISBLANK(D238),"",IF(COUNTIFS(Circulation!$B$2:$B$500,A238,Circulation!$H$2:$H$500,"Active")&gt;0,"On Loan","Available"))</f>
        <v/>
      </c>
      <c r="AB238" s="8"/>
      <c r="AC238" s="8"/>
      <c r="AD238" s="8"/>
      <c r="AE238" s="8"/>
      <c r="AF238" s="8"/>
      <c r="AG238" s="8"/>
      <c r="AH238" s="8"/>
    </row>
    <row r="239" spans="1:34" ht="15.75" x14ac:dyDescent="0.25">
      <c r="A239" s="14" t="str">
        <f t="shared" si="6"/>
        <v/>
      </c>
      <c r="B239" s="15"/>
      <c r="C239" s="14" t="str">
        <f t="shared" si="7"/>
        <v/>
      </c>
      <c r="D239" s="8"/>
      <c r="E239" s="8"/>
      <c r="F239" s="8"/>
      <c r="G239" s="8"/>
      <c r="H239" s="14" t="str">
        <f>IF(ISBLANK(F239),"",IF(G239&lt;&gt;"",UPPER(TRIM(G239)),IF(ISNUMBER(SEARCH(" ",TRIM(F239))),UPPER(LEFT(TRIM(RIGHT(SUBSTITUTE(TRIM(F239)," ",REPT(" ",100)),100)),Settings!$B$9)),UPPER(LEFT(TRIM(F239),Settings!$B$9)))))</f>
        <v/>
      </c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16" t="str">
        <f>IF(ISBLANK(D239),"",IF(COUNTIFS(Circulation!$B$2:$B$500,A239,Circulation!$H$2:$H$500,"Active")&gt;0,"On Loan","Available"))</f>
        <v/>
      </c>
      <c r="AB239" s="8"/>
      <c r="AC239" s="8"/>
      <c r="AD239" s="8"/>
      <c r="AE239" s="8"/>
      <c r="AF239" s="8"/>
      <c r="AG239" s="8"/>
      <c r="AH239" s="8"/>
    </row>
    <row r="240" spans="1:34" ht="15.75" x14ac:dyDescent="0.25">
      <c r="A240" s="14" t="str">
        <f t="shared" si="6"/>
        <v/>
      </c>
      <c r="B240" s="15"/>
      <c r="C240" s="14" t="str">
        <f t="shared" si="7"/>
        <v/>
      </c>
      <c r="D240" s="8"/>
      <c r="E240" s="8"/>
      <c r="F240" s="8"/>
      <c r="G240" s="8"/>
      <c r="H240" s="14" t="str">
        <f>IF(ISBLANK(F240),"",IF(G240&lt;&gt;"",UPPER(TRIM(G240)),IF(ISNUMBER(SEARCH(" ",TRIM(F240))),UPPER(LEFT(TRIM(RIGHT(SUBSTITUTE(TRIM(F240)," ",REPT(" ",100)),100)),Settings!$B$9)),UPPER(LEFT(TRIM(F240),Settings!$B$9)))))</f>
        <v/>
      </c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16" t="str">
        <f>IF(ISBLANK(D240),"",IF(COUNTIFS(Circulation!$B$2:$B$500,A240,Circulation!$H$2:$H$500,"Active")&gt;0,"On Loan","Available"))</f>
        <v/>
      </c>
      <c r="AB240" s="8"/>
      <c r="AC240" s="8"/>
      <c r="AD240" s="8"/>
      <c r="AE240" s="8"/>
      <c r="AF240" s="8"/>
      <c r="AG240" s="8"/>
      <c r="AH240" s="8"/>
    </row>
    <row r="241" spans="1:34" ht="15.75" x14ac:dyDescent="0.25">
      <c r="A241" s="14" t="str">
        <f t="shared" si="6"/>
        <v/>
      </c>
      <c r="B241" s="15"/>
      <c r="C241" s="14" t="str">
        <f t="shared" si="7"/>
        <v/>
      </c>
      <c r="D241" s="8"/>
      <c r="E241" s="8"/>
      <c r="F241" s="8"/>
      <c r="G241" s="8"/>
      <c r="H241" s="14" t="str">
        <f>IF(ISBLANK(F241),"",IF(G241&lt;&gt;"",UPPER(TRIM(G241)),IF(ISNUMBER(SEARCH(" ",TRIM(F241))),UPPER(LEFT(TRIM(RIGHT(SUBSTITUTE(TRIM(F241)," ",REPT(" ",100)),100)),Settings!$B$9)),UPPER(LEFT(TRIM(F241),Settings!$B$9)))))</f>
        <v/>
      </c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16" t="str">
        <f>IF(ISBLANK(D241),"",IF(COUNTIFS(Circulation!$B$2:$B$500,A241,Circulation!$H$2:$H$500,"Active")&gt;0,"On Loan","Available"))</f>
        <v/>
      </c>
      <c r="AB241" s="8"/>
      <c r="AC241" s="8"/>
      <c r="AD241" s="8"/>
      <c r="AE241" s="8"/>
      <c r="AF241" s="8"/>
      <c r="AG241" s="8"/>
      <c r="AH241" s="8"/>
    </row>
    <row r="242" spans="1:34" ht="15.75" x14ac:dyDescent="0.25">
      <c r="A242" s="14" t="str">
        <f t="shared" si="6"/>
        <v/>
      </c>
      <c r="B242" s="15"/>
      <c r="C242" s="14" t="str">
        <f t="shared" si="7"/>
        <v/>
      </c>
      <c r="D242" s="8"/>
      <c r="E242" s="8"/>
      <c r="F242" s="8"/>
      <c r="G242" s="8"/>
      <c r="H242" s="14" t="str">
        <f>IF(ISBLANK(F242),"",IF(G242&lt;&gt;"",UPPER(TRIM(G242)),IF(ISNUMBER(SEARCH(" ",TRIM(F242))),UPPER(LEFT(TRIM(RIGHT(SUBSTITUTE(TRIM(F242)," ",REPT(" ",100)),100)),Settings!$B$9)),UPPER(LEFT(TRIM(F242),Settings!$B$9)))))</f>
        <v/>
      </c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16" t="str">
        <f>IF(ISBLANK(D242),"",IF(COUNTIFS(Circulation!$B$2:$B$500,A242,Circulation!$H$2:$H$500,"Active")&gt;0,"On Loan","Available"))</f>
        <v/>
      </c>
      <c r="AB242" s="8"/>
      <c r="AC242" s="8"/>
      <c r="AD242" s="8"/>
      <c r="AE242" s="8"/>
      <c r="AF242" s="8"/>
      <c r="AG242" s="8"/>
      <c r="AH242" s="8"/>
    </row>
    <row r="243" spans="1:34" ht="15.75" x14ac:dyDescent="0.25">
      <c r="A243" s="14" t="str">
        <f t="shared" si="6"/>
        <v/>
      </c>
      <c r="B243" s="15"/>
      <c r="C243" s="14" t="str">
        <f t="shared" si="7"/>
        <v/>
      </c>
      <c r="D243" s="8"/>
      <c r="E243" s="8"/>
      <c r="F243" s="8"/>
      <c r="G243" s="8"/>
      <c r="H243" s="14" t="str">
        <f>IF(ISBLANK(F243),"",IF(G243&lt;&gt;"",UPPER(TRIM(G243)),IF(ISNUMBER(SEARCH(" ",TRIM(F243))),UPPER(LEFT(TRIM(RIGHT(SUBSTITUTE(TRIM(F243)," ",REPT(" ",100)),100)),Settings!$B$9)),UPPER(LEFT(TRIM(F243),Settings!$B$9)))))</f>
        <v/>
      </c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16" t="str">
        <f>IF(ISBLANK(D243),"",IF(COUNTIFS(Circulation!$B$2:$B$500,A243,Circulation!$H$2:$H$500,"Active")&gt;0,"On Loan","Available"))</f>
        <v/>
      </c>
      <c r="AB243" s="8"/>
      <c r="AC243" s="8"/>
      <c r="AD243" s="8"/>
      <c r="AE243" s="8"/>
      <c r="AF243" s="8"/>
      <c r="AG243" s="8"/>
      <c r="AH243" s="8"/>
    </row>
    <row r="244" spans="1:34" ht="15.75" x14ac:dyDescent="0.25">
      <c r="A244" s="14" t="str">
        <f t="shared" si="6"/>
        <v/>
      </c>
      <c r="B244" s="15"/>
      <c r="C244" s="14" t="str">
        <f t="shared" si="7"/>
        <v/>
      </c>
      <c r="D244" s="8"/>
      <c r="E244" s="8"/>
      <c r="F244" s="8"/>
      <c r="G244" s="8"/>
      <c r="H244" s="14" t="str">
        <f>IF(ISBLANK(F244),"",IF(G244&lt;&gt;"",UPPER(TRIM(G244)),IF(ISNUMBER(SEARCH(" ",TRIM(F244))),UPPER(LEFT(TRIM(RIGHT(SUBSTITUTE(TRIM(F244)," ",REPT(" ",100)),100)),Settings!$B$9)),UPPER(LEFT(TRIM(F244),Settings!$B$9)))))</f>
        <v/>
      </c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16" t="str">
        <f>IF(ISBLANK(D244),"",IF(COUNTIFS(Circulation!$B$2:$B$500,A244,Circulation!$H$2:$H$500,"Active")&gt;0,"On Loan","Available"))</f>
        <v/>
      </c>
      <c r="AB244" s="8"/>
      <c r="AC244" s="8"/>
      <c r="AD244" s="8"/>
      <c r="AE244" s="8"/>
      <c r="AF244" s="8"/>
      <c r="AG244" s="8"/>
      <c r="AH244" s="8"/>
    </row>
    <row r="245" spans="1:34" ht="15.75" x14ac:dyDescent="0.25">
      <c r="A245" s="14" t="str">
        <f t="shared" si="6"/>
        <v/>
      </c>
      <c r="B245" s="15"/>
      <c r="C245" s="14" t="str">
        <f t="shared" si="7"/>
        <v/>
      </c>
      <c r="D245" s="8"/>
      <c r="E245" s="8"/>
      <c r="F245" s="8"/>
      <c r="G245" s="8"/>
      <c r="H245" s="14" t="str">
        <f>IF(ISBLANK(F245),"",IF(G245&lt;&gt;"",UPPER(TRIM(G245)),IF(ISNUMBER(SEARCH(" ",TRIM(F245))),UPPER(LEFT(TRIM(RIGHT(SUBSTITUTE(TRIM(F245)," ",REPT(" ",100)),100)),Settings!$B$9)),UPPER(LEFT(TRIM(F245),Settings!$B$9)))))</f>
        <v/>
      </c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16" t="str">
        <f>IF(ISBLANK(D245),"",IF(COUNTIFS(Circulation!$B$2:$B$500,A245,Circulation!$H$2:$H$500,"Active")&gt;0,"On Loan","Available"))</f>
        <v/>
      </c>
      <c r="AB245" s="8"/>
      <c r="AC245" s="8"/>
      <c r="AD245" s="8"/>
      <c r="AE245" s="8"/>
      <c r="AF245" s="8"/>
      <c r="AG245" s="8"/>
      <c r="AH245" s="8"/>
    </row>
    <row r="246" spans="1:34" ht="15.75" x14ac:dyDescent="0.25">
      <c r="A246" s="14" t="str">
        <f t="shared" si="6"/>
        <v/>
      </c>
      <c r="B246" s="15"/>
      <c r="C246" s="14" t="str">
        <f t="shared" si="7"/>
        <v/>
      </c>
      <c r="D246" s="8"/>
      <c r="E246" s="8"/>
      <c r="F246" s="8"/>
      <c r="G246" s="8"/>
      <c r="H246" s="14" t="str">
        <f>IF(ISBLANK(F246),"",IF(G246&lt;&gt;"",UPPER(TRIM(G246)),IF(ISNUMBER(SEARCH(" ",TRIM(F246))),UPPER(LEFT(TRIM(RIGHT(SUBSTITUTE(TRIM(F246)," ",REPT(" ",100)),100)),Settings!$B$9)),UPPER(LEFT(TRIM(F246),Settings!$B$9)))))</f>
        <v/>
      </c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16" t="str">
        <f>IF(ISBLANK(D246),"",IF(COUNTIFS(Circulation!$B$2:$B$500,A246,Circulation!$H$2:$H$500,"Active")&gt;0,"On Loan","Available"))</f>
        <v/>
      </c>
      <c r="AB246" s="8"/>
      <c r="AC246" s="8"/>
      <c r="AD246" s="8"/>
      <c r="AE246" s="8"/>
      <c r="AF246" s="8"/>
      <c r="AG246" s="8"/>
      <c r="AH246" s="8"/>
    </row>
    <row r="247" spans="1:34" ht="15.75" x14ac:dyDescent="0.25">
      <c r="A247" s="14" t="str">
        <f t="shared" si="6"/>
        <v/>
      </c>
      <c r="B247" s="15"/>
      <c r="C247" s="14" t="str">
        <f t="shared" si="7"/>
        <v/>
      </c>
      <c r="D247" s="8"/>
      <c r="E247" s="8"/>
      <c r="F247" s="8"/>
      <c r="G247" s="8"/>
      <c r="H247" s="14" t="str">
        <f>IF(ISBLANK(F247),"",IF(G247&lt;&gt;"",UPPER(TRIM(G247)),IF(ISNUMBER(SEARCH(" ",TRIM(F247))),UPPER(LEFT(TRIM(RIGHT(SUBSTITUTE(TRIM(F247)," ",REPT(" ",100)),100)),Settings!$B$9)),UPPER(LEFT(TRIM(F247),Settings!$B$9)))))</f>
        <v/>
      </c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16" t="str">
        <f>IF(ISBLANK(D247),"",IF(COUNTIFS(Circulation!$B$2:$B$500,A247,Circulation!$H$2:$H$500,"Active")&gt;0,"On Loan","Available"))</f>
        <v/>
      </c>
      <c r="AB247" s="8"/>
      <c r="AC247" s="8"/>
      <c r="AD247" s="8"/>
      <c r="AE247" s="8"/>
      <c r="AF247" s="8"/>
      <c r="AG247" s="8"/>
      <c r="AH247" s="8"/>
    </row>
    <row r="248" spans="1:34" ht="15.75" x14ac:dyDescent="0.25">
      <c r="A248" s="14" t="str">
        <f t="shared" si="6"/>
        <v/>
      </c>
      <c r="B248" s="15"/>
      <c r="C248" s="14" t="str">
        <f t="shared" si="7"/>
        <v/>
      </c>
      <c r="D248" s="8"/>
      <c r="E248" s="8"/>
      <c r="F248" s="8"/>
      <c r="G248" s="8"/>
      <c r="H248" s="14" t="str">
        <f>IF(ISBLANK(F248),"",IF(G248&lt;&gt;"",UPPER(TRIM(G248)),IF(ISNUMBER(SEARCH(" ",TRIM(F248))),UPPER(LEFT(TRIM(RIGHT(SUBSTITUTE(TRIM(F248)," ",REPT(" ",100)),100)),Settings!$B$9)),UPPER(LEFT(TRIM(F248),Settings!$B$9)))))</f>
        <v/>
      </c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16" t="str">
        <f>IF(ISBLANK(D248),"",IF(COUNTIFS(Circulation!$B$2:$B$500,A248,Circulation!$H$2:$H$500,"Active")&gt;0,"On Loan","Available"))</f>
        <v/>
      </c>
      <c r="AB248" s="8"/>
      <c r="AC248" s="8"/>
      <c r="AD248" s="8"/>
      <c r="AE248" s="8"/>
      <c r="AF248" s="8"/>
      <c r="AG248" s="8"/>
      <c r="AH248" s="8"/>
    </row>
    <row r="249" spans="1:34" ht="15.75" x14ac:dyDescent="0.25">
      <c r="A249" s="14" t="str">
        <f t="shared" si="6"/>
        <v/>
      </c>
      <c r="B249" s="15"/>
      <c r="C249" s="14" t="str">
        <f t="shared" si="7"/>
        <v/>
      </c>
      <c r="D249" s="8"/>
      <c r="E249" s="8"/>
      <c r="F249" s="8"/>
      <c r="G249" s="8"/>
      <c r="H249" s="14" t="str">
        <f>IF(ISBLANK(F249),"",IF(G249&lt;&gt;"",UPPER(TRIM(G249)),IF(ISNUMBER(SEARCH(" ",TRIM(F249))),UPPER(LEFT(TRIM(RIGHT(SUBSTITUTE(TRIM(F249)," ",REPT(" ",100)),100)),Settings!$B$9)),UPPER(LEFT(TRIM(F249),Settings!$B$9)))))</f>
        <v/>
      </c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16" t="str">
        <f>IF(ISBLANK(D249),"",IF(COUNTIFS(Circulation!$B$2:$B$500,A249,Circulation!$H$2:$H$500,"Active")&gt;0,"On Loan","Available"))</f>
        <v/>
      </c>
      <c r="AB249" s="8"/>
      <c r="AC249" s="8"/>
      <c r="AD249" s="8"/>
      <c r="AE249" s="8"/>
      <c r="AF249" s="8"/>
      <c r="AG249" s="8"/>
      <c r="AH249" s="8"/>
    </row>
    <row r="250" spans="1:34" ht="15.75" x14ac:dyDescent="0.25">
      <c r="A250" s="14" t="str">
        <f t="shared" si="6"/>
        <v/>
      </c>
      <c r="B250" s="15"/>
      <c r="C250" s="14" t="str">
        <f t="shared" si="7"/>
        <v/>
      </c>
      <c r="D250" s="8"/>
      <c r="E250" s="8"/>
      <c r="F250" s="8"/>
      <c r="G250" s="8"/>
      <c r="H250" s="14" t="str">
        <f>IF(ISBLANK(F250),"",IF(G250&lt;&gt;"",UPPER(TRIM(G250)),IF(ISNUMBER(SEARCH(" ",TRIM(F250))),UPPER(LEFT(TRIM(RIGHT(SUBSTITUTE(TRIM(F250)," ",REPT(" ",100)),100)),Settings!$B$9)),UPPER(LEFT(TRIM(F250),Settings!$B$9)))))</f>
        <v/>
      </c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16" t="str">
        <f>IF(ISBLANK(D250),"",IF(COUNTIFS(Circulation!$B$2:$B$500,A250,Circulation!$H$2:$H$500,"Active")&gt;0,"On Loan","Available"))</f>
        <v/>
      </c>
      <c r="AB250" s="8"/>
      <c r="AC250" s="8"/>
      <c r="AD250" s="8"/>
      <c r="AE250" s="8"/>
      <c r="AF250" s="8"/>
      <c r="AG250" s="8"/>
      <c r="AH250" s="8"/>
    </row>
    <row r="251" spans="1:34" ht="15.75" x14ac:dyDescent="0.25">
      <c r="A251" s="14" t="str">
        <f t="shared" si="6"/>
        <v/>
      </c>
      <c r="B251" s="15"/>
      <c r="C251" s="14" t="str">
        <f t="shared" si="7"/>
        <v/>
      </c>
      <c r="D251" s="8"/>
      <c r="E251" s="8"/>
      <c r="F251" s="8"/>
      <c r="G251" s="8"/>
      <c r="H251" s="14" t="str">
        <f>IF(ISBLANK(F251),"",IF(G251&lt;&gt;"",UPPER(TRIM(G251)),IF(ISNUMBER(SEARCH(" ",TRIM(F251))),UPPER(LEFT(TRIM(RIGHT(SUBSTITUTE(TRIM(F251)," ",REPT(" ",100)),100)),Settings!$B$9)),UPPER(LEFT(TRIM(F251),Settings!$B$9)))))</f>
        <v/>
      </c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16" t="str">
        <f>IF(ISBLANK(D251),"",IF(COUNTIFS(Circulation!$B$2:$B$500,A251,Circulation!$H$2:$H$500,"Active")&gt;0,"On Loan","Available"))</f>
        <v/>
      </c>
      <c r="AB251" s="8"/>
      <c r="AC251" s="8"/>
      <c r="AD251" s="8"/>
      <c r="AE251" s="8"/>
      <c r="AF251" s="8"/>
      <c r="AG251" s="8"/>
      <c r="AH251" s="8"/>
    </row>
    <row r="252" spans="1:34" ht="15.75" x14ac:dyDescent="0.25">
      <c r="A252" s="14" t="str">
        <f t="shared" si="6"/>
        <v/>
      </c>
      <c r="B252" s="15"/>
      <c r="C252" s="14" t="str">
        <f t="shared" si="7"/>
        <v/>
      </c>
      <c r="D252" s="8"/>
      <c r="E252" s="8"/>
      <c r="F252" s="8"/>
      <c r="G252" s="8"/>
      <c r="H252" s="14" t="str">
        <f>IF(ISBLANK(F252),"",IF(G252&lt;&gt;"",UPPER(TRIM(G252)),IF(ISNUMBER(SEARCH(" ",TRIM(F252))),UPPER(LEFT(TRIM(RIGHT(SUBSTITUTE(TRIM(F252)," ",REPT(" ",100)),100)),Settings!$B$9)),UPPER(LEFT(TRIM(F252),Settings!$B$9)))))</f>
        <v/>
      </c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16" t="str">
        <f>IF(ISBLANK(D252),"",IF(COUNTIFS(Circulation!$B$2:$B$500,A252,Circulation!$H$2:$H$500,"Active")&gt;0,"On Loan","Available"))</f>
        <v/>
      </c>
      <c r="AB252" s="8"/>
      <c r="AC252" s="8"/>
      <c r="AD252" s="8"/>
      <c r="AE252" s="8"/>
      <c r="AF252" s="8"/>
      <c r="AG252" s="8"/>
      <c r="AH252" s="8"/>
    </row>
    <row r="253" spans="1:34" ht="15.75" x14ac:dyDescent="0.25">
      <c r="A253" s="14" t="str">
        <f t="shared" si="6"/>
        <v/>
      </c>
      <c r="B253" s="15"/>
      <c r="C253" s="14" t="str">
        <f t="shared" si="7"/>
        <v/>
      </c>
      <c r="D253" s="8"/>
      <c r="E253" s="8"/>
      <c r="F253" s="8"/>
      <c r="G253" s="8"/>
      <c r="H253" s="14" t="str">
        <f>IF(ISBLANK(F253),"",IF(G253&lt;&gt;"",UPPER(TRIM(G253)),IF(ISNUMBER(SEARCH(" ",TRIM(F253))),UPPER(LEFT(TRIM(RIGHT(SUBSTITUTE(TRIM(F253)," ",REPT(" ",100)),100)),Settings!$B$9)),UPPER(LEFT(TRIM(F253),Settings!$B$9)))))</f>
        <v/>
      </c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16" t="str">
        <f>IF(ISBLANK(D253),"",IF(COUNTIFS(Circulation!$B$2:$B$500,A253,Circulation!$H$2:$H$500,"Active")&gt;0,"On Loan","Available"))</f>
        <v/>
      </c>
      <c r="AB253" s="8"/>
      <c r="AC253" s="8"/>
      <c r="AD253" s="8"/>
      <c r="AE253" s="8"/>
      <c r="AF253" s="8"/>
      <c r="AG253" s="8"/>
      <c r="AH253" s="8"/>
    </row>
    <row r="254" spans="1:34" ht="15.75" x14ac:dyDescent="0.25">
      <c r="A254" s="14" t="str">
        <f t="shared" si="6"/>
        <v/>
      </c>
      <c r="B254" s="15"/>
      <c r="C254" s="14" t="str">
        <f t="shared" si="7"/>
        <v/>
      </c>
      <c r="D254" s="8"/>
      <c r="E254" s="8"/>
      <c r="F254" s="8"/>
      <c r="G254" s="8"/>
      <c r="H254" s="14" t="str">
        <f>IF(ISBLANK(F254),"",IF(G254&lt;&gt;"",UPPER(TRIM(G254)),IF(ISNUMBER(SEARCH(" ",TRIM(F254))),UPPER(LEFT(TRIM(RIGHT(SUBSTITUTE(TRIM(F254)," ",REPT(" ",100)),100)),Settings!$B$9)),UPPER(LEFT(TRIM(F254),Settings!$B$9)))))</f>
        <v/>
      </c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16" t="str">
        <f>IF(ISBLANK(D254),"",IF(COUNTIFS(Circulation!$B$2:$B$500,A254,Circulation!$H$2:$H$500,"Active")&gt;0,"On Loan","Available"))</f>
        <v/>
      </c>
      <c r="AB254" s="8"/>
      <c r="AC254" s="8"/>
      <c r="AD254" s="8"/>
      <c r="AE254" s="8"/>
      <c r="AF254" s="8"/>
      <c r="AG254" s="8"/>
      <c r="AH254" s="8"/>
    </row>
    <row r="255" spans="1:34" ht="15.75" x14ac:dyDescent="0.25">
      <c r="A255" s="14" t="str">
        <f t="shared" si="6"/>
        <v/>
      </c>
      <c r="B255" s="15"/>
      <c r="C255" s="14" t="str">
        <f t="shared" si="7"/>
        <v/>
      </c>
      <c r="D255" s="8"/>
      <c r="E255" s="8"/>
      <c r="F255" s="8"/>
      <c r="G255" s="8"/>
      <c r="H255" s="14" t="str">
        <f>IF(ISBLANK(F255),"",IF(G255&lt;&gt;"",UPPER(TRIM(G255)),IF(ISNUMBER(SEARCH(" ",TRIM(F255))),UPPER(LEFT(TRIM(RIGHT(SUBSTITUTE(TRIM(F255)," ",REPT(" ",100)),100)),Settings!$B$9)),UPPER(LEFT(TRIM(F255),Settings!$B$9)))))</f>
        <v/>
      </c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16" t="str">
        <f>IF(ISBLANK(D255),"",IF(COUNTIFS(Circulation!$B$2:$B$500,A255,Circulation!$H$2:$H$500,"Active")&gt;0,"On Loan","Available"))</f>
        <v/>
      </c>
      <c r="AB255" s="8"/>
      <c r="AC255" s="8"/>
      <c r="AD255" s="8"/>
      <c r="AE255" s="8"/>
      <c r="AF255" s="8"/>
      <c r="AG255" s="8"/>
      <c r="AH255" s="8"/>
    </row>
    <row r="256" spans="1:34" ht="15.75" x14ac:dyDescent="0.25">
      <c r="A256" s="14" t="str">
        <f t="shared" si="6"/>
        <v/>
      </c>
      <c r="B256" s="15"/>
      <c r="C256" s="14" t="str">
        <f t="shared" si="7"/>
        <v/>
      </c>
      <c r="D256" s="8"/>
      <c r="E256" s="8"/>
      <c r="F256" s="8"/>
      <c r="G256" s="8"/>
      <c r="H256" s="14" t="str">
        <f>IF(ISBLANK(F256),"",IF(G256&lt;&gt;"",UPPER(TRIM(G256)),IF(ISNUMBER(SEARCH(" ",TRIM(F256))),UPPER(LEFT(TRIM(RIGHT(SUBSTITUTE(TRIM(F256)," ",REPT(" ",100)),100)),Settings!$B$9)),UPPER(LEFT(TRIM(F256),Settings!$B$9)))))</f>
        <v/>
      </c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16" t="str">
        <f>IF(ISBLANK(D256),"",IF(COUNTIFS(Circulation!$B$2:$B$500,A256,Circulation!$H$2:$H$500,"Active")&gt;0,"On Loan","Available"))</f>
        <v/>
      </c>
      <c r="AB256" s="8"/>
      <c r="AC256" s="8"/>
      <c r="AD256" s="8"/>
      <c r="AE256" s="8"/>
      <c r="AF256" s="8"/>
      <c r="AG256" s="8"/>
      <c r="AH256" s="8"/>
    </row>
    <row r="257" spans="1:34" ht="15.75" x14ac:dyDescent="0.25">
      <c r="A257" s="14" t="str">
        <f t="shared" si="6"/>
        <v/>
      </c>
      <c r="B257" s="15"/>
      <c r="C257" s="14" t="str">
        <f t="shared" si="7"/>
        <v/>
      </c>
      <c r="D257" s="8"/>
      <c r="E257" s="8"/>
      <c r="F257" s="8"/>
      <c r="G257" s="8"/>
      <c r="H257" s="14" t="str">
        <f>IF(ISBLANK(F257),"",IF(G257&lt;&gt;"",UPPER(TRIM(G257)),IF(ISNUMBER(SEARCH(" ",TRIM(F257))),UPPER(LEFT(TRIM(RIGHT(SUBSTITUTE(TRIM(F257)," ",REPT(" ",100)),100)),Settings!$B$9)),UPPER(LEFT(TRIM(F257),Settings!$B$9)))))</f>
        <v/>
      </c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16" t="str">
        <f>IF(ISBLANK(D257),"",IF(COUNTIFS(Circulation!$B$2:$B$500,A257,Circulation!$H$2:$H$500,"Active")&gt;0,"On Loan","Available"))</f>
        <v/>
      </c>
      <c r="AB257" s="8"/>
      <c r="AC257" s="8"/>
      <c r="AD257" s="8"/>
      <c r="AE257" s="8"/>
      <c r="AF257" s="8"/>
      <c r="AG257" s="8"/>
      <c r="AH257" s="8"/>
    </row>
    <row r="258" spans="1:34" ht="15.75" x14ac:dyDescent="0.25">
      <c r="A258" s="14" t="str">
        <f t="shared" ref="A258:A321" si="8">IF(ISBLANK(D258),"",ROW()-1)</f>
        <v/>
      </c>
      <c r="B258" s="15"/>
      <c r="C258" s="14" t="str">
        <f t="shared" ref="C258:C321" si="9">IF(OR(ISBLANK(D258),ISBLANK(K258)),"",IFERROR(VLOOKUP(K258,CatItemTypeLookup,2,FALSE),"?")&amp;"-"&amp;IF(L258="","?",IFERROR(VLOOKUP(L258,SubjectLookup,2,FALSE),"="))&amp;"-"&amp;IF(M258="","?",IFERROR(VLOOKUP(M258,GenreLookup,2,FALSE),"="))&amp;"-"&amp;IF(H258="","NOC",H258)&amp;"-"&amp;TEXT(A258,"000")&amp;IF(ISBLANK(O258),"","-"&amp;SUBSTITUTE(O258," ","")))</f>
        <v/>
      </c>
      <c r="D258" s="8"/>
      <c r="E258" s="8"/>
      <c r="F258" s="8"/>
      <c r="G258" s="8"/>
      <c r="H258" s="14" t="str">
        <f>IF(ISBLANK(F258),"",IF(G258&lt;&gt;"",UPPER(TRIM(G258)),IF(ISNUMBER(SEARCH(" ",TRIM(F258))),UPPER(LEFT(TRIM(RIGHT(SUBSTITUTE(TRIM(F258)," ",REPT(" ",100)),100)),Settings!$B$9)),UPPER(LEFT(TRIM(F258),Settings!$B$9)))))</f>
        <v/>
      </c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16" t="str">
        <f>IF(ISBLANK(D258),"",IF(COUNTIFS(Circulation!$B$2:$B$500,A258,Circulation!$H$2:$H$500,"Active")&gt;0,"On Loan","Available"))</f>
        <v/>
      </c>
      <c r="AB258" s="8"/>
      <c r="AC258" s="8"/>
      <c r="AD258" s="8"/>
      <c r="AE258" s="8"/>
      <c r="AF258" s="8"/>
      <c r="AG258" s="8"/>
      <c r="AH258" s="8"/>
    </row>
    <row r="259" spans="1:34" ht="15.75" x14ac:dyDescent="0.25">
      <c r="A259" s="14" t="str">
        <f t="shared" si="8"/>
        <v/>
      </c>
      <c r="B259" s="15"/>
      <c r="C259" s="14" t="str">
        <f t="shared" si="9"/>
        <v/>
      </c>
      <c r="D259" s="8"/>
      <c r="E259" s="8"/>
      <c r="F259" s="8"/>
      <c r="G259" s="8"/>
      <c r="H259" s="14" t="str">
        <f>IF(ISBLANK(F259),"",IF(G259&lt;&gt;"",UPPER(TRIM(G259)),IF(ISNUMBER(SEARCH(" ",TRIM(F259))),UPPER(LEFT(TRIM(RIGHT(SUBSTITUTE(TRIM(F259)," ",REPT(" ",100)),100)),Settings!$B$9)),UPPER(LEFT(TRIM(F259),Settings!$B$9)))))</f>
        <v/>
      </c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16" t="str">
        <f>IF(ISBLANK(D259),"",IF(COUNTIFS(Circulation!$B$2:$B$500,A259,Circulation!$H$2:$H$500,"Active")&gt;0,"On Loan","Available"))</f>
        <v/>
      </c>
      <c r="AB259" s="8"/>
      <c r="AC259" s="8"/>
      <c r="AD259" s="8"/>
      <c r="AE259" s="8"/>
      <c r="AF259" s="8"/>
      <c r="AG259" s="8"/>
      <c r="AH259" s="8"/>
    </row>
    <row r="260" spans="1:34" ht="15.75" x14ac:dyDescent="0.25">
      <c r="A260" s="14" t="str">
        <f t="shared" si="8"/>
        <v/>
      </c>
      <c r="B260" s="15"/>
      <c r="C260" s="14" t="str">
        <f t="shared" si="9"/>
        <v/>
      </c>
      <c r="D260" s="8"/>
      <c r="E260" s="8"/>
      <c r="F260" s="8"/>
      <c r="G260" s="8"/>
      <c r="H260" s="14" t="str">
        <f>IF(ISBLANK(F260),"",IF(G260&lt;&gt;"",UPPER(TRIM(G260)),IF(ISNUMBER(SEARCH(" ",TRIM(F260))),UPPER(LEFT(TRIM(RIGHT(SUBSTITUTE(TRIM(F260)," ",REPT(" ",100)),100)),Settings!$B$9)),UPPER(LEFT(TRIM(F260),Settings!$B$9)))))</f>
        <v/>
      </c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16" t="str">
        <f>IF(ISBLANK(D260),"",IF(COUNTIFS(Circulation!$B$2:$B$500,A260,Circulation!$H$2:$H$500,"Active")&gt;0,"On Loan","Available"))</f>
        <v/>
      </c>
      <c r="AB260" s="8"/>
      <c r="AC260" s="8"/>
      <c r="AD260" s="8"/>
      <c r="AE260" s="8"/>
      <c r="AF260" s="8"/>
      <c r="AG260" s="8"/>
      <c r="AH260" s="8"/>
    </row>
    <row r="261" spans="1:34" ht="15.75" x14ac:dyDescent="0.25">
      <c r="A261" s="14" t="str">
        <f t="shared" si="8"/>
        <v/>
      </c>
      <c r="B261" s="15"/>
      <c r="C261" s="14" t="str">
        <f t="shared" si="9"/>
        <v/>
      </c>
      <c r="D261" s="8"/>
      <c r="E261" s="8"/>
      <c r="F261" s="8"/>
      <c r="G261" s="8"/>
      <c r="H261" s="14" t="str">
        <f>IF(ISBLANK(F261),"",IF(G261&lt;&gt;"",UPPER(TRIM(G261)),IF(ISNUMBER(SEARCH(" ",TRIM(F261))),UPPER(LEFT(TRIM(RIGHT(SUBSTITUTE(TRIM(F261)," ",REPT(" ",100)),100)),Settings!$B$9)),UPPER(LEFT(TRIM(F261),Settings!$B$9)))))</f>
        <v/>
      </c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16" t="str">
        <f>IF(ISBLANK(D261),"",IF(COUNTIFS(Circulation!$B$2:$B$500,A261,Circulation!$H$2:$H$500,"Active")&gt;0,"On Loan","Available"))</f>
        <v/>
      </c>
      <c r="AB261" s="8"/>
      <c r="AC261" s="8"/>
      <c r="AD261" s="8"/>
      <c r="AE261" s="8"/>
      <c r="AF261" s="8"/>
      <c r="AG261" s="8"/>
      <c r="AH261" s="8"/>
    </row>
    <row r="262" spans="1:34" ht="15.75" x14ac:dyDescent="0.25">
      <c r="A262" s="14" t="str">
        <f t="shared" si="8"/>
        <v/>
      </c>
      <c r="B262" s="15"/>
      <c r="C262" s="14" t="str">
        <f t="shared" si="9"/>
        <v/>
      </c>
      <c r="D262" s="8"/>
      <c r="E262" s="8"/>
      <c r="F262" s="8"/>
      <c r="G262" s="8"/>
      <c r="H262" s="14" t="str">
        <f>IF(ISBLANK(F262),"",IF(G262&lt;&gt;"",UPPER(TRIM(G262)),IF(ISNUMBER(SEARCH(" ",TRIM(F262))),UPPER(LEFT(TRIM(RIGHT(SUBSTITUTE(TRIM(F262)," ",REPT(" ",100)),100)),Settings!$B$9)),UPPER(LEFT(TRIM(F262),Settings!$B$9)))))</f>
        <v/>
      </c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16" t="str">
        <f>IF(ISBLANK(D262),"",IF(COUNTIFS(Circulation!$B$2:$B$500,A262,Circulation!$H$2:$H$500,"Active")&gt;0,"On Loan","Available"))</f>
        <v/>
      </c>
      <c r="AB262" s="8"/>
      <c r="AC262" s="8"/>
      <c r="AD262" s="8"/>
      <c r="AE262" s="8"/>
      <c r="AF262" s="8"/>
      <c r="AG262" s="8"/>
      <c r="AH262" s="8"/>
    </row>
    <row r="263" spans="1:34" ht="15.75" x14ac:dyDescent="0.25">
      <c r="A263" s="14" t="str">
        <f t="shared" si="8"/>
        <v/>
      </c>
      <c r="B263" s="15"/>
      <c r="C263" s="14" t="str">
        <f t="shared" si="9"/>
        <v/>
      </c>
      <c r="D263" s="8"/>
      <c r="E263" s="8"/>
      <c r="F263" s="8"/>
      <c r="G263" s="8"/>
      <c r="H263" s="14" t="str">
        <f>IF(ISBLANK(F263),"",IF(G263&lt;&gt;"",UPPER(TRIM(G263)),IF(ISNUMBER(SEARCH(" ",TRIM(F263))),UPPER(LEFT(TRIM(RIGHT(SUBSTITUTE(TRIM(F263)," ",REPT(" ",100)),100)),Settings!$B$9)),UPPER(LEFT(TRIM(F263),Settings!$B$9)))))</f>
        <v/>
      </c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16" t="str">
        <f>IF(ISBLANK(D263),"",IF(COUNTIFS(Circulation!$B$2:$B$500,A263,Circulation!$H$2:$H$500,"Active")&gt;0,"On Loan","Available"))</f>
        <v/>
      </c>
      <c r="AB263" s="8"/>
      <c r="AC263" s="8"/>
      <c r="AD263" s="8"/>
      <c r="AE263" s="8"/>
      <c r="AF263" s="8"/>
      <c r="AG263" s="8"/>
      <c r="AH263" s="8"/>
    </row>
    <row r="264" spans="1:34" ht="15.75" x14ac:dyDescent="0.25">
      <c r="A264" s="14" t="str">
        <f t="shared" si="8"/>
        <v/>
      </c>
      <c r="B264" s="15"/>
      <c r="C264" s="14" t="str">
        <f t="shared" si="9"/>
        <v/>
      </c>
      <c r="D264" s="8"/>
      <c r="E264" s="8"/>
      <c r="F264" s="8"/>
      <c r="G264" s="8"/>
      <c r="H264" s="14" t="str">
        <f>IF(ISBLANK(F264),"",IF(G264&lt;&gt;"",UPPER(TRIM(G264)),IF(ISNUMBER(SEARCH(" ",TRIM(F264))),UPPER(LEFT(TRIM(RIGHT(SUBSTITUTE(TRIM(F264)," ",REPT(" ",100)),100)),Settings!$B$9)),UPPER(LEFT(TRIM(F264),Settings!$B$9)))))</f>
        <v/>
      </c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16" t="str">
        <f>IF(ISBLANK(D264),"",IF(COUNTIFS(Circulation!$B$2:$B$500,A264,Circulation!$H$2:$H$500,"Active")&gt;0,"On Loan","Available"))</f>
        <v/>
      </c>
      <c r="AB264" s="8"/>
      <c r="AC264" s="8"/>
      <c r="AD264" s="8"/>
      <c r="AE264" s="8"/>
      <c r="AF264" s="8"/>
      <c r="AG264" s="8"/>
      <c r="AH264" s="8"/>
    </row>
    <row r="265" spans="1:34" ht="15.75" x14ac:dyDescent="0.25">
      <c r="A265" s="14" t="str">
        <f t="shared" si="8"/>
        <v/>
      </c>
      <c r="B265" s="15"/>
      <c r="C265" s="14" t="str">
        <f t="shared" si="9"/>
        <v/>
      </c>
      <c r="D265" s="8"/>
      <c r="E265" s="8"/>
      <c r="F265" s="8"/>
      <c r="G265" s="8"/>
      <c r="H265" s="14" t="str">
        <f>IF(ISBLANK(F265),"",IF(G265&lt;&gt;"",UPPER(TRIM(G265)),IF(ISNUMBER(SEARCH(" ",TRIM(F265))),UPPER(LEFT(TRIM(RIGHT(SUBSTITUTE(TRIM(F265)," ",REPT(" ",100)),100)),Settings!$B$9)),UPPER(LEFT(TRIM(F265),Settings!$B$9)))))</f>
        <v/>
      </c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16" t="str">
        <f>IF(ISBLANK(D265),"",IF(COUNTIFS(Circulation!$B$2:$B$500,A265,Circulation!$H$2:$H$500,"Active")&gt;0,"On Loan","Available"))</f>
        <v/>
      </c>
      <c r="AB265" s="8"/>
      <c r="AC265" s="8"/>
      <c r="AD265" s="8"/>
      <c r="AE265" s="8"/>
      <c r="AF265" s="8"/>
      <c r="AG265" s="8"/>
      <c r="AH265" s="8"/>
    </row>
    <row r="266" spans="1:34" ht="15.75" x14ac:dyDescent="0.25">
      <c r="A266" s="14" t="str">
        <f t="shared" si="8"/>
        <v/>
      </c>
      <c r="B266" s="15"/>
      <c r="C266" s="14" t="str">
        <f t="shared" si="9"/>
        <v/>
      </c>
      <c r="D266" s="8"/>
      <c r="E266" s="8"/>
      <c r="F266" s="8"/>
      <c r="G266" s="8"/>
      <c r="H266" s="14" t="str">
        <f>IF(ISBLANK(F266),"",IF(G266&lt;&gt;"",UPPER(TRIM(G266)),IF(ISNUMBER(SEARCH(" ",TRIM(F266))),UPPER(LEFT(TRIM(RIGHT(SUBSTITUTE(TRIM(F266)," ",REPT(" ",100)),100)),Settings!$B$9)),UPPER(LEFT(TRIM(F266),Settings!$B$9)))))</f>
        <v/>
      </c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16" t="str">
        <f>IF(ISBLANK(D266),"",IF(COUNTIFS(Circulation!$B$2:$B$500,A266,Circulation!$H$2:$H$500,"Active")&gt;0,"On Loan","Available"))</f>
        <v/>
      </c>
      <c r="AB266" s="8"/>
      <c r="AC266" s="8"/>
      <c r="AD266" s="8"/>
      <c r="AE266" s="8"/>
      <c r="AF266" s="8"/>
      <c r="AG266" s="8"/>
      <c r="AH266" s="8"/>
    </row>
    <row r="267" spans="1:34" ht="15.75" x14ac:dyDescent="0.25">
      <c r="A267" s="14" t="str">
        <f t="shared" si="8"/>
        <v/>
      </c>
      <c r="B267" s="15"/>
      <c r="C267" s="14" t="str">
        <f t="shared" si="9"/>
        <v/>
      </c>
      <c r="D267" s="8"/>
      <c r="E267" s="8"/>
      <c r="F267" s="8"/>
      <c r="G267" s="8"/>
      <c r="H267" s="14" t="str">
        <f>IF(ISBLANK(F267),"",IF(G267&lt;&gt;"",UPPER(TRIM(G267)),IF(ISNUMBER(SEARCH(" ",TRIM(F267))),UPPER(LEFT(TRIM(RIGHT(SUBSTITUTE(TRIM(F267)," ",REPT(" ",100)),100)),Settings!$B$9)),UPPER(LEFT(TRIM(F267),Settings!$B$9)))))</f>
        <v/>
      </c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16" t="str">
        <f>IF(ISBLANK(D267),"",IF(COUNTIFS(Circulation!$B$2:$B$500,A267,Circulation!$H$2:$H$500,"Active")&gt;0,"On Loan","Available"))</f>
        <v/>
      </c>
      <c r="AB267" s="8"/>
      <c r="AC267" s="8"/>
      <c r="AD267" s="8"/>
      <c r="AE267" s="8"/>
      <c r="AF267" s="8"/>
      <c r="AG267" s="8"/>
      <c r="AH267" s="8"/>
    </row>
    <row r="268" spans="1:34" ht="15.75" x14ac:dyDescent="0.25">
      <c r="A268" s="14" t="str">
        <f t="shared" si="8"/>
        <v/>
      </c>
      <c r="B268" s="15"/>
      <c r="C268" s="14" t="str">
        <f t="shared" si="9"/>
        <v/>
      </c>
      <c r="D268" s="8"/>
      <c r="E268" s="8"/>
      <c r="F268" s="8"/>
      <c r="G268" s="8"/>
      <c r="H268" s="14" t="str">
        <f>IF(ISBLANK(F268),"",IF(G268&lt;&gt;"",UPPER(TRIM(G268)),IF(ISNUMBER(SEARCH(" ",TRIM(F268))),UPPER(LEFT(TRIM(RIGHT(SUBSTITUTE(TRIM(F268)," ",REPT(" ",100)),100)),Settings!$B$9)),UPPER(LEFT(TRIM(F268),Settings!$B$9)))))</f>
        <v/>
      </c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16" t="str">
        <f>IF(ISBLANK(D268),"",IF(COUNTIFS(Circulation!$B$2:$B$500,A268,Circulation!$H$2:$H$500,"Active")&gt;0,"On Loan","Available"))</f>
        <v/>
      </c>
      <c r="AB268" s="8"/>
      <c r="AC268" s="8"/>
      <c r="AD268" s="8"/>
      <c r="AE268" s="8"/>
      <c r="AF268" s="8"/>
      <c r="AG268" s="8"/>
      <c r="AH268" s="8"/>
    </row>
    <row r="269" spans="1:34" ht="15.75" x14ac:dyDescent="0.25">
      <c r="A269" s="14" t="str">
        <f t="shared" si="8"/>
        <v/>
      </c>
      <c r="B269" s="15"/>
      <c r="C269" s="14" t="str">
        <f t="shared" si="9"/>
        <v/>
      </c>
      <c r="D269" s="8"/>
      <c r="E269" s="8"/>
      <c r="F269" s="8"/>
      <c r="G269" s="8"/>
      <c r="H269" s="14" t="str">
        <f>IF(ISBLANK(F269),"",IF(G269&lt;&gt;"",UPPER(TRIM(G269)),IF(ISNUMBER(SEARCH(" ",TRIM(F269))),UPPER(LEFT(TRIM(RIGHT(SUBSTITUTE(TRIM(F269)," ",REPT(" ",100)),100)),Settings!$B$9)),UPPER(LEFT(TRIM(F269),Settings!$B$9)))))</f>
        <v/>
      </c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16" t="str">
        <f>IF(ISBLANK(D269),"",IF(COUNTIFS(Circulation!$B$2:$B$500,A269,Circulation!$H$2:$H$500,"Active")&gt;0,"On Loan","Available"))</f>
        <v/>
      </c>
      <c r="AB269" s="8"/>
      <c r="AC269" s="8"/>
      <c r="AD269" s="8"/>
      <c r="AE269" s="8"/>
      <c r="AF269" s="8"/>
      <c r="AG269" s="8"/>
      <c r="AH269" s="8"/>
    </row>
    <row r="270" spans="1:34" ht="15.75" x14ac:dyDescent="0.25">
      <c r="A270" s="14" t="str">
        <f t="shared" si="8"/>
        <v/>
      </c>
      <c r="B270" s="15"/>
      <c r="C270" s="14" t="str">
        <f t="shared" si="9"/>
        <v/>
      </c>
      <c r="D270" s="8"/>
      <c r="E270" s="8"/>
      <c r="F270" s="8"/>
      <c r="G270" s="8"/>
      <c r="H270" s="14" t="str">
        <f>IF(ISBLANK(F270),"",IF(G270&lt;&gt;"",UPPER(TRIM(G270)),IF(ISNUMBER(SEARCH(" ",TRIM(F270))),UPPER(LEFT(TRIM(RIGHT(SUBSTITUTE(TRIM(F270)," ",REPT(" ",100)),100)),Settings!$B$9)),UPPER(LEFT(TRIM(F270),Settings!$B$9)))))</f>
        <v/>
      </c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16" t="str">
        <f>IF(ISBLANK(D270),"",IF(COUNTIFS(Circulation!$B$2:$B$500,A270,Circulation!$H$2:$H$500,"Active")&gt;0,"On Loan","Available"))</f>
        <v/>
      </c>
      <c r="AB270" s="8"/>
      <c r="AC270" s="8"/>
      <c r="AD270" s="8"/>
      <c r="AE270" s="8"/>
      <c r="AF270" s="8"/>
      <c r="AG270" s="8"/>
      <c r="AH270" s="8"/>
    </row>
    <row r="271" spans="1:34" ht="15.75" x14ac:dyDescent="0.25">
      <c r="A271" s="14" t="str">
        <f t="shared" si="8"/>
        <v/>
      </c>
      <c r="B271" s="15"/>
      <c r="C271" s="14" t="str">
        <f t="shared" si="9"/>
        <v/>
      </c>
      <c r="D271" s="8"/>
      <c r="E271" s="8"/>
      <c r="F271" s="8"/>
      <c r="G271" s="8"/>
      <c r="H271" s="14" t="str">
        <f>IF(ISBLANK(F271),"",IF(G271&lt;&gt;"",UPPER(TRIM(G271)),IF(ISNUMBER(SEARCH(" ",TRIM(F271))),UPPER(LEFT(TRIM(RIGHT(SUBSTITUTE(TRIM(F271)," ",REPT(" ",100)),100)),Settings!$B$9)),UPPER(LEFT(TRIM(F271),Settings!$B$9)))))</f>
        <v/>
      </c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16" t="str">
        <f>IF(ISBLANK(D271),"",IF(COUNTIFS(Circulation!$B$2:$B$500,A271,Circulation!$H$2:$H$500,"Active")&gt;0,"On Loan","Available"))</f>
        <v/>
      </c>
      <c r="AB271" s="8"/>
      <c r="AC271" s="8"/>
      <c r="AD271" s="8"/>
      <c r="AE271" s="8"/>
      <c r="AF271" s="8"/>
      <c r="AG271" s="8"/>
      <c r="AH271" s="8"/>
    </row>
    <row r="272" spans="1:34" ht="15.75" x14ac:dyDescent="0.25">
      <c r="A272" s="14" t="str">
        <f t="shared" si="8"/>
        <v/>
      </c>
      <c r="B272" s="15"/>
      <c r="C272" s="14" t="str">
        <f t="shared" si="9"/>
        <v/>
      </c>
      <c r="D272" s="8"/>
      <c r="E272" s="8"/>
      <c r="F272" s="8"/>
      <c r="G272" s="8"/>
      <c r="H272" s="14" t="str">
        <f>IF(ISBLANK(F272),"",IF(G272&lt;&gt;"",UPPER(TRIM(G272)),IF(ISNUMBER(SEARCH(" ",TRIM(F272))),UPPER(LEFT(TRIM(RIGHT(SUBSTITUTE(TRIM(F272)," ",REPT(" ",100)),100)),Settings!$B$9)),UPPER(LEFT(TRIM(F272),Settings!$B$9)))))</f>
        <v/>
      </c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16" t="str">
        <f>IF(ISBLANK(D272),"",IF(COUNTIFS(Circulation!$B$2:$B$500,A272,Circulation!$H$2:$H$500,"Active")&gt;0,"On Loan","Available"))</f>
        <v/>
      </c>
      <c r="AB272" s="8"/>
      <c r="AC272" s="8"/>
      <c r="AD272" s="8"/>
      <c r="AE272" s="8"/>
      <c r="AF272" s="8"/>
      <c r="AG272" s="8"/>
      <c r="AH272" s="8"/>
    </row>
    <row r="273" spans="1:34" ht="15.75" x14ac:dyDescent="0.25">
      <c r="A273" s="14" t="str">
        <f t="shared" si="8"/>
        <v/>
      </c>
      <c r="B273" s="15"/>
      <c r="C273" s="14" t="str">
        <f t="shared" si="9"/>
        <v/>
      </c>
      <c r="D273" s="8"/>
      <c r="E273" s="8"/>
      <c r="F273" s="8"/>
      <c r="G273" s="8"/>
      <c r="H273" s="14" t="str">
        <f>IF(ISBLANK(F273),"",IF(G273&lt;&gt;"",UPPER(TRIM(G273)),IF(ISNUMBER(SEARCH(" ",TRIM(F273))),UPPER(LEFT(TRIM(RIGHT(SUBSTITUTE(TRIM(F273)," ",REPT(" ",100)),100)),Settings!$B$9)),UPPER(LEFT(TRIM(F273),Settings!$B$9)))))</f>
        <v/>
      </c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16" t="str">
        <f>IF(ISBLANK(D273),"",IF(COUNTIFS(Circulation!$B$2:$B$500,A273,Circulation!$H$2:$H$500,"Active")&gt;0,"On Loan","Available"))</f>
        <v/>
      </c>
      <c r="AB273" s="8"/>
      <c r="AC273" s="8"/>
      <c r="AD273" s="8"/>
      <c r="AE273" s="8"/>
      <c r="AF273" s="8"/>
      <c r="AG273" s="8"/>
      <c r="AH273" s="8"/>
    </row>
    <row r="274" spans="1:34" ht="15.75" x14ac:dyDescent="0.25">
      <c r="A274" s="14" t="str">
        <f t="shared" si="8"/>
        <v/>
      </c>
      <c r="B274" s="15"/>
      <c r="C274" s="14" t="str">
        <f t="shared" si="9"/>
        <v/>
      </c>
      <c r="D274" s="8"/>
      <c r="E274" s="8"/>
      <c r="F274" s="8"/>
      <c r="G274" s="8"/>
      <c r="H274" s="14" t="str">
        <f>IF(ISBLANK(F274),"",IF(G274&lt;&gt;"",UPPER(TRIM(G274)),IF(ISNUMBER(SEARCH(" ",TRIM(F274))),UPPER(LEFT(TRIM(RIGHT(SUBSTITUTE(TRIM(F274)," ",REPT(" ",100)),100)),Settings!$B$9)),UPPER(LEFT(TRIM(F274),Settings!$B$9)))))</f>
        <v/>
      </c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16" t="str">
        <f>IF(ISBLANK(D274),"",IF(COUNTIFS(Circulation!$B$2:$B$500,A274,Circulation!$H$2:$H$500,"Active")&gt;0,"On Loan","Available"))</f>
        <v/>
      </c>
      <c r="AB274" s="8"/>
      <c r="AC274" s="8"/>
      <c r="AD274" s="8"/>
      <c r="AE274" s="8"/>
      <c r="AF274" s="8"/>
      <c r="AG274" s="8"/>
      <c r="AH274" s="8"/>
    </row>
    <row r="275" spans="1:34" ht="15.75" x14ac:dyDescent="0.25">
      <c r="A275" s="14" t="str">
        <f t="shared" si="8"/>
        <v/>
      </c>
      <c r="B275" s="15"/>
      <c r="C275" s="14" t="str">
        <f t="shared" si="9"/>
        <v/>
      </c>
      <c r="D275" s="8"/>
      <c r="E275" s="8"/>
      <c r="F275" s="8"/>
      <c r="G275" s="8"/>
      <c r="H275" s="14" t="str">
        <f>IF(ISBLANK(F275),"",IF(G275&lt;&gt;"",UPPER(TRIM(G275)),IF(ISNUMBER(SEARCH(" ",TRIM(F275))),UPPER(LEFT(TRIM(RIGHT(SUBSTITUTE(TRIM(F275)," ",REPT(" ",100)),100)),Settings!$B$9)),UPPER(LEFT(TRIM(F275),Settings!$B$9)))))</f>
        <v/>
      </c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16" t="str">
        <f>IF(ISBLANK(D275),"",IF(COUNTIFS(Circulation!$B$2:$B$500,A275,Circulation!$H$2:$H$500,"Active")&gt;0,"On Loan","Available"))</f>
        <v/>
      </c>
      <c r="AB275" s="8"/>
      <c r="AC275" s="8"/>
      <c r="AD275" s="8"/>
      <c r="AE275" s="8"/>
      <c r="AF275" s="8"/>
      <c r="AG275" s="8"/>
      <c r="AH275" s="8"/>
    </row>
    <row r="276" spans="1:34" ht="15.75" x14ac:dyDescent="0.25">
      <c r="A276" s="14" t="str">
        <f t="shared" si="8"/>
        <v/>
      </c>
      <c r="B276" s="15"/>
      <c r="C276" s="14" t="str">
        <f t="shared" si="9"/>
        <v/>
      </c>
      <c r="D276" s="8"/>
      <c r="E276" s="8"/>
      <c r="F276" s="8"/>
      <c r="G276" s="8"/>
      <c r="H276" s="14" t="str">
        <f>IF(ISBLANK(F276),"",IF(G276&lt;&gt;"",UPPER(TRIM(G276)),IF(ISNUMBER(SEARCH(" ",TRIM(F276))),UPPER(LEFT(TRIM(RIGHT(SUBSTITUTE(TRIM(F276)," ",REPT(" ",100)),100)),Settings!$B$9)),UPPER(LEFT(TRIM(F276),Settings!$B$9)))))</f>
        <v/>
      </c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16" t="str">
        <f>IF(ISBLANK(D276),"",IF(COUNTIFS(Circulation!$B$2:$B$500,A276,Circulation!$H$2:$H$500,"Active")&gt;0,"On Loan","Available"))</f>
        <v/>
      </c>
      <c r="AB276" s="8"/>
      <c r="AC276" s="8"/>
      <c r="AD276" s="8"/>
      <c r="AE276" s="8"/>
      <c r="AF276" s="8"/>
      <c r="AG276" s="8"/>
      <c r="AH276" s="8"/>
    </row>
    <row r="277" spans="1:34" ht="15.75" x14ac:dyDescent="0.25">
      <c r="A277" s="14" t="str">
        <f t="shared" si="8"/>
        <v/>
      </c>
      <c r="B277" s="15"/>
      <c r="C277" s="14" t="str">
        <f t="shared" si="9"/>
        <v/>
      </c>
      <c r="D277" s="8"/>
      <c r="E277" s="8"/>
      <c r="F277" s="8"/>
      <c r="G277" s="8"/>
      <c r="H277" s="14" t="str">
        <f>IF(ISBLANK(F277),"",IF(G277&lt;&gt;"",UPPER(TRIM(G277)),IF(ISNUMBER(SEARCH(" ",TRIM(F277))),UPPER(LEFT(TRIM(RIGHT(SUBSTITUTE(TRIM(F277)," ",REPT(" ",100)),100)),Settings!$B$9)),UPPER(LEFT(TRIM(F277),Settings!$B$9)))))</f>
        <v/>
      </c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16" t="str">
        <f>IF(ISBLANK(D277),"",IF(COUNTIFS(Circulation!$B$2:$B$500,A277,Circulation!$H$2:$H$500,"Active")&gt;0,"On Loan","Available"))</f>
        <v/>
      </c>
      <c r="AB277" s="8"/>
      <c r="AC277" s="8"/>
      <c r="AD277" s="8"/>
      <c r="AE277" s="8"/>
      <c r="AF277" s="8"/>
      <c r="AG277" s="8"/>
      <c r="AH277" s="8"/>
    </row>
    <row r="278" spans="1:34" ht="15.75" x14ac:dyDescent="0.25">
      <c r="A278" s="14" t="str">
        <f t="shared" si="8"/>
        <v/>
      </c>
      <c r="B278" s="15"/>
      <c r="C278" s="14" t="str">
        <f t="shared" si="9"/>
        <v/>
      </c>
      <c r="D278" s="8"/>
      <c r="E278" s="8"/>
      <c r="F278" s="8"/>
      <c r="G278" s="8"/>
      <c r="H278" s="14" t="str">
        <f>IF(ISBLANK(F278),"",IF(G278&lt;&gt;"",UPPER(TRIM(G278)),IF(ISNUMBER(SEARCH(" ",TRIM(F278))),UPPER(LEFT(TRIM(RIGHT(SUBSTITUTE(TRIM(F278)," ",REPT(" ",100)),100)),Settings!$B$9)),UPPER(LEFT(TRIM(F278),Settings!$B$9)))))</f>
        <v/>
      </c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16" t="str">
        <f>IF(ISBLANK(D278),"",IF(COUNTIFS(Circulation!$B$2:$B$500,A278,Circulation!$H$2:$H$500,"Active")&gt;0,"On Loan","Available"))</f>
        <v/>
      </c>
      <c r="AB278" s="8"/>
      <c r="AC278" s="8"/>
      <c r="AD278" s="8"/>
      <c r="AE278" s="8"/>
      <c r="AF278" s="8"/>
      <c r="AG278" s="8"/>
      <c r="AH278" s="8"/>
    </row>
    <row r="279" spans="1:34" ht="15.75" x14ac:dyDescent="0.25">
      <c r="A279" s="14" t="str">
        <f t="shared" si="8"/>
        <v/>
      </c>
      <c r="B279" s="15"/>
      <c r="C279" s="14" t="str">
        <f t="shared" si="9"/>
        <v/>
      </c>
      <c r="D279" s="8"/>
      <c r="E279" s="8"/>
      <c r="F279" s="8"/>
      <c r="G279" s="8"/>
      <c r="H279" s="14" t="str">
        <f>IF(ISBLANK(F279),"",IF(G279&lt;&gt;"",UPPER(TRIM(G279)),IF(ISNUMBER(SEARCH(" ",TRIM(F279))),UPPER(LEFT(TRIM(RIGHT(SUBSTITUTE(TRIM(F279)," ",REPT(" ",100)),100)),Settings!$B$9)),UPPER(LEFT(TRIM(F279),Settings!$B$9)))))</f>
        <v/>
      </c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16" t="str">
        <f>IF(ISBLANK(D279),"",IF(COUNTIFS(Circulation!$B$2:$B$500,A279,Circulation!$H$2:$H$500,"Active")&gt;0,"On Loan","Available"))</f>
        <v/>
      </c>
      <c r="AB279" s="8"/>
      <c r="AC279" s="8"/>
      <c r="AD279" s="8"/>
      <c r="AE279" s="8"/>
      <c r="AF279" s="8"/>
      <c r="AG279" s="8"/>
      <c r="AH279" s="8"/>
    </row>
    <row r="280" spans="1:34" ht="15.75" x14ac:dyDescent="0.25">
      <c r="A280" s="14" t="str">
        <f t="shared" si="8"/>
        <v/>
      </c>
      <c r="B280" s="15"/>
      <c r="C280" s="14" t="str">
        <f t="shared" si="9"/>
        <v/>
      </c>
      <c r="D280" s="8"/>
      <c r="E280" s="8"/>
      <c r="F280" s="8"/>
      <c r="G280" s="8"/>
      <c r="H280" s="14" t="str">
        <f>IF(ISBLANK(F280),"",IF(G280&lt;&gt;"",UPPER(TRIM(G280)),IF(ISNUMBER(SEARCH(" ",TRIM(F280))),UPPER(LEFT(TRIM(RIGHT(SUBSTITUTE(TRIM(F280)," ",REPT(" ",100)),100)),Settings!$B$9)),UPPER(LEFT(TRIM(F280),Settings!$B$9)))))</f>
        <v/>
      </c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16" t="str">
        <f>IF(ISBLANK(D280),"",IF(COUNTIFS(Circulation!$B$2:$B$500,A280,Circulation!$H$2:$H$500,"Active")&gt;0,"On Loan","Available"))</f>
        <v/>
      </c>
      <c r="AB280" s="8"/>
      <c r="AC280" s="8"/>
      <c r="AD280" s="8"/>
      <c r="AE280" s="8"/>
      <c r="AF280" s="8"/>
      <c r="AG280" s="8"/>
      <c r="AH280" s="8"/>
    </row>
    <row r="281" spans="1:34" ht="15.75" x14ac:dyDescent="0.25">
      <c r="A281" s="14" t="str">
        <f t="shared" si="8"/>
        <v/>
      </c>
      <c r="B281" s="15"/>
      <c r="C281" s="14" t="str">
        <f t="shared" si="9"/>
        <v/>
      </c>
      <c r="D281" s="8"/>
      <c r="E281" s="8"/>
      <c r="F281" s="8"/>
      <c r="G281" s="8"/>
      <c r="H281" s="14" t="str">
        <f>IF(ISBLANK(F281),"",IF(G281&lt;&gt;"",UPPER(TRIM(G281)),IF(ISNUMBER(SEARCH(" ",TRIM(F281))),UPPER(LEFT(TRIM(RIGHT(SUBSTITUTE(TRIM(F281)," ",REPT(" ",100)),100)),Settings!$B$9)),UPPER(LEFT(TRIM(F281),Settings!$B$9)))))</f>
        <v/>
      </c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16" t="str">
        <f>IF(ISBLANK(D281),"",IF(COUNTIFS(Circulation!$B$2:$B$500,A281,Circulation!$H$2:$H$500,"Active")&gt;0,"On Loan","Available"))</f>
        <v/>
      </c>
      <c r="AB281" s="8"/>
      <c r="AC281" s="8"/>
      <c r="AD281" s="8"/>
      <c r="AE281" s="8"/>
      <c r="AF281" s="8"/>
      <c r="AG281" s="8"/>
      <c r="AH281" s="8"/>
    </row>
    <row r="282" spans="1:34" ht="15.75" x14ac:dyDescent="0.25">
      <c r="A282" s="14" t="str">
        <f t="shared" si="8"/>
        <v/>
      </c>
      <c r="B282" s="15"/>
      <c r="C282" s="14" t="str">
        <f t="shared" si="9"/>
        <v/>
      </c>
      <c r="D282" s="8"/>
      <c r="E282" s="8"/>
      <c r="F282" s="8"/>
      <c r="G282" s="8"/>
      <c r="H282" s="14" t="str">
        <f>IF(ISBLANK(F282),"",IF(G282&lt;&gt;"",UPPER(TRIM(G282)),IF(ISNUMBER(SEARCH(" ",TRIM(F282))),UPPER(LEFT(TRIM(RIGHT(SUBSTITUTE(TRIM(F282)," ",REPT(" ",100)),100)),Settings!$B$9)),UPPER(LEFT(TRIM(F282),Settings!$B$9)))))</f>
        <v/>
      </c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16" t="str">
        <f>IF(ISBLANK(D282),"",IF(COUNTIFS(Circulation!$B$2:$B$500,A282,Circulation!$H$2:$H$500,"Active")&gt;0,"On Loan","Available"))</f>
        <v/>
      </c>
      <c r="AB282" s="8"/>
      <c r="AC282" s="8"/>
      <c r="AD282" s="8"/>
      <c r="AE282" s="8"/>
      <c r="AF282" s="8"/>
      <c r="AG282" s="8"/>
      <c r="AH282" s="8"/>
    </row>
    <row r="283" spans="1:34" ht="15.75" x14ac:dyDescent="0.25">
      <c r="A283" s="14" t="str">
        <f t="shared" si="8"/>
        <v/>
      </c>
      <c r="B283" s="15"/>
      <c r="C283" s="14" t="str">
        <f t="shared" si="9"/>
        <v/>
      </c>
      <c r="D283" s="8"/>
      <c r="E283" s="8"/>
      <c r="F283" s="8"/>
      <c r="G283" s="8"/>
      <c r="H283" s="14" t="str">
        <f>IF(ISBLANK(F283),"",IF(G283&lt;&gt;"",UPPER(TRIM(G283)),IF(ISNUMBER(SEARCH(" ",TRIM(F283))),UPPER(LEFT(TRIM(RIGHT(SUBSTITUTE(TRIM(F283)," ",REPT(" ",100)),100)),Settings!$B$9)),UPPER(LEFT(TRIM(F283),Settings!$B$9)))))</f>
        <v/>
      </c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16" t="str">
        <f>IF(ISBLANK(D283),"",IF(COUNTIFS(Circulation!$B$2:$B$500,A283,Circulation!$H$2:$H$500,"Active")&gt;0,"On Loan","Available"))</f>
        <v/>
      </c>
      <c r="AB283" s="8"/>
      <c r="AC283" s="8"/>
      <c r="AD283" s="8"/>
      <c r="AE283" s="8"/>
      <c r="AF283" s="8"/>
      <c r="AG283" s="8"/>
      <c r="AH283" s="8"/>
    </row>
    <row r="284" spans="1:34" ht="15.75" x14ac:dyDescent="0.25">
      <c r="A284" s="14" t="str">
        <f t="shared" si="8"/>
        <v/>
      </c>
      <c r="B284" s="15"/>
      <c r="C284" s="14" t="str">
        <f t="shared" si="9"/>
        <v/>
      </c>
      <c r="D284" s="8"/>
      <c r="E284" s="8"/>
      <c r="F284" s="8"/>
      <c r="G284" s="8"/>
      <c r="H284" s="14" t="str">
        <f>IF(ISBLANK(F284),"",IF(G284&lt;&gt;"",UPPER(TRIM(G284)),IF(ISNUMBER(SEARCH(" ",TRIM(F284))),UPPER(LEFT(TRIM(RIGHT(SUBSTITUTE(TRIM(F284)," ",REPT(" ",100)),100)),Settings!$B$9)),UPPER(LEFT(TRIM(F284),Settings!$B$9)))))</f>
        <v/>
      </c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16" t="str">
        <f>IF(ISBLANK(D284),"",IF(COUNTIFS(Circulation!$B$2:$B$500,A284,Circulation!$H$2:$H$500,"Active")&gt;0,"On Loan","Available"))</f>
        <v/>
      </c>
      <c r="AB284" s="8"/>
      <c r="AC284" s="8"/>
      <c r="AD284" s="8"/>
      <c r="AE284" s="8"/>
      <c r="AF284" s="8"/>
      <c r="AG284" s="8"/>
      <c r="AH284" s="8"/>
    </row>
    <row r="285" spans="1:34" ht="15.75" x14ac:dyDescent="0.25">
      <c r="A285" s="14" t="str">
        <f t="shared" si="8"/>
        <v/>
      </c>
      <c r="B285" s="15"/>
      <c r="C285" s="14" t="str">
        <f t="shared" si="9"/>
        <v/>
      </c>
      <c r="D285" s="8"/>
      <c r="E285" s="8"/>
      <c r="F285" s="8"/>
      <c r="G285" s="8"/>
      <c r="H285" s="14" t="str">
        <f>IF(ISBLANK(F285),"",IF(G285&lt;&gt;"",UPPER(TRIM(G285)),IF(ISNUMBER(SEARCH(" ",TRIM(F285))),UPPER(LEFT(TRIM(RIGHT(SUBSTITUTE(TRIM(F285)," ",REPT(" ",100)),100)),Settings!$B$9)),UPPER(LEFT(TRIM(F285),Settings!$B$9)))))</f>
        <v/>
      </c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16" t="str">
        <f>IF(ISBLANK(D285),"",IF(COUNTIFS(Circulation!$B$2:$B$500,A285,Circulation!$H$2:$H$500,"Active")&gt;0,"On Loan","Available"))</f>
        <v/>
      </c>
      <c r="AB285" s="8"/>
      <c r="AC285" s="8"/>
      <c r="AD285" s="8"/>
      <c r="AE285" s="8"/>
      <c r="AF285" s="8"/>
      <c r="AG285" s="8"/>
      <c r="AH285" s="8"/>
    </row>
    <row r="286" spans="1:34" ht="15.75" x14ac:dyDescent="0.25">
      <c r="A286" s="14" t="str">
        <f t="shared" si="8"/>
        <v/>
      </c>
      <c r="B286" s="15"/>
      <c r="C286" s="14" t="str">
        <f t="shared" si="9"/>
        <v/>
      </c>
      <c r="D286" s="8"/>
      <c r="E286" s="8"/>
      <c r="F286" s="8"/>
      <c r="G286" s="8"/>
      <c r="H286" s="14" t="str">
        <f>IF(ISBLANK(F286),"",IF(G286&lt;&gt;"",UPPER(TRIM(G286)),IF(ISNUMBER(SEARCH(" ",TRIM(F286))),UPPER(LEFT(TRIM(RIGHT(SUBSTITUTE(TRIM(F286)," ",REPT(" ",100)),100)),Settings!$B$9)),UPPER(LEFT(TRIM(F286),Settings!$B$9)))))</f>
        <v/>
      </c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16" t="str">
        <f>IF(ISBLANK(D286),"",IF(COUNTIFS(Circulation!$B$2:$B$500,A286,Circulation!$H$2:$H$500,"Active")&gt;0,"On Loan","Available"))</f>
        <v/>
      </c>
      <c r="AB286" s="8"/>
      <c r="AC286" s="8"/>
      <c r="AD286" s="8"/>
      <c r="AE286" s="8"/>
      <c r="AF286" s="8"/>
      <c r="AG286" s="8"/>
      <c r="AH286" s="8"/>
    </row>
    <row r="287" spans="1:34" ht="15.75" x14ac:dyDescent="0.25">
      <c r="A287" s="14" t="str">
        <f t="shared" si="8"/>
        <v/>
      </c>
      <c r="B287" s="15"/>
      <c r="C287" s="14" t="str">
        <f t="shared" si="9"/>
        <v/>
      </c>
      <c r="D287" s="8"/>
      <c r="E287" s="8"/>
      <c r="F287" s="8"/>
      <c r="G287" s="8"/>
      <c r="H287" s="14" t="str">
        <f>IF(ISBLANK(F287),"",IF(G287&lt;&gt;"",UPPER(TRIM(G287)),IF(ISNUMBER(SEARCH(" ",TRIM(F287))),UPPER(LEFT(TRIM(RIGHT(SUBSTITUTE(TRIM(F287)," ",REPT(" ",100)),100)),Settings!$B$9)),UPPER(LEFT(TRIM(F287),Settings!$B$9)))))</f>
        <v/>
      </c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16" t="str">
        <f>IF(ISBLANK(D287),"",IF(COUNTIFS(Circulation!$B$2:$B$500,A287,Circulation!$H$2:$H$500,"Active")&gt;0,"On Loan","Available"))</f>
        <v/>
      </c>
      <c r="AB287" s="8"/>
      <c r="AC287" s="8"/>
      <c r="AD287" s="8"/>
      <c r="AE287" s="8"/>
      <c r="AF287" s="8"/>
      <c r="AG287" s="8"/>
      <c r="AH287" s="8"/>
    </row>
    <row r="288" spans="1:34" ht="15.75" x14ac:dyDescent="0.25">
      <c r="A288" s="14" t="str">
        <f t="shared" si="8"/>
        <v/>
      </c>
      <c r="B288" s="15"/>
      <c r="C288" s="14" t="str">
        <f t="shared" si="9"/>
        <v/>
      </c>
      <c r="D288" s="8"/>
      <c r="E288" s="8"/>
      <c r="F288" s="8"/>
      <c r="G288" s="8"/>
      <c r="H288" s="14" t="str">
        <f>IF(ISBLANK(F288),"",IF(G288&lt;&gt;"",UPPER(TRIM(G288)),IF(ISNUMBER(SEARCH(" ",TRIM(F288))),UPPER(LEFT(TRIM(RIGHT(SUBSTITUTE(TRIM(F288)," ",REPT(" ",100)),100)),Settings!$B$9)),UPPER(LEFT(TRIM(F288),Settings!$B$9)))))</f>
        <v/>
      </c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16" t="str">
        <f>IF(ISBLANK(D288),"",IF(COUNTIFS(Circulation!$B$2:$B$500,A288,Circulation!$H$2:$H$500,"Active")&gt;0,"On Loan","Available"))</f>
        <v/>
      </c>
      <c r="AB288" s="8"/>
      <c r="AC288" s="8"/>
      <c r="AD288" s="8"/>
      <c r="AE288" s="8"/>
      <c r="AF288" s="8"/>
      <c r="AG288" s="8"/>
      <c r="AH288" s="8"/>
    </row>
    <row r="289" spans="1:34" ht="15.75" x14ac:dyDescent="0.25">
      <c r="A289" s="14" t="str">
        <f t="shared" si="8"/>
        <v/>
      </c>
      <c r="B289" s="15"/>
      <c r="C289" s="14" t="str">
        <f t="shared" si="9"/>
        <v/>
      </c>
      <c r="D289" s="8"/>
      <c r="E289" s="8"/>
      <c r="F289" s="8"/>
      <c r="G289" s="8"/>
      <c r="H289" s="14" t="str">
        <f>IF(ISBLANK(F289),"",IF(G289&lt;&gt;"",UPPER(TRIM(G289)),IF(ISNUMBER(SEARCH(" ",TRIM(F289))),UPPER(LEFT(TRIM(RIGHT(SUBSTITUTE(TRIM(F289)," ",REPT(" ",100)),100)),Settings!$B$9)),UPPER(LEFT(TRIM(F289),Settings!$B$9)))))</f>
        <v/>
      </c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16" t="str">
        <f>IF(ISBLANK(D289),"",IF(COUNTIFS(Circulation!$B$2:$B$500,A289,Circulation!$H$2:$H$500,"Active")&gt;0,"On Loan","Available"))</f>
        <v/>
      </c>
      <c r="AB289" s="8"/>
      <c r="AC289" s="8"/>
      <c r="AD289" s="8"/>
      <c r="AE289" s="8"/>
      <c r="AF289" s="8"/>
      <c r="AG289" s="8"/>
      <c r="AH289" s="8"/>
    </row>
    <row r="290" spans="1:34" ht="15.75" x14ac:dyDescent="0.25">
      <c r="A290" s="14" t="str">
        <f t="shared" si="8"/>
        <v/>
      </c>
      <c r="B290" s="15"/>
      <c r="C290" s="14" t="str">
        <f t="shared" si="9"/>
        <v/>
      </c>
      <c r="D290" s="8"/>
      <c r="E290" s="8"/>
      <c r="F290" s="8"/>
      <c r="G290" s="8"/>
      <c r="H290" s="14" t="str">
        <f>IF(ISBLANK(F290),"",IF(G290&lt;&gt;"",UPPER(TRIM(G290)),IF(ISNUMBER(SEARCH(" ",TRIM(F290))),UPPER(LEFT(TRIM(RIGHT(SUBSTITUTE(TRIM(F290)," ",REPT(" ",100)),100)),Settings!$B$9)),UPPER(LEFT(TRIM(F290),Settings!$B$9)))))</f>
        <v/>
      </c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16" t="str">
        <f>IF(ISBLANK(D290),"",IF(COUNTIFS(Circulation!$B$2:$B$500,A290,Circulation!$H$2:$H$500,"Active")&gt;0,"On Loan","Available"))</f>
        <v/>
      </c>
      <c r="AB290" s="8"/>
      <c r="AC290" s="8"/>
      <c r="AD290" s="8"/>
      <c r="AE290" s="8"/>
      <c r="AF290" s="8"/>
      <c r="AG290" s="8"/>
      <c r="AH290" s="8"/>
    </row>
    <row r="291" spans="1:34" ht="15.75" x14ac:dyDescent="0.25">
      <c r="A291" s="14" t="str">
        <f t="shared" si="8"/>
        <v/>
      </c>
      <c r="B291" s="15"/>
      <c r="C291" s="14" t="str">
        <f t="shared" si="9"/>
        <v/>
      </c>
      <c r="D291" s="8"/>
      <c r="E291" s="8"/>
      <c r="F291" s="8"/>
      <c r="G291" s="8"/>
      <c r="H291" s="14" t="str">
        <f>IF(ISBLANK(F291),"",IF(G291&lt;&gt;"",UPPER(TRIM(G291)),IF(ISNUMBER(SEARCH(" ",TRIM(F291))),UPPER(LEFT(TRIM(RIGHT(SUBSTITUTE(TRIM(F291)," ",REPT(" ",100)),100)),Settings!$B$9)),UPPER(LEFT(TRIM(F291),Settings!$B$9)))))</f>
        <v/>
      </c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16" t="str">
        <f>IF(ISBLANK(D291),"",IF(COUNTIFS(Circulation!$B$2:$B$500,A291,Circulation!$H$2:$H$500,"Active")&gt;0,"On Loan","Available"))</f>
        <v/>
      </c>
      <c r="AB291" s="8"/>
      <c r="AC291" s="8"/>
      <c r="AD291" s="8"/>
      <c r="AE291" s="8"/>
      <c r="AF291" s="8"/>
      <c r="AG291" s="8"/>
      <c r="AH291" s="8"/>
    </row>
    <row r="292" spans="1:34" ht="15.75" x14ac:dyDescent="0.25">
      <c r="A292" s="14" t="str">
        <f t="shared" si="8"/>
        <v/>
      </c>
      <c r="B292" s="15"/>
      <c r="C292" s="14" t="str">
        <f t="shared" si="9"/>
        <v/>
      </c>
      <c r="D292" s="8"/>
      <c r="E292" s="8"/>
      <c r="F292" s="8"/>
      <c r="G292" s="8"/>
      <c r="H292" s="14" t="str">
        <f>IF(ISBLANK(F292),"",IF(G292&lt;&gt;"",UPPER(TRIM(G292)),IF(ISNUMBER(SEARCH(" ",TRIM(F292))),UPPER(LEFT(TRIM(RIGHT(SUBSTITUTE(TRIM(F292)," ",REPT(" ",100)),100)),Settings!$B$9)),UPPER(LEFT(TRIM(F292),Settings!$B$9)))))</f>
        <v/>
      </c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16" t="str">
        <f>IF(ISBLANK(D292),"",IF(COUNTIFS(Circulation!$B$2:$B$500,A292,Circulation!$H$2:$H$500,"Active")&gt;0,"On Loan","Available"))</f>
        <v/>
      </c>
      <c r="AB292" s="8"/>
      <c r="AC292" s="8"/>
      <c r="AD292" s="8"/>
      <c r="AE292" s="8"/>
      <c r="AF292" s="8"/>
      <c r="AG292" s="8"/>
      <c r="AH292" s="8"/>
    </row>
    <row r="293" spans="1:34" ht="15.75" x14ac:dyDescent="0.25">
      <c r="A293" s="14" t="str">
        <f t="shared" si="8"/>
        <v/>
      </c>
      <c r="B293" s="15"/>
      <c r="C293" s="14" t="str">
        <f t="shared" si="9"/>
        <v/>
      </c>
      <c r="D293" s="8"/>
      <c r="E293" s="8"/>
      <c r="F293" s="8"/>
      <c r="G293" s="8"/>
      <c r="H293" s="14" t="str">
        <f>IF(ISBLANK(F293),"",IF(G293&lt;&gt;"",UPPER(TRIM(G293)),IF(ISNUMBER(SEARCH(" ",TRIM(F293))),UPPER(LEFT(TRIM(RIGHT(SUBSTITUTE(TRIM(F293)," ",REPT(" ",100)),100)),Settings!$B$9)),UPPER(LEFT(TRIM(F293),Settings!$B$9)))))</f>
        <v/>
      </c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16" t="str">
        <f>IF(ISBLANK(D293),"",IF(COUNTIFS(Circulation!$B$2:$B$500,A293,Circulation!$H$2:$H$500,"Active")&gt;0,"On Loan","Available"))</f>
        <v/>
      </c>
      <c r="AB293" s="8"/>
      <c r="AC293" s="8"/>
      <c r="AD293" s="8"/>
      <c r="AE293" s="8"/>
      <c r="AF293" s="8"/>
      <c r="AG293" s="8"/>
      <c r="AH293" s="8"/>
    </row>
    <row r="294" spans="1:34" ht="15.75" x14ac:dyDescent="0.25">
      <c r="A294" s="14" t="str">
        <f t="shared" si="8"/>
        <v/>
      </c>
      <c r="B294" s="15"/>
      <c r="C294" s="14" t="str">
        <f t="shared" si="9"/>
        <v/>
      </c>
      <c r="D294" s="8"/>
      <c r="E294" s="8"/>
      <c r="F294" s="8"/>
      <c r="G294" s="8"/>
      <c r="H294" s="14" t="str">
        <f>IF(ISBLANK(F294),"",IF(G294&lt;&gt;"",UPPER(TRIM(G294)),IF(ISNUMBER(SEARCH(" ",TRIM(F294))),UPPER(LEFT(TRIM(RIGHT(SUBSTITUTE(TRIM(F294)," ",REPT(" ",100)),100)),Settings!$B$9)),UPPER(LEFT(TRIM(F294),Settings!$B$9)))))</f>
        <v/>
      </c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16" t="str">
        <f>IF(ISBLANK(D294),"",IF(COUNTIFS(Circulation!$B$2:$B$500,A294,Circulation!$H$2:$H$500,"Active")&gt;0,"On Loan","Available"))</f>
        <v/>
      </c>
      <c r="AB294" s="8"/>
      <c r="AC294" s="8"/>
      <c r="AD294" s="8"/>
      <c r="AE294" s="8"/>
      <c r="AF294" s="8"/>
      <c r="AG294" s="8"/>
      <c r="AH294" s="8"/>
    </row>
    <row r="295" spans="1:34" ht="15.75" x14ac:dyDescent="0.25">
      <c r="A295" s="14" t="str">
        <f t="shared" si="8"/>
        <v/>
      </c>
      <c r="B295" s="15"/>
      <c r="C295" s="14" t="str">
        <f t="shared" si="9"/>
        <v/>
      </c>
      <c r="D295" s="8"/>
      <c r="E295" s="8"/>
      <c r="F295" s="8"/>
      <c r="G295" s="8"/>
      <c r="H295" s="14" t="str">
        <f>IF(ISBLANK(F295),"",IF(G295&lt;&gt;"",UPPER(TRIM(G295)),IF(ISNUMBER(SEARCH(" ",TRIM(F295))),UPPER(LEFT(TRIM(RIGHT(SUBSTITUTE(TRIM(F295)," ",REPT(" ",100)),100)),Settings!$B$9)),UPPER(LEFT(TRIM(F295),Settings!$B$9)))))</f>
        <v/>
      </c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16" t="str">
        <f>IF(ISBLANK(D295),"",IF(COUNTIFS(Circulation!$B$2:$B$500,A295,Circulation!$H$2:$H$500,"Active")&gt;0,"On Loan","Available"))</f>
        <v/>
      </c>
      <c r="AB295" s="8"/>
      <c r="AC295" s="8"/>
      <c r="AD295" s="8"/>
      <c r="AE295" s="8"/>
      <c r="AF295" s="8"/>
      <c r="AG295" s="8"/>
      <c r="AH295" s="8"/>
    </row>
    <row r="296" spans="1:34" ht="15.75" x14ac:dyDescent="0.25">
      <c r="A296" s="14" t="str">
        <f t="shared" si="8"/>
        <v/>
      </c>
      <c r="B296" s="15"/>
      <c r="C296" s="14" t="str">
        <f t="shared" si="9"/>
        <v/>
      </c>
      <c r="D296" s="8"/>
      <c r="E296" s="8"/>
      <c r="F296" s="8"/>
      <c r="G296" s="8"/>
      <c r="H296" s="14" t="str">
        <f>IF(ISBLANK(F296),"",IF(G296&lt;&gt;"",UPPER(TRIM(G296)),IF(ISNUMBER(SEARCH(" ",TRIM(F296))),UPPER(LEFT(TRIM(RIGHT(SUBSTITUTE(TRIM(F296)," ",REPT(" ",100)),100)),Settings!$B$9)),UPPER(LEFT(TRIM(F296),Settings!$B$9)))))</f>
        <v/>
      </c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16" t="str">
        <f>IF(ISBLANK(D296),"",IF(COUNTIFS(Circulation!$B$2:$B$500,A296,Circulation!$H$2:$H$500,"Active")&gt;0,"On Loan","Available"))</f>
        <v/>
      </c>
      <c r="AB296" s="8"/>
      <c r="AC296" s="8"/>
      <c r="AD296" s="8"/>
      <c r="AE296" s="8"/>
      <c r="AF296" s="8"/>
      <c r="AG296" s="8"/>
      <c r="AH296" s="8"/>
    </row>
    <row r="297" spans="1:34" ht="15.75" x14ac:dyDescent="0.25">
      <c r="A297" s="14" t="str">
        <f t="shared" si="8"/>
        <v/>
      </c>
      <c r="B297" s="15"/>
      <c r="C297" s="14" t="str">
        <f t="shared" si="9"/>
        <v/>
      </c>
      <c r="D297" s="8"/>
      <c r="E297" s="8"/>
      <c r="F297" s="8"/>
      <c r="G297" s="8"/>
      <c r="H297" s="14" t="str">
        <f>IF(ISBLANK(F297),"",IF(G297&lt;&gt;"",UPPER(TRIM(G297)),IF(ISNUMBER(SEARCH(" ",TRIM(F297))),UPPER(LEFT(TRIM(RIGHT(SUBSTITUTE(TRIM(F297)," ",REPT(" ",100)),100)),Settings!$B$9)),UPPER(LEFT(TRIM(F297),Settings!$B$9)))))</f>
        <v/>
      </c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16" t="str">
        <f>IF(ISBLANK(D297),"",IF(COUNTIFS(Circulation!$B$2:$B$500,A297,Circulation!$H$2:$H$500,"Active")&gt;0,"On Loan","Available"))</f>
        <v/>
      </c>
      <c r="AB297" s="8"/>
      <c r="AC297" s="8"/>
      <c r="AD297" s="8"/>
      <c r="AE297" s="8"/>
      <c r="AF297" s="8"/>
      <c r="AG297" s="8"/>
      <c r="AH297" s="8"/>
    </row>
    <row r="298" spans="1:34" ht="15.75" x14ac:dyDescent="0.25">
      <c r="A298" s="14" t="str">
        <f t="shared" si="8"/>
        <v/>
      </c>
      <c r="B298" s="15"/>
      <c r="C298" s="14" t="str">
        <f t="shared" si="9"/>
        <v/>
      </c>
      <c r="D298" s="8"/>
      <c r="E298" s="8"/>
      <c r="F298" s="8"/>
      <c r="G298" s="8"/>
      <c r="H298" s="14" t="str">
        <f>IF(ISBLANK(F298),"",IF(G298&lt;&gt;"",UPPER(TRIM(G298)),IF(ISNUMBER(SEARCH(" ",TRIM(F298))),UPPER(LEFT(TRIM(RIGHT(SUBSTITUTE(TRIM(F298)," ",REPT(" ",100)),100)),Settings!$B$9)),UPPER(LEFT(TRIM(F298),Settings!$B$9)))))</f>
        <v/>
      </c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16" t="str">
        <f>IF(ISBLANK(D298),"",IF(COUNTIFS(Circulation!$B$2:$B$500,A298,Circulation!$H$2:$H$500,"Active")&gt;0,"On Loan","Available"))</f>
        <v/>
      </c>
      <c r="AB298" s="8"/>
      <c r="AC298" s="8"/>
      <c r="AD298" s="8"/>
      <c r="AE298" s="8"/>
      <c r="AF298" s="8"/>
      <c r="AG298" s="8"/>
      <c r="AH298" s="8"/>
    </row>
    <row r="299" spans="1:34" ht="15.75" x14ac:dyDescent="0.25">
      <c r="A299" s="14" t="str">
        <f t="shared" si="8"/>
        <v/>
      </c>
      <c r="B299" s="15"/>
      <c r="C299" s="14" t="str">
        <f t="shared" si="9"/>
        <v/>
      </c>
      <c r="D299" s="8"/>
      <c r="E299" s="8"/>
      <c r="F299" s="8"/>
      <c r="G299" s="8"/>
      <c r="H299" s="14" t="str">
        <f>IF(ISBLANK(F299),"",IF(G299&lt;&gt;"",UPPER(TRIM(G299)),IF(ISNUMBER(SEARCH(" ",TRIM(F299))),UPPER(LEFT(TRIM(RIGHT(SUBSTITUTE(TRIM(F299)," ",REPT(" ",100)),100)),Settings!$B$9)),UPPER(LEFT(TRIM(F299),Settings!$B$9)))))</f>
        <v/>
      </c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16" t="str">
        <f>IF(ISBLANK(D299),"",IF(COUNTIFS(Circulation!$B$2:$B$500,A299,Circulation!$H$2:$H$500,"Active")&gt;0,"On Loan","Available"))</f>
        <v/>
      </c>
      <c r="AB299" s="8"/>
      <c r="AC299" s="8"/>
      <c r="AD299" s="8"/>
      <c r="AE299" s="8"/>
      <c r="AF299" s="8"/>
      <c r="AG299" s="8"/>
      <c r="AH299" s="8"/>
    </row>
    <row r="300" spans="1:34" ht="15.75" x14ac:dyDescent="0.25">
      <c r="A300" s="14" t="str">
        <f t="shared" si="8"/>
        <v/>
      </c>
      <c r="B300" s="15"/>
      <c r="C300" s="14" t="str">
        <f t="shared" si="9"/>
        <v/>
      </c>
      <c r="D300" s="8"/>
      <c r="E300" s="8"/>
      <c r="F300" s="8"/>
      <c r="G300" s="8"/>
      <c r="H300" s="14" t="str">
        <f>IF(ISBLANK(F300),"",IF(G300&lt;&gt;"",UPPER(TRIM(G300)),IF(ISNUMBER(SEARCH(" ",TRIM(F300))),UPPER(LEFT(TRIM(RIGHT(SUBSTITUTE(TRIM(F300)," ",REPT(" ",100)),100)),Settings!$B$9)),UPPER(LEFT(TRIM(F300),Settings!$B$9)))))</f>
        <v/>
      </c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16" t="str">
        <f>IF(ISBLANK(D300),"",IF(COUNTIFS(Circulation!$B$2:$B$500,A300,Circulation!$H$2:$H$500,"Active")&gt;0,"On Loan","Available"))</f>
        <v/>
      </c>
      <c r="AB300" s="8"/>
      <c r="AC300" s="8"/>
      <c r="AD300" s="8"/>
      <c r="AE300" s="8"/>
      <c r="AF300" s="8"/>
      <c r="AG300" s="8"/>
      <c r="AH300" s="8"/>
    </row>
    <row r="301" spans="1:34" ht="15.75" x14ac:dyDescent="0.25">
      <c r="A301" s="14" t="str">
        <f t="shared" si="8"/>
        <v/>
      </c>
      <c r="B301" s="15"/>
      <c r="C301" s="14" t="str">
        <f t="shared" si="9"/>
        <v/>
      </c>
      <c r="D301" s="8"/>
      <c r="E301" s="8"/>
      <c r="F301" s="8"/>
      <c r="G301" s="8"/>
      <c r="H301" s="14" t="str">
        <f>IF(ISBLANK(F301),"",IF(G301&lt;&gt;"",UPPER(TRIM(G301)),IF(ISNUMBER(SEARCH(" ",TRIM(F301))),UPPER(LEFT(TRIM(RIGHT(SUBSTITUTE(TRIM(F301)," ",REPT(" ",100)),100)),Settings!$B$9)),UPPER(LEFT(TRIM(F301),Settings!$B$9)))))</f>
        <v/>
      </c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16" t="str">
        <f>IF(ISBLANK(D301),"",IF(COUNTIFS(Circulation!$B$2:$B$500,A301,Circulation!$H$2:$H$500,"Active")&gt;0,"On Loan","Available"))</f>
        <v/>
      </c>
      <c r="AB301" s="8"/>
      <c r="AC301" s="8"/>
      <c r="AD301" s="8"/>
      <c r="AE301" s="8"/>
      <c r="AF301" s="8"/>
      <c r="AG301" s="8"/>
      <c r="AH301" s="8"/>
    </row>
    <row r="302" spans="1:34" ht="15.75" x14ac:dyDescent="0.25">
      <c r="A302" s="14" t="str">
        <f t="shared" si="8"/>
        <v/>
      </c>
      <c r="B302" s="15"/>
      <c r="C302" s="14" t="str">
        <f t="shared" si="9"/>
        <v/>
      </c>
      <c r="D302" s="8"/>
      <c r="E302" s="8"/>
      <c r="F302" s="8"/>
      <c r="G302" s="8"/>
      <c r="H302" s="14" t="str">
        <f>IF(ISBLANK(F302),"",IF(G302&lt;&gt;"",UPPER(TRIM(G302)),IF(ISNUMBER(SEARCH(" ",TRIM(F302))),UPPER(LEFT(TRIM(RIGHT(SUBSTITUTE(TRIM(F302)," ",REPT(" ",100)),100)),Settings!$B$9)),UPPER(LEFT(TRIM(F302),Settings!$B$9)))))</f>
        <v/>
      </c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16" t="str">
        <f>IF(ISBLANK(D302),"",IF(COUNTIFS(Circulation!$B$2:$B$500,A302,Circulation!$H$2:$H$500,"Active")&gt;0,"On Loan","Available"))</f>
        <v/>
      </c>
      <c r="AB302" s="8"/>
      <c r="AC302" s="8"/>
      <c r="AD302" s="8"/>
      <c r="AE302" s="8"/>
      <c r="AF302" s="8"/>
      <c r="AG302" s="8"/>
      <c r="AH302" s="8"/>
    </row>
    <row r="303" spans="1:34" ht="15.75" x14ac:dyDescent="0.25">
      <c r="A303" s="14" t="str">
        <f t="shared" si="8"/>
        <v/>
      </c>
      <c r="B303" s="15"/>
      <c r="C303" s="14" t="str">
        <f t="shared" si="9"/>
        <v/>
      </c>
      <c r="D303" s="8"/>
      <c r="E303" s="8"/>
      <c r="F303" s="8"/>
      <c r="G303" s="8"/>
      <c r="H303" s="14" t="str">
        <f>IF(ISBLANK(F303),"",IF(G303&lt;&gt;"",UPPER(TRIM(G303)),IF(ISNUMBER(SEARCH(" ",TRIM(F303))),UPPER(LEFT(TRIM(RIGHT(SUBSTITUTE(TRIM(F303)," ",REPT(" ",100)),100)),Settings!$B$9)),UPPER(LEFT(TRIM(F303),Settings!$B$9)))))</f>
        <v/>
      </c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16" t="str">
        <f>IF(ISBLANK(D303),"",IF(COUNTIFS(Circulation!$B$2:$B$500,A303,Circulation!$H$2:$H$500,"Active")&gt;0,"On Loan","Available"))</f>
        <v/>
      </c>
      <c r="AB303" s="8"/>
      <c r="AC303" s="8"/>
      <c r="AD303" s="8"/>
      <c r="AE303" s="8"/>
      <c r="AF303" s="8"/>
      <c r="AG303" s="8"/>
      <c r="AH303" s="8"/>
    </row>
    <row r="304" spans="1:34" ht="15.75" x14ac:dyDescent="0.25">
      <c r="A304" s="14" t="str">
        <f t="shared" si="8"/>
        <v/>
      </c>
      <c r="B304" s="15"/>
      <c r="C304" s="14" t="str">
        <f t="shared" si="9"/>
        <v/>
      </c>
      <c r="D304" s="8"/>
      <c r="E304" s="8"/>
      <c r="F304" s="8"/>
      <c r="G304" s="8"/>
      <c r="H304" s="14" t="str">
        <f>IF(ISBLANK(F304),"",IF(G304&lt;&gt;"",UPPER(TRIM(G304)),IF(ISNUMBER(SEARCH(" ",TRIM(F304))),UPPER(LEFT(TRIM(RIGHT(SUBSTITUTE(TRIM(F304)," ",REPT(" ",100)),100)),Settings!$B$9)),UPPER(LEFT(TRIM(F304),Settings!$B$9)))))</f>
        <v/>
      </c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16" t="str">
        <f>IF(ISBLANK(D304),"",IF(COUNTIFS(Circulation!$B$2:$B$500,A304,Circulation!$H$2:$H$500,"Active")&gt;0,"On Loan","Available"))</f>
        <v/>
      </c>
      <c r="AB304" s="8"/>
      <c r="AC304" s="8"/>
      <c r="AD304" s="8"/>
      <c r="AE304" s="8"/>
      <c r="AF304" s="8"/>
      <c r="AG304" s="8"/>
      <c r="AH304" s="8"/>
    </row>
    <row r="305" spans="1:34" ht="15.75" x14ac:dyDescent="0.25">
      <c r="A305" s="14" t="str">
        <f t="shared" si="8"/>
        <v/>
      </c>
      <c r="B305" s="15"/>
      <c r="C305" s="14" t="str">
        <f t="shared" si="9"/>
        <v/>
      </c>
      <c r="D305" s="8"/>
      <c r="E305" s="8"/>
      <c r="F305" s="8"/>
      <c r="G305" s="8"/>
      <c r="H305" s="14" t="str">
        <f>IF(ISBLANK(F305),"",IF(G305&lt;&gt;"",UPPER(TRIM(G305)),IF(ISNUMBER(SEARCH(" ",TRIM(F305))),UPPER(LEFT(TRIM(RIGHT(SUBSTITUTE(TRIM(F305)," ",REPT(" ",100)),100)),Settings!$B$9)),UPPER(LEFT(TRIM(F305),Settings!$B$9)))))</f>
        <v/>
      </c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16" t="str">
        <f>IF(ISBLANK(D305),"",IF(COUNTIFS(Circulation!$B$2:$B$500,A305,Circulation!$H$2:$H$500,"Active")&gt;0,"On Loan","Available"))</f>
        <v/>
      </c>
      <c r="AB305" s="8"/>
      <c r="AC305" s="8"/>
      <c r="AD305" s="8"/>
      <c r="AE305" s="8"/>
      <c r="AF305" s="8"/>
      <c r="AG305" s="8"/>
      <c r="AH305" s="8"/>
    </row>
    <row r="306" spans="1:34" ht="15.75" x14ac:dyDescent="0.25">
      <c r="A306" s="14" t="str">
        <f t="shared" si="8"/>
        <v/>
      </c>
      <c r="B306" s="15"/>
      <c r="C306" s="14" t="str">
        <f t="shared" si="9"/>
        <v/>
      </c>
      <c r="D306" s="8"/>
      <c r="E306" s="8"/>
      <c r="F306" s="8"/>
      <c r="G306" s="8"/>
      <c r="H306" s="14" t="str">
        <f>IF(ISBLANK(F306),"",IF(G306&lt;&gt;"",UPPER(TRIM(G306)),IF(ISNUMBER(SEARCH(" ",TRIM(F306))),UPPER(LEFT(TRIM(RIGHT(SUBSTITUTE(TRIM(F306)," ",REPT(" ",100)),100)),Settings!$B$9)),UPPER(LEFT(TRIM(F306),Settings!$B$9)))))</f>
        <v/>
      </c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16" t="str">
        <f>IF(ISBLANK(D306),"",IF(COUNTIFS(Circulation!$B$2:$B$500,A306,Circulation!$H$2:$H$500,"Active")&gt;0,"On Loan","Available"))</f>
        <v/>
      </c>
      <c r="AB306" s="8"/>
      <c r="AC306" s="8"/>
      <c r="AD306" s="8"/>
      <c r="AE306" s="8"/>
      <c r="AF306" s="8"/>
      <c r="AG306" s="8"/>
      <c r="AH306" s="8"/>
    </row>
    <row r="307" spans="1:34" ht="15.75" x14ac:dyDescent="0.25">
      <c r="A307" s="14" t="str">
        <f t="shared" si="8"/>
        <v/>
      </c>
      <c r="B307" s="15"/>
      <c r="C307" s="14" t="str">
        <f t="shared" si="9"/>
        <v/>
      </c>
      <c r="D307" s="8"/>
      <c r="E307" s="8"/>
      <c r="F307" s="8"/>
      <c r="G307" s="8"/>
      <c r="H307" s="14" t="str">
        <f>IF(ISBLANK(F307),"",IF(G307&lt;&gt;"",UPPER(TRIM(G307)),IF(ISNUMBER(SEARCH(" ",TRIM(F307))),UPPER(LEFT(TRIM(RIGHT(SUBSTITUTE(TRIM(F307)," ",REPT(" ",100)),100)),Settings!$B$9)),UPPER(LEFT(TRIM(F307),Settings!$B$9)))))</f>
        <v/>
      </c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16" t="str">
        <f>IF(ISBLANK(D307),"",IF(COUNTIFS(Circulation!$B$2:$B$500,A307,Circulation!$H$2:$H$500,"Active")&gt;0,"On Loan","Available"))</f>
        <v/>
      </c>
      <c r="AB307" s="8"/>
      <c r="AC307" s="8"/>
      <c r="AD307" s="8"/>
      <c r="AE307" s="8"/>
      <c r="AF307" s="8"/>
      <c r="AG307" s="8"/>
      <c r="AH307" s="8"/>
    </row>
    <row r="308" spans="1:34" ht="15.75" x14ac:dyDescent="0.25">
      <c r="A308" s="14" t="str">
        <f t="shared" si="8"/>
        <v/>
      </c>
      <c r="B308" s="15"/>
      <c r="C308" s="14" t="str">
        <f t="shared" si="9"/>
        <v/>
      </c>
      <c r="D308" s="8"/>
      <c r="E308" s="8"/>
      <c r="F308" s="8"/>
      <c r="G308" s="8"/>
      <c r="H308" s="14" t="str">
        <f>IF(ISBLANK(F308),"",IF(G308&lt;&gt;"",UPPER(TRIM(G308)),IF(ISNUMBER(SEARCH(" ",TRIM(F308))),UPPER(LEFT(TRIM(RIGHT(SUBSTITUTE(TRIM(F308)," ",REPT(" ",100)),100)),Settings!$B$9)),UPPER(LEFT(TRIM(F308),Settings!$B$9)))))</f>
        <v/>
      </c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16" t="str">
        <f>IF(ISBLANK(D308),"",IF(COUNTIFS(Circulation!$B$2:$B$500,A308,Circulation!$H$2:$H$500,"Active")&gt;0,"On Loan","Available"))</f>
        <v/>
      </c>
      <c r="AB308" s="8"/>
      <c r="AC308" s="8"/>
      <c r="AD308" s="8"/>
      <c r="AE308" s="8"/>
      <c r="AF308" s="8"/>
      <c r="AG308" s="8"/>
      <c r="AH308" s="8"/>
    </row>
    <row r="309" spans="1:34" ht="15.75" x14ac:dyDescent="0.25">
      <c r="A309" s="14" t="str">
        <f t="shared" si="8"/>
        <v/>
      </c>
      <c r="B309" s="15"/>
      <c r="C309" s="14" t="str">
        <f t="shared" si="9"/>
        <v/>
      </c>
      <c r="D309" s="8"/>
      <c r="E309" s="8"/>
      <c r="F309" s="8"/>
      <c r="G309" s="8"/>
      <c r="H309" s="14" t="str">
        <f>IF(ISBLANK(F309),"",IF(G309&lt;&gt;"",UPPER(TRIM(G309)),IF(ISNUMBER(SEARCH(" ",TRIM(F309))),UPPER(LEFT(TRIM(RIGHT(SUBSTITUTE(TRIM(F309)," ",REPT(" ",100)),100)),Settings!$B$9)),UPPER(LEFT(TRIM(F309),Settings!$B$9)))))</f>
        <v/>
      </c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16" t="str">
        <f>IF(ISBLANK(D309),"",IF(COUNTIFS(Circulation!$B$2:$B$500,A309,Circulation!$H$2:$H$500,"Active")&gt;0,"On Loan","Available"))</f>
        <v/>
      </c>
      <c r="AB309" s="8"/>
      <c r="AC309" s="8"/>
      <c r="AD309" s="8"/>
      <c r="AE309" s="8"/>
      <c r="AF309" s="8"/>
      <c r="AG309" s="8"/>
      <c r="AH309" s="8"/>
    </row>
    <row r="310" spans="1:34" ht="15.75" x14ac:dyDescent="0.25">
      <c r="A310" s="14" t="str">
        <f t="shared" si="8"/>
        <v/>
      </c>
      <c r="B310" s="15"/>
      <c r="C310" s="14" t="str">
        <f t="shared" si="9"/>
        <v/>
      </c>
      <c r="D310" s="8"/>
      <c r="E310" s="8"/>
      <c r="F310" s="8"/>
      <c r="G310" s="8"/>
      <c r="H310" s="14" t="str">
        <f>IF(ISBLANK(F310),"",IF(G310&lt;&gt;"",UPPER(TRIM(G310)),IF(ISNUMBER(SEARCH(" ",TRIM(F310))),UPPER(LEFT(TRIM(RIGHT(SUBSTITUTE(TRIM(F310)," ",REPT(" ",100)),100)),Settings!$B$9)),UPPER(LEFT(TRIM(F310),Settings!$B$9)))))</f>
        <v/>
      </c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16" t="str">
        <f>IF(ISBLANK(D310),"",IF(COUNTIFS(Circulation!$B$2:$B$500,A310,Circulation!$H$2:$H$500,"Active")&gt;0,"On Loan","Available"))</f>
        <v/>
      </c>
      <c r="AB310" s="8"/>
      <c r="AC310" s="8"/>
      <c r="AD310" s="8"/>
      <c r="AE310" s="8"/>
      <c r="AF310" s="8"/>
      <c r="AG310" s="8"/>
      <c r="AH310" s="8"/>
    </row>
    <row r="311" spans="1:34" ht="15.75" x14ac:dyDescent="0.25">
      <c r="A311" s="14" t="str">
        <f t="shared" si="8"/>
        <v/>
      </c>
      <c r="B311" s="15"/>
      <c r="C311" s="14" t="str">
        <f t="shared" si="9"/>
        <v/>
      </c>
      <c r="D311" s="8"/>
      <c r="E311" s="8"/>
      <c r="F311" s="8"/>
      <c r="G311" s="8"/>
      <c r="H311" s="14" t="str">
        <f>IF(ISBLANK(F311),"",IF(G311&lt;&gt;"",UPPER(TRIM(G311)),IF(ISNUMBER(SEARCH(" ",TRIM(F311))),UPPER(LEFT(TRIM(RIGHT(SUBSTITUTE(TRIM(F311)," ",REPT(" ",100)),100)),Settings!$B$9)),UPPER(LEFT(TRIM(F311),Settings!$B$9)))))</f>
        <v/>
      </c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16" t="str">
        <f>IF(ISBLANK(D311),"",IF(COUNTIFS(Circulation!$B$2:$B$500,A311,Circulation!$H$2:$H$500,"Active")&gt;0,"On Loan","Available"))</f>
        <v/>
      </c>
      <c r="AB311" s="8"/>
      <c r="AC311" s="8"/>
      <c r="AD311" s="8"/>
      <c r="AE311" s="8"/>
      <c r="AF311" s="8"/>
      <c r="AG311" s="8"/>
      <c r="AH311" s="8"/>
    </row>
    <row r="312" spans="1:34" ht="15.75" x14ac:dyDescent="0.25">
      <c r="A312" s="14" t="str">
        <f t="shared" si="8"/>
        <v/>
      </c>
      <c r="B312" s="15"/>
      <c r="C312" s="14" t="str">
        <f t="shared" si="9"/>
        <v/>
      </c>
      <c r="D312" s="8"/>
      <c r="E312" s="8"/>
      <c r="F312" s="8"/>
      <c r="G312" s="8"/>
      <c r="H312" s="14" t="str">
        <f>IF(ISBLANK(F312),"",IF(G312&lt;&gt;"",UPPER(TRIM(G312)),IF(ISNUMBER(SEARCH(" ",TRIM(F312))),UPPER(LEFT(TRIM(RIGHT(SUBSTITUTE(TRIM(F312)," ",REPT(" ",100)),100)),Settings!$B$9)),UPPER(LEFT(TRIM(F312),Settings!$B$9)))))</f>
        <v/>
      </c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16" t="str">
        <f>IF(ISBLANK(D312),"",IF(COUNTIFS(Circulation!$B$2:$B$500,A312,Circulation!$H$2:$H$500,"Active")&gt;0,"On Loan","Available"))</f>
        <v/>
      </c>
      <c r="AB312" s="8"/>
      <c r="AC312" s="8"/>
      <c r="AD312" s="8"/>
      <c r="AE312" s="8"/>
      <c r="AF312" s="8"/>
      <c r="AG312" s="8"/>
      <c r="AH312" s="8"/>
    </row>
    <row r="313" spans="1:34" ht="15.75" x14ac:dyDescent="0.25">
      <c r="A313" s="14" t="str">
        <f t="shared" si="8"/>
        <v/>
      </c>
      <c r="B313" s="15"/>
      <c r="C313" s="14" t="str">
        <f t="shared" si="9"/>
        <v/>
      </c>
      <c r="D313" s="8"/>
      <c r="E313" s="8"/>
      <c r="F313" s="8"/>
      <c r="G313" s="8"/>
      <c r="H313" s="14" t="str">
        <f>IF(ISBLANK(F313),"",IF(G313&lt;&gt;"",UPPER(TRIM(G313)),IF(ISNUMBER(SEARCH(" ",TRIM(F313))),UPPER(LEFT(TRIM(RIGHT(SUBSTITUTE(TRIM(F313)," ",REPT(" ",100)),100)),Settings!$B$9)),UPPER(LEFT(TRIM(F313),Settings!$B$9)))))</f>
        <v/>
      </c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16" t="str">
        <f>IF(ISBLANK(D313),"",IF(COUNTIFS(Circulation!$B$2:$B$500,A313,Circulation!$H$2:$H$500,"Active")&gt;0,"On Loan","Available"))</f>
        <v/>
      </c>
      <c r="AB313" s="8"/>
      <c r="AC313" s="8"/>
      <c r="AD313" s="8"/>
      <c r="AE313" s="8"/>
      <c r="AF313" s="8"/>
      <c r="AG313" s="8"/>
      <c r="AH313" s="8"/>
    </row>
    <row r="314" spans="1:34" ht="15.75" x14ac:dyDescent="0.25">
      <c r="A314" s="14" t="str">
        <f t="shared" si="8"/>
        <v/>
      </c>
      <c r="B314" s="15"/>
      <c r="C314" s="14" t="str">
        <f t="shared" si="9"/>
        <v/>
      </c>
      <c r="D314" s="8"/>
      <c r="E314" s="8"/>
      <c r="F314" s="8"/>
      <c r="G314" s="8"/>
      <c r="H314" s="14" t="str">
        <f>IF(ISBLANK(F314),"",IF(G314&lt;&gt;"",UPPER(TRIM(G314)),IF(ISNUMBER(SEARCH(" ",TRIM(F314))),UPPER(LEFT(TRIM(RIGHT(SUBSTITUTE(TRIM(F314)," ",REPT(" ",100)),100)),Settings!$B$9)),UPPER(LEFT(TRIM(F314),Settings!$B$9)))))</f>
        <v/>
      </c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16" t="str">
        <f>IF(ISBLANK(D314),"",IF(COUNTIFS(Circulation!$B$2:$B$500,A314,Circulation!$H$2:$H$500,"Active")&gt;0,"On Loan","Available"))</f>
        <v/>
      </c>
      <c r="AB314" s="8"/>
      <c r="AC314" s="8"/>
      <c r="AD314" s="8"/>
      <c r="AE314" s="8"/>
      <c r="AF314" s="8"/>
      <c r="AG314" s="8"/>
      <c r="AH314" s="8"/>
    </row>
    <row r="315" spans="1:34" ht="15.75" x14ac:dyDescent="0.25">
      <c r="A315" s="14" t="str">
        <f t="shared" si="8"/>
        <v/>
      </c>
      <c r="B315" s="15"/>
      <c r="C315" s="14" t="str">
        <f t="shared" si="9"/>
        <v/>
      </c>
      <c r="D315" s="8"/>
      <c r="E315" s="8"/>
      <c r="F315" s="8"/>
      <c r="G315" s="8"/>
      <c r="H315" s="14" t="str">
        <f>IF(ISBLANK(F315),"",IF(G315&lt;&gt;"",UPPER(TRIM(G315)),IF(ISNUMBER(SEARCH(" ",TRIM(F315))),UPPER(LEFT(TRIM(RIGHT(SUBSTITUTE(TRIM(F315)," ",REPT(" ",100)),100)),Settings!$B$9)),UPPER(LEFT(TRIM(F315),Settings!$B$9)))))</f>
        <v/>
      </c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16" t="str">
        <f>IF(ISBLANK(D315),"",IF(COUNTIFS(Circulation!$B$2:$B$500,A315,Circulation!$H$2:$H$500,"Active")&gt;0,"On Loan","Available"))</f>
        <v/>
      </c>
      <c r="AB315" s="8"/>
      <c r="AC315" s="8"/>
      <c r="AD315" s="8"/>
      <c r="AE315" s="8"/>
      <c r="AF315" s="8"/>
      <c r="AG315" s="8"/>
      <c r="AH315" s="8"/>
    </row>
    <row r="316" spans="1:34" ht="15.75" x14ac:dyDescent="0.25">
      <c r="A316" s="14" t="str">
        <f t="shared" si="8"/>
        <v/>
      </c>
      <c r="B316" s="15"/>
      <c r="C316" s="14" t="str">
        <f t="shared" si="9"/>
        <v/>
      </c>
      <c r="D316" s="8"/>
      <c r="E316" s="8"/>
      <c r="F316" s="8"/>
      <c r="G316" s="8"/>
      <c r="H316" s="14" t="str">
        <f>IF(ISBLANK(F316),"",IF(G316&lt;&gt;"",UPPER(TRIM(G316)),IF(ISNUMBER(SEARCH(" ",TRIM(F316))),UPPER(LEFT(TRIM(RIGHT(SUBSTITUTE(TRIM(F316)," ",REPT(" ",100)),100)),Settings!$B$9)),UPPER(LEFT(TRIM(F316),Settings!$B$9)))))</f>
        <v/>
      </c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16" t="str">
        <f>IF(ISBLANK(D316),"",IF(COUNTIFS(Circulation!$B$2:$B$500,A316,Circulation!$H$2:$H$500,"Active")&gt;0,"On Loan","Available"))</f>
        <v/>
      </c>
      <c r="AB316" s="8"/>
      <c r="AC316" s="8"/>
      <c r="AD316" s="8"/>
      <c r="AE316" s="8"/>
      <c r="AF316" s="8"/>
      <c r="AG316" s="8"/>
      <c r="AH316" s="8"/>
    </row>
    <row r="317" spans="1:34" ht="15.75" x14ac:dyDescent="0.25">
      <c r="A317" s="14" t="str">
        <f t="shared" si="8"/>
        <v/>
      </c>
      <c r="B317" s="15"/>
      <c r="C317" s="14" t="str">
        <f t="shared" si="9"/>
        <v/>
      </c>
      <c r="D317" s="8"/>
      <c r="E317" s="8"/>
      <c r="F317" s="8"/>
      <c r="G317" s="8"/>
      <c r="H317" s="14" t="str">
        <f>IF(ISBLANK(F317),"",IF(G317&lt;&gt;"",UPPER(TRIM(G317)),IF(ISNUMBER(SEARCH(" ",TRIM(F317))),UPPER(LEFT(TRIM(RIGHT(SUBSTITUTE(TRIM(F317)," ",REPT(" ",100)),100)),Settings!$B$9)),UPPER(LEFT(TRIM(F317),Settings!$B$9)))))</f>
        <v/>
      </c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16" t="str">
        <f>IF(ISBLANK(D317),"",IF(COUNTIFS(Circulation!$B$2:$B$500,A317,Circulation!$H$2:$H$500,"Active")&gt;0,"On Loan","Available"))</f>
        <v/>
      </c>
      <c r="AB317" s="8"/>
      <c r="AC317" s="8"/>
      <c r="AD317" s="8"/>
      <c r="AE317" s="8"/>
      <c r="AF317" s="8"/>
      <c r="AG317" s="8"/>
      <c r="AH317" s="8"/>
    </row>
    <row r="318" spans="1:34" ht="15.75" x14ac:dyDescent="0.25">
      <c r="A318" s="14" t="str">
        <f t="shared" si="8"/>
        <v/>
      </c>
      <c r="B318" s="15"/>
      <c r="C318" s="14" t="str">
        <f t="shared" si="9"/>
        <v/>
      </c>
      <c r="D318" s="8"/>
      <c r="E318" s="8"/>
      <c r="F318" s="8"/>
      <c r="G318" s="8"/>
      <c r="H318" s="14" t="str">
        <f>IF(ISBLANK(F318),"",IF(G318&lt;&gt;"",UPPER(TRIM(G318)),IF(ISNUMBER(SEARCH(" ",TRIM(F318))),UPPER(LEFT(TRIM(RIGHT(SUBSTITUTE(TRIM(F318)," ",REPT(" ",100)),100)),Settings!$B$9)),UPPER(LEFT(TRIM(F318),Settings!$B$9)))))</f>
        <v/>
      </c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16" t="str">
        <f>IF(ISBLANK(D318),"",IF(COUNTIFS(Circulation!$B$2:$B$500,A318,Circulation!$H$2:$H$500,"Active")&gt;0,"On Loan","Available"))</f>
        <v/>
      </c>
      <c r="AB318" s="8"/>
      <c r="AC318" s="8"/>
      <c r="AD318" s="8"/>
      <c r="AE318" s="8"/>
      <c r="AF318" s="8"/>
      <c r="AG318" s="8"/>
      <c r="AH318" s="8"/>
    </row>
    <row r="319" spans="1:34" ht="15.75" x14ac:dyDescent="0.25">
      <c r="A319" s="14" t="str">
        <f t="shared" si="8"/>
        <v/>
      </c>
      <c r="B319" s="15"/>
      <c r="C319" s="14" t="str">
        <f t="shared" si="9"/>
        <v/>
      </c>
      <c r="D319" s="8"/>
      <c r="E319" s="8"/>
      <c r="F319" s="8"/>
      <c r="G319" s="8"/>
      <c r="H319" s="14" t="str">
        <f>IF(ISBLANK(F319),"",IF(G319&lt;&gt;"",UPPER(TRIM(G319)),IF(ISNUMBER(SEARCH(" ",TRIM(F319))),UPPER(LEFT(TRIM(RIGHT(SUBSTITUTE(TRIM(F319)," ",REPT(" ",100)),100)),Settings!$B$9)),UPPER(LEFT(TRIM(F319),Settings!$B$9)))))</f>
        <v/>
      </c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16" t="str">
        <f>IF(ISBLANK(D319),"",IF(COUNTIFS(Circulation!$B$2:$B$500,A319,Circulation!$H$2:$H$500,"Active")&gt;0,"On Loan","Available"))</f>
        <v/>
      </c>
      <c r="AB319" s="8"/>
      <c r="AC319" s="8"/>
      <c r="AD319" s="8"/>
      <c r="AE319" s="8"/>
      <c r="AF319" s="8"/>
      <c r="AG319" s="8"/>
      <c r="AH319" s="8"/>
    </row>
    <row r="320" spans="1:34" ht="15.75" x14ac:dyDescent="0.25">
      <c r="A320" s="14" t="str">
        <f t="shared" si="8"/>
        <v/>
      </c>
      <c r="B320" s="15"/>
      <c r="C320" s="14" t="str">
        <f t="shared" si="9"/>
        <v/>
      </c>
      <c r="D320" s="8"/>
      <c r="E320" s="8"/>
      <c r="F320" s="8"/>
      <c r="G320" s="8"/>
      <c r="H320" s="14" t="str">
        <f>IF(ISBLANK(F320),"",IF(G320&lt;&gt;"",UPPER(TRIM(G320)),IF(ISNUMBER(SEARCH(" ",TRIM(F320))),UPPER(LEFT(TRIM(RIGHT(SUBSTITUTE(TRIM(F320)," ",REPT(" ",100)),100)),Settings!$B$9)),UPPER(LEFT(TRIM(F320),Settings!$B$9)))))</f>
        <v/>
      </c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16" t="str">
        <f>IF(ISBLANK(D320),"",IF(COUNTIFS(Circulation!$B$2:$B$500,A320,Circulation!$H$2:$H$500,"Active")&gt;0,"On Loan","Available"))</f>
        <v/>
      </c>
      <c r="AB320" s="8"/>
      <c r="AC320" s="8"/>
      <c r="AD320" s="8"/>
      <c r="AE320" s="8"/>
      <c r="AF320" s="8"/>
      <c r="AG320" s="8"/>
      <c r="AH320" s="8"/>
    </row>
    <row r="321" spans="1:34" ht="15.75" x14ac:dyDescent="0.25">
      <c r="A321" s="14" t="str">
        <f t="shared" si="8"/>
        <v/>
      </c>
      <c r="B321" s="15"/>
      <c r="C321" s="14" t="str">
        <f t="shared" si="9"/>
        <v/>
      </c>
      <c r="D321" s="8"/>
      <c r="E321" s="8"/>
      <c r="F321" s="8"/>
      <c r="G321" s="8"/>
      <c r="H321" s="14" t="str">
        <f>IF(ISBLANK(F321),"",IF(G321&lt;&gt;"",UPPER(TRIM(G321)),IF(ISNUMBER(SEARCH(" ",TRIM(F321))),UPPER(LEFT(TRIM(RIGHT(SUBSTITUTE(TRIM(F321)," ",REPT(" ",100)),100)),Settings!$B$9)),UPPER(LEFT(TRIM(F321),Settings!$B$9)))))</f>
        <v/>
      </c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16" t="str">
        <f>IF(ISBLANK(D321),"",IF(COUNTIFS(Circulation!$B$2:$B$500,A321,Circulation!$H$2:$H$500,"Active")&gt;0,"On Loan","Available"))</f>
        <v/>
      </c>
      <c r="AB321" s="8"/>
      <c r="AC321" s="8"/>
      <c r="AD321" s="8"/>
      <c r="AE321" s="8"/>
      <c r="AF321" s="8"/>
      <c r="AG321" s="8"/>
      <c r="AH321" s="8"/>
    </row>
    <row r="322" spans="1:34" ht="15.75" x14ac:dyDescent="0.25">
      <c r="A322" s="14" t="str">
        <f t="shared" ref="A322:A385" si="10">IF(ISBLANK(D322),"",ROW()-1)</f>
        <v/>
      </c>
      <c r="B322" s="15"/>
      <c r="C322" s="14" t="str">
        <f t="shared" ref="C322:C385" si="11">IF(OR(ISBLANK(D322),ISBLANK(K322)),"",IFERROR(VLOOKUP(K322,CatItemTypeLookup,2,FALSE),"?")&amp;"-"&amp;IF(L322="","?",IFERROR(VLOOKUP(L322,SubjectLookup,2,FALSE),"="))&amp;"-"&amp;IF(M322="","?",IFERROR(VLOOKUP(M322,GenreLookup,2,FALSE),"="))&amp;"-"&amp;IF(H322="","NOC",H322)&amp;"-"&amp;TEXT(A322,"000")&amp;IF(ISBLANK(O322),"","-"&amp;SUBSTITUTE(O322," ","")))</f>
        <v/>
      </c>
      <c r="D322" s="8"/>
      <c r="E322" s="8"/>
      <c r="F322" s="8"/>
      <c r="G322" s="8"/>
      <c r="H322" s="14" t="str">
        <f>IF(ISBLANK(F322),"",IF(G322&lt;&gt;"",UPPER(TRIM(G322)),IF(ISNUMBER(SEARCH(" ",TRIM(F322))),UPPER(LEFT(TRIM(RIGHT(SUBSTITUTE(TRIM(F322)," ",REPT(" ",100)),100)),Settings!$B$9)),UPPER(LEFT(TRIM(F322),Settings!$B$9)))))</f>
        <v/>
      </c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16" t="str">
        <f>IF(ISBLANK(D322),"",IF(COUNTIFS(Circulation!$B$2:$B$500,A322,Circulation!$H$2:$H$500,"Active")&gt;0,"On Loan","Available"))</f>
        <v/>
      </c>
      <c r="AB322" s="8"/>
      <c r="AC322" s="8"/>
      <c r="AD322" s="8"/>
      <c r="AE322" s="8"/>
      <c r="AF322" s="8"/>
      <c r="AG322" s="8"/>
      <c r="AH322" s="8"/>
    </row>
    <row r="323" spans="1:34" ht="15.75" x14ac:dyDescent="0.25">
      <c r="A323" s="14" t="str">
        <f t="shared" si="10"/>
        <v/>
      </c>
      <c r="B323" s="15"/>
      <c r="C323" s="14" t="str">
        <f t="shared" si="11"/>
        <v/>
      </c>
      <c r="D323" s="8"/>
      <c r="E323" s="8"/>
      <c r="F323" s="8"/>
      <c r="G323" s="8"/>
      <c r="H323" s="14" t="str">
        <f>IF(ISBLANK(F323),"",IF(G323&lt;&gt;"",UPPER(TRIM(G323)),IF(ISNUMBER(SEARCH(" ",TRIM(F323))),UPPER(LEFT(TRIM(RIGHT(SUBSTITUTE(TRIM(F323)," ",REPT(" ",100)),100)),Settings!$B$9)),UPPER(LEFT(TRIM(F323),Settings!$B$9)))))</f>
        <v/>
      </c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16" t="str">
        <f>IF(ISBLANK(D323),"",IF(COUNTIFS(Circulation!$B$2:$B$500,A323,Circulation!$H$2:$H$500,"Active")&gt;0,"On Loan","Available"))</f>
        <v/>
      </c>
      <c r="AB323" s="8"/>
      <c r="AC323" s="8"/>
      <c r="AD323" s="8"/>
      <c r="AE323" s="8"/>
      <c r="AF323" s="8"/>
      <c r="AG323" s="8"/>
      <c r="AH323" s="8"/>
    </row>
    <row r="324" spans="1:34" ht="15.75" x14ac:dyDescent="0.25">
      <c r="A324" s="14" t="str">
        <f t="shared" si="10"/>
        <v/>
      </c>
      <c r="B324" s="15"/>
      <c r="C324" s="14" t="str">
        <f t="shared" si="11"/>
        <v/>
      </c>
      <c r="D324" s="8"/>
      <c r="E324" s="8"/>
      <c r="F324" s="8"/>
      <c r="G324" s="8"/>
      <c r="H324" s="14" t="str">
        <f>IF(ISBLANK(F324),"",IF(G324&lt;&gt;"",UPPER(TRIM(G324)),IF(ISNUMBER(SEARCH(" ",TRIM(F324))),UPPER(LEFT(TRIM(RIGHT(SUBSTITUTE(TRIM(F324)," ",REPT(" ",100)),100)),Settings!$B$9)),UPPER(LEFT(TRIM(F324),Settings!$B$9)))))</f>
        <v/>
      </c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16" t="str">
        <f>IF(ISBLANK(D324),"",IF(COUNTIFS(Circulation!$B$2:$B$500,A324,Circulation!$H$2:$H$500,"Active")&gt;0,"On Loan","Available"))</f>
        <v/>
      </c>
      <c r="AB324" s="8"/>
      <c r="AC324" s="8"/>
      <c r="AD324" s="8"/>
      <c r="AE324" s="8"/>
      <c r="AF324" s="8"/>
      <c r="AG324" s="8"/>
      <c r="AH324" s="8"/>
    </row>
    <row r="325" spans="1:34" ht="15.75" x14ac:dyDescent="0.25">
      <c r="A325" s="14" t="str">
        <f t="shared" si="10"/>
        <v/>
      </c>
      <c r="B325" s="15"/>
      <c r="C325" s="14" t="str">
        <f t="shared" si="11"/>
        <v/>
      </c>
      <c r="D325" s="8"/>
      <c r="E325" s="8"/>
      <c r="F325" s="8"/>
      <c r="G325" s="8"/>
      <c r="H325" s="14" t="str">
        <f>IF(ISBLANK(F325),"",IF(G325&lt;&gt;"",UPPER(TRIM(G325)),IF(ISNUMBER(SEARCH(" ",TRIM(F325))),UPPER(LEFT(TRIM(RIGHT(SUBSTITUTE(TRIM(F325)," ",REPT(" ",100)),100)),Settings!$B$9)),UPPER(LEFT(TRIM(F325),Settings!$B$9)))))</f>
        <v/>
      </c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16" t="str">
        <f>IF(ISBLANK(D325),"",IF(COUNTIFS(Circulation!$B$2:$B$500,A325,Circulation!$H$2:$H$500,"Active")&gt;0,"On Loan","Available"))</f>
        <v/>
      </c>
      <c r="AB325" s="8"/>
      <c r="AC325" s="8"/>
      <c r="AD325" s="8"/>
      <c r="AE325" s="8"/>
      <c r="AF325" s="8"/>
      <c r="AG325" s="8"/>
      <c r="AH325" s="8"/>
    </row>
    <row r="326" spans="1:34" ht="15.75" x14ac:dyDescent="0.25">
      <c r="A326" s="14" t="str">
        <f t="shared" si="10"/>
        <v/>
      </c>
      <c r="B326" s="15"/>
      <c r="C326" s="14" t="str">
        <f t="shared" si="11"/>
        <v/>
      </c>
      <c r="D326" s="8"/>
      <c r="E326" s="8"/>
      <c r="F326" s="8"/>
      <c r="G326" s="8"/>
      <c r="H326" s="14" t="str">
        <f>IF(ISBLANK(F326),"",IF(G326&lt;&gt;"",UPPER(TRIM(G326)),IF(ISNUMBER(SEARCH(" ",TRIM(F326))),UPPER(LEFT(TRIM(RIGHT(SUBSTITUTE(TRIM(F326)," ",REPT(" ",100)),100)),Settings!$B$9)),UPPER(LEFT(TRIM(F326),Settings!$B$9)))))</f>
        <v/>
      </c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16" t="str">
        <f>IF(ISBLANK(D326),"",IF(COUNTIFS(Circulation!$B$2:$B$500,A326,Circulation!$H$2:$H$500,"Active")&gt;0,"On Loan","Available"))</f>
        <v/>
      </c>
      <c r="AB326" s="8"/>
      <c r="AC326" s="8"/>
      <c r="AD326" s="8"/>
      <c r="AE326" s="8"/>
      <c r="AF326" s="8"/>
      <c r="AG326" s="8"/>
      <c r="AH326" s="8"/>
    </row>
    <row r="327" spans="1:34" ht="15.75" x14ac:dyDescent="0.25">
      <c r="A327" s="14" t="str">
        <f t="shared" si="10"/>
        <v/>
      </c>
      <c r="B327" s="15"/>
      <c r="C327" s="14" t="str">
        <f t="shared" si="11"/>
        <v/>
      </c>
      <c r="D327" s="8"/>
      <c r="E327" s="8"/>
      <c r="F327" s="8"/>
      <c r="G327" s="8"/>
      <c r="H327" s="14" t="str">
        <f>IF(ISBLANK(F327),"",IF(G327&lt;&gt;"",UPPER(TRIM(G327)),IF(ISNUMBER(SEARCH(" ",TRIM(F327))),UPPER(LEFT(TRIM(RIGHT(SUBSTITUTE(TRIM(F327)," ",REPT(" ",100)),100)),Settings!$B$9)),UPPER(LEFT(TRIM(F327),Settings!$B$9)))))</f>
        <v/>
      </c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16" t="str">
        <f>IF(ISBLANK(D327),"",IF(COUNTIFS(Circulation!$B$2:$B$500,A327,Circulation!$H$2:$H$500,"Active")&gt;0,"On Loan","Available"))</f>
        <v/>
      </c>
      <c r="AB327" s="8"/>
      <c r="AC327" s="8"/>
      <c r="AD327" s="8"/>
      <c r="AE327" s="8"/>
      <c r="AF327" s="8"/>
      <c r="AG327" s="8"/>
      <c r="AH327" s="8"/>
    </row>
    <row r="328" spans="1:34" ht="15.75" x14ac:dyDescent="0.25">
      <c r="A328" s="14" t="str">
        <f t="shared" si="10"/>
        <v/>
      </c>
      <c r="B328" s="15"/>
      <c r="C328" s="14" t="str">
        <f t="shared" si="11"/>
        <v/>
      </c>
      <c r="D328" s="8"/>
      <c r="E328" s="8"/>
      <c r="F328" s="8"/>
      <c r="G328" s="8"/>
      <c r="H328" s="14" t="str">
        <f>IF(ISBLANK(F328),"",IF(G328&lt;&gt;"",UPPER(TRIM(G328)),IF(ISNUMBER(SEARCH(" ",TRIM(F328))),UPPER(LEFT(TRIM(RIGHT(SUBSTITUTE(TRIM(F328)," ",REPT(" ",100)),100)),Settings!$B$9)),UPPER(LEFT(TRIM(F328),Settings!$B$9)))))</f>
        <v/>
      </c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16" t="str">
        <f>IF(ISBLANK(D328),"",IF(COUNTIFS(Circulation!$B$2:$B$500,A328,Circulation!$H$2:$H$500,"Active")&gt;0,"On Loan","Available"))</f>
        <v/>
      </c>
      <c r="AB328" s="8"/>
      <c r="AC328" s="8"/>
      <c r="AD328" s="8"/>
      <c r="AE328" s="8"/>
      <c r="AF328" s="8"/>
      <c r="AG328" s="8"/>
      <c r="AH328" s="8"/>
    </row>
    <row r="329" spans="1:34" ht="15.75" x14ac:dyDescent="0.25">
      <c r="A329" s="14" t="str">
        <f t="shared" si="10"/>
        <v/>
      </c>
      <c r="B329" s="15"/>
      <c r="C329" s="14" t="str">
        <f t="shared" si="11"/>
        <v/>
      </c>
      <c r="D329" s="8"/>
      <c r="E329" s="8"/>
      <c r="F329" s="8"/>
      <c r="G329" s="8"/>
      <c r="H329" s="14" t="str">
        <f>IF(ISBLANK(F329),"",IF(G329&lt;&gt;"",UPPER(TRIM(G329)),IF(ISNUMBER(SEARCH(" ",TRIM(F329))),UPPER(LEFT(TRIM(RIGHT(SUBSTITUTE(TRIM(F329)," ",REPT(" ",100)),100)),Settings!$B$9)),UPPER(LEFT(TRIM(F329),Settings!$B$9)))))</f>
        <v/>
      </c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16" t="str">
        <f>IF(ISBLANK(D329),"",IF(COUNTIFS(Circulation!$B$2:$B$500,A329,Circulation!$H$2:$H$500,"Active")&gt;0,"On Loan","Available"))</f>
        <v/>
      </c>
      <c r="AB329" s="8"/>
      <c r="AC329" s="8"/>
      <c r="AD329" s="8"/>
      <c r="AE329" s="8"/>
      <c r="AF329" s="8"/>
      <c r="AG329" s="8"/>
      <c r="AH329" s="8"/>
    </row>
    <row r="330" spans="1:34" ht="15.75" x14ac:dyDescent="0.25">
      <c r="A330" s="14" t="str">
        <f t="shared" si="10"/>
        <v/>
      </c>
      <c r="B330" s="15"/>
      <c r="C330" s="14" t="str">
        <f t="shared" si="11"/>
        <v/>
      </c>
      <c r="D330" s="8"/>
      <c r="E330" s="8"/>
      <c r="F330" s="8"/>
      <c r="G330" s="8"/>
      <c r="H330" s="14" t="str">
        <f>IF(ISBLANK(F330),"",IF(G330&lt;&gt;"",UPPER(TRIM(G330)),IF(ISNUMBER(SEARCH(" ",TRIM(F330))),UPPER(LEFT(TRIM(RIGHT(SUBSTITUTE(TRIM(F330)," ",REPT(" ",100)),100)),Settings!$B$9)),UPPER(LEFT(TRIM(F330),Settings!$B$9)))))</f>
        <v/>
      </c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16" t="str">
        <f>IF(ISBLANK(D330),"",IF(COUNTIFS(Circulation!$B$2:$B$500,A330,Circulation!$H$2:$H$500,"Active")&gt;0,"On Loan","Available"))</f>
        <v/>
      </c>
      <c r="AB330" s="8"/>
      <c r="AC330" s="8"/>
      <c r="AD330" s="8"/>
      <c r="AE330" s="8"/>
      <c r="AF330" s="8"/>
      <c r="AG330" s="8"/>
      <c r="AH330" s="8"/>
    </row>
    <row r="331" spans="1:34" ht="15.75" x14ac:dyDescent="0.25">
      <c r="A331" s="14" t="str">
        <f t="shared" si="10"/>
        <v/>
      </c>
      <c r="B331" s="15"/>
      <c r="C331" s="14" t="str">
        <f t="shared" si="11"/>
        <v/>
      </c>
      <c r="D331" s="8"/>
      <c r="E331" s="8"/>
      <c r="F331" s="8"/>
      <c r="G331" s="8"/>
      <c r="H331" s="14" t="str">
        <f>IF(ISBLANK(F331),"",IF(G331&lt;&gt;"",UPPER(TRIM(G331)),IF(ISNUMBER(SEARCH(" ",TRIM(F331))),UPPER(LEFT(TRIM(RIGHT(SUBSTITUTE(TRIM(F331)," ",REPT(" ",100)),100)),Settings!$B$9)),UPPER(LEFT(TRIM(F331),Settings!$B$9)))))</f>
        <v/>
      </c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16" t="str">
        <f>IF(ISBLANK(D331),"",IF(COUNTIFS(Circulation!$B$2:$B$500,A331,Circulation!$H$2:$H$500,"Active")&gt;0,"On Loan","Available"))</f>
        <v/>
      </c>
      <c r="AB331" s="8"/>
      <c r="AC331" s="8"/>
      <c r="AD331" s="8"/>
      <c r="AE331" s="8"/>
      <c r="AF331" s="8"/>
      <c r="AG331" s="8"/>
      <c r="AH331" s="8"/>
    </row>
    <row r="332" spans="1:34" ht="15.75" x14ac:dyDescent="0.25">
      <c r="A332" s="14" t="str">
        <f t="shared" si="10"/>
        <v/>
      </c>
      <c r="B332" s="15"/>
      <c r="C332" s="14" t="str">
        <f t="shared" si="11"/>
        <v/>
      </c>
      <c r="D332" s="8"/>
      <c r="E332" s="8"/>
      <c r="F332" s="8"/>
      <c r="G332" s="8"/>
      <c r="H332" s="14" t="str">
        <f>IF(ISBLANK(F332),"",IF(G332&lt;&gt;"",UPPER(TRIM(G332)),IF(ISNUMBER(SEARCH(" ",TRIM(F332))),UPPER(LEFT(TRIM(RIGHT(SUBSTITUTE(TRIM(F332)," ",REPT(" ",100)),100)),Settings!$B$9)),UPPER(LEFT(TRIM(F332),Settings!$B$9)))))</f>
        <v/>
      </c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16" t="str">
        <f>IF(ISBLANK(D332),"",IF(COUNTIFS(Circulation!$B$2:$B$500,A332,Circulation!$H$2:$H$500,"Active")&gt;0,"On Loan","Available"))</f>
        <v/>
      </c>
      <c r="AB332" s="8"/>
      <c r="AC332" s="8"/>
      <c r="AD332" s="8"/>
      <c r="AE332" s="8"/>
      <c r="AF332" s="8"/>
      <c r="AG332" s="8"/>
      <c r="AH332" s="8"/>
    </row>
    <row r="333" spans="1:34" ht="15.75" x14ac:dyDescent="0.25">
      <c r="A333" s="14" t="str">
        <f t="shared" si="10"/>
        <v/>
      </c>
      <c r="B333" s="15"/>
      <c r="C333" s="14" t="str">
        <f t="shared" si="11"/>
        <v/>
      </c>
      <c r="D333" s="8"/>
      <c r="E333" s="8"/>
      <c r="F333" s="8"/>
      <c r="G333" s="8"/>
      <c r="H333" s="14" t="str">
        <f>IF(ISBLANK(F333),"",IF(G333&lt;&gt;"",UPPER(TRIM(G333)),IF(ISNUMBER(SEARCH(" ",TRIM(F333))),UPPER(LEFT(TRIM(RIGHT(SUBSTITUTE(TRIM(F333)," ",REPT(" ",100)),100)),Settings!$B$9)),UPPER(LEFT(TRIM(F333),Settings!$B$9)))))</f>
        <v/>
      </c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16" t="str">
        <f>IF(ISBLANK(D333),"",IF(COUNTIFS(Circulation!$B$2:$B$500,A333,Circulation!$H$2:$H$500,"Active")&gt;0,"On Loan","Available"))</f>
        <v/>
      </c>
      <c r="AB333" s="8"/>
      <c r="AC333" s="8"/>
      <c r="AD333" s="8"/>
      <c r="AE333" s="8"/>
      <c r="AF333" s="8"/>
      <c r="AG333" s="8"/>
      <c r="AH333" s="8"/>
    </row>
    <row r="334" spans="1:34" ht="15.75" x14ac:dyDescent="0.25">
      <c r="A334" s="14" t="str">
        <f t="shared" si="10"/>
        <v/>
      </c>
      <c r="B334" s="15"/>
      <c r="C334" s="14" t="str">
        <f t="shared" si="11"/>
        <v/>
      </c>
      <c r="D334" s="8"/>
      <c r="E334" s="8"/>
      <c r="F334" s="8"/>
      <c r="G334" s="8"/>
      <c r="H334" s="14" t="str">
        <f>IF(ISBLANK(F334),"",IF(G334&lt;&gt;"",UPPER(TRIM(G334)),IF(ISNUMBER(SEARCH(" ",TRIM(F334))),UPPER(LEFT(TRIM(RIGHT(SUBSTITUTE(TRIM(F334)," ",REPT(" ",100)),100)),Settings!$B$9)),UPPER(LEFT(TRIM(F334),Settings!$B$9)))))</f>
        <v/>
      </c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16" t="str">
        <f>IF(ISBLANK(D334),"",IF(COUNTIFS(Circulation!$B$2:$B$500,A334,Circulation!$H$2:$H$500,"Active")&gt;0,"On Loan","Available"))</f>
        <v/>
      </c>
      <c r="AB334" s="8"/>
      <c r="AC334" s="8"/>
      <c r="AD334" s="8"/>
      <c r="AE334" s="8"/>
      <c r="AF334" s="8"/>
      <c r="AG334" s="8"/>
      <c r="AH334" s="8"/>
    </row>
    <row r="335" spans="1:34" ht="15.75" x14ac:dyDescent="0.25">
      <c r="A335" s="14" t="str">
        <f t="shared" si="10"/>
        <v/>
      </c>
      <c r="B335" s="15"/>
      <c r="C335" s="14" t="str">
        <f t="shared" si="11"/>
        <v/>
      </c>
      <c r="D335" s="8"/>
      <c r="E335" s="8"/>
      <c r="F335" s="8"/>
      <c r="G335" s="8"/>
      <c r="H335" s="14" t="str">
        <f>IF(ISBLANK(F335),"",IF(G335&lt;&gt;"",UPPER(TRIM(G335)),IF(ISNUMBER(SEARCH(" ",TRIM(F335))),UPPER(LEFT(TRIM(RIGHT(SUBSTITUTE(TRIM(F335)," ",REPT(" ",100)),100)),Settings!$B$9)),UPPER(LEFT(TRIM(F335),Settings!$B$9)))))</f>
        <v/>
      </c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16" t="str">
        <f>IF(ISBLANK(D335),"",IF(COUNTIFS(Circulation!$B$2:$B$500,A335,Circulation!$H$2:$H$500,"Active")&gt;0,"On Loan","Available"))</f>
        <v/>
      </c>
      <c r="AB335" s="8"/>
      <c r="AC335" s="8"/>
      <c r="AD335" s="8"/>
      <c r="AE335" s="8"/>
      <c r="AF335" s="8"/>
      <c r="AG335" s="8"/>
      <c r="AH335" s="8"/>
    </row>
    <row r="336" spans="1:34" ht="15.75" x14ac:dyDescent="0.25">
      <c r="A336" s="14" t="str">
        <f t="shared" si="10"/>
        <v/>
      </c>
      <c r="B336" s="15"/>
      <c r="C336" s="14" t="str">
        <f t="shared" si="11"/>
        <v/>
      </c>
      <c r="D336" s="8"/>
      <c r="E336" s="8"/>
      <c r="F336" s="8"/>
      <c r="G336" s="8"/>
      <c r="H336" s="14" t="str">
        <f>IF(ISBLANK(F336),"",IF(G336&lt;&gt;"",UPPER(TRIM(G336)),IF(ISNUMBER(SEARCH(" ",TRIM(F336))),UPPER(LEFT(TRIM(RIGHT(SUBSTITUTE(TRIM(F336)," ",REPT(" ",100)),100)),Settings!$B$9)),UPPER(LEFT(TRIM(F336),Settings!$B$9)))))</f>
        <v/>
      </c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16" t="str">
        <f>IF(ISBLANK(D336),"",IF(COUNTIFS(Circulation!$B$2:$B$500,A336,Circulation!$H$2:$H$500,"Active")&gt;0,"On Loan","Available"))</f>
        <v/>
      </c>
      <c r="AB336" s="8"/>
      <c r="AC336" s="8"/>
      <c r="AD336" s="8"/>
      <c r="AE336" s="8"/>
      <c r="AF336" s="8"/>
      <c r="AG336" s="8"/>
      <c r="AH336" s="8"/>
    </row>
    <row r="337" spans="1:34" ht="15.75" x14ac:dyDescent="0.25">
      <c r="A337" s="14" t="str">
        <f t="shared" si="10"/>
        <v/>
      </c>
      <c r="B337" s="15"/>
      <c r="C337" s="14" t="str">
        <f t="shared" si="11"/>
        <v/>
      </c>
      <c r="D337" s="8"/>
      <c r="E337" s="8"/>
      <c r="F337" s="8"/>
      <c r="G337" s="8"/>
      <c r="H337" s="14" t="str">
        <f>IF(ISBLANK(F337),"",IF(G337&lt;&gt;"",UPPER(TRIM(G337)),IF(ISNUMBER(SEARCH(" ",TRIM(F337))),UPPER(LEFT(TRIM(RIGHT(SUBSTITUTE(TRIM(F337)," ",REPT(" ",100)),100)),Settings!$B$9)),UPPER(LEFT(TRIM(F337),Settings!$B$9)))))</f>
        <v/>
      </c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16" t="str">
        <f>IF(ISBLANK(D337),"",IF(COUNTIFS(Circulation!$B$2:$B$500,A337,Circulation!$H$2:$H$500,"Active")&gt;0,"On Loan","Available"))</f>
        <v/>
      </c>
      <c r="AB337" s="8"/>
      <c r="AC337" s="8"/>
      <c r="AD337" s="8"/>
      <c r="AE337" s="8"/>
      <c r="AF337" s="8"/>
      <c r="AG337" s="8"/>
      <c r="AH337" s="8"/>
    </row>
    <row r="338" spans="1:34" ht="15.75" x14ac:dyDescent="0.25">
      <c r="A338" s="14" t="str">
        <f t="shared" si="10"/>
        <v/>
      </c>
      <c r="B338" s="15"/>
      <c r="C338" s="14" t="str">
        <f t="shared" si="11"/>
        <v/>
      </c>
      <c r="D338" s="8"/>
      <c r="E338" s="8"/>
      <c r="F338" s="8"/>
      <c r="G338" s="8"/>
      <c r="H338" s="14" t="str">
        <f>IF(ISBLANK(F338),"",IF(G338&lt;&gt;"",UPPER(TRIM(G338)),IF(ISNUMBER(SEARCH(" ",TRIM(F338))),UPPER(LEFT(TRIM(RIGHT(SUBSTITUTE(TRIM(F338)," ",REPT(" ",100)),100)),Settings!$B$9)),UPPER(LEFT(TRIM(F338),Settings!$B$9)))))</f>
        <v/>
      </c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16" t="str">
        <f>IF(ISBLANK(D338),"",IF(COUNTIFS(Circulation!$B$2:$B$500,A338,Circulation!$H$2:$H$500,"Active")&gt;0,"On Loan","Available"))</f>
        <v/>
      </c>
      <c r="AB338" s="8"/>
      <c r="AC338" s="8"/>
      <c r="AD338" s="8"/>
      <c r="AE338" s="8"/>
      <c r="AF338" s="8"/>
      <c r="AG338" s="8"/>
      <c r="AH338" s="8"/>
    </row>
    <row r="339" spans="1:34" ht="15.75" x14ac:dyDescent="0.25">
      <c r="A339" s="14" t="str">
        <f t="shared" si="10"/>
        <v/>
      </c>
      <c r="B339" s="15"/>
      <c r="C339" s="14" t="str">
        <f t="shared" si="11"/>
        <v/>
      </c>
      <c r="D339" s="8"/>
      <c r="E339" s="8"/>
      <c r="F339" s="8"/>
      <c r="G339" s="8"/>
      <c r="H339" s="14" t="str">
        <f>IF(ISBLANK(F339),"",IF(G339&lt;&gt;"",UPPER(TRIM(G339)),IF(ISNUMBER(SEARCH(" ",TRIM(F339))),UPPER(LEFT(TRIM(RIGHT(SUBSTITUTE(TRIM(F339)," ",REPT(" ",100)),100)),Settings!$B$9)),UPPER(LEFT(TRIM(F339),Settings!$B$9)))))</f>
        <v/>
      </c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16" t="str">
        <f>IF(ISBLANK(D339),"",IF(COUNTIFS(Circulation!$B$2:$B$500,A339,Circulation!$H$2:$H$500,"Active")&gt;0,"On Loan","Available"))</f>
        <v/>
      </c>
      <c r="AB339" s="8"/>
      <c r="AC339" s="8"/>
      <c r="AD339" s="8"/>
      <c r="AE339" s="8"/>
      <c r="AF339" s="8"/>
      <c r="AG339" s="8"/>
      <c r="AH339" s="8"/>
    </row>
    <row r="340" spans="1:34" ht="15.75" x14ac:dyDescent="0.25">
      <c r="A340" s="14" t="str">
        <f t="shared" si="10"/>
        <v/>
      </c>
      <c r="B340" s="15"/>
      <c r="C340" s="14" t="str">
        <f t="shared" si="11"/>
        <v/>
      </c>
      <c r="D340" s="8"/>
      <c r="E340" s="8"/>
      <c r="F340" s="8"/>
      <c r="G340" s="8"/>
      <c r="H340" s="14" t="str">
        <f>IF(ISBLANK(F340),"",IF(G340&lt;&gt;"",UPPER(TRIM(G340)),IF(ISNUMBER(SEARCH(" ",TRIM(F340))),UPPER(LEFT(TRIM(RIGHT(SUBSTITUTE(TRIM(F340)," ",REPT(" ",100)),100)),Settings!$B$9)),UPPER(LEFT(TRIM(F340),Settings!$B$9)))))</f>
        <v/>
      </c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16" t="str">
        <f>IF(ISBLANK(D340),"",IF(COUNTIFS(Circulation!$B$2:$B$500,A340,Circulation!$H$2:$H$500,"Active")&gt;0,"On Loan","Available"))</f>
        <v/>
      </c>
      <c r="AB340" s="8"/>
      <c r="AC340" s="8"/>
      <c r="AD340" s="8"/>
      <c r="AE340" s="8"/>
      <c r="AF340" s="8"/>
      <c r="AG340" s="8"/>
      <c r="AH340" s="8"/>
    </row>
    <row r="341" spans="1:34" ht="15.75" x14ac:dyDescent="0.25">
      <c r="A341" s="14" t="str">
        <f t="shared" si="10"/>
        <v/>
      </c>
      <c r="B341" s="15"/>
      <c r="C341" s="14" t="str">
        <f t="shared" si="11"/>
        <v/>
      </c>
      <c r="D341" s="8"/>
      <c r="E341" s="8"/>
      <c r="F341" s="8"/>
      <c r="G341" s="8"/>
      <c r="H341" s="14" t="str">
        <f>IF(ISBLANK(F341),"",IF(G341&lt;&gt;"",UPPER(TRIM(G341)),IF(ISNUMBER(SEARCH(" ",TRIM(F341))),UPPER(LEFT(TRIM(RIGHT(SUBSTITUTE(TRIM(F341)," ",REPT(" ",100)),100)),Settings!$B$9)),UPPER(LEFT(TRIM(F341),Settings!$B$9)))))</f>
        <v/>
      </c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16" t="str">
        <f>IF(ISBLANK(D341),"",IF(COUNTIFS(Circulation!$B$2:$B$500,A341,Circulation!$H$2:$H$500,"Active")&gt;0,"On Loan","Available"))</f>
        <v/>
      </c>
      <c r="AB341" s="8"/>
      <c r="AC341" s="8"/>
      <c r="AD341" s="8"/>
      <c r="AE341" s="8"/>
      <c r="AF341" s="8"/>
      <c r="AG341" s="8"/>
      <c r="AH341" s="8"/>
    </row>
    <row r="342" spans="1:34" ht="15.75" x14ac:dyDescent="0.25">
      <c r="A342" s="14" t="str">
        <f t="shared" si="10"/>
        <v/>
      </c>
      <c r="B342" s="15"/>
      <c r="C342" s="14" t="str">
        <f t="shared" si="11"/>
        <v/>
      </c>
      <c r="D342" s="8"/>
      <c r="E342" s="8"/>
      <c r="F342" s="8"/>
      <c r="G342" s="8"/>
      <c r="H342" s="14" t="str">
        <f>IF(ISBLANK(F342),"",IF(G342&lt;&gt;"",UPPER(TRIM(G342)),IF(ISNUMBER(SEARCH(" ",TRIM(F342))),UPPER(LEFT(TRIM(RIGHT(SUBSTITUTE(TRIM(F342)," ",REPT(" ",100)),100)),Settings!$B$9)),UPPER(LEFT(TRIM(F342),Settings!$B$9)))))</f>
        <v/>
      </c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16" t="str">
        <f>IF(ISBLANK(D342),"",IF(COUNTIFS(Circulation!$B$2:$B$500,A342,Circulation!$H$2:$H$500,"Active")&gt;0,"On Loan","Available"))</f>
        <v/>
      </c>
      <c r="AB342" s="8"/>
      <c r="AC342" s="8"/>
      <c r="AD342" s="8"/>
      <c r="AE342" s="8"/>
      <c r="AF342" s="8"/>
      <c r="AG342" s="8"/>
      <c r="AH342" s="8"/>
    </row>
    <row r="343" spans="1:34" ht="15.75" x14ac:dyDescent="0.25">
      <c r="A343" s="14" t="str">
        <f t="shared" si="10"/>
        <v/>
      </c>
      <c r="B343" s="15"/>
      <c r="C343" s="14" t="str">
        <f t="shared" si="11"/>
        <v/>
      </c>
      <c r="D343" s="8"/>
      <c r="E343" s="8"/>
      <c r="F343" s="8"/>
      <c r="G343" s="8"/>
      <c r="H343" s="14" t="str">
        <f>IF(ISBLANK(F343),"",IF(G343&lt;&gt;"",UPPER(TRIM(G343)),IF(ISNUMBER(SEARCH(" ",TRIM(F343))),UPPER(LEFT(TRIM(RIGHT(SUBSTITUTE(TRIM(F343)," ",REPT(" ",100)),100)),Settings!$B$9)),UPPER(LEFT(TRIM(F343),Settings!$B$9)))))</f>
        <v/>
      </c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16" t="str">
        <f>IF(ISBLANK(D343),"",IF(COUNTIFS(Circulation!$B$2:$B$500,A343,Circulation!$H$2:$H$500,"Active")&gt;0,"On Loan","Available"))</f>
        <v/>
      </c>
      <c r="AB343" s="8"/>
      <c r="AC343" s="8"/>
      <c r="AD343" s="8"/>
      <c r="AE343" s="8"/>
      <c r="AF343" s="8"/>
      <c r="AG343" s="8"/>
      <c r="AH343" s="8"/>
    </row>
    <row r="344" spans="1:34" ht="15.75" x14ac:dyDescent="0.25">
      <c r="A344" s="14" t="str">
        <f t="shared" si="10"/>
        <v/>
      </c>
      <c r="B344" s="15"/>
      <c r="C344" s="14" t="str">
        <f t="shared" si="11"/>
        <v/>
      </c>
      <c r="D344" s="8"/>
      <c r="E344" s="8"/>
      <c r="F344" s="8"/>
      <c r="G344" s="8"/>
      <c r="H344" s="14" t="str">
        <f>IF(ISBLANK(F344),"",IF(G344&lt;&gt;"",UPPER(TRIM(G344)),IF(ISNUMBER(SEARCH(" ",TRIM(F344))),UPPER(LEFT(TRIM(RIGHT(SUBSTITUTE(TRIM(F344)," ",REPT(" ",100)),100)),Settings!$B$9)),UPPER(LEFT(TRIM(F344),Settings!$B$9)))))</f>
        <v/>
      </c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16" t="str">
        <f>IF(ISBLANK(D344),"",IF(COUNTIFS(Circulation!$B$2:$B$500,A344,Circulation!$H$2:$H$500,"Active")&gt;0,"On Loan","Available"))</f>
        <v/>
      </c>
      <c r="AB344" s="8"/>
      <c r="AC344" s="8"/>
      <c r="AD344" s="8"/>
      <c r="AE344" s="8"/>
      <c r="AF344" s="8"/>
      <c r="AG344" s="8"/>
      <c r="AH344" s="8"/>
    </row>
    <row r="345" spans="1:34" ht="15.75" x14ac:dyDescent="0.25">
      <c r="A345" s="14" t="str">
        <f t="shared" si="10"/>
        <v/>
      </c>
      <c r="B345" s="15"/>
      <c r="C345" s="14" t="str">
        <f t="shared" si="11"/>
        <v/>
      </c>
      <c r="D345" s="8"/>
      <c r="E345" s="8"/>
      <c r="F345" s="8"/>
      <c r="G345" s="8"/>
      <c r="H345" s="14" t="str">
        <f>IF(ISBLANK(F345),"",IF(G345&lt;&gt;"",UPPER(TRIM(G345)),IF(ISNUMBER(SEARCH(" ",TRIM(F345))),UPPER(LEFT(TRIM(RIGHT(SUBSTITUTE(TRIM(F345)," ",REPT(" ",100)),100)),Settings!$B$9)),UPPER(LEFT(TRIM(F345),Settings!$B$9)))))</f>
        <v/>
      </c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16" t="str">
        <f>IF(ISBLANK(D345),"",IF(COUNTIFS(Circulation!$B$2:$B$500,A345,Circulation!$H$2:$H$500,"Active")&gt;0,"On Loan","Available"))</f>
        <v/>
      </c>
      <c r="AB345" s="8"/>
      <c r="AC345" s="8"/>
      <c r="AD345" s="8"/>
      <c r="AE345" s="8"/>
      <c r="AF345" s="8"/>
      <c r="AG345" s="8"/>
      <c r="AH345" s="8"/>
    </row>
    <row r="346" spans="1:34" ht="15.75" x14ac:dyDescent="0.25">
      <c r="A346" s="14" t="str">
        <f t="shared" si="10"/>
        <v/>
      </c>
      <c r="B346" s="15"/>
      <c r="C346" s="14" t="str">
        <f t="shared" si="11"/>
        <v/>
      </c>
      <c r="D346" s="8"/>
      <c r="E346" s="8"/>
      <c r="F346" s="8"/>
      <c r="G346" s="8"/>
      <c r="H346" s="14" t="str">
        <f>IF(ISBLANK(F346),"",IF(G346&lt;&gt;"",UPPER(TRIM(G346)),IF(ISNUMBER(SEARCH(" ",TRIM(F346))),UPPER(LEFT(TRIM(RIGHT(SUBSTITUTE(TRIM(F346)," ",REPT(" ",100)),100)),Settings!$B$9)),UPPER(LEFT(TRIM(F346),Settings!$B$9)))))</f>
        <v/>
      </c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16" t="str">
        <f>IF(ISBLANK(D346),"",IF(COUNTIFS(Circulation!$B$2:$B$500,A346,Circulation!$H$2:$H$500,"Active")&gt;0,"On Loan","Available"))</f>
        <v/>
      </c>
      <c r="AB346" s="8"/>
      <c r="AC346" s="8"/>
      <c r="AD346" s="8"/>
      <c r="AE346" s="8"/>
      <c r="AF346" s="8"/>
      <c r="AG346" s="8"/>
      <c r="AH346" s="8"/>
    </row>
    <row r="347" spans="1:34" ht="15.75" x14ac:dyDescent="0.25">
      <c r="A347" s="14" t="str">
        <f t="shared" si="10"/>
        <v/>
      </c>
      <c r="B347" s="15"/>
      <c r="C347" s="14" t="str">
        <f t="shared" si="11"/>
        <v/>
      </c>
      <c r="D347" s="8"/>
      <c r="E347" s="8"/>
      <c r="F347" s="8"/>
      <c r="G347" s="8"/>
      <c r="H347" s="14" t="str">
        <f>IF(ISBLANK(F347),"",IF(G347&lt;&gt;"",UPPER(TRIM(G347)),IF(ISNUMBER(SEARCH(" ",TRIM(F347))),UPPER(LEFT(TRIM(RIGHT(SUBSTITUTE(TRIM(F347)," ",REPT(" ",100)),100)),Settings!$B$9)),UPPER(LEFT(TRIM(F347),Settings!$B$9)))))</f>
        <v/>
      </c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16" t="str">
        <f>IF(ISBLANK(D347),"",IF(COUNTIFS(Circulation!$B$2:$B$500,A347,Circulation!$H$2:$H$500,"Active")&gt;0,"On Loan","Available"))</f>
        <v/>
      </c>
      <c r="AB347" s="8"/>
      <c r="AC347" s="8"/>
      <c r="AD347" s="8"/>
      <c r="AE347" s="8"/>
      <c r="AF347" s="8"/>
      <c r="AG347" s="8"/>
      <c r="AH347" s="8"/>
    </row>
    <row r="348" spans="1:34" ht="15.75" x14ac:dyDescent="0.25">
      <c r="A348" s="14" t="str">
        <f t="shared" si="10"/>
        <v/>
      </c>
      <c r="B348" s="15"/>
      <c r="C348" s="14" t="str">
        <f t="shared" si="11"/>
        <v/>
      </c>
      <c r="D348" s="8"/>
      <c r="E348" s="8"/>
      <c r="F348" s="8"/>
      <c r="G348" s="8"/>
      <c r="H348" s="14" t="str">
        <f>IF(ISBLANK(F348),"",IF(G348&lt;&gt;"",UPPER(TRIM(G348)),IF(ISNUMBER(SEARCH(" ",TRIM(F348))),UPPER(LEFT(TRIM(RIGHT(SUBSTITUTE(TRIM(F348)," ",REPT(" ",100)),100)),Settings!$B$9)),UPPER(LEFT(TRIM(F348),Settings!$B$9)))))</f>
        <v/>
      </c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16" t="str">
        <f>IF(ISBLANK(D348),"",IF(COUNTIFS(Circulation!$B$2:$B$500,A348,Circulation!$H$2:$H$500,"Active")&gt;0,"On Loan","Available"))</f>
        <v/>
      </c>
      <c r="AB348" s="8"/>
      <c r="AC348" s="8"/>
      <c r="AD348" s="8"/>
      <c r="AE348" s="8"/>
      <c r="AF348" s="8"/>
      <c r="AG348" s="8"/>
      <c r="AH348" s="8"/>
    </row>
    <row r="349" spans="1:34" ht="15.75" x14ac:dyDescent="0.25">
      <c r="A349" s="14" t="str">
        <f t="shared" si="10"/>
        <v/>
      </c>
      <c r="B349" s="15"/>
      <c r="C349" s="14" t="str">
        <f t="shared" si="11"/>
        <v/>
      </c>
      <c r="D349" s="8"/>
      <c r="E349" s="8"/>
      <c r="F349" s="8"/>
      <c r="G349" s="8"/>
      <c r="H349" s="14" t="str">
        <f>IF(ISBLANK(F349),"",IF(G349&lt;&gt;"",UPPER(TRIM(G349)),IF(ISNUMBER(SEARCH(" ",TRIM(F349))),UPPER(LEFT(TRIM(RIGHT(SUBSTITUTE(TRIM(F349)," ",REPT(" ",100)),100)),Settings!$B$9)),UPPER(LEFT(TRIM(F349),Settings!$B$9)))))</f>
        <v/>
      </c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16" t="str">
        <f>IF(ISBLANK(D349),"",IF(COUNTIFS(Circulation!$B$2:$B$500,A349,Circulation!$H$2:$H$500,"Active")&gt;0,"On Loan","Available"))</f>
        <v/>
      </c>
      <c r="AB349" s="8"/>
      <c r="AC349" s="8"/>
      <c r="AD349" s="8"/>
      <c r="AE349" s="8"/>
      <c r="AF349" s="8"/>
      <c r="AG349" s="8"/>
      <c r="AH349" s="8"/>
    </row>
    <row r="350" spans="1:34" ht="15.75" x14ac:dyDescent="0.25">
      <c r="A350" s="14" t="str">
        <f t="shared" si="10"/>
        <v/>
      </c>
      <c r="B350" s="15"/>
      <c r="C350" s="14" t="str">
        <f t="shared" si="11"/>
        <v/>
      </c>
      <c r="D350" s="8"/>
      <c r="E350" s="8"/>
      <c r="F350" s="8"/>
      <c r="G350" s="8"/>
      <c r="H350" s="14" t="str">
        <f>IF(ISBLANK(F350),"",IF(G350&lt;&gt;"",UPPER(TRIM(G350)),IF(ISNUMBER(SEARCH(" ",TRIM(F350))),UPPER(LEFT(TRIM(RIGHT(SUBSTITUTE(TRIM(F350)," ",REPT(" ",100)),100)),Settings!$B$9)),UPPER(LEFT(TRIM(F350),Settings!$B$9)))))</f>
        <v/>
      </c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16" t="str">
        <f>IF(ISBLANK(D350),"",IF(COUNTIFS(Circulation!$B$2:$B$500,A350,Circulation!$H$2:$H$500,"Active")&gt;0,"On Loan","Available"))</f>
        <v/>
      </c>
      <c r="AB350" s="8"/>
      <c r="AC350" s="8"/>
      <c r="AD350" s="8"/>
      <c r="AE350" s="8"/>
      <c r="AF350" s="8"/>
      <c r="AG350" s="8"/>
      <c r="AH350" s="8"/>
    </row>
    <row r="351" spans="1:34" ht="15.75" x14ac:dyDescent="0.25">
      <c r="A351" s="14" t="str">
        <f t="shared" si="10"/>
        <v/>
      </c>
      <c r="B351" s="15"/>
      <c r="C351" s="14" t="str">
        <f t="shared" si="11"/>
        <v/>
      </c>
      <c r="D351" s="8"/>
      <c r="E351" s="8"/>
      <c r="F351" s="8"/>
      <c r="G351" s="8"/>
      <c r="H351" s="14" t="str">
        <f>IF(ISBLANK(F351),"",IF(G351&lt;&gt;"",UPPER(TRIM(G351)),IF(ISNUMBER(SEARCH(" ",TRIM(F351))),UPPER(LEFT(TRIM(RIGHT(SUBSTITUTE(TRIM(F351)," ",REPT(" ",100)),100)),Settings!$B$9)),UPPER(LEFT(TRIM(F351),Settings!$B$9)))))</f>
        <v/>
      </c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16" t="str">
        <f>IF(ISBLANK(D351),"",IF(COUNTIFS(Circulation!$B$2:$B$500,A351,Circulation!$H$2:$H$500,"Active")&gt;0,"On Loan","Available"))</f>
        <v/>
      </c>
      <c r="AB351" s="8"/>
      <c r="AC351" s="8"/>
      <c r="AD351" s="8"/>
      <c r="AE351" s="8"/>
      <c r="AF351" s="8"/>
      <c r="AG351" s="8"/>
      <c r="AH351" s="8"/>
    </row>
    <row r="352" spans="1:34" ht="15.75" x14ac:dyDescent="0.25">
      <c r="A352" s="14" t="str">
        <f t="shared" si="10"/>
        <v/>
      </c>
      <c r="B352" s="15"/>
      <c r="C352" s="14" t="str">
        <f t="shared" si="11"/>
        <v/>
      </c>
      <c r="D352" s="8"/>
      <c r="E352" s="8"/>
      <c r="F352" s="8"/>
      <c r="G352" s="8"/>
      <c r="H352" s="14" t="str">
        <f>IF(ISBLANK(F352),"",IF(G352&lt;&gt;"",UPPER(TRIM(G352)),IF(ISNUMBER(SEARCH(" ",TRIM(F352))),UPPER(LEFT(TRIM(RIGHT(SUBSTITUTE(TRIM(F352)," ",REPT(" ",100)),100)),Settings!$B$9)),UPPER(LEFT(TRIM(F352),Settings!$B$9)))))</f>
        <v/>
      </c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16" t="str">
        <f>IF(ISBLANK(D352),"",IF(COUNTIFS(Circulation!$B$2:$B$500,A352,Circulation!$H$2:$H$500,"Active")&gt;0,"On Loan","Available"))</f>
        <v/>
      </c>
      <c r="AB352" s="8"/>
      <c r="AC352" s="8"/>
      <c r="AD352" s="8"/>
      <c r="AE352" s="8"/>
      <c r="AF352" s="8"/>
      <c r="AG352" s="8"/>
      <c r="AH352" s="8"/>
    </row>
    <row r="353" spans="1:34" ht="15.75" x14ac:dyDescent="0.25">
      <c r="A353" s="14" t="str">
        <f t="shared" si="10"/>
        <v/>
      </c>
      <c r="B353" s="15"/>
      <c r="C353" s="14" t="str">
        <f t="shared" si="11"/>
        <v/>
      </c>
      <c r="D353" s="8"/>
      <c r="E353" s="8"/>
      <c r="F353" s="8"/>
      <c r="G353" s="8"/>
      <c r="H353" s="14" t="str">
        <f>IF(ISBLANK(F353),"",IF(G353&lt;&gt;"",UPPER(TRIM(G353)),IF(ISNUMBER(SEARCH(" ",TRIM(F353))),UPPER(LEFT(TRIM(RIGHT(SUBSTITUTE(TRIM(F353)," ",REPT(" ",100)),100)),Settings!$B$9)),UPPER(LEFT(TRIM(F353),Settings!$B$9)))))</f>
        <v/>
      </c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16" t="str">
        <f>IF(ISBLANK(D353),"",IF(COUNTIFS(Circulation!$B$2:$B$500,A353,Circulation!$H$2:$H$500,"Active")&gt;0,"On Loan","Available"))</f>
        <v/>
      </c>
      <c r="AB353" s="8"/>
      <c r="AC353" s="8"/>
      <c r="AD353" s="8"/>
      <c r="AE353" s="8"/>
      <c r="AF353" s="8"/>
      <c r="AG353" s="8"/>
      <c r="AH353" s="8"/>
    </row>
    <row r="354" spans="1:34" ht="15.75" x14ac:dyDescent="0.25">
      <c r="A354" s="14" t="str">
        <f t="shared" si="10"/>
        <v/>
      </c>
      <c r="B354" s="15"/>
      <c r="C354" s="14" t="str">
        <f t="shared" si="11"/>
        <v/>
      </c>
      <c r="D354" s="8"/>
      <c r="E354" s="8"/>
      <c r="F354" s="8"/>
      <c r="G354" s="8"/>
      <c r="H354" s="14" t="str">
        <f>IF(ISBLANK(F354),"",IF(G354&lt;&gt;"",UPPER(TRIM(G354)),IF(ISNUMBER(SEARCH(" ",TRIM(F354))),UPPER(LEFT(TRIM(RIGHT(SUBSTITUTE(TRIM(F354)," ",REPT(" ",100)),100)),Settings!$B$9)),UPPER(LEFT(TRIM(F354),Settings!$B$9)))))</f>
        <v/>
      </c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16" t="str">
        <f>IF(ISBLANK(D354),"",IF(COUNTIFS(Circulation!$B$2:$B$500,A354,Circulation!$H$2:$H$500,"Active")&gt;0,"On Loan","Available"))</f>
        <v/>
      </c>
      <c r="AB354" s="8"/>
      <c r="AC354" s="8"/>
      <c r="AD354" s="8"/>
      <c r="AE354" s="8"/>
      <c r="AF354" s="8"/>
      <c r="AG354" s="8"/>
      <c r="AH354" s="8"/>
    </row>
    <row r="355" spans="1:34" ht="15.75" x14ac:dyDescent="0.25">
      <c r="A355" s="14" t="str">
        <f t="shared" si="10"/>
        <v/>
      </c>
      <c r="B355" s="15"/>
      <c r="C355" s="14" t="str">
        <f t="shared" si="11"/>
        <v/>
      </c>
      <c r="D355" s="8"/>
      <c r="E355" s="8"/>
      <c r="F355" s="8"/>
      <c r="G355" s="8"/>
      <c r="H355" s="14" t="str">
        <f>IF(ISBLANK(F355),"",IF(G355&lt;&gt;"",UPPER(TRIM(G355)),IF(ISNUMBER(SEARCH(" ",TRIM(F355))),UPPER(LEFT(TRIM(RIGHT(SUBSTITUTE(TRIM(F355)," ",REPT(" ",100)),100)),Settings!$B$9)),UPPER(LEFT(TRIM(F355),Settings!$B$9)))))</f>
        <v/>
      </c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16" t="str">
        <f>IF(ISBLANK(D355),"",IF(COUNTIFS(Circulation!$B$2:$B$500,A355,Circulation!$H$2:$H$500,"Active")&gt;0,"On Loan","Available"))</f>
        <v/>
      </c>
      <c r="AB355" s="8"/>
      <c r="AC355" s="8"/>
      <c r="AD355" s="8"/>
      <c r="AE355" s="8"/>
      <c r="AF355" s="8"/>
      <c r="AG355" s="8"/>
      <c r="AH355" s="8"/>
    </row>
    <row r="356" spans="1:34" ht="15.75" x14ac:dyDescent="0.25">
      <c r="A356" s="14" t="str">
        <f t="shared" si="10"/>
        <v/>
      </c>
      <c r="B356" s="15"/>
      <c r="C356" s="14" t="str">
        <f t="shared" si="11"/>
        <v/>
      </c>
      <c r="D356" s="8"/>
      <c r="E356" s="8"/>
      <c r="F356" s="8"/>
      <c r="G356" s="8"/>
      <c r="H356" s="14" t="str">
        <f>IF(ISBLANK(F356),"",IF(G356&lt;&gt;"",UPPER(TRIM(G356)),IF(ISNUMBER(SEARCH(" ",TRIM(F356))),UPPER(LEFT(TRIM(RIGHT(SUBSTITUTE(TRIM(F356)," ",REPT(" ",100)),100)),Settings!$B$9)),UPPER(LEFT(TRIM(F356),Settings!$B$9)))))</f>
        <v/>
      </c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16" t="str">
        <f>IF(ISBLANK(D356),"",IF(COUNTIFS(Circulation!$B$2:$B$500,A356,Circulation!$H$2:$H$500,"Active")&gt;0,"On Loan","Available"))</f>
        <v/>
      </c>
      <c r="AB356" s="8"/>
      <c r="AC356" s="8"/>
      <c r="AD356" s="8"/>
      <c r="AE356" s="8"/>
      <c r="AF356" s="8"/>
      <c r="AG356" s="8"/>
      <c r="AH356" s="8"/>
    </row>
    <row r="357" spans="1:34" ht="15.75" x14ac:dyDescent="0.25">
      <c r="A357" s="14" t="str">
        <f t="shared" si="10"/>
        <v/>
      </c>
      <c r="B357" s="15"/>
      <c r="C357" s="14" t="str">
        <f t="shared" si="11"/>
        <v/>
      </c>
      <c r="D357" s="8"/>
      <c r="E357" s="8"/>
      <c r="F357" s="8"/>
      <c r="G357" s="8"/>
      <c r="H357" s="14" t="str">
        <f>IF(ISBLANK(F357),"",IF(G357&lt;&gt;"",UPPER(TRIM(G357)),IF(ISNUMBER(SEARCH(" ",TRIM(F357))),UPPER(LEFT(TRIM(RIGHT(SUBSTITUTE(TRIM(F357)," ",REPT(" ",100)),100)),Settings!$B$9)),UPPER(LEFT(TRIM(F357),Settings!$B$9)))))</f>
        <v/>
      </c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16" t="str">
        <f>IF(ISBLANK(D357),"",IF(COUNTIFS(Circulation!$B$2:$B$500,A357,Circulation!$H$2:$H$500,"Active")&gt;0,"On Loan","Available"))</f>
        <v/>
      </c>
      <c r="AB357" s="8"/>
      <c r="AC357" s="8"/>
      <c r="AD357" s="8"/>
      <c r="AE357" s="8"/>
      <c r="AF357" s="8"/>
      <c r="AG357" s="8"/>
      <c r="AH357" s="8"/>
    </row>
    <row r="358" spans="1:34" ht="15.75" x14ac:dyDescent="0.25">
      <c r="A358" s="14" t="str">
        <f t="shared" si="10"/>
        <v/>
      </c>
      <c r="B358" s="15"/>
      <c r="C358" s="14" t="str">
        <f t="shared" si="11"/>
        <v/>
      </c>
      <c r="D358" s="8"/>
      <c r="E358" s="8"/>
      <c r="F358" s="8"/>
      <c r="G358" s="8"/>
      <c r="H358" s="14" t="str">
        <f>IF(ISBLANK(F358),"",IF(G358&lt;&gt;"",UPPER(TRIM(G358)),IF(ISNUMBER(SEARCH(" ",TRIM(F358))),UPPER(LEFT(TRIM(RIGHT(SUBSTITUTE(TRIM(F358)," ",REPT(" ",100)),100)),Settings!$B$9)),UPPER(LEFT(TRIM(F358),Settings!$B$9)))))</f>
        <v/>
      </c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16" t="str">
        <f>IF(ISBLANK(D358),"",IF(COUNTIFS(Circulation!$B$2:$B$500,A358,Circulation!$H$2:$H$500,"Active")&gt;0,"On Loan","Available"))</f>
        <v/>
      </c>
      <c r="AB358" s="8"/>
      <c r="AC358" s="8"/>
      <c r="AD358" s="8"/>
      <c r="AE358" s="8"/>
      <c r="AF358" s="8"/>
      <c r="AG358" s="8"/>
      <c r="AH358" s="8"/>
    </row>
    <row r="359" spans="1:34" ht="15.75" x14ac:dyDescent="0.25">
      <c r="A359" s="14" t="str">
        <f t="shared" si="10"/>
        <v/>
      </c>
      <c r="B359" s="15"/>
      <c r="C359" s="14" t="str">
        <f t="shared" si="11"/>
        <v/>
      </c>
      <c r="D359" s="8"/>
      <c r="E359" s="8"/>
      <c r="F359" s="8"/>
      <c r="G359" s="8"/>
      <c r="H359" s="14" t="str">
        <f>IF(ISBLANK(F359),"",IF(G359&lt;&gt;"",UPPER(TRIM(G359)),IF(ISNUMBER(SEARCH(" ",TRIM(F359))),UPPER(LEFT(TRIM(RIGHT(SUBSTITUTE(TRIM(F359)," ",REPT(" ",100)),100)),Settings!$B$9)),UPPER(LEFT(TRIM(F359),Settings!$B$9)))))</f>
        <v/>
      </c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16" t="str">
        <f>IF(ISBLANK(D359),"",IF(COUNTIFS(Circulation!$B$2:$B$500,A359,Circulation!$H$2:$H$500,"Active")&gt;0,"On Loan","Available"))</f>
        <v/>
      </c>
      <c r="AB359" s="8"/>
      <c r="AC359" s="8"/>
      <c r="AD359" s="8"/>
      <c r="AE359" s="8"/>
      <c r="AF359" s="8"/>
      <c r="AG359" s="8"/>
      <c r="AH359" s="8"/>
    </row>
    <row r="360" spans="1:34" ht="15.75" x14ac:dyDescent="0.25">
      <c r="A360" s="14" t="str">
        <f t="shared" si="10"/>
        <v/>
      </c>
      <c r="B360" s="15"/>
      <c r="C360" s="14" t="str">
        <f t="shared" si="11"/>
        <v/>
      </c>
      <c r="D360" s="8"/>
      <c r="E360" s="8"/>
      <c r="F360" s="8"/>
      <c r="G360" s="8"/>
      <c r="H360" s="14" t="str">
        <f>IF(ISBLANK(F360),"",IF(G360&lt;&gt;"",UPPER(TRIM(G360)),IF(ISNUMBER(SEARCH(" ",TRIM(F360))),UPPER(LEFT(TRIM(RIGHT(SUBSTITUTE(TRIM(F360)," ",REPT(" ",100)),100)),Settings!$B$9)),UPPER(LEFT(TRIM(F360),Settings!$B$9)))))</f>
        <v/>
      </c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16" t="str">
        <f>IF(ISBLANK(D360),"",IF(COUNTIFS(Circulation!$B$2:$B$500,A360,Circulation!$H$2:$H$500,"Active")&gt;0,"On Loan","Available"))</f>
        <v/>
      </c>
      <c r="AB360" s="8"/>
      <c r="AC360" s="8"/>
      <c r="AD360" s="8"/>
      <c r="AE360" s="8"/>
      <c r="AF360" s="8"/>
      <c r="AG360" s="8"/>
      <c r="AH360" s="8"/>
    </row>
    <row r="361" spans="1:34" ht="15.75" x14ac:dyDescent="0.25">
      <c r="A361" s="14" t="str">
        <f t="shared" si="10"/>
        <v/>
      </c>
      <c r="B361" s="15"/>
      <c r="C361" s="14" t="str">
        <f t="shared" si="11"/>
        <v/>
      </c>
      <c r="D361" s="8"/>
      <c r="E361" s="8"/>
      <c r="F361" s="8"/>
      <c r="G361" s="8"/>
      <c r="H361" s="14" t="str">
        <f>IF(ISBLANK(F361),"",IF(G361&lt;&gt;"",UPPER(TRIM(G361)),IF(ISNUMBER(SEARCH(" ",TRIM(F361))),UPPER(LEFT(TRIM(RIGHT(SUBSTITUTE(TRIM(F361)," ",REPT(" ",100)),100)),Settings!$B$9)),UPPER(LEFT(TRIM(F361),Settings!$B$9)))))</f>
        <v/>
      </c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16" t="str">
        <f>IF(ISBLANK(D361),"",IF(COUNTIFS(Circulation!$B$2:$B$500,A361,Circulation!$H$2:$H$500,"Active")&gt;0,"On Loan","Available"))</f>
        <v/>
      </c>
      <c r="AB361" s="8"/>
      <c r="AC361" s="8"/>
      <c r="AD361" s="8"/>
      <c r="AE361" s="8"/>
      <c r="AF361" s="8"/>
      <c r="AG361" s="8"/>
      <c r="AH361" s="8"/>
    </row>
    <row r="362" spans="1:34" ht="15.75" x14ac:dyDescent="0.25">
      <c r="A362" s="14" t="str">
        <f t="shared" si="10"/>
        <v/>
      </c>
      <c r="B362" s="15"/>
      <c r="C362" s="14" t="str">
        <f t="shared" si="11"/>
        <v/>
      </c>
      <c r="D362" s="8"/>
      <c r="E362" s="8"/>
      <c r="F362" s="8"/>
      <c r="G362" s="8"/>
      <c r="H362" s="14" t="str">
        <f>IF(ISBLANK(F362),"",IF(G362&lt;&gt;"",UPPER(TRIM(G362)),IF(ISNUMBER(SEARCH(" ",TRIM(F362))),UPPER(LEFT(TRIM(RIGHT(SUBSTITUTE(TRIM(F362)," ",REPT(" ",100)),100)),Settings!$B$9)),UPPER(LEFT(TRIM(F362),Settings!$B$9)))))</f>
        <v/>
      </c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16" t="str">
        <f>IF(ISBLANK(D362),"",IF(COUNTIFS(Circulation!$B$2:$B$500,A362,Circulation!$H$2:$H$500,"Active")&gt;0,"On Loan","Available"))</f>
        <v/>
      </c>
      <c r="AB362" s="8"/>
      <c r="AC362" s="8"/>
      <c r="AD362" s="8"/>
      <c r="AE362" s="8"/>
      <c r="AF362" s="8"/>
      <c r="AG362" s="8"/>
      <c r="AH362" s="8"/>
    </row>
    <row r="363" spans="1:34" ht="15.75" x14ac:dyDescent="0.25">
      <c r="A363" s="14" t="str">
        <f t="shared" si="10"/>
        <v/>
      </c>
      <c r="B363" s="15"/>
      <c r="C363" s="14" t="str">
        <f t="shared" si="11"/>
        <v/>
      </c>
      <c r="D363" s="8"/>
      <c r="E363" s="8"/>
      <c r="F363" s="8"/>
      <c r="G363" s="8"/>
      <c r="H363" s="14" t="str">
        <f>IF(ISBLANK(F363),"",IF(G363&lt;&gt;"",UPPER(TRIM(G363)),IF(ISNUMBER(SEARCH(" ",TRIM(F363))),UPPER(LEFT(TRIM(RIGHT(SUBSTITUTE(TRIM(F363)," ",REPT(" ",100)),100)),Settings!$B$9)),UPPER(LEFT(TRIM(F363),Settings!$B$9)))))</f>
        <v/>
      </c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16" t="str">
        <f>IF(ISBLANK(D363),"",IF(COUNTIFS(Circulation!$B$2:$B$500,A363,Circulation!$H$2:$H$500,"Active")&gt;0,"On Loan","Available"))</f>
        <v/>
      </c>
      <c r="AB363" s="8"/>
      <c r="AC363" s="8"/>
      <c r="AD363" s="8"/>
      <c r="AE363" s="8"/>
      <c r="AF363" s="8"/>
      <c r="AG363" s="8"/>
      <c r="AH363" s="8"/>
    </row>
    <row r="364" spans="1:34" ht="15.75" x14ac:dyDescent="0.25">
      <c r="A364" s="14" t="str">
        <f t="shared" si="10"/>
        <v/>
      </c>
      <c r="B364" s="15"/>
      <c r="C364" s="14" t="str">
        <f t="shared" si="11"/>
        <v/>
      </c>
      <c r="D364" s="8"/>
      <c r="E364" s="8"/>
      <c r="F364" s="8"/>
      <c r="G364" s="8"/>
      <c r="H364" s="14" t="str">
        <f>IF(ISBLANK(F364),"",IF(G364&lt;&gt;"",UPPER(TRIM(G364)),IF(ISNUMBER(SEARCH(" ",TRIM(F364))),UPPER(LEFT(TRIM(RIGHT(SUBSTITUTE(TRIM(F364)," ",REPT(" ",100)),100)),Settings!$B$9)),UPPER(LEFT(TRIM(F364),Settings!$B$9)))))</f>
        <v/>
      </c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16" t="str">
        <f>IF(ISBLANK(D364),"",IF(COUNTIFS(Circulation!$B$2:$B$500,A364,Circulation!$H$2:$H$500,"Active")&gt;0,"On Loan","Available"))</f>
        <v/>
      </c>
      <c r="AB364" s="8"/>
      <c r="AC364" s="8"/>
      <c r="AD364" s="8"/>
      <c r="AE364" s="8"/>
      <c r="AF364" s="8"/>
      <c r="AG364" s="8"/>
      <c r="AH364" s="8"/>
    </row>
    <row r="365" spans="1:34" ht="15.75" x14ac:dyDescent="0.25">
      <c r="A365" s="14" t="str">
        <f t="shared" si="10"/>
        <v/>
      </c>
      <c r="B365" s="15"/>
      <c r="C365" s="14" t="str">
        <f t="shared" si="11"/>
        <v/>
      </c>
      <c r="D365" s="8"/>
      <c r="E365" s="8"/>
      <c r="F365" s="8"/>
      <c r="G365" s="8"/>
      <c r="H365" s="14" t="str">
        <f>IF(ISBLANK(F365),"",IF(G365&lt;&gt;"",UPPER(TRIM(G365)),IF(ISNUMBER(SEARCH(" ",TRIM(F365))),UPPER(LEFT(TRIM(RIGHT(SUBSTITUTE(TRIM(F365)," ",REPT(" ",100)),100)),Settings!$B$9)),UPPER(LEFT(TRIM(F365),Settings!$B$9)))))</f>
        <v/>
      </c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16" t="str">
        <f>IF(ISBLANK(D365),"",IF(COUNTIFS(Circulation!$B$2:$B$500,A365,Circulation!$H$2:$H$500,"Active")&gt;0,"On Loan","Available"))</f>
        <v/>
      </c>
      <c r="AB365" s="8"/>
      <c r="AC365" s="8"/>
      <c r="AD365" s="8"/>
      <c r="AE365" s="8"/>
      <c r="AF365" s="8"/>
      <c r="AG365" s="8"/>
      <c r="AH365" s="8"/>
    </row>
    <row r="366" spans="1:34" ht="15.75" x14ac:dyDescent="0.25">
      <c r="A366" s="14" t="str">
        <f t="shared" si="10"/>
        <v/>
      </c>
      <c r="B366" s="15"/>
      <c r="C366" s="14" t="str">
        <f t="shared" si="11"/>
        <v/>
      </c>
      <c r="D366" s="8"/>
      <c r="E366" s="8"/>
      <c r="F366" s="8"/>
      <c r="G366" s="8"/>
      <c r="H366" s="14" t="str">
        <f>IF(ISBLANK(F366),"",IF(G366&lt;&gt;"",UPPER(TRIM(G366)),IF(ISNUMBER(SEARCH(" ",TRIM(F366))),UPPER(LEFT(TRIM(RIGHT(SUBSTITUTE(TRIM(F366)," ",REPT(" ",100)),100)),Settings!$B$9)),UPPER(LEFT(TRIM(F366),Settings!$B$9)))))</f>
        <v/>
      </c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16" t="str">
        <f>IF(ISBLANK(D366),"",IF(COUNTIFS(Circulation!$B$2:$B$500,A366,Circulation!$H$2:$H$500,"Active")&gt;0,"On Loan","Available"))</f>
        <v/>
      </c>
      <c r="AB366" s="8"/>
      <c r="AC366" s="8"/>
      <c r="AD366" s="8"/>
      <c r="AE366" s="8"/>
      <c r="AF366" s="8"/>
      <c r="AG366" s="8"/>
      <c r="AH366" s="8"/>
    </row>
    <row r="367" spans="1:34" ht="15.75" x14ac:dyDescent="0.25">
      <c r="A367" s="14" t="str">
        <f t="shared" si="10"/>
        <v/>
      </c>
      <c r="B367" s="15"/>
      <c r="C367" s="14" t="str">
        <f t="shared" si="11"/>
        <v/>
      </c>
      <c r="D367" s="8"/>
      <c r="E367" s="8"/>
      <c r="F367" s="8"/>
      <c r="G367" s="8"/>
      <c r="H367" s="14" t="str">
        <f>IF(ISBLANK(F367),"",IF(G367&lt;&gt;"",UPPER(TRIM(G367)),IF(ISNUMBER(SEARCH(" ",TRIM(F367))),UPPER(LEFT(TRIM(RIGHT(SUBSTITUTE(TRIM(F367)," ",REPT(" ",100)),100)),Settings!$B$9)),UPPER(LEFT(TRIM(F367),Settings!$B$9)))))</f>
        <v/>
      </c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16" t="str">
        <f>IF(ISBLANK(D367),"",IF(COUNTIFS(Circulation!$B$2:$B$500,A367,Circulation!$H$2:$H$500,"Active")&gt;0,"On Loan","Available"))</f>
        <v/>
      </c>
      <c r="AB367" s="8"/>
      <c r="AC367" s="8"/>
      <c r="AD367" s="8"/>
      <c r="AE367" s="8"/>
      <c r="AF367" s="8"/>
      <c r="AG367" s="8"/>
      <c r="AH367" s="8"/>
    </row>
    <row r="368" spans="1:34" ht="15.75" x14ac:dyDescent="0.25">
      <c r="A368" s="14" t="str">
        <f t="shared" si="10"/>
        <v/>
      </c>
      <c r="B368" s="15"/>
      <c r="C368" s="14" t="str">
        <f t="shared" si="11"/>
        <v/>
      </c>
      <c r="D368" s="8"/>
      <c r="E368" s="8"/>
      <c r="F368" s="8"/>
      <c r="G368" s="8"/>
      <c r="H368" s="14" t="str">
        <f>IF(ISBLANK(F368),"",IF(G368&lt;&gt;"",UPPER(TRIM(G368)),IF(ISNUMBER(SEARCH(" ",TRIM(F368))),UPPER(LEFT(TRIM(RIGHT(SUBSTITUTE(TRIM(F368)," ",REPT(" ",100)),100)),Settings!$B$9)),UPPER(LEFT(TRIM(F368),Settings!$B$9)))))</f>
        <v/>
      </c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16" t="str">
        <f>IF(ISBLANK(D368),"",IF(COUNTIFS(Circulation!$B$2:$B$500,A368,Circulation!$H$2:$H$500,"Active")&gt;0,"On Loan","Available"))</f>
        <v/>
      </c>
      <c r="AB368" s="8"/>
      <c r="AC368" s="8"/>
      <c r="AD368" s="8"/>
      <c r="AE368" s="8"/>
      <c r="AF368" s="8"/>
      <c r="AG368" s="8"/>
      <c r="AH368" s="8"/>
    </row>
    <row r="369" spans="1:34" ht="15.75" x14ac:dyDescent="0.25">
      <c r="A369" s="14" t="str">
        <f t="shared" si="10"/>
        <v/>
      </c>
      <c r="B369" s="15"/>
      <c r="C369" s="14" t="str">
        <f t="shared" si="11"/>
        <v/>
      </c>
      <c r="D369" s="8"/>
      <c r="E369" s="8"/>
      <c r="F369" s="8"/>
      <c r="G369" s="8"/>
      <c r="H369" s="14" t="str">
        <f>IF(ISBLANK(F369),"",IF(G369&lt;&gt;"",UPPER(TRIM(G369)),IF(ISNUMBER(SEARCH(" ",TRIM(F369))),UPPER(LEFT(TRIM(RIGHT(SUBSTITUTE(TRIM(F369)," ",REPT(" ",100)),100)),Settings!$B$9)),UPPER(LEFT(TRIM(F369),Settings!$B$9)))))</f>
        <v/>
      </c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16" t="str">
        <f>IF(ISBLANK(D369),"",IF(COUNTIFS(Circulation!$B$2:$B$500,A369,Circulation!$H$2:$H$500,"Active")&gt;0,"On Loan","Available"))</f>
        <v/>
      </c>
      <c r="AB369" s="8"/>
      <c r="AC369" s="8"/>
      <c r="AD369" s="8"/>
      <c r="AE369" s="8"/>
      <c r="AF369" s="8"/>
      <c r="AG369" s="8"/>
      <c r="AH369" s="8"/>
    </row>
    <row r="370" spans="1:34" ht="15.75" x14ac:dyDescent="0.25">
      <c r="A370" s="14" t="str">
        <f t="shared" si="10"/>
        <v/>
      </c>
      <c r="B370" s="15"/>
      <c r="C370" s="14" t="str">
        <f t="shared" si="11"/>
        <v/>
      </c>
      <c r="D370" s="8"/>
      <c r="E370" s="8"/>
      <c r="F370" s="8"/>
      <c r="G370" s="8"/>
      <c r="H370" s="14" t="str">
        <f>IF(ISBLANK(F370),"",IF(G370&lt;&gt;"",UPPER(TRIM(G370)),IF(ISNUMBER(SEARCH(" ",TRIM(F370))),UPPER(LEFT(TRIM(RIGHT(SUBSTITUTE(TRIM(F370)," ",REPT(" ",100)),100)),Settings!$B$9)),UPPER(LEFT(TRIM(F370),Settings!$B$9)))))</f>
        <v/>
      </c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16" t="str">
        <f>IF(ISBLANK(D370),"",IF(COUNTIFS(Circulation!$B$2:$B$500,A370,Circulation!$H$2:$H$500,"Active")&gt;0,"On Loan","Available"))</f>
        <v/>
      </c>
      <c r="AB370" s="8"/>
      <c r="AC370" s="8"/>
      <c r="AD370" s="8"/>
      <c r="AE370" s="8"/>
      <c r="AF370" s="8"/>
      <c r="AG370" s="8"/>
      <c r="AH370" s="8"/>
    </row>
    <row r="371" spans="1:34" ht="15.75" x14ac:dyDescent="0.25">
      <c r="A371" s="14" t="str">
        <f t="shared" si="10"/>
        <v/>
      </c>
      <c r="B371" s="15"/>
      <c r="C371" s="14" t="str">
        <f t="shared" si="11"/>
        <v/>
      </c>
      <c r="D371" s="8"/>
      <c r="E371" s="8"/>
      <c r="F371" s="8"/>
      <c r="G371" s="8"/>
      <c r="H371" s="14" t="str">
        <f>IF(ISBLANK(F371),"",IF(G371&lt;&gt;"",UPPER(TRIM(G371)),IF(ISNUMBER(SEARCH(" ",TRIM(F371))),UPPER(LEFT(TRIM(RIGHT(SUBSTITUTE(TRIM(F371)," ",REPT(" ",100)),100)),Settings!$B$9)),UPPER(LEFT(TRIM(F371),Settings!$B$9)))))</f>
        <v/>
      </c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16" t="str">
        <f>IF(ISBLANK(D371),"",IF(COUNTIFS(Circulation!$B$2:$B$500,A371,Circulation!$H$2:$H$500,"Active")&gt;0,"On Loan","Available"))</f>
        <v/>
      </c>
      <c r="AB371" s="8"/>
      <c r="AC371" s="8"/>
      <c r="AD371" s="8"/>
      <c r="AE371" s="8"/>
      <c r="AF371" s="8"/>
      <c r="AG371" s="8"/>
      <c r="AH371" s="8"/>
    </row>
    <row r="372" spans="1:34" ht="15.75" x14ac:dyDescent="0.25">
      <c r="A372" s="14" t="str">
        <f t="shared" si="10"/>
        <v/>
      </c>
      <c r="B372" s="15"/>
      <c r="C372" s="14" t="str">
        <f t="shared" si="11"/>
        <v/>
      </c>
      <c r="D372" s="8"/>
      <c r="E372" s="8"/>
      <c r="F372" s="8"/>
      <c r="G372" s="8"/>
      <c r="H372" s="14" t="str">
        <f>IF(ISBLANK(F372),"",IF(G372&lt;&gt;"",UPPER(TRIM(G372)),IF(ISNUMBER(SEARCH(" ",TRIM(F372))),UPPER(LEFT(TRIM(RIGHT(SUBSTITUTE(TRIM(F372)," ",REPT(" ",100)),100)),Settings!$B$9)),UPPER(LEFT(TRIM(F372),Settings!$B$9)))))</f>
        <v/>
      </c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16" t="str">
        <f>IF(ISBLANK(D372),"",IF(COUNTIFS(Circulation!$B$2:$B$500,A372,Circulation!$H$2:$H$500,"Active")&gt;0,"On Loan","Available"))</f>
        <v/>
      </c>
      <c r="AB372" s="8"/>
      <c r="AC372" s="8"/>
      <c r="AD372" s="8"/>
      <c r="AE372" s="8"/>
      <c r="AF372" s="8"/>
      <c r="AG372" s="8"/>
      <c r="AH372" s="8"/>
    </row>
    <row r="373" spans="1:34" ht="15.75" x14ac:dyDescent="0.25">
      <c r="A373" s="14" t="str">
        <f t="shared" si="10"/>
        <v/>
      </c>
      <c r="B373" s="15"/>
      <c r="C373" s="14" t="str">
        <f t="shared" si="11"/>
        <v/>
      </c>
      <c r="D373" s="8"/>
      <c r="E373" s="8"/>
      <c r="F373" s="8"/>
      <c r="G373" s="8"/>
      <c r="H373" s="14" t="str">
        <f>IF(ISBLANK(F373),"",IF(G373&lt;&gt;"",UPPER(TRIM(G373)),IF(ISNUMBER(SEARCH(" ",TRIM(F373))),UPPER(LEFT(TRIM(RIGHT(SUBSTITUTE(TRIM(F373)," ",REPT(" ",100)),100)),Settings!$B$9)),UPPER(LEFT(TRIM(F373),Settings!$B$9)))))</f>
        <v/>
      </c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16" t="str">
        <f>IF(ISBLANK(D373),"",IF(COUNTIFS(Circulation!$B$2:$B$500,A373,Circulation!$H$2:$H$500,"Active")&gt;0,"On Loan","Available"))</f>
        <v/>
      </c>
      <c r="AB373" s="8"/>
      <c r="AC373" s="8"/>
      <c r="AD373" s="8"/>
      <c r="AE373" s="8"/>
      <c r="AF373" s="8"/>
      <c r="AG373" s="8"/>
      <c r="AH373" s="8"/>
    </row>
    <row r="374" spans="1:34" ht="15.75" x14ac:dyDescent="0.25">
      <c r="A374" s="14" t="str">
        <f t="shared" si="10"/>
        <v/>
      </c>
      <c r="B374" s="15"/>
      <c r="C374" s="14" t="str">
        <f t="shared" si="11"/>
        <v/>
      </c>
      <c r="D374" s="8"/>
      <c r="E374" s="8"/>
      <c r="F374" s="8"/>
      <c r="G374" s="8"/>
      <c r="H374" s="14" t="str">
        <f>IF(ISBLANK(F374),"",IF(G374&lt;&gt;"",UPPER(TRIM(G374)),IF(ISNUMBER(SEARCH(" ",TRIM(F374))),UPPER(LEFT(TRIM(RIGHT(SUBSTITUTE(TRIM(F374)," ",REPT(" ",100)),100)),Settings!$B$9)),UPPER(LEFT(TRIM(F374),Settings!$B$9)))))</f>
        <v/>
      </c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16" t="str">
        <f>IF(ISBLANK(D374),"",IF(COUNTIFS(Circulation!$B$2:$B$500,A374,Circulation!$H$2:$H$500,"Active")&gt;0,"On Loan","Available"))</f>
        <v/>
      </c>
      <c r="AB374" s="8"/>
      <c r="AC374" s="8"/>
      <c r="AD374" s="8"/>
      <c r="AE374" s="8"/>
      <c r="AF374" s="8"/>
      <c r="AG374" s="8"/>
      <c r="AH374" s="8"/>
    </row>
    <row r="375" spans="1:34" ht="15.75" x14ac:dyDescent="0.25">
      <c r="A375" s="14" t="str">
        <f t="shared" si="10"/>
        <v/>
      </c>
      <c r="B375" s="15"/>
      <c r="C375" s="14" t="str">
        <f t="shared" si="11"/>
        <v/>
      </c>
      <c r="D375" s="8"/>
      <c r="E375" s="8"/>
      <c r="F375" s="8"/>
      <c r="G375" s="8"/>
      <c r="H375" s="14" t="str">
        <f>IF(ISBLANK(F375),"",IF(G375&lt;&gt;"",UPPER(TRIM(G375)),IF(ISNUMBER(SEARCH(" ",TRIM(F375))),UPPER(LEFT(TRIM(RIGHT(SUBSTITUTE(TRIM(F375)," ",REPT(" ",100)),100)),Settings!$B$9)),UPPER(LEFT(TRIM(F375),Settings!$B$9)))))</f>
        <v/>
      </c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16" t="str">
        <f>IF(ISBLANK(D375),"",IF(COUNTIFS(Circulation!$B$2:$B$500,A375,Circulation!$H$2:$H$500,"Active")&gt;0,"On Loan","Available"))</f>
        <v/>
      </c>
      <c r="AB375" s="8"/>
      <c r="AC375" s="8"/>
      <c r="AD375" s="8"/>
      <c r="AE375" s="8"/>
      <c r="AF375" s="8"/>
      <c r="AG375" s="8"/>
      <c r="AH375" s="8"/>
    </row>
    <row r="376" spans="1:34" ht="15.75" x14ac:dyDescent="0.25">
      <c r="A376" s="14" t="str">
        <f t="shared" si="10"/>
        <v/>
      </c>
      <c r="B376" s="15"/>
      <c r="C376" s="14" t="str">
        <f t="shared" si="11"/>
        <v/>
      </c>
      <c r="D376" s="8"/>
      <c r="E376" s="8"/>
      <c r="F376" s="8"/>
      <c r="G376" s="8"/>
      <c r="H376" s="14" t="str">
        <f>IF(ISBLANK(F376),"",IF(G376&lt;&gt;"",UPPER(TRIM(G376)),IF(ISNUMBER(SEARCH(" ",TRIM(F376))),UPPER(LEFT(TRIM(RIGHT(SUBSTITUTE(TRIM(F376)," ",REPT(" ",100)),100)),Settings!$B$9)),UPPER(LEFT(TRIM(F376),Settings!$B$9)))))</f>
        <v/>
      </c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16" t="str">
        <f>IF(ISBLANK(D376),"",IF(COUNTIFS(Circulation!$B$2:$B$500,A376,Circulation!$H$2:$H$500,"Active")&gt;0,"On Loan","Available"))</f>
        <v/>
      </c>
      <c r="AB376" s="8"/>
      <c r="AC376" s="8"/>
      <c r="AD376" s="8"/>
      <c r="AE376" s="8"/>
      <c r="AF376" s="8"/>
      <c r="AG376" s="8"/>
      <c r="AH376" s="8"/>
    </row>
    <row r="377" spans="1:34" ht="15.75" x14ac:dyDescent="0.25">
      <c r="A377" s="14" t="str">
        <f t="shared" si="10"/>
        <v/>
      </c>
      <c r="B377" s="15"/>
      <c r="C377" s="14" t="str">
        <f t="shared" si="11"/>
        <v/>
      </c>
      <c r="D377" s="8"/>
      <c r="E377" s="8"/>
      <c r="F377" s="8"/>
      <c r="G377" s="8"/>
      <c r="H377" s="14" t="str">
        <f>IF(ISBLANK(F377),"",IF(G377&lt;&gt;"",UPPER(TRIM(G377)),IF(ISNUMBER(SEARCH(" ",TRIM(F377))),UPPER(LEFT(TRIM(RIGHT(SUBSTITUTE(TRIM(F377)," ",REPT(" ",100)),100)),Settings!$B$9)),UPPER(LEFT(TRIM(F377),Settings!$B$9)))))</f>
        <v/>
      </c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16" t="str">
        <f>IF(ISBLANK(D377),"",IF(COUNTIFS(Circulation!$B$2:$B$500,A377,Circulation!$H$2:$H$500,"Active")&gt;0,"On Loan","Available"))</f>
        <v/>
      </c>
      <c r="AB377" s="8"/>
      <c r="AC377" s="8"/>
      <c r="AD377" s="8"/>
      <c r="AE377" s="8"/>
      <c r="AF377" s="8"/>
      <c r="AG377" s="8"/>
      <c r="AH377" s="8"/>
    </row>
    <row r="378" spans="1:34" ht="15.75" x14ac:dyDescent="0.25">
      <c r="A378" s="14" t="str">
        <f t="shared" si="10"/>
        <v/>
      </c>
      <c r="B378" s="15"/>
      <c r="C378" s="14" t="str">
        <f t="shared" si="11"/>
        <v/>
      </c>
      <c r="D378" s="8"/>
      <c r="E378" s="8"/>
      <c r="F378" s="8"/>
      <c r="G378" s="8"/>
      <c r="H378" s="14" t="str">
        <f>IF(ISBLANK(F378),"",IF(G378&lt;&gt;"",UPPER(TRIM(G378)),IF(ISNUMBER(SEARCH(" ",TRIM(F378))),UPPER(LEFT(TRIM(RIGHT(SUBSTITUTE(TRIM(F378)," ",REPT(" ",100)),100)),Settings!$B$9)),UPPER(LEFT(TRIM(F378),Settings!$B$9)))))</f>
        <v/>
      </c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16" t="str">
        <f>IF(ISBLANK(D378),"",IF(COUNTIFS(Circulation!$B$2:$B$500,A378,Circulation!$H$2:$H$500,"Active")&gt;0,"On Loan","Available"))</f>
        <v/>
      </c>
      <c r="AB378" s="8"/>
      <c r="AC378" s="8"/>
      <c r="AD378" s="8"/>
      <c r="AE378" s="8"/>
      <c r="AF378" s="8"/>
      <c r="AG378" s="8"/>
      <c r="AH378" s="8"/>
    </row>
    <row r="379" spans="1:34" ht="15.75" x14ac:dyDescent="0.25">
      <c r="A379" s="14" t="str">
        <f t="shared" si="10"/>
        <v/>
      </c>
      <c r="B379" s="15"/>
      <c r="C379" s="14" t="str">
        <f t="shared" si="11"/>
        <v/>
      </c>
      <c r="D379" s="8"/>
      <c r="E379" s="8"/>
      <c r="F379" s="8"/>
      <c r="G379" s="8"/>
      <c r="H379" s="14" t="str">
        <f>IF(ISBLANK(F379),"",IF(G379&lt;&gt;"",UPPER(TRIM(G379)),IF(ISNUMBER(SEARCH(" ",TRIM(F379))),UPPER(LEFT(TRIM(RIGHT(SUBSTITUTE(TRIM(F379)," ",REPT(" ",100)),100)),Settings!$B$9)),UPPER(LEFT(TRIM(F379),Settings!$B$9)))))</f>
        <v/>
      </c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16" t="str">
        <f>IF(ISBLANK(D379),"",IF(COUNTIFS(Circulation!$B$2:$B$500,A379,Circulation!$H$2:$H$500,"Active")&gt;0,"On Loan","Available"))</f>
        <v/>
      </c>
      <c r="AB379" s="8"/>
      <c r="AC379" s="8"/>
      <c r="AD379" s="8"/>
      <c r="AE379" s="8"/>
      <c r="AF379" s="8"/>
      <c r="AG379" s="8"/>
      <c r="AH379" s="8"/>
    </row>
    <row r="380" spans="1:34" ht="15.75" x14ac:dyDescent="0.25">
      <c r="A380" s="14" t="str">
        <f t="shared" si="10"/>
        <v/>
      </c>
      <c r="B380" s="15"/>
      <c r="C380" s="14" t="str">
        <f t="shared" si="11"/>
        <v/>
      </c>
      <c r="D380" s="8"/>
      <c r="E380" s="8"/>
      <c r="F380" s="8"/>
      <c r="G380" s="8"/>
      <c r="H380" s="14" t="str">
        <f>IF(ISBLANK(F380),"",IF(G380&lt;&gt;"",UPPER(TRIM(G380)),IF(ISNUMBER(SEARCH(" ",TRIM(F380))),UPPER(LEFT(TRIM(RIGHT(SUBSTITUTE(TRIM(F380)," ",REPT(" ",100)),100)),Settings!$B$9)),UPPER(LEFT(TRIM(F380),Settings!$B$9)))))</f>
        <v/>
      </c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16" t="str">
        <f>IF(ISBLANK(D380),"",IF(COUNTIFS(Circulation!$B$2:$B$500,A380,Circulation!$H$2:$H$500,"Active")&gt;0,"On Loan","Available"))</f>
        <v/>
      </c>
      <c r="AB380" s="8"/>
      <c r="AC380" s="8"/>
      <c r="AD380" s="8"/>
      <c r="AE380" s="8"/>
      <c r="AF380" s="8"/>
      <c r="AG380" s="8"/>
      <c r="AH380" s="8"/>
    </row>
    <row r="381" spans="1:34" ht="15.75" x14ac:dyDescent="0.25">
      <c r="A381" s="14" t="str">
        <f t="shared" si="10"/>
        <v/>
      </c>
      <c r="B381" s="15"/>
      <c r="C381" s="14" t="str">
        <f t="shared" si="11"/>
        <v/>
      </c>
      <c r="D381" s="8"/>
      <c r="E381" s="8"/>
      <c r="F381" s="8"/>
      <c r="G381" s="8"/>
      <c r="H381" s="14" t="str">
        <f>IF(ISBLANK(F381),"",IF(G381&lt;&gt;"",UPPER(TRIM(G381)),IF(ISNUMBER(SEARCH(" ",TRIM(F381))),UPPER(LEFT(TRIM(RIGHT(SUBSTITUTE(TRIM(F381)," ",REPT(" ",100)),100)),Settings!$B$9)),UPPER(LEFT(TRIM(F381),Settings!$B$9)))))</f>
        <v/>
      </c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16" t="str">
        <f>IF(ISBLANK(D381),"",IF(COUNTIFS(Circulation!$B$2:$B$500,A381,Circulation!$H$2:$H$500,"Active")&gt;0,"On Loan","Available"))</f>
        <v/>
      </c>
      <c r="AB381" s="8"/>
      <c r="AC381" s="8"/>
      <c r="AD381" s="8"/>
      <c r="AE381" s="8"/>
      <c r="AF381" s="8"/>
      <c r="AG381" s="8"/>
      <c r="AH381" s="8"/>
    </row>
    <row r="382" spans="1:34" ht="15.75" x14ac:dyDescent="0.25">
      <c r="A382" s="14" t="str">
        <f t="shared" si="10"/>
        <v/>
      </c>
      <c r="B382" s="15"/>
      <c r="C382" s="14" t="str">
        <f t="shared" si="11"/>
        <v/>
      </c>
      <c r="D382" s="8"/>
      <c r="E382" s="8"/>
      <c r="F382" s="8"/>
      <c r="G382" s="8"/>
      <c r="H382" s="14" t="str">
        <f>IF(ISBLANK(F382),"",IF(G382&lt;&gt;"",UPPER(TRIM(G382)),IF(ISNUMBER(SEARCH(" ",TRIM(F382))),UPPER(LEFT(TRIM(RIGHT(SUBSTITUTE(TRIM(F382)," ",REPT(" ",100)),100)),Settings!$B$9)),UPPER(LEFT(TRIM(F382),Settings!$B$9)))))</f>
        <v/>
      </c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16" t="str">
        <f>IF(ISBLANK(D382),"",IF(COUNTIFS(Circulation!$B$2:$B$500,A382,Circulation!$H$2:$H$500,"Active")&gt;0,"On Loan","Available"))</f>
        <v/>
      </c>
      <c r="AB382" s="8"/>
      <c r="AC382" s="8"/>
      <c r="AD382" s="8"/>
      <c r="AE382" s="8"/>
      <c r="AF382" s="8"/>
      <c r="AG382" s="8"/>
      <c r="AH382" s="8"/>
    </row>
    <row r="383" spans="1:34" ht="15.75" x14ac:dyDescent="0.25">
      <c r="A383" s="14" t="str">
        <f t="shared" si="10"/>
        <v/>
      </c>
      <c r="B383" s="15"/>
      <c r="C383" s="14" t="str">
        <f t="shared" si="11"/>
        <v/>
      </c>
      <c r="D383" s="8"/>
      <c r="E383" s="8"/>
      <c r="F383" s="8"/>
      <c r="G383" s="8"/>
      <c r="H383" s="14" t="str">
        <f>IF(ISBLANK(F383),"",IF(G383&lt;&gt;"",UPPER(TRIM(G383)),IF(ISNUMBER(SEARCH(" ",TRIM(F383))),UPPER(LEFT(TRIM(RIGHT(SUBSTITUTE(TRIM(F383)," ",REPT(" ",100)),100)),Settings!$B$9)),UPPER(LEFT(TRIM(F383),Settings!$B$9)))))</f>
        <v/>
      </c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16" t="str">
        <f>IF(ISBLANK(D383),"",IF(COUNTIFS(Circulation!$B$2:$B$500,A383,Circulation!$H$2:$H$500,"Active")&gt;0,"On Loan","Available"))</f>
        <v/>
      </c>
      <c r="AB383" s="8"/>
      <c r="AC383" s="8"/>
      <c r="AD383" s="8"/>
      <c r="AE383" s="8"/>
      <c r="AF383" s="8"/>
      <c r="AG383" s="8"/>
      <c r="AH383" s="8"/>
    </row>
    <row r="384" spans="1:34" ht="15.75" x14ac:dyDescent="0.25">
      <c r="A384" s="14" t="str">
        <f t="shared" si="10"/>
        <v/>
      </c>
      <c r="B384" s="15"/>
      <c r="C384" s="14" t="str">
        <f t="shared" si="11"/>
        <v/>
      </c>
      <c r="D384" s="8"/>
      <c r="E384" s="8"/>
      <c r="F384" s="8"/>
      <c r="G384" s="8"/>
      <c r="H384" s="14" t="str">
        <f>IF(ISBLANK(F384),"",IF(G384&lt;&gt;"",UPPER(TRIM(G384)),IF(ISNUMBER(SEARCH(" ",TRIM(F384))),UPPER(LEFT(TRIM(RIGHT(SUBSTITUTE(TRIM(F384)," ",REPT(" ",100)),100)),Settings!$B$9)),UPPER(LEFT(TRIM(F384),Settings!$B$9)))))</f>
        <v/>
      </c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16" t="str">
        <f>IF(ISBLANK(D384),"",IF(COUNTIFS(Circulation!$B$2:$B$500,A384,Circulation!$H$2:$H$500,"Active")&gt;0,"On Loan","Available"))</f>
        <v/>
      </c>
      <c r="AB384" s="8"/>
      <c r="AC384" s="8"/>
      <c r="AD384" s="8"/>
      <c r="AE384" s="8"/>
      <c r="AF384" s="8"/>
      <c r="AG384" s="8"/>
      <c r="AH384" s="8"/>
    </row>
    <row r="385" spans="1:34" ht="15.75" x14ac:dyDescent="0.25">
      <c r="A385" s="14" t="str">
        <f t="shared" si="10"/>
        <v/>
      </c>
      <c r="B385" s="15"/>
      <c r="C385" s="14" t="str">
        <f t="shared" si="11"/>
        <v/>
      </c>
      <c r="D385" s="8"/>
      <c r="E385" s="8"/>
      <c r="F385" s="8"/>
      <c r="G385" s="8"/>
      <c r="H385" s="14" t="str">
        <f>IF(ISBLANK(F385),"",IF(G385&lt;&gt;"",UPPER(TRIM(G385)),IF(ISNUMBER(SEARCH(" ",TRIM(F385))),UPPER(LEFT(TRIM(RIGHT(SUBSTITUTE(TRIM(F385)," ",REPT(" ",100)),100)),Settings!$B$9)),UPPER(LEFT(TRIM(F385),Settings!$B$9)))))</f>
        <v/>
      </c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16" t="str">
        <f>IF(ISBLANK(D385),"",IF(COUNTIFS(Circulation!$B$2:$B$500,A385,Circulation!$H$2:$H$500,"Active")&gt;0,"On Loan","Available"))</f>
        <v/>
      </c>
      <c r="AB385" s="8"/>
      <c r="AC385" s="8"/>
      <c r="AD385" s="8"/>
      <c r="AE385" s="8"/>
      <c r="AF385" s="8"/>
      <c r="AG385" s="8"/>
      <c r="AH385" s="8"/>
    </row>
    <row r="386" spans="1:34" ht="15.75" x14ac:dyDescent="0.25">
      <c r="A386" s="14" t="str">
        <f t="shared" ref="A386:A449" si="12">IF(ISBLANK(D386),"",ROW()-1)</f>
        <v/>
      </c>
      <c r="B386" s="15"/>
      <c r="C386" s="14" t="str">
        <f t="shared" ref="C386:C449" si="13">IF(OR(ISBLANK(D386),ISBLANK(K386)),"",IFERROR(VLOOKUP(K386,CatItemTypeLookup,2,FALSE),"?")&amp;"-"&amp;IF(L386="","?",IFERROR(VLOOKUP(L386,SubjectLookup,2,FALSE),"="))&amp;"-"&amp;IF(M386="","?",IFERROR(VLOOKUP(M386,GenreLookup,2,FALSE),"="))&amp;"-"&amp;IF(H386="","NOC",H386)&amp;"-"&amp;TEXT(A386,"000")&amp;IF(ISBLANK(O386),"","-"&amp;SUBSTITUTE(O386," ","")))</f>
        <v/>
      </c>
      <c r="D386" s="8"/>
      <c r="E386" s="8"/>
      <c r="F386" s="8"/>
      <c r="G386" s="8"/>
      <c r="H386" s="14" t="str">
        <f>IF(ISBLANK(F386),"",IF(G386&lt;&gt;"",UPPER(TRIM(G386)),IF(ISNUMBER(SEARCH(" ",TRIM(F386))),UPPER(LEFT(TRIM(RIGHT(SUBSTITUTE(TRIM(F386)," ",REPT(" ",100)),100)),Settings!$B$9)),UPPER(LEFT(TRIM(F386),Settings!$B$9)))))</f>
        <v/>
      </c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16" t="str">
        <f>IF(ISBLANK(D386),"",IF(COUNTIFS(Circulation!$B$2:$B$500,A386,Circulation!$H$2:$H$500,"Active")&gt;0,"On Loan","Available"))</f>
        <v/>
      </c>
      <c r="AB386" s="8"/>
      <c r="AC386" s="8"/>
      <c r="AD386" s="8"/>
      <c r="AE386" s="8"/>
      <c r="AF386" s="8"/>
      <c r="AG386" s="8"/>
      <c r="AH386" s="8"/>
    </row>
    <row r="387" spans="1:34" ht="15.75" x14ac:dyDescent="0.25">
      <c r="A387" s="14" t="str">
        <f t="shared" si="12"/>
        <v/>
      </c>
      <c r="B387" s="15"/>
      <c r="C387" s="14" t="str">
        <f t="shared" si="13"/>
        <v/>
      </c>
      <c r="D387" s="8"/>
      <c r="E387" s="8"/>
      <c r="F387" s="8"/>
      <c r="G387" s="8"/>
      <c r="H387" s="14" t="str">
        <f>IF(ISBLANK(F387),"",IF(G387&lt;&gt;"",UPPER(TRIM(G387)),IF(ISNUMBER(SEARCH(" ",TRIM(F387))),UPPER(LEFT(TRIM(RIGHT(SUBSTITUTE(TRIM(F387)," ",REPT(" ",100)),100)),Settings!$B$9)),UPPER(LEFT(TRIM(F387),Settings!$B$9)))))</f>
        <v/>
      </c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16" t="str">
        <f>IF(ISBLANK(D387),"",IF(COUNTIFS(Circulation!$B$2:$B$500,A387,Circulation!$H$2:$H$500,"Active")&gt;0,"On Loan","Available"))</f>
        <v/>
      </c>
      <c r="AB387" s="8"/>
      <c r="AC387" s="8"/>
      <c r="AD387" s="8"/>
      <c r="AE387" s="8"/>
      <c r="AF387" s="8"/>
      <c r="AG387" s="8"/>
      <c r="AH387" s="8"/>
    </row>
    <row r="388" spans="1:34" ht="15.75" x14ac:dyDescent="0.25">
      <c r="A388" s="14" t="str">
        <f t="shared" si="12"/>
        <v/>
      </c>
      <c r="B388" s="15"/>
      <c r="C388" s="14" t="str">
        <f t="shared" si="13"/>
        <v/>
      </c>
      <c r="D388" s="8"/>
      <c r="E388" s="8"/>
      <c r="F388" s="8"/>
      <c r="G388" s="8"/>
      <c r="H388" s="14" t="str">
        <f>IF(ISBLANK(F388),"",IF(G388&lt;&gt;"",UPPER(TRIM(G388)),IF(ISNUMBER(SEARCH(" ",TRIM(F388))),UPPER(LEFT(TRIM(RIGHT(SUBSTITUTE(TRIM(F388)," ",REPT(" ",100)),100)),Settings!$B$9)),UPPER(LEFT(TRIM(F388),Settings!$B$9)))))</f>
        <v/>
      </c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16" t="str">
        <f>IF(ISBLANK(D388),"",IF(COUNTIFS(Circulation!$B$2:$B$500,A388,Circulation!$H$2:$H$500,"Active")&gt;0,"On Loan","Available"))</f>
        <v/>
      </c>
      <c r="AB388" s="8"/>
      <c r="AC388" s="8"/>
      <c r="AD388" s="8"/>
      <c r="AE388" s="8"/>
      <c r="AF388" s="8"/>
      <c r="AG388" s="8"/>
      <c r="AH388" s="8"/>
    </row>
    <row r="389" spans="1:34" ht="15.75" x14ac:dyDescent="0.25">
      <c r="A389" s="14" t="str">
        <f t="shared" si="12"/>
        <v/>
      </c>
      <c r="B389" s="15"/>
      <c r="C389" s="14" t="str">
        <f t="shared" si="13"/>
        <v/>
      </c>
      <c r="D389" s="8"/>
      <c r="E389" s="8"/>
      <c r="F389" s="8"/>
      <c r="G389" s="8"/>
      <c r="H389" s="14" t="str">
        <f>IF(ISBLANK(F389),"",IF(G389&lt;&gt;"",UPPER(TRIM(G389)),IF(ISNUMBER(SEARCH(" ",TRIM(F389))),UPPER(LEFT(TRIM(RIGHT(SUBSTITUTE(TRIM(F389)," ",REPT(" ",100)),100)),Settings!$B$9)),UPPER(LEFT(TRIM(F389),Settings!$B$9)))))</f>
        <v/>
      </c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16" t="str">
        <f>IF(ISBLANK(D389),"",IF(COUNTIFS(Circulation!$B$2:$B$500,A389,Circulation!$H$2:$H$500,"Active")&gt;0,"On Loan","Available"))</f>
        <v/>
      </c>
      <c r="AB389" s="8"/>
      <c r="AC389" s="8"/>
      <c r="AD389" s="8"/>
      <c r="AE389" s="8"/>
      <c r="AF389" s="8"/>
      <c r="AG389" s="8"/>
      <c r="AH389" s="8"/>
    </row>
    <row r="390" spans="1:34" ht="15.75" x14ac:dyDescent="0.25">
      <c r="A390" s="14" t="str">
        <f t="shared" si="12"/>
        <v/>
      </c>
      <c r="B390" s="15"/>
      <c r="C390" s="14" t="str">
        <f t="shared" si="13"/>
        <v/>
      </c>
      <c r="D390" s="8"/>
      <c r="E390" s="8"/>
      <c r="F390" s="8"/>
      <c r="G390" s="8"/>
      <c r="H390" s="14" t="str">
        <f>IF(ISBLANK(F390),"",IF(G390&lt;&gt;"",UPPER(TRIM(G390)),IF(ISNUMBER(SEARCH(" ",TRIM(F390))),UPPER(LEFT(TRIM(RIGHT(SUBSTITUTE(TRIM(F390)," ",REPT(" ",100)),100)),Settings!$B$9)),UPPER(LEFT(TRIM(F390),Settings!$B$9)))))</f>
        <v/>
      </c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16" t="str">
        <f>IF(ISBLANK(D390),"",IF(COUNTIFS(Circulation!$B$2:$B$500,A390,Circulation!$H$2:$H$500,"Active")&gt;0,"On Loan","Available"))</f>
        <v/>
      </c>
      <c r="AB390" s="8"/>
      <c r="AC390" s="8"/>
      <c r="AD390" s="8"/>
      <c r="AE390" s="8"/>
      <c r="AF390" s="8"/>
      <c r="AG390" s="8"/>
      <c r="AH390" s="8"/>
    </row>
    <row r="391" spans="1:34" ht="15.75" x14ac:dyDescent="0.25">
      <c r="A391" s="14" t="str">
        <f t="shared" si="12"/>
        <v/>
      </c>
      <c r="B391" s="15"/>
      <c r="C391" s="14" t="str">
        <f t="shared" si="13"/>
        <v/>
      </c>
      <c r="D391" s="8"/>
      <c r="E391" s="8"/>
      <c r="F391" s="8"/>
      <c r="G391" s="8"/>
      <c r="H391" s="14" t="str">
        <f>IF(ISBLANK(F391),"",IF(G391&lt;&gt;"",UPPER(TRIM(G391)),IF(ISNUMBER(SEARCH(" ",TRIM(F391))),UPPER(LEFT(TRIM(RIGHT(SUBSTITUTE(TRIM(F391)," ",REPT(" ",100)),100)),Settings!$B$9)),UPPER(LEFT(TRIM(F391),Settings!$B$9)))))</f>
        <v/>
      </c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16" t="str">
        <f>IF(ISBLANK(D391),"",IF(COUNTIFS(Circulation!$B$2:$B$500,A391,Circulation!$H$2:$H$500,"Active")&gt;0,"On Loan","Available"))</f>
        <v/>
      </c>
      <c r="AB391" s="8"/>
      <c r="AC391" s="8"/>
      <c r="AD391" s="8"/>
      <c r="AE391" s="8"/>
      <c r="AF391" s="8"/>
      <c r="AG391" s="8"/>
      <c r="AH391" s="8"/>
    </row>
    <row r="392" spans="1:34" ht="15.75" x14ac:dyDescent="0.25">
      <c r="A392" s="14" t="str">
        <f t="shared" si="12"/>
        <v/>
      </c>
      <c r="B392" s="15"/>
      <c r="C392" s="14" t="str">
        <f t="shared" si="13"/>
        <v/>
      </c>
      <c r="D392" s="8"/>
      <c r="E392" s="8"/>
      <c r="F392" s="8"/>
      <c r="G392" s="8"/>
      <c r="H392" s="14" t="str">
        <f>IF(ISBLANK(F392),"",IF(G392&lt;&gt;"",UPPER(TRIM(G392)),IF(ISNUMBER(SEARCH(" ",TRIM(F392))),UPPER(LEFT(TRIM(RIGHT(SUBSTITUTE(TRIM(F392)," ",REPT(" ",100)),100)),Settings!$B$9)),UPPER(LEFT(TRIM(F392),Settings!$B$9)))))</f>
        <v/>
      </c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16" t="str">
        <f>IF(ISBLANK(D392),"",IF(COUNTIFS(Circulation!$B$2:$B$500,A392,Circulation!$H$2:$H$500,"Active")&gt;0,"On Loan","Available"))</f>
        <v/>
      </c>
      <c r="AB392" s="8"/>
      <c r="AC392" s="8"/>
      <c r="AD392" s="8"/>
      <c r="AE392" s="8"/>
      <c r="AF392" s="8"/>
      <c r="AG392" s="8"/>
      <c r="AH392" s="8"/>
    </row>
    <row r="393" spans="1:34" ht="15.75" x14ac:dyDescent="0.25">
      <c r="A393" s="14" t="str">
        <f t="shared" si="12"/>
        <v/>
      </c>
      <c r="B393" s="15"/>
      <c r="C393" s="14" t="str">
        <f t="shared" si="13"/>
        <v/>
      </c>
      <c r="D393" s="8"/>
      <c r="E393" s="8"/>
      <c r="F393" s="8"/>
      <c r="G393" s="8"/>
      <c r="H393" s="14" t="str">
        <f>IF(ISBLANK(F393),"",IF(G393&lt;&gt;"",UPPER(TRIM(G393)),IF(ISNUMBER(SEARCH(" ",TRIM(F393))),UPPER(LEFT(TRIM(RIGHT(SUBSTITUTE(TRIM(F393)," ",REPT(" ",100)),100)),Settings!$B$9)),UPPER(LEFT(TRIM(F393),Settings!$B$9)))))</f>
        <v/>
      </c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16" t="str">
        <f>IF(ISBLANK(D393),"",IF(COUNTIFS(Circulation!$B$2:$B$500,A393,Circulation!$H$2:$H$500,"Active")&gt;0,"On Loan","Available"))</f>
        <v/>
      </c>
      <c r="AB393" s="8"/>
      <c r="AC393" s="8"/>
      <c r="AD393" s="8"/>
      <c r="AE393" s="8"/>
      <c r="AF393" s="8"/>
      <c r="AG393" s="8"/>
      <c r="AH393" s="8"/>
    </row>
    <row r="394" spans="1:34" ht="15.75" x14ac:dyDescent="0.25">
      <c r="A394" s="14" t="str">
        <f t="shared" si="12"/>
        <v/>
      </c>
      <c r="B394" s="15"/>
      <c r="C394" s="14" t="str">
        <f t="shared" si="13"/>
        <v/>
      </c>
      <c r="D394" s="8"/>
      <c r="E394" s="8"/>
      <c r="F394" s="8"/>
      <c r="G394" s="8"/>
      <c r="H394" s="14" t="str">
        <f>IF(ISBLANK(F394),"",IF(G394&lt;&gt;"",UPPER(TRIM(G394)),IF(ISNUMBER(SEARCH(" ",TRIM(F394))),UPPER(LEFT(TRIM(RIGHT(SUBSTITUTE(TRIM(F394)," ",REPT(" ",100)),100)),Settings!$B$9)),UPPER(LEFT(TRIM(F394),Settings!$B$9)))))</f>
        <v/>
      </c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16" t="str">
        <f>IF(ISBLANK(D394),"",IF(COUNTIFS(Circulation!$B$2:$B$500,A394,Circulation!$H$2:$H$500,"Active")&gt;0,"On Loan","Available"))</f>
        <v/>
      </c>
      <c r="AB394" s="8"/>
      <c r="AC394" s="8"/>
      <c r="AD394" s="8"/>
      <c r="AE394" s="8"/>
      <c r="AF394" s="8"/>
      <c r="AG394" s="8"/>
      <c r="AH394" s="8"/>
    </row>
    <row r="395" spans="1:34" ht="15.75" x14ac:dyDescent="0.25">
      <c r="A395" s="14" t="str">
        <f t="shared" si="12"/>
        <v/>
      </c>
      <c r="B395" s="15"/>
      <c r="C395" s="14" t="str">
        <f t="shared" si="13"/>
        <v/>
      </c>
      <c r="D395" s="8"/>
      <c r="E395" s="8"/>
      <c r="F395" s="8"/>
      <c r="G395" s="8"/>
      <c r="H395" s="14" t="str">
        <f>IF(ISBLANK(F395),"",IF(G395&lt;&gt;"",UPPER(TRIM(G395)),IF(ISNUMBER(SEARCH(" ",TRIM(F395))),UPPER(LEFT(TRIM(RIGHT(SUBSTITUTE(TRIM(F395)," ",REPT(" ",100)),100)),Settings!$B$9)),UPPER(LEFT(TRIM(F395),Settings!$B$9)))))</f>
        <v/>
      </c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16" t="str">
        <f>IF(ISBLANK(D395),"",IF(COUNTIFS(Circulation!$B$2:$B$500,A395,Circulation!$H$2:$H$500,"Active")&gt;0,"On Loan","Available"))</f>
        <v/>
      </c>
      <c r="AB395" s="8"/>
      <c r="AC395" s="8"/>
      <c r="AD395" s="8"/>
      <c r="AE395" s="8"/>
      <c r="AF395" s="8"/>
      <c r="AG395" s="8"/>
      <c r="AH395" s="8"/>
    </row>
    <row r="396" spans="1:34" ht="15.75" x14ac:dyDescent="0.25">
      <c r="A396" s="14" t="str">
        <f t="shared" si="12"/>
        <v/>
      </c>
      <c r="B396" s="15"/>
      <c r="C396" s="14" t="str">
        <f t="shared" si="13"/>
        <v/>
      </c>
      <c r="D396" s="8"/>
      <c r="E396" s="8"/>
      <c r="F396" s="8"/>
      <c r="G396" s="8"/>
      <c r="H396" s="14" t="str">
        <f>IF(ISBLANK(F396),"",IF(G396&lt;&gt;"",UPPER(TRIM(G396)),IF(ISNUMBER(SEARCH(" ",TRIM(F396))),UPPER(LEFT(TRIM(RIGHT(SUBSTITUTE(TRIM(F396)," ",REPT(" ",100)),100)),Settings!$B$9)),UPPER(LEFT(TRIM(F396),Settings!$B$9)))))</f>
        <v/>
      </c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16" t="str">
        <f>IF(ISBLANK(D396),"",IF(COUNTIFS(Circulation!$B$2:$B$500,A396,Circulation!$H$2:$H$500,"Active")&gt;0,"On Loan","Available"))</f>
        <v/>
      </c>
      <c r="AB396" s="8"/>
      <c r="AC396" s="8"/>
      <c r="AD396" s="8"/>
      <c r="AE396" s="8"/>
      <c r="AF396" s="8"/>
      <c r="AG396" s="8"/>
      <c r="AH396" s="8"/>
    </row>
    <row r="397" spans="1:34" ht="15.75" x14ac:dyDescent="0.25">
      <c r="A397" s="14" t="str">
        <f t="shared" si="12"/>
        <v/>
      </c>
      <c r="B397" s="15"/>
      <c r="C397" s="14" t="str">
        <f t="shared" si="13"/>
        <v/>
      </c>
      <c r="D397" s="8"/>
      <c r="E397" s="8"/>
      <c r="F397" s="8"/>
      <c r="G397" s="8"/>
      <c r="H397" s="14" t="str">
        <f>IF(ISBLANK(F397),"",IF(G397&lt;&gt;"",UPPER(TRIM(G397)),IF(ISNUMBER(SEARCH(" ",TRIM(F397))),UPPER(LEFT(TRIM(RIGHT(SUBSTITUTE(TRIM(F397)," ",REPT(" ",100)),100)),Settings!$B$9)),UPPER(LEFT(TRIM(F397),Settings!$B$9)))))</f>
        <v/>
      </c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16" t="str">
        <f>IF(ISBLANK(D397),"",IF(COUNTIFS(Circulation!$B$2:$B$500,A397,Circulation!$H$2:$H$500,"Active")&gt;0,"On Loan","Available"))</f>
        <v/>
      </c>
      <c r="AB397" s="8"/>
      <c r="AC397" s="8"/>
      <c r="AD397" s="8"/>
      <c r="AE397" s="8"/>
      <c r="AF397" s="8"/>
      <c r="AG397" s="8"/>
      <c r="AH397" s="8"/>
    </row>
    <row r="398" spans="1:34" ht="15.75" x14ac:dyDescent="0.25">
      <c r="A398" s="14" t="str">
        <f t="shared" si="12"/>
        <v/>
      </c>
      <c r="B398" s="15"/>
      <c r="C398" s="14" t="str">
        <f t="shared" si="13"/>
        <v/>
      </c>
      <c r="D398" s="8"/>
      <c r="E398" s="8"/>
      <c r="F398" s="8"/>
      <c r="G398" s="8"/>
      <c r="H398" s="14" t="str">
        <f>IF(ISBLANK(F398),"",IF(G398&lt;&gt;"",UPPER(TRIM(G398)),IF(ISNUMBER(SEARCH(" ",TRIM(F398))),UPPER(LEFT(TRIM(RIGHT(SUBSTITUTE(TRIM(F398)," ",REPT(" ",100)),100)),Settings!$B$9)),UPPER(LEFT(TRIM(F398),Settings!$B$9)))))</f>
        <v/>
      </c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16" t="str">
        <f>IF(ISBLANK(D398),"",IF(COUNTIFS(Circulation!$B$2:$B$500,A398,Circulation!$H$2:$H$500,"Active")&gt;0,"On Loan","Available"))</f>
        <v/>
      </c>
      <c r="AB398" s="8"/>
      <c r="AC398" s="8"/>
      <c r="AD398" s="8"/>
      <c r="AE398" s="8"/>
      <c r="AF398" s="8"/>
      <c r="AG398" s="8"/>
      <c r="AH398" s="8"/>
    </row>
    <row r="399" spans="1:34" ht="15.75" x14ac:dyDescent="0.25">
      <c r="A399" s="14" t="str">
        <f t="shared" si="12"/>
        <v/>
      </c>
      <c r="B399" s="15"/>
      <c r="C399" s="14" t="str">
        <f t="shared" si="13"/>
        <v/>
      </c>
      <c r="D399" s="8"/>
      <c r="E399" s="8"/>
      <c r="F399" s="8"/>
      <c r="G399" s="8"/>
      <c r="H399" s="14" t="str">
        <f>IF(ISBLANK(F399),"",IF(G399&lt;&gt;"",UPPER(TRIM(G399)),IF(ISNUMBER(SEARCH(" ",TRIM(F399))),UPPER(LEFT(TRIM(RIGHT(SUBSTITUTE(TRIM(F399)," ",REPT(" ",100)),100)),Settings!$B$9)),UPPER(LEFT(TRIM(F399),Settings!$B$9)))))</f>
        <v/>
      </c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16" t="str">
        <f>IF(ISBLANK(D399),"",IF(COUNTIFS(Circulation!$B$2:$B$500,A399,Circulation!$H$2:$H$500,"Active")&gt;0,"On Loan","Available"))</f>
        <v/>
      </c>
      <c r="AB399" s="8"/>
      <c r="AC399" s="8"/>
      <c r="AD399" s="8"/>
      <c r="AE399" s="8"/>
      <c r="AF399" s="8"/>
      <c r="AG399" s="8"/>
      <c r="AH399" s="8"/>
    </row>
    <row r="400" spans="1:34" ht="15.75" x14ac:dyDescent="0.25">
      <c r="A400" s="14" t="str">
        <f t="shared" si="12"/>
        <v/>
      </c>
      <c r="B400" s="15"/>
      <c r="C400" s="14" t="str">
        <f t="shared" si="13"/>
        <v/>
      </c>
      <c r="D400" s="8"/>
      <c r="E400" s="8"/>
      <c r="F400" s="8"/>
      <c r="G400" s="8"/>
      <c r="H400" s="14" t="str">
        <f>IF(ISBLANK(F400),"",IF(G400&lt;&gt;"",UPPER(TRIM(G400)),IF(ISNUMBER(SEARCH(" ",TRIM(F400))),UPPER(LEFT(TRIM(RIGHT(SUBSTITUTE(TRIM(F400)," ",REPT(" ",100)),100)),Settings!$B$9)),UPPER(LEFT(TRIM(F400),Settings!$B$9)))))</f>
        <v/>
      </c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16" t="str">
        <f>IF(ISBLANK(D400),"",IF(COUNTIFS(Circulation!$B$2:$B$500,A400,Circulation!$H$2:$H$500,"Active")&gt;0,"On Loan","Available"))</f>
        <v/>
      </c>
      <c r="AB400" s="8"/>
      <c r="AC400" s="8"/>
      <c r="AD400" s="8"/>
      <c r="AE400" s="8"/>
      <c r="AF400" s="8"/>
      <c r="AG400" s="8"/>
      <c r="AH400" s="8"/>
    </row>
    <row r="401" spans="1:34" ht="15.75" x14ac:dyDescent="0.25">
      <c r="A401" s="14" t="str">
        <f t="shared" si="12"/>
        <v/>
      </c>
      <c r="B401" s="15"/>
      <c r="C401" s="14" t="str">
        <f t="shared" si="13"/>
        <v/>
      </c>
      <c r="D401" s="8"/>
      <c r="E401" s="8"/>
      <c r="F401" s="8"/>
      <c r="G401" s="8"/>
      <c r="H401" s="14" t="str">
        <f>IF(ISBLANK(F401),"",IF(G401&lt;&gt;"",UPPER(TRIM(G401)),IF(ISNUMBER(SEARCH(" ",TRIM(F401))),UPPER(LEFT(TRIM(RIGHT(SUBSTITUTE(TRIM(F401)," ",REPT(" ",100)),100)),Settings!$B$9)),UPPER(LEFT(TRIM(F401),Settings!$B$9)))))</f>
        <v/>
      </c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16" t="str">
        <f>IF(ISBLANK(D401),"",IF(COUNTIFS(Circulation!$B$2:$B$500,A401,Circulation!$H$2:$H$500,"Active")&gt;0,"On Loan","Available"))</f>
        <v/>
      </c>
      <c r="AB401" s="8"/>
      <c r="AC401" s="8"/>
      <c r="AD401" s="8"/>
      <c r="AE401" s="8"/>
      <c r="AF401" s="8"/>
      <c r="AG401" s="8"/>
      <c r="AH401" s="8"/>
    </row>
    <row r="402" spans="1:34" ht="15.75" x14ac:dyDescent="0.25">
      <c r="A402" s="14" t="str">
        <f t="shared" si="12"/>
        <v/>
      </c>
      <c r="B402" s="15"/>
      <c r="C402" s="14" t="str">
        <f t="shared" si="13"/>
        <v/>
      </c>
      <c r="D402" s="8"/>
      <c r="E402" s="8"/>
      <c r="F402" s="8"/>
      <c r="G402" s="8"/>
      <c r="H402" s="14" t="str">
        <f>IF(ISBLANK(F402),"",IF(G402&lt;&gt;"",UPPER(TRIM(G402)),IF(ISNUMBER(SEARCH(" ",TRIM(F402))),UPPER(LEFT(TRIM(RIGHT(SUBSTITUTE(TRIM(F402)," ",REPT(" ",100)),100)),Settings!$B$9)),UPPER(LEFT(TRIM(F402),Settings!$B$9)))))</f>
        <v/>
      </c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16" t="str">
        <f>IF(ISBLANK(D402),"",IF(COUNTIFS(Circulation!$B$2:$B$500,A402,Circulation!$H$2:$H$500,"Active")&gt;0,"On Loan","Available"))</f>
        <v/>
      </c>
      <c r="AB402" s="8"/>
      <c r="AC402" s="8"/>
      <c r="AD402" s="8"/>
      <c r="AE402" s="8"/>
      <c r="AF402" s="8"/>
      <c r="AG402" s="8"/>
      <c r="AH402" s="8"/>
    </row>
    <row r="403" spans="1:34" ht="15.75" x14ac:dyDescent="0.25">
      <c r="A403" s="14" t="str">
        <f t="shared" si="12"/>
        <v/>
      </c>
      <c r="B403" s="15"/>
      <c r="C403" s="14" t="str">
        <f t="shared" si="13"/>
        <v/>
      </c>
      <c r="D403" s="8"/>
      <c r="E403" s="8"/>
      <c r="F403" s="8"/>
      <c r="G403" s="8"/>
      <c r="H403" s="14" t="str">
        <f>IF(ISBLANK(F403),"",IF(G403&lt;&gt;"",UPPER(TRIM(G403)),IF(ISNUMBER(SEARCH(" ",TRIM(F403))),UPPER(LEFT(TRIM(RIGHT(SUBSTITUTE(TRIM(F403)," ",REPT(" ",100)),100)),Settings!$B$9)),UPPER(LEFT(TRIM(F403),Settings!$B$9)))))</f>
        <v/>
      </c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16" t="str">
        <f>IF(ISBLANK(D403),"",IF(COUNTIFS(Circulation!$B$2:$B$500,A403,Circulation!$H$2:$H$500,"Active")&gt;0,"On Loan","Available"))</f>
        <v/>
      </c>
      <c r="AB403" s="8"/>
      <c r="AC403" s="8"/>
      <c r="AD403" s="8"/>
      <c r="AE403" s="8"/>
      <c r="AF403" s="8"/>
      <c r="AG403" s="8"/>
      <c r="AH403" s="8"/>
    </row>
    <row r="404" spans="1:34" ht="15.75" x14ac:dyDescent="0.25">
      <c r="A404" s="14" t="str">
        <f t="shared" si="12"/>
        <v/>
      </c>
      <c r="B404" s="15"/>
      <c r="C404" s="14" t="str">
        <f t="shared" si="13"/>
        <v/>
      </c>
      <c r="D404" s="8"/>
      <c r="E404" s="8"/>
      <c r="F404" s="8"/>
      <c r="G404" s="8"/>
      <c r="H404" s="14" t="str">
        <f>IF(ISBLANK(F404),"",IF(G404&lt;&gt;"",UPPER(TRIM(G404)),IF(ISNUMBER(SEARCH(" ",TRIM(F404))),UPPER(LEFT(TRIM(RIGHT(SUBSTITUTE(TRIM(F404)," ",REPT(" ",100)),100)),Settings!$B$9)),UPPER(LEFT(TRIM(F404),Settings!$B$9)))))</f>
        <v/>
      </c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16" t="str">
        <f>IF(ISBLANK(D404),"",IF(COUNTIFS(Circulation!$B$2:$B$500,A404,Circulation!$H$2:$H$500,"Active")&gt;0,"On Loan","Available"))</f>
        <v/>
      </c>
      <c r="AB404" s="8"/>
      <c r="AC404" s="8"/>
      <c r="AD404" s="8"/>
      <c r="AE404" s="8"/>
      <c r="AF404" s="8"/>
      <c r="AG404" s="8"/>
      <c r="AH404" s="8"/>
    </row>
    <row r="405" spans="1:34" ht="15.75" x14ac:dyDescent="0.25">
      <c r="A405" s="14" t="str">
        <f t="shared" si="12"/>
        <v/>
      </c>
      <c r="B405" s="15"/>
      <c r="C405" s="14" t="str">
        <f t="shared" si="13"/>
        <v/>
      </c>
      <c r="D405" s="8"/>
      <c r="E405" s="8"/>
      <c r="F405" s="8"/>
      <c r="G405" s="8"/>
      <c r="H405" s="14" t="str">
        <f>IF(ISBLANK(F405),"",IF(G405&lt;&gt;"",UPPER(TRIM(G405)),IF(ISNUMBER(SEARCH(" ",TRIM(F405))),UPPER(LEFT(TRIM(RIGHT(SUBSTITUTE(TRIM(F405)," ",REPT(" ",100)),100)),Settings!$B$9)),UPPER(LEFT(TRIM(F405),Settings!$B$9)))))</f>
        <v/>
      </c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16" t="str">
        <f>IF(ISBLANK(D405),"",IF(COUNTIFS(Circulation!$B$2:$B$500,A405,Circulation!$H$2:$H$500,"Active")&gt;0,"On Loan","Available"))</f>
        <v/>
      </c>
      <c r="AB405" s="8"/>
      <c r="AC405" s="8"/>
      <c r="AD405" s="8"/>
      <c r="AE405" s="8"/>
      <c r="AF405" s="8"/>
      <c r="AG405" s="8"/>
      <c r="AH405" s="8"/>
    </row>
    <row r="406" spans="1:34" ht="15.75" x14ac:dyDescent="0.25">
      <c r="A406" s="14" t="str">
        <f t="shared" si="12"/>
        <v/>
      </c>
      <c r="B406" s="15"/>
      <c r="C406" s="14" t="str">
        <f t="shared" si="13"/>
        <v/>
      </c>
      <c r="D406" s="8"/>
      <c r="E406" s="8"/>
      <c r="F406" s="8"/>
      <c r="G406" s="8"/>
      <c r="H406" s="14" t="str">
        <f>IF(ISBLANK(F406),"",IF(G406&lt;&gt;"",UPPER(TRIM(G406)),IF(ISNUMBER(SEARCH(" ",TRIM(F406))),UPPER(LEFT(TRIM(RIGHT(SUBSTITUTE(TRIM(F406)," ",REPT(" ",100)),100)),Settings!$B$9)),UPPER(LEFT(TRIM(F406),Settings!$B$9)))))</f>
        <v/>
      </c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16" t="str">
        <f>IF(ISBLANK(D406),"",IF(COUNTIFS(Circulation!$B$2:$B$500,A406,Circulation!$H$2:$H$500,"Active")&gt;0,"On Loan","Available"))</f>
        <v/>
      </c>
      <c r="AB406" s="8"/>
      <c r="AC406" s="8"/>
      <c r="AD406" s="8"/>
      <c r="AE406" s="8"/>
      <c r="AF406" s="8"/>
      <c r="AG406" s="8"/>
      <c r="AH406" s="8"/>
    </row>
    <row r="407" spans="1:34" ht="15.75" x14ac:dyDescent="0.25">
      <c r="A407" s="14" t="str">
        <f t="shared" si="12"/>
        <v/>
      </c>
      <c r="B407" s="15"/>
      <c r="C407" s="14" t="str">
        <f t="shared" si="13"/>
        <v/>
      </c>
      <c r="D407" s="8"/>
      <c r="E407" s="8"/>
      <c r="F407" s="8"/>
      <c r="G407" s="8"/>
      <c r="H407" s="14" t="str">
        <f>IF(ISBLANK(F407),"",IF(G407&lt;&gt;"",UPPER(TRIM(G407)),IF(ISNUMBER(SEARCH(" ",TRIM(F407))),UPPER(LEFT(TRIM(RIGHT(SUBSTITUTE(TRIM(F407)," ",REPT(" ",100)),100)),Settings!$B$9)),UPPER(LEFT(TRIM(F407),Settings!$B$9)))))</f>
        <v/>
      </c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16" t="str">
        <f>IF(ISBLANK(D407),"",IF(COUNTIFS(Circulation!$B$2:$B$500,A407,Circulation!$H$2:$H$500,"Active")&gt;0,"On Loan","Available"))</f>
        <v/>
      </c>
      <c r="AB407" s="8"/>
      <c r="AC407" s="8"/>
      <c r="AD407" s="8"/>
      <c r="AE407" s="8"/>
      <c r="AF407" s="8"/>
      <c r="AG407" s="8"/>
      <c r="AH407" s="8"/>
    </row>
    <row r="408" spans="1:34" ht="15.75" x14ac:dyDescent="0.25">
      <c r="A408" s="14" t="str">
        <f t="shared" si="12"/>
        <v/>
      </c>
      <c r="B408" s="15"/>
      <c r="C408" s="14" t="str">
        <f t="shared" si="13"/>
        <v/>
      </c>
      <c r="D408" s="8"/>
      <c r="E408" s="8"/>
      <c r="F408" s="8"/>
      <c r="G408" s="8"/>
      <c r="H408" s="14" t="str">
        <f>IF(ISBLANK(F408),"",IF(G408&lt;&gt;"",UPPER(TRIM(G408)),IF(ISNUMBER(SEARCH(" ",TRIM(F408))),UPPER(LEFT(TRIM(RIGHT(SUBSTITUTE(TRIM(F408)," ",REPT(" ",100)),100)),Settings!$B$9)),UPPER(LEFT(TRIM(F408),Settings!$B$9)))))</f>
        <v/>
      </c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16" t="str">
        <f>IF(ISBLANK(D408),"",IF(COUNTIFS(Circulation!$B$2:$B$500,A408,Circulation!$H$2:$H$500,"Active")&gt;0,"On Loan","Available"))</f>
        <v/>
      </c>
      <c r="AB408" s="8"/>
      <c r="AC408" s="8"/>
      <c r="AD408" s="8"/>
      <c r="AE408" s="8"/>
      <c r="AF408" s="8"/>
      <c r="AG408" s="8"/>
      <c r="AH408" s="8"/>
    </row>
    <row r="409" spans="1:34" ht="15.75" x14ac:dyDescent="0.25">
      <c r="A409" s="14" t="str">
        <f t="shared" si="12"/>
        <v/>
      </c>
      <c r="B409" s="15"/>
      <c r="C409" s="14" t="str">
        <f t="shared" si="13"/>
        <v/>
      </c>
      <c r="D409" s="8"/>
      <c r="E409" s="8"/>
      <c r="F409" s="8"/>
      <c r="G409" s="8"/>
      <c r="H409" s="14" t="str">
        <f>IF(ISBLANK(F409),"",IF(G409&lt;&gt;"",UPPER(TRIM(G409)),IF(ISNUMBER(SEARCH(" ",TRIM(F409))),UPPER(LEFT(TRIM(RIGHT(SUBSTITUTE(TRIM(F409)," ",REPT(" ",100)),100)),Settings!$B$9)),UPPER(LEFT(TRIM(F409),Settings!$B$9)))))</f>
        <v/>
      </c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16" t="str">
        <f>IF(ISBLANK(D409),"",IF(COUNTIFS(Circulation!$B$2:$B$500,A409,Circulation!$H$2:$H$500,"Active")&gt;0,"On Loan","Available"))</f>
        <v/>
      </c>
      <c r="AB409" s="8"/>
      <c r="AC409" s="8"/>
      <c r="AD409" s="8"/>
      <c r="AE409" s="8"/>
      <c r="AF409" s="8"/>
      <c r="AG409" s="8"/>
      <c r="AH409" s="8"/>
    </row>
    <row r="410" spans="1:34" ht="15.75" x14ac:dyDescent="0.25">
      <c r="A410" s="14" t="str">
        <f t="shared" si="12"/>
        <v/>
      </c>
      <c r="B410" s="15"/>
      <c r="C410" s="14" t="str">
        <f t="shared" si="13"/>
        <v/>
      </c>
      <c r="D410" s="8"/>
      <c r="E410" s="8"/>
      <c r="F410" s="8"/>
      <c r="G410" s="8"/>
      <c r="H410" s="14" t="str">
        <f>IF(ISBLANK(F410),"",IF(G410&lt;&gt;"",UPPER(TRIM(G410)),IF(ISNUMBER(SEARCH(" ",TRIM(F410))),UPPER(LEFT(TRIM(RIGHT(SUBSTITUTE(TRIM(F410)," ",REPT(" ",100)),100)),Settings!$B$9)),UPPER(LEFT(TRIM(F410),Settings!$B$9)))))</f>
        <v/>
      </c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16" t="str">
        <f>IF(ISBLANK(D410),"",IF(COUNTIFS(Circulation!$B$2:$B$500,A410,Circulation!$H$2:$H$500,"Active")&gt;0,"On Loan","Available"))</f>
        <v/>
      </c>
      <c r="AB410" s="8"/>
      <c r="AC410" s="8"/>
      <c r="AD410" s="8"/>
      <c r="AE410" s="8"/>
      <c r="AF410" s="8"/>
      <c r="AG410" s="8"/>
      <c r="AH410" s="8"/>
    </row>
    <row r="411" spans="1:34" ht="15.75" x14ac:dyDescent="0.25">
      <c r="A411" s="14" t="str">
        <f t="shared" si="12"/>
        <v/>
      </c>
      <c r="B411" s="15"/>
      <c r="C411" s="14" t="str">
        <f t="shared" si="13"/>
        <v/>
      </c>
      <c r="D411" s="8"/>
      <c r="E411" s="8"/>
      <c r="F411" s="8"/>
      <c r="G411" s="8"/>
      <c r="H411" s="14" t="str">
        <f>IF(ISBLANK(F411),"",IF(G411&lt;&gt;"",UPPER(TRIM(G411)),IF(ISNUMBER(SEARCH(" ",TRIM(F411))),UPPER(LEFT(TRIM(RIGHT(SUBSTITUTE(TRIM(F411)," ",REPT(" ",100)),100)),Settings!$B$9)),UPPER(LEFT(TRIM(F411),Settings!$B$9)))))</f>
        <v/>
      </c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16" t="str">
        <f>IF(ISBLANK(D411),"",IF(COUNTIFS(Circulation!$B$2:$B$500,A411,Circulation!$H$2:$H$500,"Active")&gt;0,"On Loan","Available"))</f>
        <v/>
      </c>
      <c r="AB411" s="8"/>
      <c r="AC411" s="8"/>
      <c r="AD411" s="8"/>
      <c r="AE411" s="8"/>
      <c r="AF411" s="8"/>
      <c r="AG411" s="8"/>
      <c r="AH411" s="8"/>
    </row>
    <row r="412" spans="1:34" ht="15.75" x14ac:dyDescent="0.25">
      <c r="A412" s="14" t="str">
        <f t="shared" si="12"/>
        <v/>
      </c>
      <c r="B412" s="15"/>
      <c r="C412" s="14" t="str">
        <f t="shared" si="13"/>
        <v/>
      </c>
      <c r="D412" s="8"/>
      <c r="E412" s="8"/>
      <c r="F412" s="8"/>
      <c r="G412" s="8"/>
      <c r="H412" s="14" t="str">
        <f>IF(ISBLANK(F412),"",IF(G412&lt;&gt;"",UPPER(TRIM(G412)),IF(ISNUMBER(SEARCH(" ",TRIM(F412))),UPPER(LEFT(TRIM(RIGHT(SUBSTITUTE(TRIM(F412)," ",REPT(" ",100)),100)),Settings!$B$9)),UPPER(LEFT(TRIM(F412),Settings!$B$9)))))</f>
        <v/>
      </c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16" t="str">
        <f>IF(ISBLANK(D412),"",IF(COUNTIFS(Circulation!$B$2:$B$500,A412,Circulation!$H$2:$H$500,"Active")&gt;0,"On Loan","Available"))</f>
        <v/>
      </c>
      <c r="AB412" s="8"/>
      <c r="AC412" s="8"/>
      <c r="AD412" s="8"/>
      <c r="AE412" s="8"/>
      <c r="AF412" s="8"/>
      <c r="AG412" s="8"/>
      <c r="AH412" s="8"/>
    </row>
    <row r="413" spans="1:34" ht="15.75" x14ac:dyDescent="0.25">
      <c r="A413" s="14" t="str">
        <f t="shared" si="12"/>
        <v/>
      </c>
      <c r="B413" s="15"/>
      <c r="C413" s="14" t="str">
        <f t="shared" si="13"/>
        <v/>
      </c>
      <c r="D413" s="8"/>
      <c r="E413" s="8"/>
      <c r="F413" s="8"/>
      <c r="G413" s="8"/>
      <c r="H413" s="14" t="str">
        <f>IF(ISBLANK(F413),"",IF(G413&lt;&gt;"",UPPER(TRIM(G413)),IF(ISNUMBER(SEARCH(" ",TRIM(F413))),UPPER(LEFT(TRIM(RIGHT(SUBSTITUTE(TRIM(F413)," ",REPT(" ",100)),100)),Settings!$B$9)),UPPER(LEFT(TRIM(F413),Settings!$B$9)))))</f>
        <v/>
      </c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16" t="str">
        <f>IF(ISBLANK(D413),"",IF(COUNTIFS(Circulation!$B$2:$B$500,A413,Circulation!$H$2:$H$500,"Active")&gt;0,"On Loan","Available"))</f>
        <v/>
      </c>
      <c r="AB413" s="8"/>
      <c r="AC413" s="8"/>
      <c r="AD413" s="8"/>
      <c r="AE413" s="8"/>
      <c r="AF413" s="8"/>
      <c r="AG413" s="8"/>
      <c r="AH413" s="8"/>
    </row>
    <row r="414" spans="1:34" ht="15.75" x14ac:dyDescent="0.25">
      <c r="A414" s="14" t="str">
        <f t="shared" si="12"/>
        <v/>
      </c>
      <c r="B414" s="15"/>
      <c r="C414" s="14" t="str">
        <f t="shared" si="13"/>
        <v/>
      </c>
      <c r="D414" s="8"/>
      <c r="E414" s="8"/>
      <c r="F414" s="8"/>
      <c r="G414" s="8"/>
      <c r="H414" s="14" t="str">
        <f>IF(ISBLANK(F414),"",IF(G414&lt;&gt;"",UPPER(TRIM(G414)),IF(ISNUMBER(SEARCH(" ",TRIM(F414))),UPPER(LEFT(TRIM(RIGHT(SUBSTITUTE(TRIM(F414)," ",REPT(" ",100)),100)),Settings!$B$9)),UPPER(LEFT(TRIM(F414),Settings!$B$9)))))</f>
        <v/>
      </c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16" t="str">
        <f>IF(ISBLANK(D414),"",IF(COUNTIFS(Circulation!$B$2:$B$500,A414,Circulation!$H$2:$H$500,"Active")&gt;0,"On Loan","Available"))</f>
        <v/>
      </c>
      <c r="AB414" s="8"/>
      <c r="AC414" s="8"/>
      <c r="AD414" s="8"/>
      <c r="AE414" s="8"/>
      <c r="AF414" s="8"/>
      <c r="AG414" s="8"/>
      <c r="AH414" s="8"/>
    </row>
    <row r="415" spans="1:34" ht="15.75" x14ac:dyDescent="0.25">
      <c r="A415" s="14" t="str">
        <f t="shared" si="12"/>
        <v/>
      </c>
      <c r="B415" s="15"/>
      <c r="C415" s="14" t="str">
        <f t="shared" si="13"/>
        <v/>
      </c>
      <c r="D415" s="8"/>
      <c r="E415" s="8"/>
      <c r="F415" s="8"/>
      <c r="G415" s="8"/>
      <c r="H415" s="14" t="str">
        <f>IF(ISBLANK(F415),"",IF(G415&lt;&gt;"",UPPER(TRIM(G415)),IF(ISNUMBER(SEARCH(" ",TRIM(F415))),UPPER(LEFT(TRIM(RIGHT(SUBSTITUTE(TRIM(F415)," ",REPT(" ",100)),100)),Settings!$B$9)),UPPER(LEFT(TRIM(F415),Settings!$B$9)))))</f>
        <v/>
      </c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16" t="str">
        <f>IF(ISBLANK(D415),"",IF(COUNTIFS(Circulation!$B$2:$B$500,A415,Circulation!$H$2:$H$500,"Active")&gt;0,"On Loan","Available"))</f>
        <v/>
      </c>
      <c r="AB415" s="8"/>
      <c r="AC415" s="8"/>
      <c r="AD415" s="8"/>
      <c r="AE415" s="8"/>
      <c r="AF415" s="8"/>
      <c r="AG415" s="8"/>
      <c r="AH415" s="8"/>
    </row>
    <row r="416" spans="1:34" ht="15.75" x14ac:dyDescent="0.25">
      <c r="A416" s="14" t="str">
        <f t="shared" si="12"/>
        <v/>
      </c>
      <c r="B416" s="15"/>
      <c r="C416" s="14" t="str">
        <f t="shared" si="13"/>
        <v/>
      </c>
      <c r="D416" s="8"/>
      <c r="E416" s="8"/>
      <c r="F416" s="8"/>
      <c r="G416" s="8"/>
      <c r="H416" s="14" t="str">
        <f>IF(ISBLANK(F416),"",IF(G416&lt;&gt;"",UPPER(TRIM(G416)),IF(ISNUMBER(SEARCH(" ",TRIM(F416))),UPPER(LEFT(TRIM(RIGHT(SUBSTITUTE(TRIM(F416)," ",REPT(" ",100)),100)),Settings!$B$9)),UPPER(LEFT(TRIM(F416),Settings!$B$9)))))</f>
        <v/>
      </c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16" t="str">
        <f>IF(ISBLANK(D416),"",IF(COUNTIFS(Circulation!$B$2:$B$500,A416,Circulation!$H$2:$H$500,"Active")&gt;0,"On Loan","Available"))</f>
        <v/>
      </c>
      <c r="AB416" s="8"/>
      <c r="AC416" s="8"/>
      <c r="AD416" s="8"/>
      <c r="AE416" s="8"/>
      <c r="AF416" s="8"/>
      <c r="AG416" s="8"/>
      <c r="AH416" s="8"/>
    </row>
    <row r="417" spans="1:34" ht="15.75" x14ac:dyDescent="0.25">
      <c r="A417" s="14" t="str">
        <f t="shared" si="12"/>
        <v/>
      </c>
      <c r="B417" s="15"/>
      <c r="C417" s="14" t="str">
        <f t="shared" si="13"/>
        <v/>
      </c>
      <c r="D417" s="8"/>
      <c r="E417" s="8"/>
      <c r="F417" s="8"/>
      <c r="G417" s="8"/>
      <c r="H417" s="14" t="str">
        <f>IF(ISBLANK(F417),"",IF(G417&lt;&gt;"",UPPER(TRIM(G417)),IF(ISNUMBER(SEARCH(" ",TRIM(F417))),UPPER(LEFT(TRIM(RIGHT(SUBSTITUTE(TRIM(F417)," ",REPT(" ",100)),100)),Settings!$B$9)),UPPER(LEFT(TRIM(F417),Settings!$B$9)))))</f>
        <v/>
      </c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16" t="str">
        <f>IF(ISBLANK(D417),"",IF(COUNTIFS(Circulation!$B$2:$B$500,A417,Circulation!$H$2:$H$500,"Active")&gt;0,"On Loan","Available"))</f>
        <v/>
      </c>
      <c r="AB417" s="8"/>
      <c r="AC417" s="8"/>
      <c r="AD417" s="8"/>
      <c r="AE417" s="8"/>
      <c r="AF417" s="8"/>
      <c r="AG417" s="8"/>
      <c r="AH417" s="8"/>
    </row>
    <row r="418" spans="1:34" ht="15.75" x14ac:dyDescent="0.25">
      <c r="A418" s="14" t="str">
        <f t="shared" si="12"/>
        <v/>
      </c>
      <c r="B418" s="15"/>
      <c r="C418" s="14" t="str">
        <f t="shared" si="13"/>
        <v/>
      </c>
      <c r="D418" s="8"/>
      <c r="E418" s="8"/>
      <c r="F418" s="8"/>
      <c r="G418" s="8"/>
      <c r="H418" s="14" t="str">
        <f>IF(ISBLANK(F418),"",IF(G418&lt;&gt;"",UPPER(TRIM(G418)),IF(ISNUMBER(SEARCH(" ",TRIM(F418))),UPPER(LEFT(TRIM(RIGHT(SUBSTITUTE(TRIM(F418)," ",REPT(" ",100)),100)),Settings!$B$9)),UPPER(LEFT(TRIM(F418),Settings!$B$9)))))</f>
        <v/>
      </c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16" t="str">
        <f>IF(ISBLANK(D418),"",IF(COUNTIFS(Circulation!$B$2:$B$500,A418,Circulation!$H$2:$H$500,"Active")&gt;0,"On Loan","Available"))</f>
        <v/>
      </c>
      <c r="AB418" s="8"/>
      <c r="AC418" s="8"/>
      <c r="AD418" s="8"/>
      <c r="AE418" s="8"/>
      <c r="AF418" s="8"/>
      <c r="AG418" s="8"/>
      <c r="AH418" s="8"/>
    </row>
    <row r="419" spans="1:34" ht="15.75" x14ac:dyDescent="0.25">
      <c r="A419" s="14" t="str">
        <f t="shared" si="12"/>
        <v/>
      </c>
      <c r="B419" s="15"/>
      <c r="C419" s="14" t="str">
        <f t="shared" si="13"/>
        <v/>
      </c>
      <c r="D419" s="8"/>
      <c r="E419" s="8"/>
      <c r="F419" s="8"/>
      <c r="G419" s="8"/>
      <c r="H419" s="14" t="str">
        <f>IF(ISBLANK(F419),"",IF(G419&lt;&gt;"",UPPER(TRIM(G419)),IF(ISNUMBER(SEARCH(" ",TRIM(F419))),UPPER(LEFT(TRIM(RIGHT(SUBSTITUTE(TRIM(F419)," ",REPT(" ",100)),100)),Settings!$B$9)),UPPER(LEFT(TRIM(F419),Settings!$B$9)))))</f>
        <v/>
      </c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16" t="str">
        <f>IF(ISBLANK(D419),"",IF(COUNTIFS(Circulation!$B$2:$B$500,A419,Circulation!$H$2:$H$500,"Active")&gt;0,"On Loan","Available"))</f>
        <v/>
      </c>
      <c r="AB419" s="8"/>
      <c r="AC419" s="8"/>
      <c r="AD419" s="8"/>
      <c r="AE419" s="8"/>
      <c r="AF419" s="8"/>
      <c r="AG419" s="8"/>
      <c r="AH419" s="8"/>
    </row>
    <row r="420" spans="1:34" ht="15.75" x14ac:dyDescent="0.25">
      <c r="A420" s="14" t="str">
        <f t="shared" si="12"/>
        <v/>
      </c>
      <c r="B420" s="15"/>
      <c r="C420" s="14" t="str">
        <f t="shared" si="13"/>
        <v/>
      </c>
      <c r="D420" s="8"/>
      <c r="E420" s="8"/>
      <c r="F420" s="8"/>
      <c r="G420" s="8"/>
      <c r="H420" s="14" t="str">
        <f>IF(ISBLANK(F420),"",IF(G420&lt;&gt;"",UPPER(TRIM(G420)),IF(ISNUMBER(SEARCH(" ",TRIM(F420))),UPPER(LEFT(TRIM(RIGHT(SUBSTITUTE(TRIM(F420)," ",REPT(" ",100)),100)),Settings!$B$9)),UPPER(LEFT(TRIM(F420),Settings!$B$9)))))</f>
        <v/>
      </c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16" t="str">
        <f>IF(ISBLANK(D420),"",IF(COUNTIFS(Circulation!$B$2:$B$500,A420,Circulation!$H$2:$H$500,"Active")&gt;0,"On Loan","Available"))</f>
        <v/>
      </c>
      <c r="AB420" s="8"/>
      <c r="AC420" s="8"/>
      <c r="AD420" s="8"/>
      <c r="AE420" s="8"/>
      <c r="AF420" s="8"/>
      <c r="AG420" s="8"/>
      <c r="AH420" s="8"/>
    </row>
    <row r="421" spans="1:34" ht="15.75" x14ac:dyDescent="0.25">
      <c r="A421" s="14" t="str">
        <f t="shared" si="12"/>
        <v/>
      </c>
      <c r="B421" s="15"/>
      <c r="C421" s="14" t="str">
        <f t="shared" si="13"/>
        <v/>
      </c>
      <c r="D421" s="8"/>
      <c r="E421" s="8"/>
      <c r="F421" s="8"/>
      <c r="G421" s="8"/>
      <c r="H421" s="14" t="str">
        <f>IF(ISBLANK(F421),"",IF(G421&lt;&gt;"",UPPER(TRIM(G421)),IF(ISNUMBER(SEARCH(" ",TRIM(F421))),UPPER(LEFT(TRIM(RIGHT(SUBSTITUTE(TRIM(F421)," ",REPT(" ",100)),100)),Settings!$B$9)),UPPER(LEFT(TRIM(F421),Settings!$B$9)))))</f>
        <v/>
      </c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16" t="str">
        <f>IF(ISBLANK(D421),"",IF(COUNTIFS(Circulation!$B$2:$B$500,A421,Circulation!$H$2:$H$500,"Active")&gt;0,"On Loan","Available"))</f>
        <v/>
      </c>
      <c r="AB421" s="8"/>
      <c r="AC421" s="8"/>
      <c r="AD421" s="8"/>
      <c r="AE421" s="8"/>
      <c r="AF421" s="8"/>
      <c r="AG421" s="8"/>
      <c r="AH421" s="8"/>
    </row>
    <row r="422" spans="1:34" ht="15.75" x14ac:dyDescent="0.25">
      <c r="A422" s="14" t="str">
        <f t="shared" si="12"/>
        <v/>
      </c>
      <c r="B422" s="15"/>
      <c r="C422" s="14" t="str">
        <f t="shared" si="13"/>
        <v/>
      </c>
      <c r="D422" s="8"/>
      <c r="E422" s="8"/>
      <c r="F422" s="8"/>
      <c r="G422" s="8"/>
      <c r="H422" s="14" t="str">
        <f>IF(ISBLANK(F422),"",IF(G422&lt;&gt;"",UPPER(TRIM(G422)),IF(ISNUMBER(SEARCH(" ",TRIM(F422))),UPPER(LEFT(TRIM(RIGHT(SUBSTITUTE(TRIM(F422)," ",REPT(" ",100)),100)),Settings!$B$9)),UPPER(LEFT(TRIM(F422),Settings!$B$9)))))</f>
        <v/>
      </c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16" t="str">
        <f>IF(ISBLANK(D422),"",IF(COUNTIFS(Circulation!$B$2:$B$500,A422,Circulation!$H$2:$H$500,"Active")&gt;0,"On Loan","Available"))</f>
        <v/>
      </c>
      <c r="AB422" s="8"/>
      <c r="AC422" s="8"/>
      <c r="AD422" s="8"/>
      <c r="AE422" s="8"/>
      <c r="AF422" s="8"/>
      <c r="AG422" s="8"/>
      <c r="AH422" s="8"/>
    </row>
    <row r="423" spans="1:34" ht="15.75" x14ac:dyDescent="0.25">
      <c r="A423" s="14" t="str">
        <f t="shared" si="12"/>
        <v/>
      </c>
      <c r="B423" s="15"/>
      <c r="C423" s="14" t="str">
        <f t="shared" si="13"/>
        <v/>
      </c>
      <c r="D423" s="8"/>
      <c r="E423" s="8"/>
      <c r="F423" s="8"/>
      <c r="G423" s="8"/>
      <c r="H423" s="14" t="str">
        <f>IF(ISBLANK(F423),"",IF(G423&lt;&gt;"",UPPER(TRIM(G423)),IF(ISNUMBER(SEARCH(" ",TRIM(F423))),UPPER(LEFT(TRIM(RIGHT(SUBSTITUTE(TRIM(F423)," ",REPT(" ",100)),100)),Settings!$B$9)),UPPER(LEFT(TRIM(F423),Settings!$B$9)))))</f>
        <v/>
      </c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16" t="str">
        <f>IF(ISBLANK(D423),"",IF(COUNTIFS(Circulation!$B$2:$B$500,A423,Circulation!$H$2:$H$500,"Active")&gt;0,"On Loan","Available"))</f>
        <v/>
      </c>
      <c r="AB423" s="8"/>
      <c r="AC423" s="8"/>
      <c r="AD423" s="8"/>
      <c r="AE423" s="8"/>
      <c r="AF423" s="8"/>
      <c r="AG423" s="8"/>
      <c r="AH423" s="8"/>
    </row>
    <row r="424" spans="1:34" ht="15.75" x14ac:dyDescent="0.25">
      <c r="A424" s="14" t="str">
        <f t="shared" si="12"/>
        <v/>
      </c>
      <c r="B424" s="15"/>
      <c r="C424" s="14" t="str">
        <f t="shared" si="13"/>
        <v/>
      </c>
      <c r="D424" s="8"/>
      <c r="E424" s="8"/>
      <c r="F424" s="8"/>
      <c r="G424" s="8"/>
      <c r="H424" s="14" t="str">
        <f>IF(ISBLANK(F424),"",IF(G424&lt;&gt;"",UPPER(TRIM(G424)),IF(ISNUMBER(SEARCH(" ",TRIM(F424))),UPPER(LEFT(TRIM(RIGHT(SUBSTITUTE(TRIM(F424)," ",REPT(" ",100)),100)),Settings!$B$9)),UPPER(LEFT(TRIM(F424),Settings!$B$9)))))</f>
        <v/>
      </c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16" t="str">
        <f>IF(ISBLANK(D424),"",IF(COUNTIFS(Circulation!$B$2:$B$500,A424,Circulation!$H$2:$H$500,"Active")&gt;0,"On Loan","Available"))</f>
        <v/>
      </c>
      <c r="AB424" s="8"/>
      <c r="AC424" s="8"/>
      <c r="AD424" s="8"/>
      <c r="AE424" s="8"/>
      <c r="AF424" s="8"/>
      <c r="AG424" s="8"/>
      <c r="AH424" s="8"/>
    </row>
    <row r="425" spans="1:34" ht="15.75" x14ac:dyDescent="0.25">
      <c r="A425" s="14" t="str">
        <f t="shared" si="12"/>
        <v/>
      </c>
      <c r="B425" s="15"/>
      <c r="C425" s="14" t="str">
        <f t="shared" si="13"/>
        <v/>
      </c>
      <c r="D425" s="8"/>
      <c r="E425" s="8"/>
      <c r="F425" s="8"/>
      <c r="G425" s="8"/>
      <c r="H425" s="14" t="str">
        <f>IF(ISBLANK(F425),"",IF(G425&lt;&gt;"",UPPER(TRIM(G425)),IF(ISNUMBER(SEARCH(" ",TRIM(F425))),UPPER(LEFT(TRIM(RIGHT(SUBSTITUTE(TRIM(F425)," ",REPT(" ",100)),100)),Settings!$B$9)),UPPER(LEFT(TRIM(F425),Settings!$B$9)))))</f>
        <v/>
      </c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16" t="str">
        <f>IF(ISBLANK(D425),"",IF(COUNTIFS(Circulation!$B$2:$B$500,A425,Circulation!$H$2:$H$500,"Active")&gt;0,"On Loan","Available"))</f>
        <v/>
      </c>
      <c r="AB425" s="8"/>
      <c r="AC425" s="8"/>
      <c r="AD425" s="8"/>
      <c r="AE425" s="8"/>
      <c r="AF425" s="8"/>
      <c r="AG425" s="8"/>
      <c r="AH425" s="8"/>
    </row>
    <row r="426" spans="1:34" ht="15.75" x14ac:dyDescent="0.25">
      <c r="A426" s="14" t="str">
        <f t="shared" si="12"/>
        <v/>
      </c>
      <c r="B426" s="15"/>
      <c r="C426" s="14" t="str">
        <f t="shared" si="13"/>
        <v/>
      </c>
      <c r="D426" s="8"/>
      <c r="E426" s="8"/>
      <c r="F426" s="8"/>
      <c r="G426" s="8"/>
      <c r="H426" s="14" t="str">
        <f>IF(ISBLANK(F426),"",IF(G426&lt;&gt;"",UPPER(TRIM(G426)),IF(ISNUMBER(SEARCH(" ",TRIM(F426))),UPPER(LEFT(TRIM(RIGHT(SUBSTITUTE(TRIM(F426)," ",REPT(" ",100)),100)),Settings!$B$9)),UPPER(LEFT(TRIM(F426),Settings!$B$9)))))</f>
        <v/>
      </c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16" t="str">
        <f>IF(ISBLANK(D426),"",IF(COUNTIFS(Circulation!$B$2:$B$500,A426,Circulation!$H$2:$H$500,"Active")&gt;0,"On Loan","Available"))</f>
        <v/>
      </c>
      <c r="AB426" s="8"/>
      <c r="AC426" s="8"/>
      <c r="AD426" s="8"/>
      <c r="AE426" s="8"/>
      <c r="AF426" s="8"/>
      <c r="AG426" s="8"/>
      <c r="AH426" s="8"/>
    </row>
    <row r="427" spans="1:34" ht="15.75" x14ac:dyDescent="0.25">
      <c r="A427" s="14" t="str">
        <f t="shared" si="12"/>
        <v/>
      </c>
      <c r="B427" s="15"/>
      <c r="C427" s="14" t="str">
        <f t="shared" si="13"/>
        <v/>
      </c>
      <c r="D427" s="8"/>
      <c r="E427" s="8"/>
      <c r="F427" s="8"/>
      <c r="G427" s="8"/>
      <c r="H427" s="14" t="str">
        <f>IF(ISBLANK(F427),"",IF(G427&lt;&gt;"",UPPER(TRIM(G427)),IF(ISNUMBER(SEARCH(" ",TRIM(F427))),UPPER(LEFT(TRIM(RIGHT(SUBSTITUTE(TRIM(F427)," ",REPT(" ",100)),100)),Settings!$B$9)),UPPER(LEFT(TRIM(F427),Settings!$B$9)))))</f>
        <v/>
      </c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16" t="str">
        <f>IF(ISBLANK(D427),"",IF(COUNTIFS(Circulation!$B$2:$B$500,A427,Circulation!$H$2:$H$500,"Active")&gt;0,"On Loan","Available"))</f>
        <v/>
      </c>
      <c r="AB427" s="8"/>
      <c r="AC427" s="8"/>
      <c r="AD427" s="8"/>
      <c r="AE427" s="8"/>
      <c r="AF427" s="8"/>
      <c r="AG427" s="8"/>
      <c r="AH427" s="8"/>
    </row>
    <row r="428" spans="1:34" ht="15.75" x14ac:dyDescent="0.25">
      <c r="A428" s="14" t="str">
        <f t="shared" si="12"/>
        <v/>
      </c>
      <c r="B428" s="15"/>
      <c r="C428" s="14" t="str">
        <f t="shared" si="13"/>
        <v/>
      </c>
      <c r="D428" s="8"/>
      <c r="E428" s="8"/>
      <c r="F428" s="8"/>
      <c r="G428" s="8"/>
      <c r="H428" s="14" t="str">
        <f>IF(ISBLANK(F428),"",IF(G428&lt;&gt;"",UPPER(TRIM(G428)),IF(ISNUMBER(SEARCH(" ",TRIM(F428))),UPPER(LEFT(TRIM(RIGHT(SUBSTITUTE(TRIM(F428)," ",REPT(" ",100)),100)),Settings!$B$9)),UPPER(LEFT(TRIM(F428),Settings!$B$9)))))</f>
        <v/>
      </c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16" t="str">
        <f>IF(ISBLANK(D428),"",IF(COUNTIFS(Circulation!$B$2:$B$500,A428,Circulation!$H$2:$H$500,"Active")&gt;0,"On Loan","Available"))</f>
        <v/>
      </c>
      <c r="AB428" s="8"/>
      <c r="AC428" s="8"/>
      <c r="AD428" s="8"/>
      <c r="AE428" s="8"/>
      <c r="AF428" s="8"/>
      <c r="AG428" s="8"/>
      <c r="AH428" s="8"/>
    </row>
    <row r="429" spans="1:34" ht="15.75" x14ac:dyDescent="0.25">
      <c r="A429" s="14" t="str">
        <f t="shared" si="12"/>
        <v/>
      </c>
      <c r="B429" s="15"/>
      <c r="C429" s="14" t="str">
        <f t="shared" si="13"/>
        <v/>
      </c>
      <c r="D429" s="8"/>
      <c r="E429" s="8"/>
      <c r="F429" s="8"/>
      <c r="G429" s="8"/>
      <c r="H429" s="14" t="str">
        <f>IF(ISBLANK(F429),"",IF(G429&lt;&gt;"",UPPER(TRIM(G429)),IF(ISNUMBER(SEARCH(" ",TRIM(F429))),UPPER(LEFT(TRIM(RIGHT(SUBSTITUTE(TRIM(F429)," ",REPT(" ",100)),100)),Settings!$B$9)),UPPER(LEFT(TRIM(F429),Settings!$B$9)))))</f>
        <v/>
      </c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16" t="str">
        <f>IF(ISBLANK(D429),"",IF(COUNTIFS(Circulation!$B$2:$B$500,A429,Circulation!$H$2:$H$500,"Active")&gt;0,"On Loan","Available"))</f>
        <v/>
      </c>
      <c r="AB429" s="8"/>
      <c r="AC429" s="8"/>
      <c r="AD429" s="8"/>
      <c r="AE429" s="8"/>
      <c r="AF429" s="8"/>
      <c r="AG429" s="8"/>
      <c r="AH429" s="8"/>
    </row>
    <row r="430" spans="1:34" ht="15.75" x14ac:dyDescent="0.25">
      <c r="A430" s="14" t="str">
        <f t="shared" si="12"/>
        <v/>
      </c>
      <c r="B430" s="15"/>
      <c r="C430" s="14" t="str">
        <f t="shared" si="13"/>
        <v/>
      </c>
      <c r="D430" s="8"/>
      <c r="E430" s="8"/>
      <c r="F430" s="8"/>
      <c r="G430" s="8"/>
      <c r="H430" s="14" t="str">
        <f>IF(ISBLANK(F430),"",IF(G430&lt;&gt;"",UPPER(TRIM(G430)),IF(ISNUMBER(SEARCH(" ",TRIM(F430))),UPPER(LEFT(TRIM(RIGHT(SUBSTITUTE(TRIM(F430)," ",REPT(" ",100)),100)),Settings!$B$9)),UPPER(LEFT(TRIM(F430),Settings!$B$9)))))</f>
        <v/>
      </c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16" t="str">
        <f>IF(ISBLANK(D430),"",IF(COUNTIFS(Circulation!$B$2:$B$500,A430,Circulation!$H$2:$H$500,"Active")&gt;0,"On Loan","Available"))</f>
        <v/>
      </c>
      <c r="AB430" s="8"/>
      <c r="AC430" s="8"/>
      <c r="AD430" s="8"/>
      <c r="AE430" s="8"/>
      <c r="AF430" s="8"/>
      <c r="AG430" s="8"/>
      <c r="AH430" s="8"/>
    </row>
    <row r="431" spans="1:34" ht="15.75" x14ac:dyDescent="0.25">
      <c r="A431" s="14" t="str">
        <f t="shared" si="12"/>
        <v/>
      </c>
      <c r="B431" s="15"/>
      <c r="C431" s="14" t="str">
        <f t="shared" si="13"/>
        <v/>
      </c>
      <c r="D431" s="8"/>
      <c r="E431" s="8"/>
      <c r="F431" s="8"/>
      <c r="G431" s="8"/>
      <c r="H431" s="14" t="str">
        <f>IF(ISBLANK(F431),"",IF(G431&lt;&gt;"",UPPER(TRIM(G431)),IF(ISNUMBER(SEARCH(" ",TRIM(F431))),UPPER(LEFT(TRIM(RIGHT(SUBSTITUTE(TRIM(F431)," ",REPT(" ",100)),100)),Settings!$B$9)),UPPER(LEFT(TRIM(F431),Settings!$B$9)))))</f>
        <v/>
      </c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16" t="str">
        <f>IF(ISBLANK(D431),"",IF(COUNTIFS(Circulation!$B$2:$B$500,A431,Circulation!$H$2:$H$500,"Active")&gt;0,"On Loan","Available"))</f>
        <v/>
      </c>
      <c r="AB431" s="8"/>
      <c r="AC431" s="8"/>
      <c r="AD431" s="8"/>
      <c r="AE431" s="8"/>
      <c r="AF431" s="8"/>
      <c r="AG431" s="8"/>
      <c r="AH431" s="8"/>
    </row>
    <row r="432" spans="1:34" ht="15.75" x14ac:dyDescent="0.25">
      <c r="A432" s="14" t="str">
        <f t="shared" si="12"/>
        <v/>
      </c>
      <c r="B432" s="15"/>
      <c r="C432" s="14" t="str">
        <f t="shared" si="13"/>
        <v/>
      </c>
      <c r="D432" s="8"/>
      <c r="E432" s="8"/>
      <c r="F432" s="8"/>
      <c r="G432" s="8"/>
      <c r="H432" s="14" t="str">
        <f>IF(ISBLANK(F432),"",IF(G432&lt;&gt;"",UPPER(TRIM(G432)),IF(ISNUMBER(SEARCH(" ",TRIM(F432))),UPPER(LEFT(TRIM(RIGHT(SUBSTITUTE(TRIM(F432)," ",REPT(" ",100)),100)),Settings!$B$9)),UPPER(LEFT(TRIM(F432),Settings!$B$9)))))</f>
        <v/>
      </c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16" t="str">
        <f>IF(ISBLANK(D432),"",IF(COUNTIFS(Circulation!$B$2:$B$500,A432,Circulation!$H$2:$H$500,"Active")&gt;0,"On Loan","Available"))</f>
        <v/>
      </c>
      <c r="AB432" s="8"/>
      <c r="AC432" s="8"/>
      <c r="AD432" s="8"/>
      <c r="AE432" s="8"/>
      <c r="AF432" s="8"/>
      <c r="AG432" s="8"/>
      <c r="AH432" s="8"/>
    </row>
    <row r="433" spans="1:34" ht="15.75" x14ac:dyDescent="0.25">
      <c r="A433" s="14" t="str">
        <f t="shared" si="12"/>
        <v/>
      </c>
      <c r="B433" s="15"/>
      <c r="C433" s="14" t="str">
        <f t="shared" si="13"/>
        <v/>
      </c>
      <c r="D433" s="8"/>
      <c r="E433" s="8"/>
      <c r="F433" s="8"/>
      <c r="G433" s="8"/>
      <c r="H433" s="14" t="str">
        <f>IF(ISBLANK(F433),"",IF(G433&lt;&gt;"",UPPER(TRIM(G433)),IF(ISNUMBER(SEARCH(" ",TRIM(F433))),UPPER(LEFT(TRIM(RIGHT(SUBSTITUTE(TRIM(F433)," ",REPT(" ",100)),100)),Settings!$B$9)),UPPER(LEFT(TRIM(F433),Settings!$B$9)))))</f>
        <v/>
      </c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16" t="str">
        <f>IF(ISBLANK(D433),"",IF(COUNTIFS(Circulation!$B$2:$B$500,A433,Circulation!$H$2:$H$500,"Active")&gt;0,"On Loan","Available"))</f>
        <v/>
      </c>
      <c r="AB433" s="8"/>
      <c r="AC433" s="8"/>
      <c r="AD433" s="8"/>
      <c r="AE433" s="8"/>
      <c r="AF433" s="8"/>
      <c r="AG433" s="8"/>
      <c r="AH433" s="8"/>
    </row>
    <row r="434" spans="1:34" ht="15.75" x14ac:dyDescent="0.25">
      <c r="A434" s="14" t="str">
        <f t="shared" si="12"/>
        <v/>
      </c>
      <c r="B434" s="15"/>
      <c r="C434" s="14" t="str">
        <f t="shared" si="13"/>
        <v/>
      </c>
      <c r="D434" s="8"/>
      <c r="E434" s="8"/>
      <c r="F434" s="8"/>
      <c r="G434" s="8"/>
      <c r="H434" s="14" t="str">
        <f>IF(ISBLANK(F434),"",IF(G434&lt;&gt;"",UPPER(TRIM(G434)),IF(ISNUMBER(SEARCH(" ",TRIM(F434))),UPPER(LEFT(TRIM(RIGHT(SUBSTITUTE(TRIM(F434)," ",REPT(" ",100)),100)),Settings!$B$9)),UPPER(LEFT(TRIM(F434),Settings!$B$9)))))</f>
        <v/>
      </c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16" t="str">
        <f>IF(ISBLANK(D434),"",IF(COUNTIFS(Circulation!$B$2:$B$500,A434,Circulation!$H$2:$H$500,"Active")&gt;0,"On Loan","Available"))</f>
        <v/>
      </c>
      <c r="AB434" s="8"/>
      <c r="AC434" s="8"/>
      <c r="AD434" s="8"/>
      <c r="AE434" s="8"/>
      <c r="AF434" s="8"/>
      <c r="AG434" s="8"/>
      <c r="AH434" s="8"/>
    </row>
    <row r="435" spans="1:34" ht="15.75" x14ac:dyDescent="0.25">
      <c r="A435" s="14" t="str">
        <f t="shared" si="12"/>
        <v/>
      </c>
      <c r="B435" s="15"/>
      <c r="C435" s="14" t="str">
        <f t="shared" si="13"/>
        <v/>
      </c>
      <c r="D435" s="8"/>
      <c r="E435" s="8"/>
      <c r="F435" s="8"/>
      <c r="G435" s="8"/>
      <c r="H435" s="14" t="str">
        <f>IF(ISBLANK(F435),"",IF(G435&lt;&gt;"",UPPER(TRIM(G435)),IF(ISNUMBER(SEARCH(" ",TRIM(F435))),UPPER(LEFT(TRIM(RIGHT(SUBSTITUTE(TRIM(F435)," ",REPT(" ",100)),100)),Settings!$B$9)),UPPER(LEFT(TRIM(F435),Settings!$B$9)))))</f>
        <v/>
      </c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16" t="str">
        <f>IF(ISBLANK(D435),"",IF(COUNTIFS(Circulation!$B$2:$B$500,A435,Circulation!$H$2:$H$500,"Active")&gt;0,"On Loan","Available"))</f>
        <v/>
      </c>
      <c r="AB435" s="8"/>
      <c r="AC435" s="8"/>
      <c r="AD435" s="8"/>
      <c r="AE435" s="8"/>
      <c r="AF435" s="8"/>
      <c r="AG435" s="8"/>
      <c r="AH435" s="8"/>
    </row>
    <row r="436" spans="1:34" ht="15.75" x14ac:dyDescent="0.25">
      <c r="A436" s="14" t="str">
        <f t="shared" si="12"/>
        <v/>
      </c>
      <c r="B436" s="15"/>
      <c r="C436" s="14" t="str">
        <f t="shared" si="13"/>
        <v/>
      </c>
      <c r="D436" s="8"/>
      <c r="E436" s="8"/>
      <c r="F436" s="8"/>
      <c r="G436" s="8"/>
      <c r="H436" s="14" t="str">
        <f>IF(ISBLANK(F436),"",IF(G436&lt;&gt;"",UPPER(TRIM(G436)),IF(ISNUMBER(SEARCH(" ",TRIM(F436))),UPPER(LEFT(TRIM(RIGHT(SUBSTITUTE(TRIM(F436)," ",REPT(" ",100)),100)),Settings!$B$9)),UPPER(LEFT(TRIM(F436),Settings!$B$9)))))</f>
        <v/>
      </c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16" t="str">
        <f>IF(ISBLANK(D436),"",IF(COUNTIFS(Circulation!$B$2:$B$500,A436,Circulation!$H$2:$H$500,"Active")&gt;0,"On Loan","Available"))</f>
        <v/>
      </c>
      <c r="AB436" s="8"/>
      <c r="AC436" s="8"/>
      <c r="AD436" s="8"/>
      <c r="AE436" s="8"/>
      <c r="AF436" s="8"/>
      <c r="AG436" s="8"/>
      <c r="AH436" s="8"/>
    </row>
    <row r="437" spans="1:34" ht="15.75" x14ac:dyDescent="0.25">
      <c r="A437" s="14" t="str">
        <f t="shared" si="12"/>
        <v/>
      </c>
      <c r="B437" s="15"/>
      <c r="C437" s="14" t="str">
        <f t="shared" si="13"/>
        <v/>
      </c>
      <c r="D437" s="8"/>
      <c r="E437" s="8"/>
      <c r="F437" s="8"/>
      <c r="G437" s="8"/>
      <c r="H437" s="14" t="str">
        <f>IF(ISBLANK(F437),"",IF(G437&lt;&gt;"",UPPER(TRIM(G437)),IF(ISNUMBER(SEARCH(" ",TRIM(F437))),UPPER(LEFT(TRIM(RIGHT(SUBSTITUTE(TRIM(F437)," ",REPT(" ",100)),100)),Settings!$B$9)),UPPER(LEFT(TRIM(F437),Settings!$B$9)))))</f>
        <v/>
      </c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16" t="str">
        <f>IF(ISBLANK(D437),"",IF(COUNTIFS(Circulation!$B$2:$B$500,A437,Circulation!$H$2:$H$500,"Active")&gt;0,"On Loan","Available"))</f>
        <v/>
      </c>
      <c r="AB437" s="8"/>
      <c r="AC437" s="8"/>
      <c r="AD437" s="8"/>
      <c r="AE437" s="8"/>
      <c r="AF437" s="8"/>
      <c r="AG437" s="8"/>
      <c r="AH437" s="8"/>
    </row>
    <row r="438" spans="1:34" ht="15.75" x14ac:dyDescent="0.25">
      <c r="A438" s="14" t="str">
        <f t="shared" si="12"/>
        <v/>
      </c>
      <c r="B438" s="15"/>
      <c r="C438" s="14" t="str">
        <f t="shared" si="13"/>
        <v/>
      </c>
      <c r="D438" s="8"/>
      <c r="E438" s="8"/>
      <c r="F438" s="8"/>
      <c r="G438" s="8"/>
      <c r="H438" s="14" t="str">
        <f>IF(ISBLANK(F438),"",IF(G438&lt;&gt;"",UPPER(TRIM(G438)),IF(ISNUMBER(SEARCH(" ",TRIM(F438))),UPPER(LEFT(TRIM(RIGHT(SUBSTITUTE(TRIM(F438)," ",REPT(" ",100)),100)),Settings!$B$9)),UPPER(LEFT(TRIM(F438),Settings!$B$9)))))</f>
        <v/>
      </c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16" t="str">
        <f>IF(ISBLANK(D438),"",IF(COUNTIFS(Circulation!$B$2:$B$500,A438,Circulation!$H$2:$H$500,"Active")&gt;0,"On Loan","Available"))</f>
        <v/>
      </c>
      <c r="AB438" s="8"/>
      <c r="AC438" s="8"/>
      <c r="AD438" s="8"/>
      <c r="AE438" s="8"/>
      <c r="AF438" s="8"/>
      <c r="AG438" s="8"/>
      <c r="AH438" s="8"/>
    </row>
    <row r="439" spans="1:34" ht="15.75" x14ac:dyDescent="0.25">
      <c r="A439" s="14" t="str">
        <f t="shared" si="12"/>
        <v/>
      </c>
      <c r="B439" s="15"/>
      <c r="C439" s="14" t="str">
        <f t="shared" si="13"/>
        <v/>
      </c>
      <c r="D439" s="8"/>
      <c r="E439" s="8"/>
      <c r="F439" s="8"/>
      <c r="G439" s="8"/>
      <c r="H439" s="14" t="str">
        <f>IF(ISBLANK(F439),"",IF(G439&lt;&gt;"",UPPER(TRIM(G439)),IF(ISNUMBER(SEARCH(" ",TRIM(F439))),UPPER(LEFT(TRIM(RIGHT(SUBSTITUTE(TRIM(F439)," ",REPT(" ",100)),100)),Settings!$B$9)),UPPER(LEFT(TRIM(F439),Settings!$B$9)))))</f>
        <v/>
      </c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16" t="str">
        <f>IF(ISBLANK(D439),"",IF(COUNTIFS(Circulation!$B$2:$B$500,A439,Circulation!$H$2:$H$500,"Active")&gt;0,"On Loan","Available"))</f>
        <v/>
      </c>
      <c r="AB439" s="8"/>
      <c r="AC439" s="8"/>
      <c r="AD439" s="8"/>
      <c r="AE439" s="8"/>
      <c r="AF439" s="8"/>
      <c r="AG439" s="8"/>
      <c r="AH439" s="8"/>
    </row>
    <row r="440" spans="1:34" ht="15.75" x14ac:dyDescent="0.25">
      <c r="A440" s="14" t="str">
        <f t="shared" si="12"/>
        <v/>
      </c>
      <c r="B440" s="15"/>
      <c r="C440" s="14" t="str">
        <f t="shared" si="13"/>
        <v/>
      </c>
      <c r="D440" s="8"/>
      <c r="E440" s="8"/>
      <c r="F440" s="8"/>
      <c r="G440" s="8"/>
      <c r="H440" s="14" t="str">
        <f>IF(ISBLANK(F440),"",IF(G440&lt;&gt;"",UPPER(TRIM(G440)),IF(ISNUMBER(SEARCH(" ",TRIM(F440))),UPPER(LEFT(TRIM(RIGHT(SUBSTITUTE(TRIM(F440)," ",REPT(" ",100)),100)),Settings!$B$9)),UPPER(LEFT(TRIM(F440),Settings!$B$9)))))</f>
        <v/>
      </c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16" t="str">
        <f>IF(ISBLANK(D440),"",IF(COUNTIFS(Circulation!$B$2:$B$500,A440,Circulation!$H$2:$H$500,"Active")&gt;0,"On Loan","Available"))</f>
        <v/>
      </c>
      <c r="AB440" s="8"/>
      <c r="AC440" s="8"/>
      <c r="AD440" s="8"/>
      <c r="AE440" s="8"/>
      <c r="AF440" s="8"/>
      <c r="AG440" s="8"/>
      <c r="AH440" s="8"/>
    </row>
    <row r="441" spans="1:34" ht="15.75" x14ac:dyDescent="0.25">
      <c r="A441" s="14" t="str">
        <f t="shared" si="12"/>
        <v/>
      </c>
      <c r="B441" s="15"/>
      <c r="C441" s="14" t="str">
        <f t="shared" si="13"/>
        <v/>
      </c>
      <c r="D441" s="8"/>
      <c r="E441" s="8"/>
      <c r="F441" s="8"/>
      <c r="G441" s="8"/>
      <c r="H441" s="14" t="str">
        <f>IF(ISBLANK(F441),"",IF(G441&lt;&gt;"",UPPER(TRIM(G441)),IF(ISNUMBER(SEARCH(" ",TRIM(F441))),UPPER(LEFT(TRIM(RIGHT(SUBSTITUTE(TRIM(F441)," ",REPT(" ",100)),100)),Settings!$B$9)),UPPER(LEFT(TRIM(F441),Settings!$B$9)))))</f>
        <v/>
      </c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16" t="str">
        <f>IF(ISBLANK(D441),"",IF(COUNTIFS(Circulation!$B$2:$B$500,A441,Circulation!$H$2:$H$500,"Active")&gt;0,"On Loan","Available"))</f>
        <v/>
      </c>
      <c r="AB441" s="8"/>
      <c r="AC441" s="8"/>
      <c r="AD441" s="8"/>
      <c r="AE441" s="8"/>
      <c r="AF441" s="8"/>
      <c r="AG441" s="8"/>
      <c r="AH441" s="8"/>
    </row>
    <row r="442" spans="1:34" ht="15.75" x14ac:dyDescent="0.25">
      <c r="A442" s="14" t="str">
        <f t="shared" si="12"/>
        <v/>
      </c>
      <c r="B442" s="15"/>
      <c r="C442" s="14" t="str">
        <f t="shared" si="13"/>
        <v/>
      </c>
      <c r="D442" s="8"/>
      <c r="E442" s="8"/>
      <c r="F442" s="8"/>
      <c r="G442" s="8"/>
      <c r="H442" s="14" t="str">
        <f>IF(ISBLANK(F442),"",IF(G442&lt;&gt;"",UPPER(TRIM(G442)),IF(ISNUMBER(SEARCH(" ",TRIM(F442))),UPPER(LEFT(TRIM(RIGHT(SUBSTITUTE(TRIM(F442)," ",REPT(" ",100)),100)),Settings!$B$9)),UPPER(LEFT(TRIM(F442),Settings!$B$9)))))</f>
        <v/>
      </c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16" t="str">
        <f>IF(ISBLANK(D442),"",IF(COUNTIFS(Circulation!$B$2:$B$500,A442,Circulation!$H$2:$H$500,"Active")&gt;0,"On Loan","Available"))</f>
        <v/>
      </c>
      <c r="AB442" s="8"/>
      <c r="AC442" s="8"/>
      <c r="AD442" s="8"/>
      <c r="AE442" s="8"/>
      <c r="AF442" s="8"/>
      <c r="AG442" s="8"/>
      <c r="AH442" s="8"/>
    </row>
    <row r="443" spans="1:34" ht="15.75" x14ac:dyDescent="0.25">
      <c r="A443" s="14" t="str">
        <f t="shared" si="12"/>
        <v/>
      </c>
      <c r="B443" s="15"/>
      <c r="C443" s="14" t="str">
        <f t="shared" si="13"/>
        <v/>
      </c>
      <c r="D443" s="8"/>
      <c r="E443" s="8"/>
      <c r="F443" s="8"/>
      <c r="G443" s="8"/>
      <c r="H443" s="14" t="str">
        <f>IF(ISBLANK(F443),"",IF(G443&lt;&gt;"",UPPER(TRIM(G443)),IF(ISNUMBER(SEARCH(" ",TRIM(F443))),UPPER(LEFT(TRIM(RIGHT(SUBSTITUTE(TRIM(F443)," ",REPT(" ",100)),100)),Settings!$B$9)),UPPER(LEFT(TRIM(F443),Settings!$B$9)))))</f>
        <v/>
      </c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16" t="str">
        <f>IF(ISBLANK(D443),"",IF(COUNTIFS(Circulation!$B$2:$B$500,A443,Circulation!$H$2:$H$500,"Active")&gt;0,"On Loan","Available"))</f>
        <v/>
      </c>
      <c r="AB443" s="8"/>
      <c r="AC443" s="8"/>
      <c r="AD443" s="8"/>
      <c r="AE443" s="8"/>
      <c r="AF443" s="8"/>
      <c r="AG443" s="8"/>
      <c r="AH443" s="8"/>
    </row>
    <row r="444" spans="1:34" ht="15.75" x14ac:dyDescent="0.25">
      <c r="A444" s="14" t="str">
        <f t="shared" si="12"/>
        <v/>
      </c>
      <c r="B444" s="15"/>
      <c r="C444" s="14" t="str">
        <f t="shared" si="13"/>
        <v/>
      </c>
      <c r="D444" s="8"/>
      <c r="E444" s="8"/>
      <c r="F444" s="8"/>
      <c r="G444" s="8"/>
      <c r="H444" s="14" t="str">
        <f>IF(ISBLANK(F444),"",IF(G444&lt;&gt;"",UPPER(TRIM(G444)),IF(ISNUMBER(SEARCH(" ",TRIM(F444))),UPPER(LEFT(TRIM(RIGHT(SUBSTITUTE(TRIM(F444)," ",REPT(" ",100)),100)),Settings!$B$9)),UPPER(LEFT(TRIM(F444),Settings!$B$9)))))</f>
        <v/>
      </c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16" t="str">
        <f>IF(ISBLANK(D444),"",IF(COUNTIFS(Circulation!$B$2:$B$500,A444,Circulation!$H$2:$H$500,"Active")&gt;0,"On Loan","Available"))</f>
        <v/>
      </c>
      <c r="AB444" s="8"/>
      <c r="AC444" s="8"/>
      <c r="AD444" s="8"/>
      <c r="AE444" s="8"/>
      <c r="AF444" s="8"/>
      <c r="AG444" s="8"/>
      <c r="AH444" s="8"/>
    </row>
    <row r="445" spans="1:34" ht="15.75" x14ac:dyDescent="0.25">
      <c r="A445" s="14" t="str">
        <f t="shared" si="12"/>
        <v/>
      </c>
      <c r="B445" s="15"/>
      <c r="C445" s="14" t="str">
        <f t="shared" si="13"/>
        <v/>
      </c>
      <c r="D445" s="8"/>
      <c r="E445" s="8"/>
      <c r="F445" s="8"/>
      <c r="G445" s="8"/>
      <c r="H445" s="14" t="str">
        <f>IF(ISBLANK(F445),"",IF(G445&lt;&gt;"",UPPER(TRIM(G445)),IF(ISNUMBER(SEARCH(" ",TRIM(F445))),UPPER(LEFT(TRIM(RIGHT(SUBSTITUTE(TRIM(F445)," ",REPT(" ",100)),100)),Settings!$B$9)),UPPER(LEFT(TRIM(F445),Settings!$B$9)))))</f>
        <v/>
      </c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16" t="str">
        <f>IF(ISBLANK(D445),"",IF(COUNTIFS(Circulation!$B$2:$B$500,A445,Circulation!$H$2:$H$500,"Active")&gt;0,"On Loan","Available"))</f>
        <v/>
      </c>
      <c r="AB445" s="8"/>
      <c r="AC445" s="8"/>
      <c r="AD445" s="8"/>
      <c r="AE445" s="8"/>
      <c r="AF445" s="8"/>
      <c r="AG445" s="8"/>
      <c r="AH445" s="8"/>
    </row>
    <row r="446" spans="1:34" ht="15.75" x14ac:dyDescent="0.25">
      <c r="A446" s="14" t="str">
        <f t="shared" si="12"/>
        <v/>
      </c>
      <c r="B446" s="15"/>
      <c r="C446" s="14" t="str">
        <f t="shared" si="13"/>
        <v/>
      </c>
      <c r="D446" s="8"/>
      <c r="E446" s="8"/>
      <c r="F446" s="8"/>
      <c r="G446" s="8"/>
      <c r="H446" s="14" t="str">
        <f>IF(ISBLANK(F446),"",IF(G446&lt;&gt;"",UPPER(TRIM(G446)),IF(ISNUMBER(SEARCH(" ",TRIM(F446))),UPPER(LEFT(TRIM(RIGHT(SUBSTITUTE(TRIM(F446)," ",REPT(" ",100)),100)),Settings!$B$9)),UPPER(LEFT(TRIM(F446),Settings!$B$9)))))</f>
        <v/>
      </c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16" t="str">
        <f>IF(ISBLANK(D446),"",IF(COUNTIFS(Circulation!$B$2:$B$500,A446,Circulation!$H$2:$H$500,"Active")&gt;0,"On Loan","Available"))</f>
        <v/>
      </c>
      <c r="AB446" s="8"/>
      <c r="AC446" s="8"/>
      <c r="AD446" s="8"/>
      <c r="AE446" s="8"/>
      <c r="AF446" s="8"/>
      <c r="AG446" s="8"/>
      <c r="AH446" s="8"/>
    </row>
    <row r="447" spans="1:34" ht="15.75" x14ac:dyDescent="0.25">
      <c r="A447" s="14" t="str">
        <f t="shared" si="12"/>
        <v/>
      </c>
      <c r="B447" s="15"/>
      <c r="C447" s="14" t="str">
        <f t="shared" si="13"/>
        <v/>
      </c>
      <c r="D447" s="8"/>
      <c r="E447" s="8"/>
      <c r="F447" s="8"/>
      <c r="G447" s="8"/>
      <c r="H447" s="14" t="str">
        <f>IF(ISBLANK(F447),"",IF(G447&lt;&gt;"",UPPER(TRIM(G447)),IF(ISNUMBER(SEARCH(" ",TRIM(F447))),UPPER(LEFT(TRIM(RIGHT(SUBSTITUTE(TRIM(F447)," ",REPT(" ",100)),100)),Settings!$B$9)),UPPER(LEFT(TRIM(F447),Settings!$B$9)))))</f>
        <v/>
      </c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16" t="str">
        <f>IF(ISBLANK(D447),"",IF(COUNTIFS(Circulation!$B$2:$B$500,A447,Circulation!$H$2:$H$500,"Active")&gt;0,"On Loan","Available"))</f>
        <v/>
      </c>
      <c r="AB447" s="8"/>
      <c r="AC447" s="8"/>
      <c r="AD447" s="8"/>
      <c r="AE447" s="8"/>
      <c r="AF447" s="8"/>
      <c r="AG447" s="8"/>
      <c r="AH447" s="8"/>
    </row>
    <row r="448" spans="1:34" ht="15.75" x14ac:dyDescent="0.25">
      <c r="A448" s="14" t="str">
        <f t="shared" si="12"/>
        <v/>
      </c>
      <c r="B448" s="15"/>
      <c r="C448" s="14" t="str">
        <f t="shared" si="13"/>
        <v/>
      </c>
      <c r="D448" s="8"/>
      <c r="E448" s="8"/>
      <c r="F448" s="8"/>
      <c r="G448" s="8"/>
      <c r="H448" s="14" t="str">
        <f>IF(ISBLANK(F448),"",IF(G448&lt;&gt;"",UPPER(TRIM(G448)),IF(ISNUMBER(SEARCH(" ",TRIM(F448))),UPPER(LEFT(TRIM(RIGHT(SUBSTITUTE(TRIM(F448)," ",REPT(" ",100)),100)),Settings!$B$9)),UPPER(LEFT(TRIM(F448),Settings!$B$9)))))</f>
        <v/>
      </c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16" t="str">
        <f>IF(ISBLANK(D448),"",IF(COUNTIFS(Circulation!$B$2:$B$500,A448,Circulation!$H$2:$H$500,"Active")&gt;0,"On Loan","Available"))</f>
        <v/>
      </c>
      <c r="AB448" s="8"/>
      <c r="AC448" s="8"/>
      <c r="AD448" s="8"/>
      <c r="AE448" s="8"/>
      <c r="AF448" s="8"/>
      <c r="AG448" s="8"/>
      <c r="AH448" s="8"/>
    </row>
    <row r="449" spans="1:34" ht="15.75" x14ac:dyDescent="0.25">
      <c r="A449" s="14" t="str">
        <f t="shared" si="12"/>
        <v/>
      </c>
      <c r="B449" s="15"/>
      <c r="C449" s="14" t="str">
        <f t="shared" si="13"/>
        <v/>
      </c>
      <c r="D449" s="8"/>
      <c r="E449" s="8"/>
      <c r="F449" s="8"/>
      <c r="G449" s="8"/>
      <c r="H449" s="14" t="str">
        <f>IF(ISBLANK(F449),"",IF(G449&lt;&gt;"",UPPER(TRIM(G449)),IF(ISNUMBER(SEARCH(" ",TRIM(F449))),UPPER(LEFT(TRIM(RIGHT(SUBSTITUTE(TRIM(F449)," ",REPT(" ",100)),100)),Settings!$B$9)),UPPER(LEFT(TRIM(F449),Settings!$B$9)))))</f>
        <v/>
      </c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16" t="str">
        <f>IF(ISBLANK(D449),"",IF(COUNTIFS(Circulation!$B$2:$B$500,A449,Circulation!$H$2:$H$500,"Active")&gt;0,"On Loan","Available"))</f>
        <v/>
      </c>
      <c r="AB449" s="8"/>
      <c r="AC449" s="8"/>
      <c r="AD449" s="8"/>
      <c r="AE449" s="8"/>
      <c r="AF449" s="8"/>
      <c r="AG449" s="8"/>
      <c r="AH449" s="8"/>
    </row>
    <row r="450" spans="1:34" ht="15.75" x14ac:dyDescent="0.25">
      <c r="A450" s="14" t="str">
        <f t="shared" ref="A450:A501" si="14">IF(ISBLANK(D450),"",ROW()-1)</f>
        <v/>
      </c>
      <c r="B450" s="15"/>
      <c r="C450" s="14" t="str">
        <f t="shared" ref="C450:C513" si="15">IF(OR(ISBLANK(D450),ISBLANK(K450)),"",IFERROR(VLOOKUP(K450,CatItemTypeLookup,2,FALSE),"?")&amp;"-"&amp;IF(L450="","?",IFERROR(VLOOKUP(L450,SubjectLookup,2,FALSE),"="))&amp;"-"&amp;IF(M450="","?",IFERROR(VLOOKUP(M450,GenreLookup,2,FALSE),"="))&amp;"-"&amp;IF(H450="","NOC",H450)&amp;"-"&amp;TEXT(A450,"000")&amp;IF(ISBLANK(O450),"","-"&amp;SUBSTITUTE(O450," ","")))</f>
        <v/>
      </c>
      <c r="D450" s="8"/>
      <c r="E450" s="8"/>
      <c r="F450" s="8"/>
      <c r="G450" s="8"/>
      <c r="H450" s="14" t="str">
        <f>IF(ISBLANK(F450),"",IF(G450&lt;&gt;"",UPPER(TRIM(G450)),IF(ISNUMBER(SEARCH(" ",TRIM(F450))),UPPER(LEFT(TRIM(RIGHT(SUBSTITUTE(TRIM(F450)," ",REPT(" ",100)),100)),Settings!$B$9)),UPPER(LEFT(TRIM(F450),Settings!$B$9)))))</f>
        <v/>
      </c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16" t="str">
        <f>IF(ISBLANK(D450),"",IF(COUNTIFS(Circulation!$B$2:$B$500,A450,Circulation!$H$2:$H$500,"Active")&gt;0,"On Loan","Available"))</f>
        <v/>
      </c>
      <c r="AB450" s="8"/>
      <c r="AC450" s="8"/>
      <c r="AD450" s="8"/>
      <c r="AE450" s="8"/>
      <c r="AF450" s="8"/>
      <c r="AG450" s="8"/>
      <c r="AH450" s="8"/>
    </row>
    <row r="451" spans="1:34" ht="15.75" x14ac:dyDescent="0.25">
      <c r="A451" s="14" t="str">
        <f t="shared" si="14"/>
        <v/>
      </c>
      <c r="B451" s="15"/>
      <c r="C451" s="14" t="str">
        <f t="shared" si="15"/>
        <v/>
      </c>
      <c r="D451" s="8"/>
      <c r="E451" s="8"/>
      <c r="F451" s="8"/>
      <c r="G451" s="8"/>
      <c r="H451" s="14" t="str">
        <f>IF(ISBLANK(F451),"",IF(G451&lt;&gt;"",UPPER(TRIM(G451)),IF(ISNUMBER(SEARCH(" ",TRIM(F451))),UPPER(LEFT(TRIM(RIGHT(SUBSTITUTE(TRIM(F451)," ",REPT(" ",100)),100)),Settings!$B$9)),UPPER(LEFT(TRIM(F451),Settings!$B$9)))))</f>
        <v/>
      </c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16" t="str">
        <f>IF(ISBLANK(D451),"",IF(COUNTIFS(Circulation!$B$2:$B$500,A451,Circulation!$H$2:$H$500,"Active")&gt;0,"On Loan","Available"))</f>
        <v/>
      </c>
      <c r="AB451" s="8"/>
      <c r="AC451" s="8"/>
      <c r="AD451" s="8"/>
      <c r="AE451" s="8"/>
      <c r="AF451" s="8"/>
      <c r="AG451" s="8"/>
      <c r="AH451" s="8"/>
    </row>
    <row r="452" spans="1:34" ht="15.75" x14ac:dyDescent="0.25">
      <c r="A452" s="14" t="str">
        <f t="shared" si="14"/>
        <v/>
      </c>
      <c r="B452" s="15"/>
      <c r="C452" s="14" t="str">
        <f t="shared" si="15"/>
        <v/>
      </c>
      <c r="D452" s="8"/>
      <c r="E452" s="8"/>
      <c r="F452" s="8"/>
      <c r="G452" s="8"/>
      <c r="H452" s="14" t="str">
        <f>IF(ISBLANK(F452),"",IF(G452&lt;&gt;"",UPPER(TRIM(G452)),IF(ISNUMBER(SEARCH(" ",TRIM(F452))),UPPER(LEFT(TRIM(RIGHT(SUBSTITUTE(TRIM(F452)," ",REPT(" ",100)),100)),Settings!$B$9)),UPPER(LEFT(TRIM(F452),Settings!$B$9)))))</f>
        <v/>
      </c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16" t="str">
        <f>IF(ISBLANK(D452),"",IF(COUNTIFS(Circulation!$B$2:$B$500,A452,Circulation!$H$2:$H$500,"Active")&gt;0,"On Loan","Available"))</f>
        <v/>
      </c>
      <c r="AB452" s="8"/>
      <c r="AC452" s="8"/>
      <c r="AD452" s="8"/>
      <c r="AE452" s="8"/>
      <c r="AF452" s="8"/>
      <c r="AG452" s="8"/>
      <c r="AH452" s="8"/>
    </row>
    <row r="453" spans="1:34" ht="15.75" x14ac:dyDescent="0.25">
      <c r="A453" s="14" t="str">
        <f t="shared" si="14"/>
        <v/>
      </c>
      <c r="B453" s="15"/>
      <c r="C453" s="14" t="str">
        <f t="shared" si="15"/>
        <v/>
      </c>
      <c r="D453" s="8"/>
      <c r="E453" s="8"/>
      <c r="F453" s="8"/>
      <c r="G453" s="8"/>
      <c r="H453" s="14" t="str">
        <f>IF(ISBLANK(F453),"",IF(G453&lt;&gt;"",UPPER(TRIM(G453)),IF(ISNUMBER(SEARCH(" ",TRIM(F453))),UPPER(LEFT(TRIM(RIGHT(SUBSTITUTE(TRIM(F453)," ",REPT(" ",100)),100)),Settings!$B$9)),UPPER(LEFT(TRIM(F453),Settings!$B$9)))))</f>
        <v/>
      </c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16" t="str">
        <f>IF(ISBLANK(D453),"",IF(COUNTIFS(Circulation!$B$2:$B$500,A453,Circulation!$H$2:$H$500,"Active")&gt;0,"On Loan","Available"))</f>
        <v/>
      </c>
      <c r="AB453" s="8"/>
      <c r="AC453" s="8"/>
      <c r="AD453" s="8"/>
      <c r="AE453" s="8"/>
      <c r="AF453" s="8"/>
      <c r="AG453" s="8"/>
      <c r="AH453" s="8"/>
    </row>
    <row r="454" spans="1:34" ht="15.75" x14ac:dyDescent="0.25">
      <c r="A454" s="14" t="str">
        <f t="shared" si="14"/>
        <v/>
      </c>
      <c r="B454" s="15"/>
      <c r="C454" s="14" t="str">
        <f t="shared" si="15"/>
        <v/>
      </c>
      <c r="D454" s="8"/>
      <c r="E454" s="8"/>
      <c r="F454" s="8"/>
      <c r="G454" s="8"/>
      <c r="H454" s="14" t="str">
        <f>IF(ISBLANK(F454),"",IF(G454&lt;&gt;"",UPPER(TRIM(G454)),IF(ISNUMBER(SEARCH(" ",TRIM(F454))),UPPER(LEFT(TRIM(RIGHT(SUBSTITUTE(TRIM(F454)," ",REPT(" ",100)),100)),Settings!$B$9)),UPPER(LEFT(TRIM(F454),Settings!$B$9)))))</f>
        <v/>
      </c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16" t="str">
        <f>IF(ISBLANK(D454),"",IF(COUNTIFS(Circulation!$B$2:$B$500,A454,Circulation!$H$2:$H$500,"Active")&gt;0,"On Loan","Available"))</f>
        <v/>
      </c>
      <c r="AB454" s="8"/>
      <c r="AC454" s="8"/>
      <c r="AD454" s="8"/>
      <c r="AE454" s="8"/>
      <c r="AF454" s="8"/>
      <c r="AG454" s="8"/>
      <c r="AH454" s="8"/>
    </row>
    <row r="455" spans="1:34" ht="15.75" x14ac:dyDescent="0.25">
      <c r="A455" s="14" t="str">
        <f t="shared" si="14"/>
        <v/>
      </c>
      <c r="B455" s="15"/>
      <c r="C455" s="14" t="str">
        <f t="shared" si="15"/>
        <v/>
      </c>
      <c r="D455" s="8"/>
      <c r="E455" s="8"/>
      <c r="F455" s="8"/>
      <c r="G455" s="8"/>
      <c r="H455" s="14" t="str">
        <f>IF(ISBLANK(F455),"",IF(G455&lt;&gt;"",UPPER(TRIM(G455)),IF(ISNUMBER(SEARCH(" ",TRIM(F455))),UPPER(LEFT(TRIM(RIGHT(SUBSTITUTE(TRIM(F455)," ",REPT(" ",100)),100)),Settings!$B$9)),UPPER(LEFT(TRIM(F455),Settings!$B$9)))))</f>
        <v/>
      </c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16" t="str">
        <f>IF(ISBLANK(D455),"",IF(COUNTIFS(Circulation!$B$2:$B$500,A455,Circulation!$H$2:$H$500,"Active")&gt;0,"On Loan","Available"))</f>
        <v/>
      </c>
      <c r="AB455" s="8"/>
      <c r="AC455" s="8"/>
      <c r="AD455" s="8"/>
      <c r="AE455" s="8"/>
      <c r="AF455" s="8"/>
      <c r="AG455" s="8"/>
      <c r="AH455" s="8"/>
    </row>
    <row r="456" spans="1:34" ht="15.75" x14ac:dyDescent="0.25">
      <c r="A456" s="14" t="str">
        <f t="shared" si="14"/>
        <v/>
      </c>
      <c r="B456" s="15"/>
      <c r="C456" s="14" t="str">
        <f t="shared" si="15"/>
        <v/>
      </c>
      <c r="D456" s="8"/>
      <c r="E456" s="8"/>
      <c r="F456" s="8"/>
      <c r="G456" s="8"/>
      <c r="H456" s="14" t="str">
        <f>IF(ISBLANK(F456),"",IF(G456&lt;&gt;"",UPPER(TRIM(G456)),IF(ISNUMBER(SEARCH(" ",TRIM(F456))),UPPER(LEFT(TRIM(RIGHT(SUBSTITUTE(TRIM(F456)," ",REPT(" ",100)),100)),Settings!$B$9)),UPPER(LEFT(TRIM(F456),Settings!$B$9)))))</f>
        <v/>
      </c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16" t="str">
        <f>IF(ISBLANK(D456),"",IF(COUNTIFS(Circulation!$B$2:$B$500,A456,Circulation!$H$2:$H$500,"Active")&gt;0,"On Loan","Available"))</f>
        <v/>
      </c>
      <c r="AB456" s="8"/>
      <c r="AC456" s="8"/>
      <c r="AD456" s="8"/>
      <c r="AE456" s="8"/>
      <c r="AF456" s="8"/>
      <c r="AG456" s="8"/>
      <c r="AH456" s="8"/>
    </row>
    <row r="457" spans="1:34" ht="15.75" x14ac:dyDescent="0.25">
      <c r="A457" s="14" t="str">
        <f t="shared" si="14"/>
        <v/>
      </c>
      <c r="B457" s="15"/>
      <c r="C457" s="14" t="str">
        <f t="shared" si="15"/>
        <v/>
      </c>
      <c r="D457" s="8"/>
      <c r="E457" s="8"/>
      <c r="F457" s="8"/>
      <c r="G457" s="8"/>
      <c r="H457" s="14" t="str">
        <f>IF(ISBLANK(F457),"",IF(G457&lt;&gt;"",UPPER(TRIM(G457)),IF(ISNUMBER(SEARCH(" ",TRIM(F457))),UPPER(LEFT(TRIM(RIGHT(SUBSTITUTE(TRIM(F457)," ",REPT(" ",100)),100)),Settings!$B$9)),UPPER(LEFT(TRIM(F457),Settings!$B$9)))))</f>
        <v/>
      </c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16" t="str">
        <f>IF(ISBLANK(D457),"",IF(COUNTIFS(Circulation!$B$2:$B$500,A457,Circulation!$H$2:$H$500,"Active")&gt;0,"On Loan","Available"))</f>
        <v/>
      </c>
      <c r="AB457" s="8"/>
      <c r="AC457" s="8"/>
      <c r="AD457" s="8"/>
      <c r="AE457" s="8"/>
      <c r="AF457" s="8"/>
      <c r="AG457" s="8"/>
      <c r="AH457" s="8"/>
    </row>
    <row r="458" spans="1:34" ht="15.75" x14ac:dyDescent="0.25">
      <c r="A458" s="14" t="str">
        <f t="shared" si="14"/>
        <v/>
      </c>
      <c r="B458" s="15"/>
      <c r="C458" s="14" t="str">
        <f t="shared" si="15"/>
        <v/>
      </c>
      <c r="D458" s="8"/>
      <c r="E458" s="8"/>
      <c r="F458" s="8"/>
      <c r="G458" s="8"/>
      <c r="H458" s="14" t="str">
        <f>IF(ISBLANK(F458),"",IF(G458&lt;&gt;"",UPPER(TRIM(G458)),IF(ISNUMBER(SEARCH(" ",TRIM(F458))),UPPER(LEFT(TRIM(RIGHT(SUBSTITUTE(TRIM(F458)," ",REPT(" ",100)),100)),Settings!$B$9)),UPPER(LEFT(TRIM(F458),Settings!$B$9)))))</f>
        <v/>
      </c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16" t="str">
        <f>IF(ISBLANK(D458),"",IF(COUNTIFS(Circulation!$B$2:$B$500,A458,Circulation!$H$2:$H$500,"Active")&gt;0,"On Loan","Available"))</f>
        <v/>
      </c>
      <c r="AB458" s="8"/>
      <c r="AC458" s="8"/>
      <c r="AD458" s="8"/>
      <c r="AE458" s="8"/>
      <c r="AF458" s="8"/>
      <c r="AG458" s="8"/>
      <c r="AH458" s="8"/>
    </row>
    <row r="459" spans="1:34" ht="15.75" x14ac:dyDescent="0.25">
      <c r="A459" s="14" t="str">
        <f t="shared" si="14"/>
        <v/>
      </c>
      <c r="B459" s="15"/>
      <c r="C459" s="14" t="str">
        <f t="shared" si="15"/>
        <v/>
      </c>
      <c r="D459" s="8"/>
      <c r="E459" s="8"/>
      <c r="F459" s="8"/>
      <c r="G459" s="8"/>
      <c r="H459" s="14" t="str">
        <f>IF(ISBLANK(F459),"",IF(G459&lt;&gt;"",UPPER(TRIM(G459)),IF(ISNUMBER(SEARCH(" ",TRIM(F459))),UPPER(LEFT(TRIM(RIGHT(SUBSTITUTE(TRIM(F459)," ",REPT(" ",100)),100)),Settings!$B$9)),UPPER(LEFT(TRIM(F459),Settings!$B$9)))))</f>
        <v/>
      </c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16" t="str">
        <f>IF(ISBLANK(D459),"",IF(COUNTIFS(Circulation!$B$2:$B$500,A459,Circulation!$H$2:$H$500,"Active")&gt;0,"On Loan","Available"))</f>
        <v/>
      </c>
      <c r="AB459" s="8"/>
      <c r="AC459" s="8"/>
      <c r="AD459" s="8"/>
      <c r="AE459" s="8"/>
      <c r="AF459" s="8"/>
      <c r="AG459" s="8"/>
      <c r="AH459" s="8"/>
    </row>
    <row r="460" spans="1:34" ht="15.75" x14ac:dyDescent="0.25">
      <c r="A460" s="14" t="str">
        <f t="shared" si="14"/>
        <v/>
      </c>
      <c r="B460" s="15"/>
      <c r="C460" s="14" t="str">
        <f t="shared" si="15"/>
        <v/>
      </c>
      <c r="D460" s="8"/>
      <c r="E460" s="8"/>
      <c r="F460" s="8"/>
      <c r="G460" s="8"/>
      <c r="H460" s="14" t="str">
        <f>IF(ISBLANK(F460),"",IF(G460&lt;&gt;"",UPPER(TRIM(G460)),IF(ISNUMBER(SEARCH(" ",TRIM(F460))),UPPER(LEFT(TRIM(RIGHT(SUBSTITUTE(TRIM(F460)," ",REPT(" ",100)),100)),Settings!$B$9)),UPPER(LEFT(TRIM(F460),Settings!$B$9)))))</f>
        <v/>
      </c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16" t="str">
        <f>IF(ISBLANK(D460),"",IF(COUNTIFS(Circulation!$B$2:$B$500,A460,Circulation!$H$2:$H$500,"Active")&gt;0,"On Loan","Available"))</f>
        <v/>
      </c>
      <c r="AB460" s="8"/>
      <c r="AC460" s="8"/>
      <c r="AD460" s="8"/>
      <c r="AE460" s="8"/>
      <c r="AF460" s="8"/>
      <c r="AG460" s="8"/>
      <c r="AH460" s="8"/>
    </row>
    <row r="461" spans="1:34" ht="15.75" x14ac:dyDescent="0.25">
      <c r="A461" s="14" t="str">
        <f t="shared" si="14"/>
        <v/>
      </c>
      <c r="B461" s="15"/>
      <c r="C461" s="14" t="str">
        <f t="shared" si="15"/>
        <v/>
      </c>
      <c r="D461" s="8"/>
      <c r="E461" s="8"/>
      <c r="F461" s="8"/>
      <c r="G461" s="8"/>
      <c r="H461" s="14" t="str">
        <f>IF(ISBLANK(F461),"",IF(G461&lt;&gt;"",UPPER(TRIM(G461)),IF(ISNUMBER(SEARCH(" ",TRIM(F461))),UPPER(LEFT(TRIM(RIGHT(SUBSTITUTE(TRIM(F461)," ",REPT(" ",100)),100)),Settings!$B$9)),UPPER(LEFT(TRIM(F461),Settings!$B$9)))))</f>
        <v/>
      </c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16" t="str">
        <f>IF(ISBLANK(D461),"",IF(COUNTIFS(Circulation!$B$2:$B$500,A461,Circulation!$H$2:$H$500,"Active")&gt;0,"On Loan","Available"))</f>
        <v/>
      </c>
      <c r="AB461" s="8"/>
      <c r="AC461" s="8"/>
      <c r="AD461" s="8"/>
      <c r="AE461" s="8"/>
      <c r="AF461" s="8"/>
      <c r="AG461" s="8"/>
      <c r="AH461" s="8"/>
    </row>
    <row r="462" spans="1:34" ht="15.75" x14ac:dyDescent="0.25">
      <c r="A462" s="14" t="str">
        <f t="shared" si="14"/>
        <v/>
      </c>
      <c r="B462" s="15"/>
      <c r="C462" s="14" t="str">
        <f t="shared" si="15"/>
        <v/>
      </c>
      <c r="D462" s="8"/>
      <c r="E462" s="8"/>
      <c r="F462" s="8"/>
      <c r="G462" s="8"/>
      <c r="H462" s="14" t="str">
        <f>IF(ISBLANK(F462),"",IF(G462&lt;&gt;"",UPPER(TRIM(G462)),IF(ISNUMBER(SEARCH(" ",TRIM(F462))),UPPER(LEFT(TRIM(RIGHT(SUBSTITUTE(TRIM(F462)," ",REPT(" ",100)),100)),Settings!$B$9)),UPPER(LEFT(TRIM(F462),Settings!$B$9)))))</f>
        <v/>
      </c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16" t="str">
        <f>IF(ISBLANK(D462),"",IF(COUNTIFS(Circulation!$B$2:$B$500,A462,Circulation!$H$2:$H$500,"Active")&gt;0,"On Loan","Available"))</f>
        <v/>
      </c>
      <c r="AB462" s="8"/>
      <c r="AC462" s="8"/>
      <c r="AD462" s="8"/>
      <c r="AE462" s="8"/>
      <c r="AF462" s="8"/>
      <c r="AG462" s="8"/>
      <c r="AH462" s="8"/>
    </row>
    <row r="463" spans="1:34" ht="15.75" x14ac:dyDescent="0.25">
      <c r="A463" s="14" t="str">
        <f t="shared" si="14"/>
        <v/>
      </c>
      <c r="B463" s="15"/>
      <c r="C463" s="14" t="str">
        <f t="shared" si="15"/>
        <v/>
      </c>
      <c r="D463" s="8"/>
      <c r="E463" s="8"/>
      <c r="F463" s="8"/>
      <c r="G463" s="8"/>
      <c r="H463" s="14" t="str">
        <f>IF(ISBLANK(F463),"",IF(G463&lt;&gt;"",UPPER(TRIM(G463)),IF(ISNUMBER(SEARCH(" ",TRIM(F463))),UPPER(LEFT(TRIM(RIGHT(SUBSTITUTE(TRIM(F463)," ",REPT(" ",100)),100)),Settings!$B$9)),UPPER(LEFT(TRIM(F463),Settings!$B$9)))))</f>
        <v/>
      </c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16" t="str">
        <f>IF(ISBLANK(D463),"",IF(COUNTIFS(Circulation!$B$2:$B$500,A463,Circulation!$H$2:$H$500,"Active")&gt;0,"On Loan","Available"))</f>
        <v/>
      </c>
      <c r="AB463" s="8"/>
      <c r="AC463" s="8"/>
      <c r="AD463" s="8"/>
      <c r="AE463" s="8"/>
      <c r="AF463" s="8"/>
      <c r="AG463" s="8"/>
      <c r="AH463" s="8"/>
    </row>
    <row r="464" spans="1:34" ht="15.75" x14ac:dyDescent="0.25">
      <c r="A464" s="14" t="str">
        <f t="shared" si="14"/>
        <v/>
      </c>
      <c r="B464" s="15"/>
      <c r="C464" s="14" t="str">
        <f t="shared" si="15"/>
        <v/>
      </c>
      <c r="D464" s="8"/>
      <c r="E464" s="8"/>
      <c r="F464" s="8"/>
      <c r="G464" s="8"/>
      <c r="H464" s="14" t="str">
        <f>IF(ISBLANK(F464),"",IF(G464&lt;&gt;"",UPPER(TRIM(G464)),IF(ISNUMBER(SEARCH(" ",TRIM(F464))),UPPER(LEFT(TRIM(RIGHT(SUBSTITUTE(TRIM(F464)," ",REPT(" ",100)),100)),Settings!$B$9)),UPPER(LEFT(TRIM(F464),Settings!$B$9)))))</f>
        <v/>
      </c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16" t="str">
        <f>IF(ISBLANK(D464),"",IF(COUNTIFS(Circulation!$B$2:$B$500,A464,Circulation!$H$2:$H$500,"Active")&gt;0,"On Loan","Available"))</f>
        <v/>
      </c>
      <c r="AB464" s="8"/>
      <c r="AC464" s="8"/>
      <c r="AD464" s="8"/>
      <c r="AE464" s="8"/>
      <c r="AF464" s="8"/>
      <c r="AG464" s="8"/>
      <c r="AH464" s="8"/>
    </row>
    <row r="465" spans="1:34" ht="15.75" x14ac:dyDescent="0.25">
      <c r="A465" s="14" t="str">
        <f t="shared" si="14"/>
        <v/>
      </c>
      <c r="B465" s="15"/>
      <c r="C465" s="14" t="str">
        <f t="shared" si="15"/>
        <v/>
      </c>
      <c r="D465" s="8"/>
      <c r="E465" s="8"/>
      <c r="F465" s="8"/>
      <c r="G465" s="8"/>
      <c r="H465" s="14" t="str">
        <f>IF(ISBLANK(F465),"",IF(G465&lt;&gt;"",UPPER(TRIM(G465)),IF(ISNUMBER(SEARCH(" ",TRIM(F465))),UPPER(LEFT(TRIM(RIGHT(SUBSTITUTE(TRIM(F465)," ",REPT(" ",100)),100)),Settings!$B$9)),UPPER(LEFT(TRIM(F465),Settings!$B$9)))))</f>
        <v/>
      </c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16" t="str">
        <f>IF(ISBLANK(D465),"",IF(COUNTIFS(Circulation!$B$2:$B$500,A465,Circulation!$H$2:$H$500,"Active")&gt;0,"On Loan","Available"))</f>
        <v/>
      </c>
      <c r="AB465" s="8"/>
      <c r="AC465" s="8"/>
      <c r="AD465" s="8"/>
      <c r="AE465" s="8"/>
      <c r="AF465" s="8"/>
      <c r="AG465" s="8"/>
      <c r="AH465" s="8"/>
    </row>
    <row r="466" spans="1:34" ht="15.75" x14ac:dyDescent="0.25">
      <c r="A466" s="14" t="str">
        <f t="shared" si="14"/>
        <v/>
      </c>
      <c r="B466" s="15"/>
      <c r="C466" s="14" t="str">
        <f t="shared" si="15"/>
        <v/>
      </c>
      <c r="D466" s="8"/>
      <c r="E466" s="8"/>
      <c r="F466" s="8"/>
      <c r="G466" s="8"/>
      <c r="H466" s="14" t="str">
        <f>IF(ISBLANK(F466),"",IF(G466&lt;&gt;"",UPPER(TRIM(G466)),IF(ISNUMBER(SEARCH(" ",TRIM(F466))),UPPER(LEFT(TRIM(RIGHT(SUBSTITUTE(TRIM(F466)," ",REPT(" ",100)),100)),Settings!$B$9)),UPPER(LEFT(TRIM(F466),Settings!$B$9)))))</f>
        <v/>
      </c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16" t="str">
        <f>IF(ISBLANK(D466),"",IF(COUNTIFS(Circulation!$B$2:$B$500,A466,Circulation!$H$2:$H$500,"Active")&gt;0,"On Loan","Available"))</f>
        <v/>
      </c>
      <c r="AB466" s="8"/>
      <c r="AC466" s="8"/>
      <c r="AD466" s="8"/>
      <c r="AE466" s="8"/>
      <c r="AF466" s="8"/>
      <c r="AG466" s="8"/>
      <c r="AH466" s="8"/>
    </row>
    <row r="467" spans="1:34" ht="15.75" x14ac:dyDescent="0.25">
      <c r="A467" s="14" t="str">
        <f t="shared" si="14"/>
        <v/>
      </c>
      <c r="B467" s="15"/>
      <c r="C467" s="14" t="str">
        <f t="shared" si="15"/>
        <v/>
      </c>
      <c r="D467" s="8"/>
      <c r="E467" s="8"/>
      <c r="F467" s="8"/>
      <c r="G467" s="8"/>
      <c r="H467" s="14" t="str">
        <f>IF(ISBLANK(F467),"",IF(G467&lt;&gt;"",UPPER(TRIM(G467)),IF(ISNUMBER(SEARCH(" ",TRIM(F467))),UPPER(LEFT(TRIM(RIGHT(SUBSTITUTE(TRIM(F467)," ",REPT(" ",100)),100)),Settings!$B$9)),UPPER(LEFT(TRIM(F467),Settings!$B$9)))))</f>
        <v/>
      </c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16" t="str">
        <f>IF(ISBLANK(D467),"",IF(COUNTIFS(Circulation!$B$2:$B$500,A467,Circulation!$H$2:$H$500,"Active")&gt;0,"On Loan","Available"))</f>
        <v/>
      </c>
      <c r="AB467" s="8"/>
      <c r="AC467" s="8"/>
      <c r="AD467" s="8"/>
      <c r="AE467" s="8"/>
      <c r="AF467" s="8"/>
      <c r="AG467" s="8"/>
      <c r="AH467" s="8"/>
    </row>
    <row r="468" spans="1:34" ht="15.75" x14ac:dyDescent="0.25">
      <c r="A468" s="14" t="str">
        <f t="shared" si="14"/>
        <v/>
      </c>
      <c r="B468" s="15"/>
      <c r="C468" s="14" t="str">
        <f t="shared" si="15"/>
        <v/>
      </c>
      <c r="D468" s="8"/>
      <c r="E468" s="8"/>
      <c r="F468" s="8"/>
      <c r="G468" s="8"/>
      <c r="H468" s="14" t="str">
        <f>IF(ISBLANK(F468),"",IF(G468&lt;&gt;"",UPPER(TRIM(G468)),IF(ISNUMBER(SEARCH(" ",TRIM(F468))),UPPER(LEFT(TRIM(RIGHT(SUBSTITUTE(TRIM(F468)," ",REPT(" ",100)),100)),Settings!$B$9)),UPPER(LEFT(TRIM(F468),Settings!$B$9)))))</f>
        <v/>
      </c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16" t="str">
        <f>IF(ISBLANK(D468),"",IF(COUNTIFS(Circulation!$B$2:$B$500,A468,Circulation!$H$2:$H$500,"Active")&gt;0,"On Loan","Available"))</f>
        <v/>
      </c>
      <c r="AB468" s="8"/>
      <c r="AC468" s="8"/>
      <c r="AD468" s="8"/>
      <c r="AE468" s="8"/>
      <c r="AF468" s="8"/>
      <c r="AG468" s="8"/>
      <c r="AH468" s="8"/>
    </row>
    <row r="469" spans="1:34" ht="15.75" x14ac:dyDescent="0.25">
      <c r="A469" s="14" t="str">
        <f t="shared" si="14"/>
        <v/>
      </c>
      <c r="B469" s="15"/>
      <c r="C469" s="14" t="str">
        <f t="shared" si="15"/>
        <v/>
      </c>
      <c r="D469" s="8"/>
      <c r="E469" s="8"/>
      <c r="F469" s="8"/>
      <c r="G469" s="8"/>
      <c r="H469" s="14" t="str">
        <f>IF(ISBLANK(F469),"",IF(G469&lt;&gt;"",UPPER(TRIM(G469)),IF(ISNUMBER(SEARCH(" ",TRIM(F469))),UPPER(LEFT(TRIM(RIGHT(SUBSTITUTE(TRIM(F469)," ",REPT(" ",100)),100)),Settings!$B$9)),UPPER(LEFT(TRIM(F469),Settings!$B$9)))))</f>
        <v/>
      </c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16" t="str">
        <f>IF(ISBLANK(D469),"",IF(COUNTIFS(Circulation!$B$2:$B$500,A469,Circulation!$H$2:$H$500,"Active")&gt;0,"On Loan","Available"))</f>
        <v/>
      </c>
      <c r="AB469" s="8"/>
      <c r="AC469" s="8"/>
      <c r="AD469" s="8"/>
      <c r="AE469" s="8"/>
      <c r="AF469" s="8"/>
      <c r="AG469" s="8"/>
      <c r="AH469" s="8"/>
    </row>
    <row r="470" spans="1:34" ht="15.75" x14ac:dyDescent="0.25">
      <c r="A470" s="14" t="str">
        <f t="shared" si="14"/>
        <v/>
      </c>
      <c r="B470" s="15"/>
      <c r="C470" s="14" t="str">
        <f t="shared" si="15"/>
        <v/>
      </c>
      <c r="D470" s="8"/>
      <c r="E470" s="8"/>
      <c r="F470" s="8"/>
      <c r="G470" s="8"/>
      <c r="H470" s="14" t="str">
        <f>IF(ISBLANK(F470),"",IF(G470&lt;&gt;"",UPPER(TRIM(G470)),IF(ISNUMBER(SEARCH(" ",TRIM(F470))),UPPER(LEFT(TRIM(RIGHT(SUBSTITUTE(TRIM(F470)," ",REPT(" ",100)),100)),Settings!$B$9)),UPPER(LEFT(TRIM(F470),Settings!$B$9)))))</f>
        <v/>
      </c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16" t="str">
        <f>IF(ISBLANK(D470),"",IF(COUNTIFS(Circulation!$B$2:$B$500,A470,Circulation!$H$2:$H$500,"Active")&gt;0,"On Loan","Available"))</f>
        <v/>
      </c>
      <c r="AB470" s="8"/>
      <c r="AC470" s="8"/>
      <c r="AD470" s="8"/>
      <c r="AE470" s="8"/>
      <c r="AF470" s="8"/>
      <c r="AG470" s="8"/>
      <c r="AH470" s="8"/>
    </row>
    <row r="471" spans="1:34" ht="15.75" x14ac:dyDescent="0.25">
      <c r="A471" s="14" t="str">
        <f t="shared" si="14"/>
        <v/>
      </c>
      <c r="B471" s="15"/>
      <c r="C471" s="14" t="str">
        <f t="shared" si="15"/>
        <v/>
      </c>
      <c r="D471" s="8"/>
      <c r="E471" s="8"/>
      <c r="F471" s="8"/>
      <c r="G471" s="8"/>
      <c r="H471" s="14" t="str">
        <f>IF(ISBLANK(F471),"",IF(G471&lt;&gt;"",UPPER(TRIM(G471)),IF(ISNUMBER(SEARCH(" ",TRIM(F471))),UPPER(LEFT(TRIM(RIGHT(SUBSTITUTE(TRIM(F471)," ",REPT(" ",100)),100)),Settings!$B$9)),UPPER(LEFT(TRIM(F471),Settings!$B$9)))))</f>
        <v/>
      </c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16" t="str">
        <f>IF(ISBLANK(D471),"",IF(COUNTIFS(Circulation!$B$2:$B$500,A471,Circulation!$H$2:$H$500,"Active")&gt;0,"On Loan","Available"))</f>
        <v/>
      </c>
      <c r="AB471" s="8"/>
      <c r="AC471" s="8"/>
      <c r="AD471" s="8"/>
      <c r="AE471" s="8"/>
      <c r="AF471" s="8"/>
      <c r="AG471" s="8"/>
      <c r="AH471" s="8"/>
    </row>
    <row r="472" spans="1:34" ht="15.75" x14ac:dyDescent="0.25">
      <c r="A472" s="14" t="str">
        <f t="shared" si="14"/>
        <v/>
      </c>
      <c r="B472" s="15"/>
      <c r="C472" s="14" t="str">
        <f t="shared" si="15"/>
        <v/>
      </c>
      <c r="D472" s="8"/>
      <c r="E472" s="8"/>
      <c r="F472" s="8"/>
      <c r="G472" s="8"/>
      <c r="H472" s="14" t="str">
        <f>IF(ISBLANK(F472),"",IF(G472&lt;&gt;"",UPPER(TRIM(G472)),IF(ISNUMBER(SEARCH(" ",TRIM(F472))),UPPER(LEFT(TRIM(RIGHT(SUBSTITUTE(TRIM(F472)," ",REPT(" ",100)),100)),Settings!$B$9)),UPPER(LEFT(TRIM(F472),Settings!$B$9)))))</f>
        <v/>
      </c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16" t="str">
        <f>IF(ISBLANK(D472),"",IF(COUNTIFS(Circulation!$B$2:$B$500,A472,Circulation!$H$2:$H$500,"Active")&gt;0,"On Loan","Available"))</f>
        <v/>
      </c>
      <c r="AB472" s="8"/>
      <c r="AC472" s="8"/>
      <c r="AD472" s="8"/>
      <c r="AE472" s="8"/>
      <c r="AF472" s="8"/>
      <c r="AG472" s="8"/>
      <c r="AH472" s="8"/>
    </row>
    <row r="473" spans="1:34" ht="15.75" x14ac:dyDescent="0.25">
      <c r="A473" s="14" t="str">
        <f t="shared" si="14"/>
        <v/>
      </c>
      <c r="B473" s="15"/>
      <c r="C473" s="14" t="str">
        <f t="shared" si="15"/>
        <v/>
      </c>
      <c r="D473" s="8"/>
      <c r="E473" s="8"/>
      <c r="F473" s="8"/>
      <c r="G473" s="8"/>
      <c r="H473" s="14" t="str">
        <f>IF(ISBLANK(F473),"",IF(G473&lt;&gt;"",UPPER(TRIM(G473)),IF(ISNUMBER(SEARCH(" ",TRIM(F473))),UPPER(LEFT(TRIM(RIGHT(SUBSTITUTE(TRIM(F473)," ",REPT(" ",100)),100)),Settings!$B$9)),UPPER(LEFT(TRIM(F473),Settings!$B$9)))))</f>
        <v/>
      </c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16" t="str">
        <f>IF(ISBLANK(D473),"",IF(COUNTIFS(Circulation!$B$2:$B$500,A473,Circulation!$H$2:$H$500,"Active")&gt;0,"On Loan","Available"))</f>
        <v/>
      </c>
      <c r="AB473" s="8"/>
      <c r="AC473" s="8"/>
      <c r="AD473" s="8"/>
      <c r="AE473" s="8"/>
      <c r="AF473" s="8"/>
      <c r="AG473" s="8"/>
      <c r="AH473" s="8"/>
    </row>
    <row r="474" spans="1:34" ht="15.75" x14ac:dyDescent="0.25">
      <c r="A474" s="14" t="str">
        <f t="shared" si="14"/>
        <v/>
      </c>
      <c r="B474" s="15"/>
      <c r="C474" s="14" t="str">
        <f t="shared" si="15"/>
        <v/>
      </c>
      <c r="D474" s="8"/>
      <c r="E474" s="8"/>
      <c r="F474" s="8"/>
      <c r="G474" s="8"/>
      <c r="H474" s="14" t="str">
        <f>IF(ISBLANK(F474),"",IF(G474&lt;&gt;"",UPPER(TRIM(G474)),IF(ISNUMBER(SEARCH(" ",TRIM(F474))),UPPER(LEFT(TRIM(RIGHT(SUBSTITUTE(TRIM(F474)," ",REPT(" ",100)),100)),Settings!$B$9)),UPPER(LEFT(TRIM(F474),Settings!$B$9)))))</f>
        <v/>
      </c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16" t="str">
        <f>IF(ISBLANK(D474),"",IF(COUNTIFS(Circulation!$B$2:$B$500,A474,Circulation!$H$2:$H$500,"Active")&gt;0,"On Loan","Available"))</f>
        <v/>
      </c>
      <c r="AB474" s="8"/>
      <c r="AC474" s="8"/>
      <c r="AD474" s="8"/>
      <c r="AE474" s="8"/>
      <c r="AF474" s="8"/>
      <c r="AG474" s="8"/>
      <c r="AH474" s="8"/>
    </row>
    <row r="475" spans="1:34" ht="15.75" x14ac:dyDescent="0.25">
      <c r="A475" s="14" t="str">
        <f t="shared" si="14"/>
        <v/>
      </c>
      <c r="B475" s="15"/>
      <c r="C475" s="14" t="str">
        <f t="shared" si="15"/>
        <v/>
      </c>
      <c r="D475" s="8"/>
      <c r="E475" s="8"/>
      <c r="F475" s="8"/>
      <c r="G475" s="8"/>
      <c r="H475" s="14" t="str">
        <f>IF(ISBLANK(F475),"",IF(G475&lt;&gt;"",UPPER(TRIM(G475)),IF(ISNUMBER(SEARCH(" ",TRIM(F475))),UPPER(LEFT(TRIM(RIGHT(SUBSTITUTE(TRIM(F475)," ",REPT(" ",100)),100)),Settings!$B$9)),UPPER(LEFT(TRIM(F475),Settings!$B$9)))))</f>
        <v/>
      </c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16" t="str">
        <f>IF(ISBLANK(D475),"",IF(COUNTIFS(Circulation!$B$2:$B$500,A475,Circulation!$H$2:$H$500,"Active")&gt;0,"On Loan","Available"))</f>
        <v/>
      </c>
      <c r="AB475" s="8"/>
      <c r="AC475" s="8"/>
      <c r="AD475" s="8"/>
      <c r="AE475" s="8"/>
      <c r="AF475" s="8"/>
      <c r="AG475" s="8"/>
      <c r="AH475" s="8"/>
    </row>
    <row r="476" spans="1:34" ht="15.75" x14ac:dyDescent="0.25">
      <c r="A476" s="14" t="str">
        <f t="shared" si="14"/>
        <v/>
      </c>
      <c r="B476" s="15"/>
      <c r="C476" s="14" t="str">
        <f t="shared" si="15"/>
        <v/>
      </c>
      <c r="D476" s="8"/>
      <c r="E476" s="8"/>
      <c r="F476" s="8"/>
      <c r="G476" s="8"/>
      <c r="H476" s="14" t="str">
        <f>IF(ISBLANK(F476),"",IF(G476&lt;&gt;"",UPPER(TRIM(G476)),IF(ISNUMBER(SEARCH(" ",TRIM(F476))),UPPER(LEFT(TRIM(RIGHT(SUBSTITUTE(TRIM(F476)," ",REPT(" ",100)),100)),Settings!$B$9)),UPPER(LEFT(TRIM(F476),Settings!$B$9)))))</f>
        <v/>
      </c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16" t="str">
        <f>IF(ISBLANK(D476),"",IF(COUNTIFS(Circulation!$B$2:$B$500,A476,Circulation!$H$2:$H$500,"Active")&gt;0,"On Loan","Available"))</f>
        <v/>
      </c>
      <c r="AB476" s="8"/>
      <c r="AC476" s="8"/>
      <c r="AD476" s="8"/>
      <c r="AE476" s="8"/>
      <c r="AF476" s="8"/>
      <c r="AG476" s="8"/>
      <c r="AH476" s="8"/>
    </row>
    <row r="477" spans="1:34" ht="15.75" x14ac:dyDescent="0.25">
      <c r="A477" s="14" t="str">
        <f t="shared" si="14"/>
        <v/>
      </c>
      <c r="B477" s="15"/>
      <c r="C477" s="14" t="str">
        <f t="shared" si="15"/>
        <v/>
      </c>
      <c r="D477" s="8"/>
      <c r="E477" s="8"/>
      <c r="F477" s="8"/>
      <c r="G477" s="8"/>
      <c r="H477" s="14" t="str">
        <f>IF(ISBLANK(F477),"",IF(G477&lt;&gt;"",UPPER(TRIM(G477)),IF(ISNUMBER(SEARCH(" ",TRIM(F477))),UPPER(LEFT(TRIM(RIGHT(SUBSTITUTE(TRIM(F477)," ",REPT(" ",100)),100)),Settings!$B$9)),UPPER(LEFT(TRIM(F477),Settings!$B$9)))))</f>
        <v/>
      </c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16" t="str">
        <f>IF(ISBLANK(D477),"",IF(COUNTIFS(Circulation!$B$2:$B$500,A477,Circulation!$H$2:$H$500,"Active")&gt;0,"On Loan","Available"))</f>
        <v/>
      </c>
      <c r="AB477" s="8"/>
      <c r="AC477" s="8"/>
      <c r="AD477" s="8"/>
      <c r="AE477" s="8"/>
      <c r="AF477" s="8"/>
      <c r="AG477" s="8"/>
      <c r="AH477" s="8"/>
    </row>
    <row r="478" spans="1:34" ht="15.75" x14ac:dyDescent="0.25">
      <c r="A478" s="14" t="str">
        <f t="shared" si="14"/>
        <v/>
      </c>
      <c r="B478" s="15"/>
      <c r="C478" s="14" t="str">
        <f t="shared" si="15"/>
        <v/>
      </c>
      <c r="D478" s="8"/>
      <c r="E478" s="8"/>
      <c r="F478" s="8"/>
      <c r="G478" s="8"/>
      <c r="H478" s="14" t="str">
        <f>IF(ISBLANK(F478),"",IF(G478&lt;&gt;"",UPPER(TRIM(G478)),IF(ISNUMBER(SEARCH(" ",TRIM(F478))),UPPER(LEFT(TRIM(RIGHT(SUBSTITUTE(TRIM(F478)," ",REPT(" ",100)),100)),Settings!$B$9)),UPPER(LEFT(TRIM(F478),Settings!$B$9)))))</f>
        <v/>
      </c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16" t="str">
        <f>IF(ISBLANK(D478),"",IF(COUNTIFS(Circulation!$B$2:$B$500,A478,Circulation!$H$2:$H$500,"Active")&gt;0,"On Loan","Available"))</f>
        <v/>
      </c>
      <c r="AB478" s="8"/>
      <c r="AC478" s="8"/>
      <c r="AD478" s="8"/>
      <c r="AE478" s="8"/>
      <c r="AF478" s="8"/>
      <c r="AG478" s="8"/>
      <c r="AH478" s="8"/>
    </row>
    <row r="479" spans="1:34" ht="15.75" x14ac:dyDescent="0.25">
      <c r="A479" s="14" t="str">
        <f t="shared" si="14"/>
        <v/>
      </c>
      <c r="B479" s="15"/>
      <c r="C479" s="14" t="str">
        <f t="shared" si="15"/>
        <v/>
      </c>
      <c r="D479" s="8"/>
      <c r="E479" s="8"/>
      <c r="F479" s="8"/>
      <c r="G479" s="8"/>
      <c r="H479" s="14" t="str">
        <f>IF(ISBLANK(F479),"",IF(G479&lt;&gt;"",UPPER(TRIM(G479)),IF(ISNUMBER(SEARCH(" ",TRIM(F479))),UPPER(LEFT(TRIM(RIGHT(SUBSTITUTE(TRIM(F479)," ",REPT(" ",100)),100)),Settings!$B$9)),UPPER(LEFT(TRIM(F479),Settings!$B$9)))))</f>
        <v/>
      </c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16" t="str">
        <f>IF(ISBLANK(D479),"",IF(COUNTIFS(Circulation!$B$2:$B$500,A479,Circulation!$H$2:$H$500,"Active")&gt;0,"On Loan","Available"))</f>
        <v/>
      </c>
      <c r="AB479" s="8"/>
      <c r="AC479" s="8"/>
      <c r="AD479" s="8"/>
      <c r="AE479" s="8"/>
      <c r="AF479" s="8"/>
      <c r="AG479" s="8"/>
      <c r="AH479" s="8"/>
    </row>
    <row r="480" spans="1:34" ht="15.75" x14ac:dyDescent="0.25">
      <c r="A480" s="14" t="str">
        <f t="shared" si="14"/>
        <v/>
      </c>
      <c r="B480" s="15"/>
      <c r="C480" s="14" t="str">
        <f t="shared" si="15"/>
        <v/>
      </c>
      <c r="D480" s="8"/>
      <c r="E480" s="8"/>
      <c r="F480" s="8"/>
      <c r="G480" s="8"/>
      <c r="H480" s="14" t="str">
        <f>IF(ISBLANK(F480),"",IF(G480&lt;&gt;"",UPPER(TRIM(G480)),IF(ISNUMBER(SEARCH(" ",TRIM(F480))),UPPER(LEFT(TRIM(RIGHT(SUBSTITUTE(TRIM(F480)," ",REPT(" ",100)),100)),Settings!$B$9)),UPPER(LEFT(TRIM(F480),Settings!$B$9)))))</f>
        <v/>
      </c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16" t="str">
        <f>IF(ISBLANK(D480),"",IF(COUNTIFS(Circulation!$B$2:$B$500,A480,Circulation!$H$2:$H$500,"Active")&gt;0,"On Loan","Available"))</f>
        <v/>
      </c>
      <c r="AB480" s="8"/>
      <c r="AC480" s="8"/>
      <c r="AD480" s="8"/>
      <c r="AE480" s="8"/>
      <c r="AF480" s="8"/>
      <c r="AG480" s="8"/>
      <c r="AH480" s="8"/>
    </row>
    <row r="481" spans="1:34" ht="15.75" x14ac:dyDescent="0.25">
      <c r="A481" s="14" t="str">
        <f t="shared" si="14"/>
        <v/>
      </c>
      <c r="B481" s="15"/>
      <c r="C481" s="14" t="str">
        <f t="shared" si="15"/>
        <v/>
      </c>
      <c r="D481" s="8"/>
      <c r="E481" s="8"/>
      <c r="F481" s="8"/>
      <c r="G481" s="8"/>
      <c r="H481" s="14" t="str">
        <f>IF(ISBLANK(F481),"",IF(G481&lt;&gt;"",UPPER(TRIM(G481)),IF(ISNUMBER(SEARCH(" ",TRIM(F481))),UPPER(LEFT(TRIM(RIGHT(SUBSTITUTE(TRIM(F481)," ",REPT(" ",100)),100)),Settings!$B$9)),UPPER(LEFT(TRIM(F481),Settings!$B$9)))))</f>
        <v/>
      </c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16" t="str">
        <f>IF(ISBLANK(D481),"",IF(COUNTIFS(Circulation!$B$2:$B$500,A481,Circulation!$H$2:$H$500,"Active")&gt;0,"On Loan","Available"))</f>
        <v/>
      </c>
      <c r="AB481" s="8"/>
      <c r="AC481" s="8"/>
      <c r="AD481" s="8"/>
      <c r="AE481" s="8"/>
      <c r="AF481" s="8"/>
      <c r="AG481" s="8"/>
      <c r="AH481" s="8"/>
    </row>
    <row r="482" spans="1:34" ht="15.75" x14ac:dyDescent="0.25">
      <c r="A482" s="14" t="str">
        <f t="shared" si="14"/>
        <v/>
      </c>
      <c r="B482" s="15"/>
      <c r="C482" s="14" t="str">
        <f t="shared" si="15"/>
        <v/>
      </c>
      <c r="D482" s="8"/>
      <c r="E482" s="8"/>
      <c r="F482" s="8"/>
      <c r="G482" s="8"/>
      <c r="H482" s="14" t="str">
        <f>IF(ISBLANK(F482),"",IF(G482&lt;&gt;"",UPPER(TRIM(G482)),IF(ISNUMBER(SEARCH(" ",TRIM(F482))),UPPER(LEFT(TRIM(RIGHT(SUBSTITUTE(TRIM(F482)," ",REPT(" ",100)),100)),Settings!$B$9)),UPPER(LEFT(TRIM(F482),Settings!$B$9)))))</f>
        <v/>
      </c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16" t="str">
        <f>IF(ISBLANK(D482),"",IF(COUNTIFS(Circulation!$B$2:$B$500,A482,Circulation!$H$2:$H$500,"Active")&gt;0,"On Loan","Available"))</f>
        <v/>
      </c>
      <c r="AB482" s="8"/>
      <c r="AC482" s="8"/>
      <c r="AD482" s="8"/>
      <c r="AE482" s="8"/>
      <c r="AF482" s="8"/>
      <c r="AG482" s="8"/>
      <c r="AH482" s="8"/>
    </row>
    <row r="483" spans="1:34" ht="15.75" x14ac:dyDescent="0.25">
      <c r="A483" s="14" t="str">
        <f t="shared" si="14"/>
        <v/>
      </c>
      <c r="B483" s="15"/>
      <c r="C483" s="14" t="str">
        <f t="shared" si="15"/>
        <v/>
      </c>
      <c r="D483" s="8"/>
      <c r="E483" s="8"/>
      <c r="F483" s="8"/>
      <c r="G483" s="8"/>
      <c r="H483" s="14" t="str">
        <f>IF(ISBLANK(F483),"",IF(G483&lt;&gt;"",UPPER(TRIM(G483)),IF(ISNUMBER(SEARCH(" ",TRIM(F483))),UPPER(LEFT(TRIM(RIGHT(SUBSTITUTE(TRIM(F483)," ",REPT(" ",100)),100)),Settings!$B$9)),UPPER(LEFT(TRIM(F483),Settings!$B$9)))))</f>
        <v/>
      </c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16" t="str">
        <f>IF(ISBLANK(D483),"",IF(COUNTIFS(Circulation!$B$2:$B$500,A483,Circulation!$H$2:$H$500,"Active")&gt;0,"On Loan","Available"))</f>
        <v/>
      </c>
      <c r="AB483" s="8"/>
      <c r="AC483" s="8"/>
      <c r="AD483" s="8"/>
      <c r="AE483" s="8"/>
      <c r="AF483" s="8"/>
      <c r="AG483" s="8"/>
      <c r="AH483" s="8"/>
    </row>
    <row r="484" spans="1:34" ht="15.75" x14ac:dyDescent="0.25">
      <c r="A484" s="14" t="str">
        <f t="shared" si="14"/>
        <v/>
      </c>
      <c r="B484" s="15"/>
      <c r="C484" s="14" t="str">
        <f t="shared" si="15"/>
        <v/>
      </c>
      <c r="D484" s="8"/>
      <c r="E484" s="8"/>
      <c r="F484" s="8"/>
      <c r="G484" s="8"/>
      <c r="H484" s="14" t="str">
        <f>IF(ISBLANK(F484),"",IF(G484&lt;&gt;"",UPPER(TRIM(G484)),IF(ISNUMBER(SEARCH(" ",TRIM(F484))),UPPER(LEFT(TRIM(RIGHT(SUBSTITUTE(TRIM(F484)," ",REPT(" ",100)),100)),Settings!$B$9)),UPPER(LEFT(TRIM(F484),Settings!$B$9)))))</f>
        <v/>
      </c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16" t="str">
        <f>IF(ISBLANK(D484),"",IF(COUNTIFS(Circulation!$B$2:$B$500,A484,Circulation!$H$2:$H$500,"Active")&gt;0,"On Loan","Available"))</f>
        <v/>
      </c>
      <c r="AB484" s="8"/>
      <c r="AC484" s="8"/>
      <c r="AD484" s="8"/>
      <c r="AE484" s="8"/>
      <c r="AF484" s="8"/>
      <c r="AG484" s="8"/>
      <c r="AH484" s="8"/>
    </row>
    <row r="485" spans="1:34" ht="15.75" x14ac:dyDescent="0.25">
      <c r="A485" s="14" t="str">
        <f t="shared" si="14"/>
        <v/>
      </c>
      <c r="B485" s="15"/>
      <c r="C485" s="14" t="str">
        <f t="shared" si="15"/>
        <v/>
      </c>
      <c r="D485" s="8"/>
      <c r="E485" s="8"/>
      <c r="F485" s="8"/>
      <c r="G485" s="8"/>
      <c r="H485" s="14" t="str">
        <f>IF(ISBLANK(F485),"",IF(G485&lt;&gt;"",UPPER(TRIM(G485)),IF(ISNUMBER(SEARCH(" ",TRIM(F485))),UPPER(LEFT(TRIM(RIGHT(SUBSTITUTE(TRIM(F485)," ",REPT(" ",100)),100)),Settings!$B$9)),UPPER(LEFT(TRIM(F485),Settings!$B$9)))))</f>
        <v/>
      </c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16" t="str">
        <f>IF(ISBLANK(D485),"",IF(COUNTIFS(Circulation!$B$2:$B$500,A485,Circulation!$H$2:$H$500,"Active")&gt;0,"On Loan","Available"))</f>
        <v/>
      </c>
      <c r="AB485" s="8"/>
      <c r="AC485" s="8"/>
      <c r="AD485" s="8"/>
      <c r="AE485" s="8"/>
      <c r="AF485" s="8"/>
      <c r="AG485" s="8"/>
      <c r="AH485" s="8"/>
    </row>
    <row r="486" spans="1:34" ht="15.75" x14ac:dyDescent="0.25">
      <c r="A486" s="14" t="str">
        <f t="shared" si="14"/>
        <v/>
      </c>
      <c r="B486" s="15"/>
      <c r="C486" s="14" t="str">
        <f t="shared" si="15"/>
        <v/>
      </c>
      <c r="D486" s="8"/>
      <c r="E486" s="8"/>
      <c r="F486" s="8"/>
      <c r="G486" s="8"/>
      <c r="H486" s="14" t="str">
        <f>IF(ISBLANK(F486),"",IF(G486&lt;&gt;"",UPPER(TRIM(G486)),IF(ISNUMBER(SEARCH(" ",TRIM(F486))),UPPER(LEFT(TRIM(RIGHT(SUBSTITUTE(TRIM(F486)," ",REPT(" ",100)),100)),Settings!$B$9)),UPPER(LEFT(TRIM(F486),Settings!$B$9)))))</f>
        <v/>
      </c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16" t="str">
        <f>IF(ISBLANK(D486),"",IF(COUNTIFS(Circulation!$B$2:$B$500,A486,Circulation!$H$2:$H$500,"Active")&gt;0,"On Loan","Available"))</f>
        <v/>
      </c>
      <c r="AB486" s="8"/>
      <c r="AC486" s="8"/>
      <c r="AD486" s="8"/>
      <c r="AE486" s="8"/>
      <c r="AF486" s="8"/>
      <c r="AG486" s="8"/>
      <c r="AH486" s="8"/>
    </row>
    <row r="487" spans="1:34" ht="15.75" x14ac:dyDescent="0.25">
      <c r="A487" s="14" t="str">
        <f t="shared" si="14"/>
        <v/>
      </c>
      <c r="B487" s="15"/>
      <c r="C487" s="14" t="str">
        <f t="shared" si="15"/>
        <v/>
      </c>
      <c r="D487" s="8"/>
      <c r="E487" s="8"/>
      <c r="F487" s="8"/>
      <c r="G487" s="8"/>
      <c r="H487" s="14" t="str">
        <f>IF(ISBLANK(F487),"",IF(G487&lt;&gt;"",UPPER(TRIM(G487)),IF(ISNUMBER(SEARCH(" ",TRIM(F487))),UPPER(LEFT(TRIM(RIGHT(SUBSTITUTE(TRIM(F487)," ",REPT(" ",100)),100)),Settings!$B$9)),UPPER(LEFT(TRIM(F487),Settings!$B$9)))))</f>
        <v/>
      </c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16" t="str">
        <f>IF(ISBLANK(D487),"",IF(COUNTIFS(Circulation!$B$2:$B$500,A487,Circulation!$H$2:$H$500,"Active")&gt;0,"On Loan","Available"))</f>
        <v/>
      </c>
      <c r="AB487" s="8"/>
      <c r="AC487" s="8"/>
      <c r="AD487" s="8"/>
      <c r="AE487" s="8"/>
      <c r="AF487" s="8"/>
      <c r="AG487" s="8"/>
      <c r="AH487" s="8"/>
    </row>
    <row r="488" spans="1:34" ht="15.75" x14ac:dyDescent="0.25">
      <c r="A488" s="14" t="str">
        <f t="shared" si="14"/>
        <v/>
      </c>
      <c r="B488" s="15"/>
      <c r="C488" s="14" t="str">
        <f t="shared" si="15"/>
        <v/>
      </c>
      <c r="D488" s="8"/>
      <c r="E488" s="8"/>
      <c r="F488" s="8"/>
      <c r="G488" s="8"/>
      <c r="H488" s="14" t="str">
        <f>IF(ISBLANK(F488),"",IF(G488&lt;&gt;"",UPPER(TRIM(G488)),IF(ISNUMBER(SEARCH(" ",TRIM(F488))),UPPER(LEFT(TRIM(RIGHT(SUBSTITUTE(TRIM(F488)," ",REPT(" ",100)),100)),Settings!$B$9)),UPPER(LEFT(TRIM(F488),Settings!$B$9)))))</f>
        <v/>
      </c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16" t="str">
        <f>IF(ISBLANK(D488),"",IF(COUNTIFS(Circulation!$B$2:$B$500,A488,Circulation!$H$2:$H$500,"Active")&gt;0,"On Loan","Available"))</f>
        <v/>
      </c>
      <c r="AB488" s="8"/>
      <c r="AC488" s="8"/>
      <c r="AD488" s="8"/>
      <c r="AE488" s="8"/>
      <c r="AF488" s="8"/>
      <c r="AG488" s="8"/>
      <c r="AH488" s="8"/>
    </row>
    <row r="489" spans="1:34" ht="15.75" x14ac:dyDescent="0.25">
      <c r="A489" s="14" t="str">
        <f t="shared" si="14"/>
        <v/>
      </c>
      <c r="B489" s="15"/>
      <c r="C489" s="14" t="str">
        <f t="shared" si="15"/>
        <v/>
      </c>
      <c r="D489" s="8"/>
      <c r="E489" s="8"/>
      <c r="F489" s="8"/>
      <c r="G489" s="8"/>
      <c r="H489" s="14" t="str">
        <f>IF(ISBLANK(F489),"",IF(G489&lt;&gt;"",UPPER(TRIM(G489)),IF(ISNUMBER(SEARCH(" ",TRIM(F489))),UPPER(LEFT(TRIM(RIGHT(SUBSTITUTE(TRIM(F489)," ",REPT(" ",100)),100)),Settings!$B$9)),UPPER(LEFT(TRIM(F489),Settings!$B$9)))))</f>
        <v/>
      </c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16" t="str">
        <f>IF(ISBLANK(D489),"",IF(COUNTIFS(Circulation!$B$2:$B$500,A489,Circulation!$H$2:$H$500,"Active")&gt;0,"On Loan","Available"))</f>
        <v/>
      </c>
      <c r="AB489" s="8"/>
      <c r="AC489" s="8"/>
      <c r="AD489" s="8"/>
      <c r="AE489" s="8"/>
      <c r="AF489" s="8"/>
      <c r="AG489" s="8"/>
      <c r="AH489" s="8"/>
    </row>
    <row r="490" spans="1:34" ht="15.75" x14ac:dyDescent="0.25">
      <c r="A490" s="14" t="str">
        <f t="shared" si="14"/>
        <v/>
      </c>
      <c r="B490" s="15"/>
      <c r="C490" s="14" t="str">
        <f t="shared" si="15"/>
        <v/>
      </c>
      <c r="D490" s="8"/>
      <c r="E490" s="8"/>
      <c r="F490" s="8"/>
      <c r="G490" s="8"/>
      <c r="H490" s="14" t="str">
        <f>IF(ISBLANK(F490),"",IF(G490&lt;&gt;"",UPPER(TRIM(G490)),IF(ISNUMBER(SEARCH(" ",TRIM(F490))),UPPER(LEFT(TRIM(RIGHT(SUBSTITUTE(TRIM(F490)," ",REPT(" ",100)),100)),Settings!$B$9)),UPPER(LEFT(TRIM(F490),Settings!$B$9)))))</f>
        <v/>
      </c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16" t="str">
        <f>IF(ISBLANK(D490),"",IF(COUNTIFS(Circulation!$B$2:$B$500,A490,Circulation!$H$2:$H$500,"Active")&gt;0,"On Loan","Available"))</f>
        <v/>
      </c>
      <c r="AB490" s="8"/>
      <c r="AC490" s="8"/>
      <c r="AD490" s="8"/>
      <c r="AE490" s="8"/>
      <c r="AF490" s="8"/>
      <c r="AG490" s="8"/>
      <c r="AH490" s="8"/>
    </row>
    <row r="491" spans="1:34" ht="15.75" x14ac:dyDescent="0.25">
      <c r="A491" s="14" t="str">
        <f t="shared" si="14"/>
        <v/>
      </c>
      <c r="B491" s="15"/>
      <c r="C491" s="14" t="str">
        <f t="shared" si="15"/>
        <v/>
      </c>
      <c r="D491" s="8"/>
      <c r="E491" s="8"/>
      <c r="F491" s="8"/>
      <c r="G491" s="8"/>
      <c r="H491" s="14" t="str">
        <f>IF(ISBLANK(F491),"",IF(G491&lt;&gt;"",UPPER(TRIM(G491)),IF(ISNUMBER(SEARCH(" ",TRIM(F491))),UPPER(LEFT(TRIM(RIGHT(SUBSTITUTE(TRIM(F491)," ",REPT(" ",100)),100)),Settings!$B$9)),UPPER(LEFT(TRIM(F491),Settings!$B$9)))))</f>
        <v/>
      </c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16" t="str">
        <f>IF(ISBLANK(D491),"",IF(COUNTIFS(Circulation!$B$2:$B$500,A491,Circulation!$H$2:$H$500,"Active")&gt;0,"On Loan","Available"))</f>
        <v/>
      </c>
      <c r="AB491" s="8"/>
      <c r="AC491" s="8"/>
      <c r="AD491" s="8"/>
      <c r="AE491" s="8"/>
      <c r="AF491" s="8"/>
      <c r="AG491" s="8"/>
      <c r="AH491" s="8"/>
    </row>
    <row r="492" spans="1:34" ht="15.75" x14ac:dyDescent="0.25">
      <c r="A492" s="14" t="str">
        <f t="shared" si="14"/>
        <v/>
      </c>
      <c r="B492" s="15"/>
      <c r="C492" s="14" t="str">
        <f t="shared" si="15"/>
        <v/>
      </c>
      <c r="D492" s="8"/>
      <c r="E492" s="8"/>
      <c r="F492" s="8"/>
      <c r="G492" s="8"/>
      <c r="H492" s="14" t="str">
        <f>IF(ISBLANK(F492),"",IF(G492&lt;&gt;"",UPPER(TRIM(G492)),IF(ISNUMBER(SEARCH(" ",TRIM(F492))),UPPER(LEFT(TRIM(RIGHT(SUBSTITUTE(TRIM(F492)," ",REPT(" ",100)),100)),Settings!$B$9)),UPPER(LEFT(TRIM(F492),Settings!$B$9)))))</f>
        <v/>
      </c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16" t="str">
        <f>IF(ISBLANK(D492),"",IF(COUNTIFS(Circulation!$B$2:$B$500,A492,Circulation!$H$2:$H$500,"Active")&gt;0,"On Loan","Available"))</f>
        <v/>
      </c>
      <c r="AB492" s="8"/>
      <c r="AC492" s="8"/>
      <c r="AD492" s="8"/>
      <c r="AE492" s="8"/>
      <c r="AF492" s="8"/>
      <c r="AG492" s="8"/>
      <c r="AH492" s="8"/>
    </row>
    <row r="493" spans="1:34" ht="15.75" x14ac:dyDescent="0.25">
      <c r="A493" s="14" t="str">
        <f t="shared" si="14"/>
        <v/>
      </c>
      <c r="B493" s="15"/>
      <c r="C493" s="14" t="str">
        <f t="shared" si="15"/>
        <v/>
      </c>
      <c r="D493" s="8"/>
      <c r="E493" s="8"/>
      <c r="F493" s="8"/>
      <c r="G493" s="8"/>
      <c r="H493" s="14" t="str">
        <f>IF(ISBLANK(F493),"",IF(G493&lt;&gt;"",UPPER(TRIM(G493)),IF(ISNUMBER(SEARCH(" ",TRIM(F493))),UPPER(LEFT(TRIM(RIGHT(SUBSTITUTE(TRIM(F493)," ",REPT(" ",100)),100)),Settings!$B$9)),UPPER(LEFT(TRIM(F493),Settings!$B$9)))))</f>
        <v/>
      </c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16" t="str">
        <f>IF(ISBLANK(D493),"",IF(COUNTIFS(Circulation!$B$2:$B$500,A493,Circulation!$H$2:$H$500,"Active")&gt;0,"On Loan","Available"))</f>
        <v/>
      </c>
      <c r="AB493" s="8"/>
      <c r="AC493" s="8"/>
      <c r="AD493" s="8"/>
      <c r="AE493" s="8"/>
      <c r="AF493" s="8"/>
      <c r="AG493" s="8"/>
      <c r="AH493" s="8"/>
    </row>
    <row r="494" spans="1:34" ht="15.75" x14ac:dyDescent="0.25">
      <c r="A494" s="14" t="str">
        <f t="shared" si="14"/>
        <v/>
      </c>
      <c r="B494" s="15"/>
      <c r="C494" s="14" t="str">
        <f t="shared" si="15"/>
        <v/>
      </c>
      <c r="D494" s="8"/>
      <c r="E494" s="8"/>
      <c r="F494" s="8"/>
      <c r="G494" s="8"/>
      <c r="H494" s="14" t="str">
        <f>IF(ISBLANK(F494),"",IF(G494&lt;&gt;"",UPPER(TRIM(G494)),IF(ISNUMBER(SEARCH(" ",TRIM(F494))),UPPER(LEFT(TRIM(RIGHT(SUBSTITUTE(TRIM(F494)," ",REPT(" ",100)),100)),Settings!$B$9)),UPPER(LEFT(TRIM(F494),Settings!$B$9)))))</f>
        <v/>
      </c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16" t="str">
        <f>IF(ISBLANK(D494),"",IF(COUNTIFS(Circulation!$B$2:$B$500,A494,Circulation!$H$2:$H$500,"Active")&gt;0,"On Loan","Available"))</f>
        <v/>
      </c>
      <c r="AB494" s="8"/>
      <c r="AC494" s="8"/>
      <c r="AD494" s="8"/>
      <c r="AE494" s="8"/>
      <c r="AF494" s="8"/>
      <c r="AG494" s="8"/>
      <c r="AH494" s="8"/>
    </row>
    <row r="495" spans="1:34" ht="15.75" x14ac:dyDescent="0.25">
      <c r="A495" s="14" t="str">
        <f t="shared" si="14"/>
        <v/>
      </c>
      <c r="B495" s="15"/>
      <c r="C495" s="14" t="str">
        <f t="shared" si="15"/>
        <v/>
      </c>
      <c r="D495" s="8"/>
      <c r="E495" s="8"/>
      <c r="F495" s="8"/>
      <c r="G495" s="8"/>
      <c r="H495" s="14" t="str">
        <f>IF(ISBLANK(F495),"",IF(G495&lt;&gt;"",UPPER(TRIM(G495)),IF(ISNUMBER(SEARCH(" ",TRIM(F495))),UPPER(LEFT(TRIM(RIGHT(SUBSTITUTE(TRIM(F495)," ",REPT(" ",100)),100)),Settings!$B$9)),UPPER(LEFT(TRIM(F495),Settings!$B$9)))))</f>
        <v/>
      </c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16" t="str">
        <f>IF(ISBLANK(D495),"",IF(COUNTIFS(Circulation!$B$2:$B$500,A495,Circulation!$H$2:$H$500,"Active")&gt;0,"On Loan","Available"))</f>
        <v/>
      </c>
      <c r="AB495" s="8"/>
      <c r="AC495" s="8"/>
      <c r="AD495" s="8"/>
      <c r="AE495" s="8"/>
      <c r="AF495" s="8"/>
      <c r="AG495" s="8"/>
      <c r="AH495" s="8"/>
    </row>
    <row r="496" spans="1:34" ht="15.75" x14ac:dyDescent="0.25">
      <c r="A496" s="14" t="str">
        <f t="shared" si="14"/>
        <v/>
      </c>
      <c r="B496" s="15"/>
      <c r="C496" s="14" t="str">
        <f t="shared" si="15"/>
        <v/>
      </c>
      <c r="D496" s="8"/>
      <c r="E496" s="8"/>
      <c r="F496" s="8"/>
      <c r="G496" s="8"/>
      <c r="H496" s="14" t="str">
        <f>IF(ISBLANK(F496),"",IF(G496&lt;&gt;"",UPPER(TRIM(G496)),IF(ISNUMBER(SEARCH(" ",TRIM(F496))),UPPER(LEFT(TRIM(RIGHT(SUBSTITUTE(TRIM(F496)," ",REPT(" ",100)),100)),Settings!$B$9)),UPPER(LEFT(TRIM(F496),Settings!$B$9)))))</f>
        <v/>
      </c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16" t="str">
        <f>IF(ISBLANK(D496),"",IF(COUNTIFS(Circulation!$B$2:$B$500,A496,Circulation!$H$2:$H$500,"Active")&gt;0,"On Loan","Available"))</f>
        <v/>
      </c>
      <c r="AB496" s="8"/>
      <c r="AC496" s="8"/>
      <c r="AD496" s="8"/>
      <c r="AE496" s="8"/>
      <c r="AF496" s="8"/>
      <c r="AG496" s="8"/>
      <c r="AH496" s="8"/>
    </row>
    <row r="497" spans="1:34" ht="15.75" x14ac:dyDescent="0.25">
      <c r="A497" s="14" t="str">
        <f t="shared" si="14"/>
        <v/>
      </c>
      <c r="B497" s="15"/>
      <c r="C497" s="14" t="str">
        <f t="shared" si="15"/>
        <v/>
      </c>
      <c r="D497" s="8"/>
      <c r="E497" s="8"/>
      <c r="F497" s="8"/>
      <c r="G497" s="8"/>
      <c r="H497" s="14" t="str">
        <f>IF(ISBLANK(F497),"",IF(G497&lt;&gt;"",UPPER(TRIM(G497)),IF(ISNUMBER(SEARCH(" ",TRIM(F497))),UPPER(LEFT(TRIM(RIGHT(SUBSTITUTE(TRIM(F497)," ",REPT(" ",100)),100)),Settings!$B$9)),UPPER(LEFT(TRIM(F497),Settings!$B$9)))))</f>
        <v/>
      </c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16" t="str">
        <f>IF(ISBLANK(D497),"",IF(COUNTIFS(Circulation!$B$2:$B$500,A497,Circulation!$H$2:$H$500,"Active")&gt;0,"On Loan","Available"))</f>
        <v/>
      </c>
      <c r="AB497" s="8"/>
      <c r="AC497" s="8"/>
      <c r="AD497" s="8"/>
      <c r="AE497" s="8"/>
      <c r="AF497" s="8"/>
      <c r="AG497" s="8"/>
      <c r="AH497" s="8"/>
    </row>
    <row r="498" spans="1:34" ht="15.75" x14ac:dyDescent="0.25">
      <c r="A498" s="14" t="str">
        <f t="shared" si="14"/>
        <v/>
      </c>
      <c r="B498" s="15"/>
      <c r="C498" s="14" t="str">
        <f t="shared" si="15"/>
        <v/>
      </c>
      <c r="D498" s="8"/>
      <c r="E498" s="8"/>
      <c r="F498" s="8"/>
      <c r="G498" s="8"/>
      <c r="H498" s="14" t="str">
        <f>IF(ISBLANK(F498),"",IF(G498&lt;&gt;"",UPPER(TRIM(G498)),IF(ISNUMBER(SEARCH(" ",TRIM(F498))),UPPER(LEFT(TRIM(RIGHT(SUBSTITUTE(TRIM(F498)," ",REPT(" ",100)),100)),Settings!$B$9)),UPPER(LEFT(TRIM(F498),Settings!$B$9)))))</f>
        <v/>
      </c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16" t="str">
        <f>IF(ISBLANK(D498),"",IF(COUNTIFS(Circulation!$B$2:$B$500,A498,Circulation!$H$2:$H$500,"Active")&gt;0,"On Loan","Available"))</f>
        <v/>
      </c>
      <c r="AB498" s="8"/>
      <c r="AC498" s="8"/>
      <c r="AD498" s="8"/>
      <c r="AE498" s="8"/>
      <c r="AF498" s="8"/>
      <c r="AG498" s="8"/>
      <c r="AH498" s="8"/>
    </row>
    <row r="499" spans="1:34" ht="15.75" x14ac:dyDescent="0.25">
      <c r="A499" s="14" t="str">
        <f t="shared" si="14"/>
        <v/>
      </c>
      <c r="B499" s="15"/>
      <c r="C499" s="14" t="str">
        <f t="shared" si="15"/>
        <v/>
      </c>
      <c r="D499" s="8"/>
      <c r="E499" s="8"/>
      <c r="F499" s="8"/>
      <c r="G499" s="8"/>
      <c r="H499" s="14" t="str">
        <f>IF(ISBLANK(F499),"",IF(G499&lt;&gt;"",UPPER(TRIM(G499)),IF(ISNUMBER(SEARCH(" ",TRIM(F499))),UPPER(LEFT(TRIM(RIGHT(SUBSTITUTE(TRIM(F499)," ",REPT(" ",100)),100)),Settings!$B$9)),UPPER(LEFT(TRIM(F499),Settings!$B$9)))))</f>
        <v/>
      </c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16" t="str">
        <f>IF(ISBLANK(D499),"",IF(COUNTIFS(Circulation!$B$2:$B$500,A499,Circulation!$H$2:$H$500,"Active")&gt;0,"On Loan","Available"))</f>
        <v/>
      </c>
      <c r="AB499" s="8"/>
      <c r="AC499" s="8"/>
      <c r="AD499" s="8"/>
      <c r="AE499" s="8"/>
      <c r="AF499" s="8"/>
      <c r="AG499" s="8"/>
      <c r="AH499" s="8"/>
    </row>
    <row r="500" spans="1:34" ht="15.75" x14ac:dyDescent="0.25">
      <c r="A500" s="14" t="str">
        <f t="shared" si="14"/>
        <v/>
      </c>
      <c r="B500" s="15"/>
      <c r="C500" s="14" t="str">
        <f t="shared" si="15"/>
        <v/>
      </c>
      <c r="D500" s="8"/>
      <c r="E500" s="8"/>
      <c r="F500" s="8"/>
      <c r="G500" s="8"/>
      <c r="H500" s="14" t="str">
        <f>IF(ISBLANK(F500),"",IF(G500&lt;&gt;"",UPPER(TRIM(G500)),IF(ISNUMBER(SEARCH(" ",TRIM(F500))),UPPER(LEFT(TRIM(RIGHT(SUBSTITUTE(TRIM(F500)," ",REPT(" ",100)),100)),Settings!$B$9)),UPPER(LEFT(TRIM(F500),Settings!$B$9)))))</f>
        <v/>
      </c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16" t="str">
        <f>IF(ISBLANK(D500),"",IF(COUNTIFS(Circulation!$B$2:$B$500,A500,Circulation!$H$2:$H$500,"Active")&gt;0,"On Loan","Available"))</f>
        <v/>
      </c>
      <c r="AB500" s="8"/>
      <c r="AC500" s="8"/>
      <c r="AD500" s="8"/>
      <c r="AE500" s="8"/>
      <c r="AF500" s="8"/>
      <c r="AG500" s="8"/>
      <c r="AH500" s="8"/>
    </row>
    <row r="501" spans="1:34" ht="15.75" x14ac:dyDescent="0.25">
      <c r="A501" s="14" t="str">
        <f t="shared" si="14"/>
        <v/>
      </c>
      <c r="B501" s="15"/>
      <c r="C501" s="14" t="str">
        <f t="shared" si="15"/>
        <v/>
      </c>
      <c r="D501" s="8"/>
      <c r="E501" s="8"/>
      <c r="F501" s="8"/>
      <c r="G501" s="8"/>
      <c r="H501" s="14" t="str">
        <f>IF(ISBLANK(F501),"",IF(G501&lt;&gt;"",UPPER(TRIM(G501)),IF(ISNUMBER(SEARCH(" ",TRIM(F501))),UPPER(LEFT(TRIM(RIGHT(SUBSTITUTE(TRIM(F501)," ",REPT(" ",100)),100)),Settings!$B$9)),UPPER(LEFT(TRIM(F501),Settings!$B$9)))))</f>
        <v/>
      </c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16" t="str">
        <f>IF(ISBLANK(D501),"",IF(COUNTIFS(Circulation!$B$2:$B$500,A501,Circulation!$H$2:$H$500,"Active")&gt;0,"On Loan","Available"))</f>
        <v/>
      </c>
      <c r="AB501" s="8"/>
      <c r="AC501" s="8"/>
      <c r="AD501" s="8"/>
      <c r="AE501" s="8"/>
      <c r="AF501" s="8"/>
      <c r="AG501" s="8"/>
      <c r="AH501" s="8"/>
    </row>
  </sheetData>
  <sheetProtection password="E720" sheet="1"/>
  <autoFilter ref="A1:AH501" xr:uid="{00000000-0009-0000-0000-000003000000}"/>
  <conditionalFormatting sqref="D2:D501">
    <cfRule type="expression" dxfId="2" priority="1">
      <formula>ISBLANK($D2)</formula>
    </cfRule>
  </conditionalFormatting>
  <conditionalFormatting sqref="F2:F501">
    <cfRule type="expression" dxfId="1" priority="2">
      <formula>AND($D2&lt;&gt;"",ISBLANK($F2))</formula>
    </cfRule>
  </conditionalFormatting>
  <conditionalFormatting sqref="AA2:AA501">
    <cfRule type="expression" dxfId="0" priority="3">
      <formula>$AA2="On Loan"</formula>
    </cfRule>
  </conditionalFormatting>
  <dataValidations count="8">
    <dataValidation type="list" allowBlank="1" sqref="K2:K501" xr:uid="{00000000-0002-0000-0300-000000000000}">
      <formula1>CatItemTypeList</formula1>
    </dataValidation>
    <dataValidation type="list" allowBlank="1" sqref="L2:L501" xr:uid="{00000000-0002-0000-0300-000001000000}">
      <formula1>SubjectList</formula1>
    </dataValidation>
    <dataValidation type="list" allowBlank="1" sqref="M2:M501" xr:uid="{00000000-0002-0000-0300-000002000000}">
      <formula1>GenreList</formula1>
    </dataValidation>
    <dataValidation type="list" allowBlank="1" sqref="N2:N501" xr:uid="{00000000-0002-0000-0300-000003000000}">
      <formula1>LanguageList</formula1>
    </dataValidation>
    <dataValidation type="list" allowBlank="1" sqref="X2:X501" xr:uid="{00000000-0002-0000-0300-000004000000}">
      <formula1>LocationTypeList</formula1>
    </dataValidation>
    <dataValidation type="list" allowBlank="1" sqref="Z2:Z501" xr:uid="{00000000-0002-0000-0300-000005000000}">
      <formula1>ConditionList</formula1>
    </dataValidation>
    <dataValidation type="list" allowBlank="1" sqref="AC2:AC501" xr:uid="{00000000-0002-0000-0300-000006000000}">
      <formula1>AcqTypeList</formula1>
    </dataValidation>
    <dataValidation type="list" allowBlank="1" sqref="AG2:AG501" xr:uid="{00000000-0002-0000-0300-000007000000}">
      <formula1>RightsList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501"/>
  <sheetViews>
    <sheetView workbookViewId="0">
      <pane ySplit="1" topLeftCell="A2" activePane="bottomLeft" state="frozen"/>
      <selection pane="bottomLeft" activeCell="F7" sqref="F7"/>
    </sheetView>
  </sheetViews>
  <sheetFormatPr defaultRowHeight="15" x14ac:dyDescent="0.25"/>
  <cols>
    <col min="1" max="1" width="8" customWidth="1"/>
    <col min="2" max="2" width="30" customWidth="1"/>
    <col min="3" max="3" width="32" customWidth="1"/>
    <col min="4" max="4" width="26" customWidth="1"/>
    <col min="5" max="5" width="22" customWidth="1"/>
    <col min="6" max="8" width="18" customWidth="1"/>
    <col min="9" max="9" width="14" customWidth="1"/>
    <col min="10" max="10" width="12" customWidth="1"/>
    <col min="11" max="11" width="20" customWidth="1"/>
    <col min="12" max="12" width="12" customWidth="1"/>
    <col min="13" max="13" width="14" customWidth="1"/>
    <col min="14" max="14" width="32" customWidth="1"/>
    <col min="15" max="15" width="30" customWidth="1"/>
    <col min="16" max="16" width="20" customWidth="1"/>
    <col min="17" max="17" width="10" customWidth="1"/>
    <col min="18" max="19" width="14" customWidth="1"/>
    <col min="20" max="21" width="16" customWidth="1"/>
    <col min="22" max="22" width="30" customWidth="1"/>
    <col min="23" max="23" width="14" customWidth="1"/>
    <col min="24" max="25" width="12" customWidth="1"/>
    <col min="26" max="26" width="24" customWidth="1"/>
    <col min="27" max="28" width="14" customWidth="1"/>
  </cols>
  <sheetData>
    <row r="1" spans="1:28" ht="33.950000000000003" customHeight="1" x14ac:dyDescent="0.25">
      <c r="A1" s="5" t="s">
        <v>433</v>
      </c>
      <c r="B1" s="5" t="s">
        <v>434</v>
      </c>
      <c r="C1" s="5" t="s">
        <v>361</v>
      </c>
      <c r="D1" s="5" t="s">
        <v>363</v>
      </c>
      <c r="E1" s="5" t="s">
        <v>435</v>
      </c>
      <c r="F1" s="5" t="s">
        <v>368</v>
      </c>
      <c r="G1" s="5" t="s">
        <v>369</v>
      </c>
      <c r="H1" s="5" t="s">
        <v>370</v>
      </c>
      <c r="I1" s="5" t="s">
        <v>87</v>
      </c>
      <c r="J1" s="5" t="s">
        <v>88</v>
      </c>
      <c r="K1" s="5" t="s">
        <v>436</v>
      </c>
      <c r="L1" s="5" t="s">
        <v>437</v>
      </c>
      <c r="M1" s="5" t="s">
        <v>438</v>
      </c>
      <c r="N1" s="5" t="s">
        <v>439</v>
      </c>
      <c r="O1" s="5" t="s">
        <v>440</v>
      </c>
      <c r="P1" s="5" t="s">
        <v>89</v>
      </c>
      <c r="Q1" s="5" t="s">
        <v>441</v>
      </c>
      <c r="R1" s="5" t="s">
        <v>442</v>
      </c>
      <c r="S1" s="5" t="s">
        <v>443</v>
      </c>
      <c r="T1" s="5" t="s">
        <v>93</v>
      </c>
      <c r="U1" s="5" t="s">
        <v>92</v>
      </c>
      <c r="V1" s="5" t="s">
        <v>385</v>
      </c>
      <c r="W1" s="5" t="s">
        <v>444</v>
      </c>
      <c r="X1" s="5" t="s">
        <v>445</v>
      </c>
      <c r="Y1" s="5" t="s">
        <v>446</v>
      </c>
      <c r="Z1" s="5" t="s">
        <v>447</v>
      </c>
      <c r="AA1" s="5" t="s">
        <v>98</v>
      </c>
      <c r="AB1" s="5" t="s">
        <v>99</v>
      </c>
    </row>
    <row r="2" spans="1:28" ht="31.5" x14ac:dyDescent="0.25">
      <c r="A2" s="14">
        <f t="shared" ref="A2:A65" si="0">IF(ISBLANK(C2),"",ROW()-1)</f>
        <v>1</v>
      </c>
      <c r="B2" s="14" t="str">
        <f t="shared" ref="B2:B65" si="1">IF(OR(ISBLANK(C2),ISBLANK(F2)),"","DIG-"&amp;IFERROR(VLOOKUP(F2,DigItemTypeLookup,2,FALSE),"?")&amp;"-"&amp;IF(G2="","?",IFERROR(VLOOKUP(G2,SubjectLookup,2,FALSE),"="))&amp;"-"&amp;IF(H2="","?",IFERROR(VLOOKUP(H2,GenreLookup,2,FALSE),"="))&amp;"-"&amp;IF(ISBLANK(D2),"NOC",UPPER(LEFT(TRIM(RIGHT(SUBSTITUTE(TRIM(D2)," ",REPT(" ",100)),100)),3)))&amp;"-"&amp;TEXT(A2,"000"))</f>
        <v>DIG-EB-PHI-REF-GRA-001</v>
      </c>
      <c r="C2" s="8" t="s">
        <v>448</v>
      </c>
      <c r="D2" s="8" t="s">
        <v>449</v>
      </c>
      <c r="E2" s="8"/>
      <c r="F2" s="8" t="s">
        <v>106</v>
      </c>
      <c r="G2" s="8" t="s">
        <v>164</v>
      </c>
      <c r="H2" s="8" t="s">
        <v>330</v>
      </c>
      <c r="I2" s="8" t="s">
        <v>60</v>
      </c>
      <c r="J2" s="8" t="s">
        <v>114</v>
      </c>
      <c r="K2" s="8" t="s">
        <v>450</v>
      </c>
      <c r="L2" s="8" t="s">
        <v>451</v>
      </c>
      <c r="M2" s="8"/>
      <c r="N2" s="8" t="s">
        <v>452</v>
      </c>
      <c r="O2" s="8"/>
      <c r="P2" s="8" t="s">
        <v>235</v>
      </c>
      <c r="Q2" s="8" t="s">
        <v>453</v>
      </c>
      <c r="R2" s="8" t="s">
        <v>454</v>
      </c>
      <c r="S2" s="8" t="s">
        <v>454</v>
      </c>
      <c r="T2" s="8" t="s">
        <v>119</v>
      </c>
      <c r="U2" s="8" t="s">
        <v>145</v>
      </c>
      <c r="V2" s="8" t="s">
        <v>455</v>
      </c>
      <c r="W2" s="8"/>
      <c r="X2" s="8"/>
      <c r="Y2" s="8"/>
      <c r="Z2" s="8"/>
      <c r="AA2" s="8" t="s">
        <v>178</v>
      </c>
      <c r="AB2" s="8" t="s">
        <v>125</v>
      </c>
    </row>
    <row r="3" spans="1:28" ht="31.5" x14ac:dyDescent="0.25">
      <c r="A3" s="14">
        <f t="shared" si="0"/>
        <v>2</v>
      </c>
      <c r="B3" s="14" t="str">
        <f t="shared" si="1"/>
        <v>DIG-EB-LIT-NOV-বন্-002</v>
      </c>
      <c r="C3" s="8" t="s">
        <v>427</v>
      </c>
      <c r="D3" s="8" t="s">
        <v>428</v>
      </c>
      <c r="E3" s="8"/>
      <c r="F3" s="8" t="s">
        <v>106</v>
      </c>
      <c r="G3" s="8" t="s">
        <v>110</v>
      </c>
      <c r="H3" s="8" t="s">
        <v>112</v>
      </c>
      <c r="I3" s="8" t="s">
        <v>141</v>
      </c>
      <c r="J3" s="8" t="s">
        <v>114</v>
      </c>
      <c r="K3" s="8" t="s">
        <v>450</v>
      </c>
      <c r="L3" s="8" t="s">
        <v>451</v>
      </c>
      <c r="M3" s="8"/>
      <c r="N3" s="8" t="s">
        <v>456</v>
      </c>
      <c r="O3" s="8"/>
      <c r="P3" s="8" t="s">
        <v>170</v>
      </c>
      <c r="Q3" s="8" t="s">
        <v>457</v>
      </c>
      <c r="R3" s="8" t="s">
        <v>458</v>
      </c>
      <c r="S3" s="8" t="s">
        <v>458</v>
      </c>
      <c r="T3" s="8" t="s">
        <v>119</v>
      </c>
      <c r="U3" s="8" t="s">
        <v>145</v>
      </c>
      <c r="V3" s="8" t="s">
        <v>459</v>
      </c>
      <c r="W3" s="8"/>
      <c r="X3" s="8"/>
      <c r="Y3" s="8"/>
      <c r="Z3" s="8"/>
      <c r="AA3" s="8" t="s">
        <v>178</v>
      </c>
      <c r="AB3" s="8" t="s">
        <v>125</v>
      </c>
    </row>
    <row r="4" spans="1:28" ht="31.5" x14ac:dyDescent="0.25">
      <c r="A4" s="14">
        <f t="shared" si="0"/>
        <v>3</v>
      </c>
      <c r="B4" s="14" t="str">
        <f t="shared" si="1"/>
        <v>DIG-EB-LIT-ESS-GHO-003</v>
      </c>
      <c r="C4" s="8" t="s">
        <v>460</v>
      </c>
      <c r="D4" s="8" t="s">
        <v>461</v>
      </c>
      <c r="E4" s="8"/>
      <c r="F4" s="8" t="s">
        <v>106</v>
      </c>
      <c r="G4" s="8" t="s">
        <v>110</v>
      </c>
      <c r="H4" s="8" t="s">
        <v>214</v>
      </c>
      <c r="I4" s="8" t="s">
        <v>60</v>
      </c>
      <c r="J4" s="8" t="s">
        <v>142</v>
      </c>
      <c r="K4" s="8" t="s">
        <v>462</v>
      </c>
      <c r="L4" s="8" t="s">
        <v>463</v>
      </c>
      <c r="M4" s="8"/>
      <c r="N4" s="8" t="s">
        <v>464</v>
      </c>
      <c r="O4" s="8"/>
      <c r="P4" s="8" t="s">
        <v>235</v>
      </c>
      <c r="Q4" s="8" t="s">
        <v>453</v>
      </c>
      <c r="R4" s="8" t="s">
        <v>465</v>
      </c>
      <c r="S4" s="8" t="s">
        <v>465</v>
      </c>
      <c r="T4" s="8" t="s">
        <v>119</v>
      </c>
      <c r="U4" s="8" t="s">
        <v>145</v>
      </c>
      <c r="V4" s="8" t="s">
        <v>466</v>
      </c>
      <c r="W4" s="8"/>
      <c r="X4" s="8"/>
      <c r="Y4" s="8"/>
      <c r="Z4" s="8"/>
      <c r="AA4" s="8" t="s">
        <v>124</v>
      </c>
      <c r="AB4" s="8" t="s">
        <v>125</v>
      </c>
    </row>
    <row r="5" spans="1:28" ht="31.5" x14ac:dyDescent="0.25">
      <c r="A5" s="14">
        <f t="shared" si="0"/>
        <v>4</v>
      </c>
      <c r="B5" s="14" t="str">
        <f t="shared" si="1"/>
        <v>DIG-AU-LIT-POE-NOC-004</v>
      </c>
      <c r="C5" s="8" t="s">
        <v>467</v>
      </c>
      <c r="D5" s="8"/>
      <c r="E5" s="8"/>
      <c r="F5" s="8" t="s">
        <v>289</v>
      </c>
      <c r="G5" s="8" t="s">
        <v>110</v>
      </c>
      <c r="H5" s="8" t="s">
        <v>139</v>
      </c>
      <c r="I5" s="8" t="s">
        <v>141</v>
      </c>
      <c r="J5" s="8" t="s">
        <v>348</v>
      </c>
      <c r="K5" s="8" t="s">
        <v>468</v>
      </c>
      <c r="L5" s="8" t="s">
        <v>469</v>
      </c>
      <c r="M5" s="8"/>
      <c r="N5" s="8" t="s">
        <v>470</v>
      </c>
      <c r="O5" s="8"/>
      <c r="P5" s="8" t="s">
        <v>115</v>
      </c>
      <c r="Q5" s="8" t="s">
        <v>457</v>
      </c>
      <c r="R5" s="8" t="s">
        <v>471</v>
      </c>
      <c r="S5" s="8" t="s">
        <v>471</v>
      </c>
      <c r="T5" s="8" t="s">
        <v>222</v>
      </c>
      <c r="U5" s="8" t="s">
        <v>145</v>
      </c>
      <c r="V5" s="8" t="s">
        <v>472</v>
      </c>
      <c r="W5" s="8"/>
      <c r="X5" s="8"/>
      <c r="Y5" s="8"/>
      <c r="Z5" s="8"/>
      <c r="AA5" s="8" t="s">
        <v>204</v>
      </c>
      <c r="AB5" s="8" t="s">
        <v>125</v>
      </c>
    </row>
    <row r="6" spans="1:28" ht="31.5" x14ac:dyDescent="0.25">
      <c r="A6" s="14">
        <f t="shared" si="0"/>
        <v>5</v>
      </c>
      <c r="B6" s="14" t="str">
        <f t="shared" si="1"/>
        <v>DIG-VD-LIT-INT-NOC-005</v>
      </c>
      <c r="C6" s="8" t="s">
        <v>473</v>
      </c>
      <c r="D6" s="8"/>
      <c r="E6" s="8"/>
      <c r="F6" s="8" t="s">
        <v>301</v>
      </c>
      <c r="G6" s="8" t="s">
        <v>110</v>
      </c>
      <c r="H6" s="8" t="s">
        <v>345</v>
      </c>
      <c r="I6" s="8" t="s">
        <v>141</v>
      </c>
      <c r="J6" s="8" t="s">
        <v>352</v>
      </c>
      <c r="K6" s="8" t="s">
        <v>474</v>
      </c>
      <c r="L6" s="8" t="s">
        <v>475</v>
      </c>
      <c r="M6" s="8"/>
      <c r="N6" s="8" t="s">
        <v>476</v>
      </c>
      <c r="O6" s="8"/>
      <c r="P6" s="8" t="s">
        <v>115</v>
      </c>
      <c r="Q6" s="8" t="s">
        <v>457</v>
      </c>
      <c r="R6" s="8" t="s">
        <v>477</v>
      </c>
      <c r="S6" s="8" t="s">
        <v>477</v>
      </c>
      <c r="T6" s="8" t="s">
        <v>222</v>
      </c>
      <c r="U6" s="8" t="s">
        <v>173</v>
      </c>
      <c r="V6" s="8" t="s">
        <v>478</v>
      </c>
      <c r="W6" s="8"/>
      <c r="X6" s="8"/>
      <c r="Y6" s="8"/>
      <c r="Z6" s="8"/>
      <c r="AA6" s="8" t="s">
        <v>204</v>
      </c>
      <c r="AB6" s="8" t="s">
        <v>125</v>
      </c>
    </row>
    <row r="7" spans="1:28" ht="31.5" x14ac:dyDescent="0.25">
      <c r="A7" s="14">
        <f t="shared" si="0"/>
        <v>6</v>
      </c>
      <c r="B7" s="14" t="str">
        <f t="shared" si="1"/>
        <v>DIG-MS-LIT-OTH-NOC-006</v>
      </c>
      <c r="C7" s="8" t="s">
        <v>479</v>
      </c>
      <c r="D7" s="8"/>
      <c r="E7" s="8"/>
      <c r="F7" s="8" t="s">
        <v>108</v>
      </c>
      <c r="G7" s="8" t="s">
        <v>110</v>
      </c>
      <c r="H7" s="8" t="s">
        <v>216</v>
      </c>
      <c r="I7" s="8" t="s">
        <v>141</v>
      </c>
      <c r="J7" s="8" t="s">
        <v>334</v>
      </c>
      <c r="K7" s="8" t="s">
        <v>480</v>
      </c>
      <c r="L7" s="8" t="s">
        <v>481</v>
      </c>
      <c r="M7" s="8"/>
      <c r="N7" s="8" t="s">
        <v>482</v>
      </c>
      <c r="O7" s="8"/>
      <c r="P7" s="8" t="s">
        <v>170</v>
      </c>
      <c r="Q7" s="8" t="s">
        <v>457</v>
      </c>
      <c r="R7" s="8" t="s">
        <v>483</v>
      </c>
      <c r="S7" s="8" t="s">
        <v>483</v>
      </c>
      <c r="T7" s="8" t="s">
        <v>146</v>
      </c>
      <c r="U7" s="8" t="s">
        <v>200</v>
      </c>
      <c r="V7" s="8" t="s">
        <v>484</v>
      </c>
      <c r="W7" s="8"/>
      <c r="X7" s="8"/>
      <c r="Y7" s="8" t="s">
        <v>485</v>
      </c>
      <c r="Z7" s="8"/>
      <c r="AA7" s="8" t="s">
        <v>204</v>
      </c>
      <c r="AB7" s="8" t="s">
        <v>125</v>
      </c>
    </row>
    <row r="8" spans="1:28" ht="15.75" x14ac:dyDescent="0.25">
      <c r="A8" s="14" t="str">
        <f t="shared" si="0"/>
        <v/>
      </c>
      <c r="B8" s="14" t="str">
        <f t="shared" si="1"/>
        <v/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 spans="1:28" ht="15.75" x14ac:dyDescent="0.25">
      <c r="A9" s="14" t="str">
        <f t="shared" si="0"/>
        <v/>
      </c>
      <c r="B9" s="14" t="str">
        <f t="shared" si="1"/>
        <v/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spans="1:28" ht="15.75" x14ac:dyDescent="0.25">
      <c r="A10" s="14" t="str">
        <f t="shared" si="0"/>
        <v/>
      </c>
      <c r="B10" s="14" t="str">
        <f t="shared" si="1"/>
        <v/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 spans="1:28" ht="15.75" x14ac:dyDescent="0.25">
      <c r="A11" s="14" t="str">
        <f t="shared" si="0"/>
        <v/>
      </c>
      <c r="B11" s="14" t="str">
        <f t="shared" si="1"/>
        <v/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spans="1:28" ht="15.75" x14ac:dyDescent="0.25">
      <c r="A12" s="14" t="str">
        <f t="shared" si="0"/>
        <v/>
      </c>
      <c r="B12" s="14" t="str">
        <f t="shared" si="1"/>
        <v/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spans="1:28" ht="15.75" x14ac:dyDescent="0.25">
      <c r="A13" s="14" t="str">
        <f t="shared" si="0"/>
        <v/>
      </c>
      <c r="B13" s="14" t="str">
        <f t="shared" si="1"/>
        <v/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spans="1:28" ht="15.75" x14ac:dyDescent="0.25">
      <c r="A14" s="14" t="str">
        <f t="shared" si="0"/>
        <v/>
      </c>
      <c r="B14" s="14" t="str">
        <f t="shared" si="1"/>
        <v/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spans="1:28" ht="15.75" x14ac:dyDescent="0.25">
      <c r="A15" s="14" t="str">
        <f t="shared" si="0"/>
        <v/>
      </c>
      <c r="B15" s="14" t="str">
        <f t="shared" si="1"/>
        <v/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spans="1:28" ht="15.75" x14ac:dyDescent="0.25">
      <c r="A16" s="14" t="str">
        <f t="shared" si="0"/>
        <v/>
      </c>
      <c r="B16" s="14" t="str">
        <f t="shared" si="1"/>
        <v/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spans="1:28" ht="15.75" x14ac:dyDescent="0.25">
      <c r="A17" s="14" t="str">
        <f t="shared" si="0"/>
        <v/>
      </c>
      <c r="B17" s="14" t="str">
        <f t="shared" si="1"/>
        <v/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spans="1:28" ht="15.75" x14ac:dyDescent="0.25">
      <c r="A18" s="14" t="str">
        <f t="shared" si="0"/>
        <v/>
      </c>
      <c r="B18" s="14" t="str">
        <f t="shared" si="1"/>
        <v/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spans="1:28" ht="15.75" x14ac:dyDescent="0.25">
      <c r="A19" s="14" t="str">
        <f t="shared" si="0"/>
        <v/>
      </c>
      <c r="B19" s="14" t="str">
        <f t="shared" si="1"/>
        <v/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spans="1:28" ht="15.75" x14ac:dyDescent="0.25">
      <c r="A20" s="14" t="str">
        <f t="shared" si="0"/>
        <v/>
      </c>
      <c r="B20" s="14" t="str">
        <f t="shared" si="1"/>
        <v/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 spans="1:28" ht="15.75" x14ac:dyDescent="0.25">
      <c r="A21" s="14" t="str">
        <f t="shared" si="0"/>
        <v/>
      </c>
      <c r="B21" s="14" t="str">
        <f t="shared" si="1"/>
        <v/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spans="1:28" ht="15.75" x14ac:dyDescent="0.25">
      <c r="A22" s="14" t="str">
        <f t="shared" si="0"/>
        <v/>
      </c>
      <c r="B22" s="14" t="str">
        <f t="shared" si="1"/>
        <v/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spans="1:28" ht="15.75" x14ac:dyDescent="0.25">
      <c r="A23" s="14" t="str">
        <f t="shared" si="0"/>
        <v/>
      </c>
      <c r="B23" s="14" t="str">
        <f t="shared" si="1"/>
        <v/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 spans="1:28" ht="15.75" x14ac:dyDescent="0.25">
      <c r="A24" s="14" t="str">
        <f t="shared" si="0"/>
        <v/>
      </c>
      <c r="B24" s="14" t="str">
        <f t="shared" si="1"/>
        <v/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 spans="1:28" ht="15.75" x14ac:dyDescent="0.25">
      <c r="A25" s="14" t="str">
        <f t="shared" si="0"/>
        <v/>
      </c>
      <c r="B25" s="14" t="str">
        <f t="shared" si="1"/>
        <v/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spans="1:28" ht="15.75" x14ac:dyDescent="0.25">
      <c r="A26" s="14" t="str">
        <f t="shared" si="0"/>
        <v/>
      </c>
      <c r="B26" s="14" t="str">
        <f t="shared" si="1"/>
        <v/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spans="1:28" ht="15.75" x14ac:dyDescent="0.25">
      <c r="A27" s="14" t="str">
        <f t="shared" si="0"/>
        <v/>
      </c>
      <c r="B27" s="14" t="str">
        <f t="shared" si="1"/>
        <v/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spans="1:28" ht="15.75" x14ac:dyDescent="0.25">
      <c r="A28" s="14" t="str">
        <f t="shared" si="0"/>
        <v/>
      </c>
      <c r="B28" s="14" t="str">
        <f t="shared" si="1"/>
        <v/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spans="1:28" ht="15.75" x14ac:dyDescent="0.25">
      <c r="A29" s="14" t="str">
        <f t="shared" si="0"/>
        <v/>
      </c>
      <c r="B29" s="14" t="str">
        <f t="shared" si="1"/>
        <v/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spans="1:28" ht="15.75" x14ac:dyDescent="0.25">
      <c r="A30" s="14" t="str">
        <f t="shared" si="0"/>
        <v/>
      </c>
      <c r="B30" s="14" t="str">
        <f t="shared" si="1"/>
        <v/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spans="1:28" ht="15.75" x14ac:dyDescent="0.25">
      <c r="A31" s="14" t="str">
        <f t="shared" si="0"/>
        <v/>
      </c>
      <c r="B31" s="14" t="str">
        <f t="shared" si="1"/>
        <v/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spans="1:28" ht="15.75" x14ac:dyDescent="0.25">
      <c r="A32" s="14" t="str">
        <f t="shared" si="0"/>
        <v/>
      </c>
      <c r="B32" s="14" t="str">
        <f t="shared" si="1"/>
        <v/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spans="1:28" ht="15.75" x14ac:dyDescent="0.25">
      <c r="A33" s="14" t="str">
        <f t="shared" si="0"/>
        <v/>
      </c>
      <c r="B33" s="14" t="str">
        <f t="shared" si="1"/>
        <v/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 spans="1:28" ht="15.75" x14ac:dyDescent="0.25">
      <c r="A34" s="14" t="str">
        <f t="shared" si="0"/>
        <v/>
      </c>
      <c r="B34" s="14" t="str">
        <f t="shared" si="1"/>
        <v/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 spans="1:28" ht="15.75" x14ac:dyDescent="0.25">
      <c r="A35" s="14" t="str">
        <f t="shared" si="0"/>
        <v/>
      </c>
      <c r="B35" s="14" t="str">
        <f t="shared" si="1"/>
        <v/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 spans="1:28" ht="15.75" x14ac:dyDescent="0.25">
      <c r="A36" s="14" t="str">
        <f t="shared" si="0"/>
        <v/>
      </c>
      <c r="B36" s="14" t="str">
        <f t="shared" si="1"/>
        <v/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 spans="1:28" ht="15.75" x14ac:dyDescent="0.25">
      <c r="A37" s="14" t="str">
        <f t="shared" si="0"/>
        <v/>
      </c>
      <c r="B37" s="14" t="str">
        <f t="shared" si="1"/>
        <v/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 spans="1:28" ht="15.75" x14ac:dyDescent="0.25">
      <c r="A38" s="14" t="str">
        <f t="shared" si="0"/>
        <v/>
      </c>
      <c r="B38" s="14" t="str">
        <f t="shared" si="1"/>
        <v/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 spans="1:28" ht="15.75" x14ac:dyDescent="0.25">
      <c r="A39" s="14" t="str">
        <f t="shared" si="0"/>
        <v/>
      </c>
      <c r="B39" s="14" t="str">
        <f t="shared" si="1"/>
        <v/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 spans="1:28" ht="15.75" x14ac:dyDescent="0.25">
      <c r="A40" s="14" t="str">
        <f t="shared" si="0"/>
        <v/>
      </c>
      <c r="B40" s="14" t="str">
        <f t="shared" si="1"/>
        <v/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</row>
    <row r="41" spans="1:28" ht="15.75" x14ac:dyDescent="0.25">
      <c r="A41" s="14" t="str">
        <f t="shared" si="0"/>
        <v/>
      </c>
      <c r="B41" s="14" t="str">
        <f t="shared" si="1"/>
        <v/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spans="1:28" ht="15.75" x14ac:dyDescent="0.25">
      <c r="A42" s="14" t="str">
        <f t="shared" si="0"/>
        <v/>
      </c>
      <c r="B42" s="14" t="str">
        <f t="shared" si="1"/>
        <v/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spans="1:28" ht="15.75" x14ac:dyDescent="0.25">
      <c r="A43" s="14" t="str">
        <f t="shared" si="0"/>
        <v/>
      </c>
      <c r="B43" s="14" t="str">
        <f t="shared" si="1"/>
        <v/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 spans="1:28" ht="15.75" x14ac:dyDescent="0.25">
      <c r="A44" s="14" t="str">
        <f t="shared" si="0"/>
        <v/>
      </c>
      <c r="B44" s="14" t="str">
        <f t="shared" si="1"/>
        <v/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 spans="1:28" ht="15.75" x14ac:dyDescent="0.25">
      <c r="A45" s="14" t="str">
        <f t="shared" si="0"/>
        <v/>
      </c>
      <c r="B45" s="14" t="str">
        <f t="shared" si="1"/>
        <v/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 spans="1:28" ht="15.75" x14ac:dyDescent="0.25">
      <c r="A46" s="14" t="str">
        <f t="shared" si="0"/>
        <v/>
      </c>
      <c r="B46" s="14" t="str">
        <f t="shared" si="1"/>
        <v/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 spans="1:28" ht="15.75" x14ac:dyDescent="0.25">
      <c r="A47" s="14" t="str">
        <f t="shared" si="0"/>
        <v/>
      </c>
      <c r="B47" s="14" t="str">
        <f t="shared" si="1"/>
        <v/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 spans="1:28" ht="15.75" x14ac:dyDescent="0.25">
      <c r="A48" s="14" t="str">
        <f t="shared" si="0"/>
        <v/>
      </c>
      <c r="B48" s="14" t="str">
        <f t="shared" si="1"/>
        <v/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 spans="1:28" ht="15.75" x14ac:dyDescent="0.25">
      <c r="A49" s="14" t="str">
        <f t="shared" si="0"/>
        <v/>
      </c>
      <c r="B49" s="14" t="str">
        <f t="shared" si="1"/>
        <v/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 spans="1:28" ht="15.75" x14ac:dyDescent="0.25">
      <c r="A50" s="14" t="str">
        <f t="shared" si="0"/>
        <v/>
      </c>
      <c r="B50" s="14" t="str">
        <f t="shared" si="1"/>
        <v/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 spans="1:28" ht="15.75" x14ac:dyDescent="0.25">
      <c r="A51" s="14" t="str">
        <f t="shared" si="0"/>
        <v/>
      </c>
      <c r="B51" s="14" t="str">
        <f t="shared" si="1"/>
        <v/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 spans="1:28" ht="15.75" x14ac:dyDescent="0.25">
      <c r="A52" s="14" t="str">
        <f t="shared" si="0"/>
        <v/>
      </c>
      <c r="B52" s="14" t="str">
        <f t="shared" si="1"/>
        <v/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 spans="1:28" ht="15.75" x14ac:dyDescent="0.25">
      <c r="A53" s="14" t="str">
        <f t="shared" si="0"/>
        <v/>
      </c>
      <c r="B53" s="14" t="str">
        <f t="shared" si="1"/>
        <v/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 spans="1:28" ht="15.75" x14ac:dyDescent="0.25">
      <c r="A54" s="14" t="str">
        <f t="shared" si="0"/>
        <v/>
      </c>
      <c r="B54" s="14" t="str">
        <f t="shared" si="1"/>
        <v/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 spans="1:28" ht="15.75" x14ac:dyDescent="0.25">
      <c r="A55" s="14" t="str">
        <f t="shared" si="0"/>
        <v/>
      </c>
      <c r="B55" s="14" t="str">
        <f t="shared" si="1"/>
        <v/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 spans="1:28" ht="15.75" x14ac:dyDescent="0.25">
      <c r="A56" s="14" t="str">
        <f t="shared" si="0"/>
        <v/>
      </c>
      <c r="B56" s="14" t="str">
        <f t="shared" si="1"/>
        <v/>
      </c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 spans="1:28" ht="15.75" x14ac:dyDescent="0.25">
      <c r="A57" s="14" t="str">
        <f t="shared" si="0"/>
        <v/>
      </c>
      <c r="B57" s="14" t="str">
        <f t="shared" si="1"/>
        <v/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 spans="1:28" ht="15.75" x14ac:dyDescent="0.25">
      <c r="A58" s="14" t="str">
        <f t="shared" si="0"/>
        <v/>
      </c>
      <c r="B58" s="14" t="str">
        <f t="shared" si="1"/>
        <v/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 spans="1:28" ht="15.75" x14ac:dyDescent="0.25">
      <c r="A59" s="14" t="str">
        <f t="shared" si="0"/>
        <v/>
      </c>
      <c r="B59" s="14" t="str">
        <f t="shared" si="1"/>
        <v/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 spans="1:28" ht="15.75" x14ac:dyDescent="0.25">
      <c r="A60" s="14" t="str">
        <f t="shared" si="0"/>
        <v/>
      </c>
      <c r="B60" s="14" t="str">
        <f t="shared" si="1"/>
        <v/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</row>
    <row r="61" spans="1:28" ht="15.75" x14ac:dyDescent="0.25">
      <c r="A61" s="14" t="str">
        <f t="shared" si="0"/>
        <v/>
      </c>
      <c r="B61" s="14" t="str">
        <f t="shared" si="1"/>
        <v/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</row>
    <row r="62" spans="1:28" ht="15.75" x14ac:dyDescent="0.25">
      <c r="A62" s="14" t="str">
        <f t="shared" si="0"/>
        <v/>
      </c>
      <c r="B62" s="14" t="str">
        <f t="shared" si="1"/>
        <v/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 spans="1:28" ht="15.75" x14ac:dyDescent="0.25">
      <c r="A63" s="14" t="str">
        <f t="shared" si="0"/>
        <v/>
      </c>
      <c r="B63" s="14" t="str">
        <f t="shared" si="1"/>
        <v/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 spans="1:28" ht="15.75" x14ac:dyDescent="0.25">
      <c r="A64" s="14" t="str">
        <f t="shared" si="0"/>
        <v/>
      </c>
      <c r="B64" s="14" t="str">
        <f t="shared" si="1"/>
        <v/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 spans="1:28" ht="15.75" x14ac:dyDescent="0.25">
      <c r="A65" s="14" t="str">
        <f t="shared" si="0"/>
        <v/>
      </c>
      <c r="B65" s="14" t="str">
        <f t="shared" si="1"/>
        <v/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 spans="1:28" ht="15.75" x14ac:dyDescent="0.25">
      <c r="A66" s="14" t="str">
        <f t="shared" ref="A66:A129" si="2">IF(ISBLANK(C66),"",ROW()-1)</f>
        <v/>
      </c>
      <c r="B66" s="14" t="str">
        <f t="shared" ref="B66:B129" si="3">IF(OR(ISBLANK(C66),ISBLANK(F66)),"","DIG-"&amp;IFERROR(VLOOKUP(F66,DigItemTypeLookup,2,FALSE),"?")&amp;"-"&amp;IF(G66="","?",IFERROR(VLOOKUP(G66,SubjectLookup,2,FALSE),"="))&amp;"-"&amp;IF(H66="","?",IFERROR(VLOOKUP(H66,GenreLookup,2,FALSE),"="))&amp;"-"&amp;IF(ISBLANK(D66),"NOC",UPPER(LEFT(TRIM(RIGHT(SUBSTITUTE(TRIM(D66)," ",REPT(" ",100)),100)),3)))&amp;"-"&amp;TEXT(A66,"000"))</f>
        <v/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 spans="1:28" ht="15.75" x14ac:dyDescent="0.25">
      <c r="A67" s="14" t="str">
        <f t="shared" si="2"/>
        <v/>
      </c>
      <c r="B67" s="14" t="str">
        <f t="shared" si="3"/>
        <v/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 spans="1:28" ht="15.75" x14ac:dyDescent="0.25">
      <c r="A68" s="14" t="str">
        <f t="shared" si="2"/>
        <v/>
      </c>
      <c r="B68" s="14" t="str">
        <f t="shared" si="3"/>
        <v/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 spans="1:28" ht="15.75" x14ac:dyDescent="0.25">
      <c r="A69" s="14" t="str">
        <f t="shared" si="2"/>
        <v/>
      </c>
      <c r="B69" s="14" t="str">
        <f t="shared" si="3"/>
        <v/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 spans="1:28" ht="15.75" x14ac:dyDescent="0.25">
      <c r="A70" s="14" t="str">
        <f t="shared" si="2"/>
        <v/>
      </c>
      <c r="B70" s="14" t="str">
        <f t="shared" si="3"/>
        <v/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 spans="1:28" ht="15.75" x14ac:dyDescent="0.25">
      <c r="A71" s="14" t="str">
        <f t="shared" si="2"/>
        <v/>
      </c>
      <c r="B71" s="14" t="str">
        <f t="shared" si="3"/>
        <v/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spans="1:28" ht="15.75" x14ac:dyDescent="0.25">
      <c r="A72" s="14" t="str">
        <f t="shared" si="2"/>
        <v/>
      </c>
      <c r="B72" s="14" t="str">
        <f t="shared" si="3"/>
        <v/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 spans="1:28" ht="15.75" x14ac:dyDescent="0.25">
      <c r="A73" s="14" t="str">
        <f t="shared" si="2"/>
        <v/>
      </c>
      <c r="B73" s="14" t="str">
        <f t="shared" si="3"/>
        <v/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 spans="1:28" ht="15.75" x14ac:dyDescent="0.25">
      <c r="A74" s="14" t="str">
        <f t="shared" si="2"/>
        <v/>
      </c>
      <c r="B74" s="14" t="str">
        <f t="shared" si="3"/>
        <v/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 spans="1:28" ht="15.75" x14ac:dyDescent="0.25">
      <c r="A75" s="14" t="str">
        <f t="shared" si="2"/>
        <v/>
      </c>
      <c r="B75" s="14" t="str">
        <f t="shared" si="3"/>
        <v/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 spans="1:28" ht="15.75" x14ac:dyDescent="0.25">
      <c r="A76" s="14" t="str">
        <f t="shared" si="2"/>
        <v/>
      </c>
      <c r="B76" s="14" t="str">
        <f t="shared" si="3"/>
        <v/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 spans="1:28" ht="15.75" x14ac:dyDescent="0.25">
      <c r="A77" s="14" t="str">
        <f t="shared" si="2"/>
        <v/>
      </c>
      <c r="B77" s="14" t="str">
        <f t="shared" si="3"/>
        <v/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spans="1:28" ht="15.75" x14ac:dyDescent="0.25">
      <c r="A78" s="14" t="str">
        <f t="shared" si="2"/>
        <v/>
      </c>
      <c r="B78" s="14" t="str">
        <f t="shared" si="3"/>
        <v/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 spans="1:28" ht="15.75" x14ac:dyDescent="0.25">
      <c r="A79" s="14" t="str">
        <f t="shared" si="2"/>
        <v/>
      </c>
      <c r="B79" s="14" t="str">
        <f t="shared" si="3"/>
        <v/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 spans="1:28" ht="15.75" x14ac:dyDescent="0.25">
      <c r="A80" s="14" t="str">
        <f t="shared" si="2"/>
        <v/>
      </c>
      <c r="B80" s="14" t="str">
        <f t="shared" si="3"/>
        <v/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spans="1:28" ht="15.75" x14ac:dyDescent="0.25">
      <c r="A81" s="14" t="str">
        <f t="shared" si="2"/>
        <v/>
      </c>
      <c r="B81" s="14" t="str">
        <f t="shared" si="3"/>
        <v/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spans="1:28" ht="15.75" x14ac:dyDescent="0.25">
      <c r="A82" s="14" t="str">
        <f t="shared" si="2"/>
        <v/>
      </c>
      <c r="B82" s="14" t="str">
        <f t="shared" si="3"/>
        <v/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 spans="1:28" ht="15.75" x14ac:dyDescent="0.25">
      <c r="A83" s="14" t="str">
        <f t="shared" si="2"/>
        <v/>
      </c>
      <c r="B83" s="14" t="str">
        <f t="shared" si="3"/>
        <v/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 spans="1:28" ht="15.75" x14ac:dyDescent="0.25">
      <c r="A84" s="14" t="str">
        <f t="shared" si="2"/>
        <v/>
      </c>
      <c r="B84" s="14" t="str">
        <f t="shared" si="3"/>
        <v/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 spans="1:28" ht="15.75" x14ac:dyDescent="0.25">
      <c r="A85" s="14" t="str">
        <f t="shared" si="2"/>
        <v/>
      </c>
      <c r="B85" s="14" t="str">
        <f t="shared" si="3"/>
        <v/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 spans="1:28" ht="15.75" x14ac:dyDescent="0.25">
      <c r="A86" s="14" t="str">
        <f t="shared" si="2"/>
        <v/>
      </c>
      <c r="B86" s="14" t="str">
        <f t="shared" si="3"/>
        <v/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spans="1:28" ht="15.75" x14ac:dyDescent="0.25">
      <c r="A87" s="14" t="str">
        <f t="shared" si="2"/>
        <v/>
      </c>
      <c r="B87" s="14" t="str">
        <f t="shared" si="3"/>
        <v/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spans="1:28" ht="15.75" x14ac:dyDescent="0.25">
      <c r="A88" s="14" t="str">
        <f t="shared" si="2"/>
        <v/>
      </c>
      <c r="B88" s="14" t="str">
        <f t="shared" si="3"/>
        <v/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spans="1:28" ht="15.75" x14ac:dyDescent="0.25">
      <c r="A89" s="14" t="str">
        <f t="shared" si="2"/>
        <v/>
      </c>
      <c r="B89" s="14" t="str">
        <f t="shared" si="3"/>
        <v/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spans="1:28" ht="15.75" x14ac:dyDescent="0.25">
      <c r="A90" s="14" t="str">
        <f t="shared" si="2"/>
        <v/>
      </c>
      <c r="B90" s="14" t="str">
        <f t="shared" si="3"/>
        <v/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spans="1:28" ht="15.75" x14ac:dyDescent="0.25">
      <c r="A91" s="14" t="str">
        <f t="shared" si="2"/>
        <v/>
      </c>
      <c r="B91" s="14" t="str">
        <f t="shared" si="3"/>
        <v/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spans="1:28" ht="15.75" x14ac:dyDescent="0.25">
      <c r="A92" s="14" t="str">
        <f t="shared" si="2"/>
        <v/>
      </c>
      <c r="B92" s="14" t="str">
        <f t="shared" si="3"/>
        <v/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spans="1:28" ht="15.75" x14ac:dyDescent="0.25">
      <c r="A93" s="14" t="str">
        <f t="shared" si="2"/>
        <v/>
      </c>
      <c r="B93" s="14" t="str">
        <f t="shared" si="3"/>
        <v/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spans="1:28" ht="15.75" x14ac:dyDescent="0.25">
      <c r="A94" s="14" t="str">
        <f t="shared" si="2"/>
        <v/>
      </c>
      <c r="B94" s="14" t="str">
        <f t="shared" si="3"/>
        <v/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spans="1:28" ht="15.75" x14ac:dyDescent="0.25">
      <c r="A95" s="14" t="str">
        <f t="shared" si="2"/>
        <v/>
      </c>
      <c r="B95" s="14" t="str">
        <f t="shared" si="3"/>
        <v/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spans="1:28" ht="15.75" x14ac:dyDescent="0.25">
      <c r="A96" s="14" t="str">
        <f t="shared" si="2"/>
        <v/>
      </c>
      <c r="B96" s="14" t="str">
        <f t="shared" si="3"/>
        <v/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spans="1:28" ht="15.75" x14ac:dyDescent="0.25">
      <c r="A97" s="14" t="str">
        <f t="shared" si="2"/>
        <v/>
      </c>
      <c r="B97" s="14" t="str">
        <f t="shared" si="3"/>
        <v/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spans="1:28" ht="15.75" x14ac:dyDescent="0.25">
      <c r="A98" s="14" t="str">
        <f t="shared" si="2"/>
        <v/>
      </c>
      <c r="B98" s="14" t="str">
        <f t="shared" si="3"/>
        <v/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spans="1:28" ht="15.75" x14ac:dyDescent="0.25">
      <c r="A99" s="14" t="str">
        <f t="shared" si="2"/>
        <v/>
      </c>
      <c r="B99" s="14" t="str">
        <f t="shared" si="3"/>
        <v/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spans="1:28" ht="15.75" x14ac:dyDescent="0.25">
      <c r="A100" s="14" t="str">
        <f t="shared" si="2"/>
        <v/>
      </c>
      <c r="B100" s="14" t="str">
        <f t="shared" si="3"/>
        <v/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spans="1:28" ht="15.75" x14ac:dyDescent="0.25">
      <c r="A101" s="14" t="str">
        <f t="shared" si="2"/>
        <v/>
      </c>
      <c r="B101" s="14" t="str">
        <f t="shared" si="3"/>
        <v/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spans="1:28" ht="15.75" x14ac:dyDescent="0.25">
      <c r="A102" s="14" t="str">
        <f t="shared" si="2"/>
        <v/>
      </c>
      <c r="B102" s="14" t="str">
        <f t="shared" si="3"/>
        <v/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spans="1:28" ht="15.75" x14ac:dyDescent="0.25">
      <c r="A103" s="14" t="str">
        <f t="shared" si="2"/>
        <v/>
      </c>
      <c r="B103" s="14" t="str">
        <f t="shared" si="3"/>
        <v/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spans="1:28" ht="15.75" x14ac:dyDescent="0.25">
      <c r="A104" s="14" t="str">
        <f t="shared" si="2"/>
        <v/>
      </c>
      <c r="B104" s="14" t="str">
        <f t="shared" si="3"/>
        <v/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spans="1:28" ht="15.75" x14ac:dyDescent="0.25">
      <c r="A105" s="14" t="str">
        <f t="shared" si="2"/>
        <v/>
      </c>
      <c r="B105" s="14" t="str">
        <f t="shared" si="3"/>
        <v/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spans="1:28" ht="15.75" x14ac:dyDescent="0.25">
      <c r="A106" s="14" t="str">
        <f t="shared" si="2"/>
        <v/>
      </c>
      <c r="B106" s="14" t="str">
        <f t="shared" si="3"/>
        <v/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  <row r="107" spans="1:28" ht="15.75" x14ac:dyDescent="0.25">
      <c r="A107" s="14" t="str">
        <f t="shared" si="2"/>
        <v/>
      </c>
      <c r="B107" s="14" t="str">
        <f t="shared" si="3"/>
        <v/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</row>
    <row r="108" spans="1:28" ht="15.75" x14ac:dyDescent="0.25">
      <c r="A108" s="14" t="str">
        <f t="shared" si="2"/>
        <v/>
      </c>
      <c r="B108" s="14" t="str">
        <f t="shared" si="3"/>
        <v/>
      </c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</row>
    <row r="109" spans="1:28" ht="15.75" x14ac:dyDescent="0.25">
      <c r="A109" s="14" t="str">
        <f t="shared" si="2"/>
        <v/>
      </c>
      <c r="B109" s="14" t="str">
        <f t="shared" si="3"/>
        <v/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</row>
    <row r="110" spans="1:28" ht="15.75" x14ac:dyDescent="0.25">
      <c r="A110" s="14" t="str">
        <f t="shared" si="2"/>
        <v/>
      </c>
      <c r="B110" s="14" t="str">
        <f t="shared" si="3"/>
        <v/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</row>
    <row r="111" spans="1:28" ht="15.75" x14ac:dyDescent="0.25">
      <c r="A111" s="14" t="str">
        <f t="shared" si="2"/>
        <v/>
      </c>
      <c r="B111" s="14" t="str">
        <f t="shared" si="3"/>
        <v/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</row>
    <row r="112" spans="1:28" ht="15.75" x14ac:dyDescent="0.25">
      <c r="A112" s="14" t="str">
        <f t="shared" si="2"/>
        <v/>
      </c>
      <c r="B112" s="14" t="str">
        <f t="shared" si="3"/>
        <v/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</row>
    <row r="113" spans="1:28" ht="15.75" x14ac:dyDescent="0.25">
      <c r="A113" s="14" t="str">
        <f t="shared" si="2"/>
        <v/>
      </c>
      <c r="B113" s="14" t="str">
        <f t="shared" si="3"/>
        <v/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</row>
    <row r="114" spans="1:28" ht="15.75" x14ac:dyDescent="0.25">
      <c r="A114" s="14" t="str">
        <f t="shared" si="2"/>
        <v/>
      </c>
      <c r="B114" s="14" t="str">
        <f t="shared" si="3"/>
        <v/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</row>
    <row r="115" spans="1:28" ht="15.75" x14ac:dyDescent="0.25">
      <c r="A115" s="14" t="str">
        <f t="shared" si="2"/>
        <v/>
      </c>
      <c r="B115" s="14" t="str">
        <f t="shared" si="3"/>
        <v/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</row>
    <row r="116" spans="1:28" ht="15.75" x14ac:dyDescent="0.25">
      <c r="A116" s="14" t="str">
        <f t="shared" si="2"/>
        <v/>
      </c>
      <c r="B116" s="14" t="str">
        <f t="shared" si="3"/>
        <v/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</row>
    <row r="117" spans="1:28" ht="15.75" x14ac:dyDescent="0.25">
      <c r="A117" s="14" t="str">
        <f t="shared" si="2"/>
        <v/>
      </c>
      <c r="B117" s="14" t="str">
        <f t="shared" si="3"/>
        <v/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</row>
    <row r="118" spans="1:28" ht="15.75" x14ac:dyDescent="0.25">
      <c r="A118" s="14" t="str">
        <f t="shared" si="2"/>
        <v/>
      </c>
      <c r="B118" s="14" t="str">
        <f t="shared" si="3"/>
        <v/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</row>
    <row r="119" spans="1:28" ht="15.75" x14ac:dyDescent="0.25">
      <c r="A119" s="14" t="str">
        <f t="shared" si="2"/>
        <v/>
      </c>
      <c r="B119" s="14" t="str">
        <f t="shared" si="3"/>
        <v/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</row>
    <row r="120" spans="1:28" ht="15.75" x14ac:dyDescent="0.25">
      <c r="A120" s="14" t="str">
        <f t="shared" si="2"/>
        <v/>
      </c>
      <c r="B120" s="14" t="str">
        <f t="shared" si="3"/>
        <v/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</row>
    <row r="121" spans="1:28" ht="15.75" x14ac:dyDescent="0.25">
      <c r="A121" s="14" t="str">
        <f t="shared" si="2"/>
        <v/>
      </c>
      <c r="B121" s="14" t="str">
        <f t="shared" si="3"/>
        <v/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</row>
    <row r="122" spans="1:28" ht="15.75" x14ac:dyDescent="0.25">
      <c r="A122" s="14" t="str">
        <f t="shared" si="2"/>
        <v/>
      </c>
      <c r="B122" s="14" t="str">
        <f t="shared" si="3"/>
        <v/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</row>
    <row r="123" spans="1:28" ht="15.75" x14ac:dyDescent="0.25">
      <c r="A123" s="14" t="str">
        <f t="shared" si="2"/>
        <v/>
      </c>
      <c r="B123" s="14" t="str">
        <f t="shared" si="3"/>
        <v/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</row>
    <row r="124" spans="1:28" ht="15.75" x14ac:dyDescent="0.25">
      <c r="A124" s="14" t="str">
        <f t="shared" si="2"/>
        <v/>
      </c>
      <c r="B124" s="14" t="str">
        <f t="shared" si="3"/>
        <v/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</row>
    <row r="125" spans="1:28" ht="15.75" x14ac:dyDescent="0.25">
      <c r="A125" s="14" t="str">
        <f t="shared" si="2"/>
        <v/>
      </c>
      <c r="B125" s="14" t="str">
        <f t="shared" si="3"/>
        <v/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</row>
    <row r="126" spans="1:28" ht="15.75" x14ac:dyDescent="0.25">
      <c r="A126" s="14" t="str">
        <f t="shared" si="2"/>
        <v/>
      </c>
      <c r="B126" s="14" t="str">
        <f t="shared" si="3"/>
        <v/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</row>
    <row r="127" spans="1:28" ht="15.75" x14ac:dyDescent="0.25">
      <c r="A127" s="14" t="str">
        <f t="shared" si="2"/>
        <v/>
      </c>
      <c r="B127" s="14" t="str">
        <f t="shared" si="3"/>
        <v/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</row>
    <row r="128" spans="1:28" ht="15.75" x14ac:dyDescent="0.25">
      <c r="A128" s="14" t="str">
        <f t="shared" si="2"/>
        <v/>
      </c>
      <c r="B128" s="14" t="str">
        <f t="shared" si="3"/>
        <v/>
      </c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</row>
    <row r="129" spans="1:28" ht="15.75" x14ac:dyDescent="0.25">
      <c r="A129" s="14" t="str">
        <f t="shared" si="2"/>
        <v/>
      </c>
      <c r="B129" s="14" t="str">
        <f t="shared" si="3"/>
        <v/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</row>
    <row r="130" spans="1:28" ht="15.75" x14ac:dyDescent="0.25">
      <c r="A130" s="14" t="str">
        <f t="shared" ref="A130:A193" si="4">IF(ISBLANK(C130),"",ROW()-1)</f>
        <v/>
      </c>
      <c r="B130" s="14" t="str">
        <f t="shared" ref="B130:B193" si="5">IF(OR(ISBLANK(C130),ISBLANK(F130)),"","DIG-"&amp;IFERROR(VLOOKUP(F130,DigItemTypeLookup,2,FALSE),"?")&amp;"-"&amp;IF(G130="","?",IFERROR(VLOOKUP(G130,SubjectLookup,2,FALSE),"="))&amp;"-"&amp;IF(H130="","?",IFERROR(VLOOKUP(H130,GenreLookup,2,FALSE),"="))&amp;"-"&amp;IF(ISBLANK(D130),"NOC",UPPER(LEFT(TRIM(RIGHT(SUBSTITUTE(TRIM(D130)," ",REPT(" ",100)),100)),3)))&amp;"-"&amp;TEXT(A130,"000"))</f>
        <v/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</row>
    <row r="131" spans="1:28" ht="15.75" x14ac:dyDescent="0.25">
      <c r="A131" s="14" t="str">
        <f t="shared" si="4"/>
        <v/>
      </c>
      <c r="B131" s="14" t="str">
        <f t="shared" si="5"/>
        <v/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</row>
    <row r="132" spans="1:28" ht="15.75" x14ac:dyDescent="0.25">
      <c r="A132" s="14" t="str">
        <f t="shared" si="4"/>
        <v/>
      </c>
      <c r="B132" s="14" t="str">
        <f t="shared" si="5"/>
        <v/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</row>
    <row r="133" spans="1:28" ht="15.75" x14ac:dyDescent="0.25">
      <c r="A133" s="14" t="str">
        <f t="shared" si="4"/>
        <v/>
      </c>
      <c r="B133" s="14" t="str">
        <f t="shared" si="5"/>
        <v/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</row>
    <row r="134" spans="1:28" ht="15.75" x14ac:dyDescent="0.25">
      <c r="A134" s="14" t="str">
        <f t="shared" si="4"/>
        <v/>
      </c>
      <c r="B134" s="14" t="str">
        <f t="shared" si="5"/>
        <v/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</row>
    <row r="135" spans="1:28" ht="15.75" x14ac:dyDescent="0.25">
      <c r="A135" s="14" t="str">
        <f t="shared" si="4"/>
        <v/>
      </c>
      <c r="B135" s="14" t="str">
        <f t="shared" si="5"/>
        <v/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</row>
    <row r="136" spans="1:28" ht="15.75" x14ac:dyDescent="0.25">
      <c r="A136" s="14" t="str">
        <f t="shared" si="4"/>
        <v/>
      </c>
      <c r="B136" s="14" t="str">
        <f t="shared" si="5"/>
        <v/>
      </c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</row>
    <row r="137" spans="1:28" ht="15.75" x14ac:dyDescent="0.25">
      <c r="A137" s="14" t="str">
        <f t="shared" si="4"/>
        <v/>
      </c>
      <c r="B137" s="14" t="str">
        <f t="shared" si="5"/>
        <v/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</row>
    <row r="138" spans="1:28" ht="15.75" x14ac:dyDescent="0.25">
      <c r="A138" s="14" t="str">
        <f t="shared" si="4"/>
        <v/>
      </c>
      <c r="B138" s="14" t="str">
        <f t="shared" si="5"/>
        <v/>
      </c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</row>
    <row r="139" spans="1:28" ht="15.75" x14ac:dyDescent="0.25">
      <c r="A139" s="14" t="str">
        <f t="shared" si="4"/>
        <v/>
      </c>
      <c r="B139" s="14" t="str">
        <f t="shared" si="5"/>
        <v/>
      </c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</row>
    <row r="140" spans="1:28" ht="15.75" x14ac:dyDescent="0.25">
      <c r="A140" s="14" t="str">
        <f t="shared" si="4"/>
        <v/>
      </c>
      <c r="B140" s="14" t="str">
        <f t="shared" si="5"/>
        <v/>
      </c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</row>
    <row r="141" spans="1:28" ht="15.75" x14ac:dyDescent="0.25">
      <c r="A141" s="14" t="str">
        <f t="shared" si="4"/>
        <v/>
      </c>
      <c r="B141" s="14" t="str">
        <f t="shared" si="5"/>
        <v/>
      </c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</row>
    <row r="142" spans="1:28" ht="15.75" x14ac:dyDescent="0.25">
      <c r="A142" s="14" t="str">
        <f t="shared" si="4"/>
        <v/>
      </c>
      <c r="B142" s="14" t="str">
        <f t="shared" si="5"/>
        <v/>
      </c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</row>
    <row r="143" spans="1:28" ht="15.75" x14ac:dyDescent="0.25">
      <c r="A143" s="14" t="str">
        <f t="shared" si="4"/>
        <v/>
      </c>
      <c r="B143" s="14" t="str">
        <f t="shared" si="5"/>
        <v/>
      </c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</row>
    <row r="144" spans="1:28" ht="15.75" x14ac:dyDescent="0.25">
      <c r="A144" s="14" t="str">
        <f t="shared" si="4"/>
        <v/>
      </c>
      <c r="B144" s="14" t="str">
        <f t="shared" si="5"/>
        <v/>
      </c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</row>
    <row r="145" spans="1:28" ht="15.75" x14ac:dyDescent="0.25">
      <c r="A145" s="14" t="str">
        <f t="shared" si="4"/>
        <v/>
      </c>
      <c r="B145" s="14" t="str">
        <f t="shared" si="5"/>
        <v/>
      </c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</row>
    <row r="146" spans="1:28" ht="15.75" x14ac:dyDescent="0.25">
      <c r="A146" s="14" t="str">
        <f t="shared" si="4"/>
        <v/>
      </c>
      <c r="B146" s="14" t="str">
        <f t="shared" si="5"/>
        <v/>
      </c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</row>
    <row r="147" spans="1:28" ht="15.75" x14ac:dyDescent="0.25">
      <c r="A147" s="14" t="str">
        <f t="shared" si="4"/>
        <v/>
      </c>
      <c r="B147" s="14" t="str">
        <f t="shared" si="5"/>
        <v/>
      </c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</row>
    <row r="148" spans="1:28" ht="15.75" x14ac:dyDescent="0.25">
      <c r="A148" s="14" t="str">
        <f t="shared" si="4"/>
        <v/>
      </c>
      <c r="B148" s="14" t="str">
        <f t="shared" si="5"/>
        <v/>
      </c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</row>
    <row r="149" spans="1:28" ht="15.75" x14ac:dyDescent="0.25">
      <c r="A149" s="14" t="str">
        <f t="shared" si="4"/>
        <v/>
      </c>
      <c r="B149" s="14" t="str">
        <f t="shared" si="5"/>
        <v/>
      </c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</row>
    <row r="150" spans="1:28" ht="15.75" x14ac:dyDescent="0.25">
      <c r="A150" s="14" t="str">
        <f t="shared" si="4"/>
        <v/>
      </c>
      <c r="B150" s="14" t="str">
        <f t="shared" si="5"/>
        <v/>
      </c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</row>
    <row r="151" spans="1:28" ht="15.75" x14ac:dyDescent="0.25">
      <c r="A151" s="14" t="str">
        <f t="shared" si="4"/>
        <v/>
      </c>
      <c r="B151" s="14" t="str">
        <f t="shared" si="5"/>
        <v/>
      </c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</row>
    <row r="152" spans="1:28" ht="15.75" x14ac:dyDescent="0.25">
      <c r="A152" s="14" t="str">
        <f t="shared" si="4"/>
        <v/>
      </c>
      <c r="B152" s="14" t="str">
        <f t="shared" si="5"/>
        <v/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</row>
    <row r="153" spans="1:28" ht="15.75" x14ac:dyDescent="0.25">
      <c r="A153" s="14" t="str">
        <f t="shared" si="4"/>
        <v/>
      </c>
      <c r="B153" s="14" t="str">
        <f t="shared" si="5"/>
        <v/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</row>
    <row r="154" spans="1:28" ht="15.75" x14ac:dyDescent="0.25">
      <c r="A154" s="14" t="str">
        <f t="shared" si="4"/>
        <v/>
      </c>
      <c r="B154" s="14" t="str">
        <f t="shared" si="5"/>
        <v/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</row>
    <row r="155" spans="1:28" ht="15.75" x14ac:dyDescent="0.25">
      <c r="A155" s="14" t="str">
        <f t="shared" si="4"/>
        <v/>
      </c>
      <c r="B155" s="14" t="str">
        <f t="shared" si="5"/>
        <v/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</row>
    <row r="156" spans="1:28" ht="15.75" x14ac:dyDescent="0.25">
      <c r="A156" s="14" t="str">
        <f t="shared" si="4"/>
        <v/>
      </c>
      <c r="B156" s="14" t="str">
        <f t="shared" si="5"/>
        <v/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</row>
    <row r="157" spans="1:28" ht="15.75" x14ac:dyDescent="0.25">
      <c r="A157" s="14" t="str">
        <f t="shared" si="4"/>
        <v/>
      </c>
      <c r="B157" s="14" t="str">
        <f t="shared" si="5"/>
        <v/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</row>
    <row r="158" spans="1:28" ht="15.75" x14ac:dyDescent="0.25">
      <c r="A158" s="14" t="str">
        <f t="shared" si="4"/>
        <v/>
      </c>
      <c r="B158" s="14" t="str">
        <f t="shared" si="5"/>
        <v/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</row>
    <row r="159" spans="1:28" ht="15.75" x14ac:dyDescent="0.25">
      <c r="A159" s="14" t="str">
        <f t="shared" si="4"/>
        <v/>
      </c>
      <c r="B159" s="14" t="str">
        <f t="shared" si="5"/>
        <v/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</row>
    <row r="160" spans="1:28" ht="15.75" x14ac:dyDescent="0.25">
      <c r="A160" s="14" t="str">
        <f t="shared" si="4"/>
        <v/>
      </c>
      <c r="B160" s="14" t="str">
        <f t="shared" si="5"/>
        <v/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</row>
    <row r="161" spans="1:28" ht="15.75" x14ac:dyDescent="0.25">
      <c r="A161" s="14" t="str">
        <f t="shared" si="4"/>
        <v/>
      </c>
      <c r="B161" s="14" t="str">
        <f t="shared" si="5"/>
        <v/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</row>
    <row r="162" spans="1:28" ht="15.75" x14ac:dyDescent="0.25">
      <c r="A162" s="14" t="str">
        <f t="shared" si="4"/>
        <v/>
      </c>
      <c r="B162" s="14" t="str">
        <f t="shared" si="5"/>
        <v/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</row>
    <row r="163" spans="1:28" ht="15.75" x14ac:dyDescent="0.25">
      <c r="A163" s="14" t="str">
        <f t="shared" si="4"/>
        <v/>
      </c>
      <c r="B163" s="14" t="str">
        <f t="shared" si="5"/>
        <v/>
      </c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</row>
    <row r="164" spans="1:28" ht="15.75" x14ac:dyDescent="0.25">
      <c r="A164" s="14" t="str">
        <f t="shared" si="4"/>
        <v/>
      </c>
      <c r="B164" s="14" t="str">
        <f t="shared" si="5"/>
        <v/>
      </c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</row>
    <row r="165" spans="1:28" ht="15.75" x14ac:dyDescent="0.25">
      <c r="A165" s="14" t="str">
        <f t="shared" si="4"/>
        <v/>
      </c>
      <c r="B165" s="14" t="str">
        <f t="shared" si="5"/>
        <v/>
      </c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</row>
    <row r="166" spans="1:28" ht="15.75" x14ac:dyDescent="0.25">
      <c r="A166" s="14" t="str">
        <f t="shared" si="4"/>
        <v/>
      </c>
      <c r="B166" s="14" t="str">
        <f t="shared" si="5"/>
        <v/>
      </c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</row>
    <row r="167" spans="1:28" ht="15.75" x14ac:dyDescent="0.25">
      <c r="A167" s="14" t="str">
        <f t="shared" si="4"/>
        <v/>
      </c>
      <c r="B167" s="14" t="str">
        <f t="shared" si="5"/>
        <v/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</row>
    <row r="168" spans="1:28" ht="15.75" x14ac:dyDescent="0.25">
      <c r="A168" s="14" t="str">
        <f t="shared" si="4"/>
        <v/>
      </c>
      <c r="B168" s="14" t="str">
        <f t="shared" si="5"/>
        <v/>
      </c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</row>
    <row r="169" spans="1:28" ht="15.75" x14ac:dyDescent="0.25">
      <c r="A169" s="14" t="str">
        <f t="shared" si="4"/>
        <v/>
      </c>
      <c r="B169" s="14" t="str">
        <f t="shared" si="5"/>
        <v/>
      </c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</row>
    <row r="170" spans="1:28" ht="15.75" x14ac:dyDescent="0.25">
      <c r="A170" s="14" t="str">
        <f t="shared" si="4"/>
        <v/>
      </c>
      <c r="B170" s="14" t="str">
        <f t="shared" si="5"/>
        <v/>
      </c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</row>
    <row r="171" spans="1:28" ht="15.75" x14ac:dyDescent="0.25">
      <c r="A171" s="14" t="str">
        <f t="shared" si="4"/>
        <v/>
      </c>
      <c r="B171" s="14" t="str">
        <f t="shared" si="5"/>
        <v/>
      </c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</row>
    <row r="172" spans="1:28" ht="15.75" x14ac:dyDescent="0.25">
      <c r="A172" s="14" t="str">
        <f t="shared" si="4"/>
        <v/>
      </c>
      <c r="B172" s="14" t="str">
        <f t="shared" si="5"/>
        <v/>
      </c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</row>
    <row r="173" spans="1:28" ht="15.75" x14ac:dyDescent="0.25">
      <c r="A173" s="14" t="str">
        <f t="shared" si="4"/>
        <v/>
      </c>
      <c r="B173" s="14" t="str">
        <f t="shared" si="5"/>
        <v/>
      </c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</row>
    <row r="174" spans="1:28" ht="15.75" x14ac:dyDescent="0.25">
      <c r="A174" s="14" t="str">
        <f t="shared" si="4"/>
        <v/>
      </c>
      <c r="B174" s="14" t="str">
        <f t="shared" si="5"/>
        <v/>
      </c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</row>
    <row r="175" spans="1:28" ht="15.75" x14ac:dyDescent="0.25">
      <c r="A175" s="14" t="str">
        <f t="shared" si="4"/>
        <v/>
      </c>
      <c r="B175" s="14" t="str">
        <f t="shared" si="5"/>
        <v/>
      </c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</row>
    <row r="176" spans="1:28" ht="15.75" x14ac:dyDescent="0.25">
      <c r="A176" s="14" t="str">
        <f t="shared" si="4"/>
        <v/>
      </c>
      <c r="B176" s="14" t="str">
        <f t="shared" si="5"/>
        <v/>
      </c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</row>
    <row r="177" spans="1:28" ht="15.75" x14ac:dyDescent="0.25">
      <c r="A177" s="14" t="str">
        <f t="shared" si="4"/>
        <v/>
      </c>
      <c r="B177" s="14" t="str">
        <f t="shared" si="5"/>
        <v/>
      </c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</row>
    <row r="178" spans="1:28" ht="15.75" x14ac:dyDescent="0.25">
      <c r="A178" s="14" t="str">
        <f t="shared" si="4"/>
        <v/>
      </c>
      <c r="B178" s="14" t="str">
        <f t="shared" si="5"/>
        <v/>
      </c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</row>
    <row r="179" spans="1:28" ht="15.75" x14ac:dyDescent="0.25">
      <c r="A179" s="14" t="str">
        <f t="shared" si="4"/>
        <v/>
      </c>
      <c r="B179" s="14" t="str">
        <f t="shared" si="5"/>
        <v/>
      </c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</row>
    <row r="180" spans="1:28" ht="15.75" x14ac:dyDescent="0.25">
      <c r="A180" s="14" t="str">
        <f t="shared" si="4"/>
        <v/>
      </c>
      <c r="B180" s="14" t="str">
        <f t="shared" si="5"/>
        <v/>
      </c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</row>
    <row r="181" spans="1:28" ht="15.75" x14ac:dyDescent="0.25">
      <c r="A181" s="14" t="str">
        <f t="shared" si="4"/>
        <v/>
      </c>
      <c r="B181" s="14" t="str">
        <f t="shared" si="5"/>
        <v/>
      </c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</row>
    <row r="182" spans="1:28" ht="15.75" x14ac:dyDescent="0.25">
      <c r="A182" s="14" t="str">
        <f t="shared" si="4"/>
        <v/>
      </c>
      <c r="B182" s="14" t="str">
        <f t="shared" si="5"/>
        <v/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</row>
    <row r="183" spans="1:28" ht="15.75" x14ac:dyDescent="0.25">
      <c r="A183" s="14" t="str">
        <f t="shared" si="4"/>
        <v/>
      </c>
      <c r="B183" s="14" t="str">
        <f t="shared" si="5"/>
        <v/>
      </c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</row>
    <row r="184" spans="1:28" ht="15.75" x14ac:dyDescent="0.25">
      <c r="A184" s="14" t="str">
        <f t="shared" si="4"/>
        <v/>
      </c>
      <c r="B184" s="14" t="str">
        <f t="shared" si="5"/>
        <v/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</row>
    <row r="185" spans="1:28" ht="15.75" x14ac:dyDescent="0.25">
      <c r="A185" s="14" t="str">
        <f t="shared" si="4"/>
        <v/>
      </c>
      <c r="B185" s="14" t="str">
        <f t="shared" si="5"/>
        <v/>
      </c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</row>
    <row r="186" spans="1:28" ht="15.75" x14ac:dyDescent="0.25">
      <c r="A186" s="14" t="str">
        <f t="shared" si="4"/>
        <v/>
      </c>
      <c r="B186" s="14" t="str">
        <f t="shared" si="5"/>
        <v/>
      </c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</row>
    <row r="187" spans="1:28" ht="15.75" x14ac:dyDescent="0.25">
      <c r="A187" s="14" t="str">
        <f t="shared" si="4"/>
        <v/>
      </c>
      <c r="B187" s="14" t="str">
        <f t="shared" si="5"/>
        <v/>
      </c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</row>
    <row r="188" spans="1:28" ht="15.75" x14ac:dyDescent="0.25">
      <c r="A188" s="14" t="str">
        <f t="shared" si="4"/>
        <v/>
      </c>
      <c r="B188" s="14" t="str">
        <f t="shared" si="5"/>
        <v/>
      </c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</row>
    <row r="189" spans="1:28" ht="15.75" x14ac:dyDescent="0.25">
      <c r="A189" s="14" t="str">
        <f t="shared" si="4"/>
        <v/>
      </c>
      <c r="B189" s="14" t="str">
        <f t="shared" si="5"/>
        <v/>
      </c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</row>
    <row r="190" spans="1:28" ht="15.75" x14ac:dyDescent="0.25">
      <c r="A190" s="14" t="str">
        <f t="shared" si="4"/>
        <v/>
      </c>
      <c r="B190" s="14" t="str">
        <f t="shared" si="5"/>
        <v/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</row>
    <row r="191" spans="1:28" ht="15.75" x14ac:dyDescent="0.25">
      <c r="A191" s="14" t="str">
        <f t="shared" si="4"/>
        <v/>
      </c>
      <c r="B191" s="14" t="str">
        <f t="shared" si="5"/>
        <v/>
      </c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</row>
    <row r="192" spans="1:28" ht="15.75" x14ac:dyDescent="0.25">
      <c r="A192" s="14" t="str">
        <f t="shared" si="4"/>
        <v/>
      </c>
      <c r="B192" s="14" t="str">
        <f t="shared" si="5"/>
        <v/>
      </c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</row>
    <row r="193" spans="1:28" ht="15.75" x14ac:dyDescent="0.25">
      <c r="A193" s="14" t="str">
        <f t="shared" si="4"/>
        <v/>
      </c>
      <c r="B193" s="14" t="str">
        <f t="shared" si="5"/>
        <v/>
      </c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</row>
    <row r="194" spans="1:28" ht="15.75" x14ac:dyDescent="0.25">
      <c r="A194" s="14" t="str">
        <f t="shared" ref="A194:A257" si="6">IF(ISBLANK(C194),"",ROW()-1)</f>
        <v/>
      </c>
      <c r="B194" s="14" t="str">
        <f t="shared" ref="B194:B257" si="7">IF(OR(ISBLANK(C194),ISBLANK(F194)),"","DIG-"&amp;IFERROR(VLOOKUP(F194,DigItemTypeLookup,2,FALSE),"?")&amp;"-"&amp;IF(G194="","?",IFERROR(VLOOKUP(G194,SubjectLookup,2,FALSE),"="))&amp;"-"&amp;IF(H194="","?",IFERROR(VLOOKUP(H194,GenreLookup,2,FALSE),"="))&amp;"-"&amp;IF(ISBLANK(D194),"NOC",UPPER(LEFT(TRIM(RIGHT(SUBSTITUTE(TRIM(D194)," ",REPT(" ",100)),100)),3)))&amp;"-"&amp;TEXT(A194,"000"))</f>
        <v/>
      </c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</row>
    <row r="195" spans="1:28" ht="15.75" x14ac:dyDescent="0.25">
      <c r="A195" s="14" t="str">
        <f t="shared" si="6"/>
        <v/>
      </c>
      <c r="B195" s="14" t="str">
        <f t="shared" si="7"/>
        <v/>
      </c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</row>
    <row r="196" spans="1:28" ht="15.75" x14ac:dyDescent="0.25">
      <c r="A196" s="14" t="str">
        <f t="shared" si="6"/>
        <v/>
      </c>
      <c r="B196" s="14" t="str">
        <f t="shared" si="7"/>
        <v/>
      </c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</row>
    <row r="197" spans="1:28" ht="15.75" x14ac:dyDescent="0.25">
      <c r="A197" s="14" t="str">
        <f t="shared" si="6"/>
        <v/>
      </c>
      <c r="B197" s="14" t="str">
        <f t="shared" si="7"/>
        <v/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</row>
    <row r="198" spans="1:28" ht="15.75" x14ac:dyDescent="0.25">
      <c r="A198" s="14" t="str">
        <f t="shared" si="6"/>
        <v/>
      </c>
      <c r="B198" s="14" t="str">
        <f t="shared" si="7"/>
        <v/>
      </c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</row>
    <row r="199" spans="1:28" ht="15.75" x14ac:dyDescent="0.25">
      <c r="A199" s="14" t="str">
        <f t="shared" si="6"/>
        <v/>
      </c>
      <c r="B199" s="14" t="str">
        <f t="shared" si="7"/>
        <v/>
      </c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</row>
    <row r="200" spans="1:28" ht="15.75" x14ac:dyDescent="0.25">
      <c r="A200" s="14" t="str">
        <f t="shared" si="6"/>
        <v/>
      </c>
      <c r="B200" s="14" t="str">
        <f t="shared" si="7"/>
        <v/>
      </c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</row>
    <row r="201" spans="1:28" ht="15.75" x14ac:dyDescent="0.25">
      <c r="A201" s="14" t="str">
        <f t="shared" si="6"/>
        <v/>
      </c>
      <c r="B201" s="14" t="str">
        <f t="shared" si="7"/>
        <v/>
      </c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</row>
    <row r="202" spans="1:28" ht="15.75" x14ac:dyDescent="0.25">
      <c r="A202" s="14" t="str">
        <f t="shared" si="6"/>
        <v/>
      </c>
      <c r="B202" s="14" t="str">
        <f t="shared" si="7"/>
        <v/>
      </c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</row>
    <row r="203" spans="1:28" ht="15.75" x14ac:dyDescent="0.25">
      <c r="A203" s="14" t="str">
        <f t="shared" si="6"/>
        <v/>
      </c>
      <c r="B203" s="14" t="str">
        <f t="shared" si="7"/>
        <v/>
      </c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</row>
    <row r="204" spans="1:28" ht="15.75" x14ac:dyDescent="0.25">
      <c r="A204" s="14" t="str">
        <f t="shared" si="6"/>
        <v/>
      </c>
      <c r="B204" s="14" t="str">
        <f t="shared" si="7"/>
        <v/>
      </c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</row>
    <row r="205" spans="1:28" ht="15.75" x14ac:dyDescent="0.25">
      <c r="A205" s="14" t="str">
        <f t="shared" si="6"/>
        <v/>
      </c>
      <c r="B205" s="14" t="str">
        <f t="shared" si="7"/>
        <v/>
      </c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</row>
    <row r="206" spans="1:28" ht="15.75" x14ac:dyDescent="0.25">
      <c r="A206" s="14" t="str">
        <f t="shared" si="6"/>
        <v/>
      </c>
      <c r="B206" s="14" t="str">
        <f t="shared" si="7"/>
        <v/>
      </c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</row>
    <row r="207" spans="1:28" ht="15.75" x14ac:dyDescent="0.25">
      <c r="A207" s="14" t="str">
        <f t="shared" si="6"/>
        <v/>
      </c>
      <c r="B207" s="14" t="str">
        <f t="shared" si="7"/>
        <v/>
      </c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</row>
    <row r="208" spans="1:28" ht="15.75" x14ac:dyDescent="0.25">
      <c r="A208" s="14" t="str">
        <f t="shared" si="6"/>
        <v/>
      </c>
      <c r="B208" s="14" t="str">
        <f t="shared" si="7"/>
        <v/>
      </c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</row>
    <row r="209" spans="1:28" ht="15.75" x14ac:dyDescent="0.25">
      <c r="A209" s="14" t="str">
        <f t="shared" si="6"/>
        <v/>
      </c>
      <c r="B209" s="14" t="str">
        <f t="shared" si="7"/>
        <v/>
      </c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</row>
    <row r="210" spans="1:28" ht="15.75" x14ac:dyDescent="0.25">
      <c r="A210" s="14" t="str">
        <f t="shared" si="6"/>
        <v/>
      </c>
      <c r="B210" s="14" t="str">
        <f t="shared" si="7"/>
        <v/>
      </c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</row>
    <row r="211" spans="1:28" ht="15.75" x14ac:dyDescent="0.25">
      <c r="A211" s="14" t="str">
        <f t="shared" si="6"/>
        <v/>
      </c>
      <c r="B211" s="14" t="str">
        <f t="shared" si="7"/>
        <v/>
      </c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</row>
    <row r="212" spans="1:28" ht="15.75" x14ac:dyDescent="0.25">
      <c r="A212" s="14" t="str">
        <f t="shared" si="6"/>
        <v/>
      </c>
      <c r="B212" s="14" t="str">
        <f t="shared" si="7"/>
        <v/>
      </c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</row>
    <row r="213" spans="1:28" ht="15.75" x14ac:dyDescent="0.25">
      <c r="A213" s="14" t="str">
        <f t="shared" si="6"/>
        <v/>
      </c>
      <c r="B213" s="14" t="str">
        <f t="shared" si="7"/>
        <v/>
      </c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</row>
    <row r="214" spans="1:28" ht="15.75" x14ac:dyDescent="0.25">
      <c r="A214" s="14" t="str">
        <f t="shared" si="6"/>
        <v/>
      </c>
      <c r="B214" s="14" t="str">
        <f t="shared" si="7"/>
        <v/>
      </c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</row>
    <row r="215" spans="1:28" ht="15.75" x14ac:dyDescent="0.25">
      <c r="A215" s="14" t="str">
        <f t="shared" si="6"/>
        <v/>
      </c>
      <c r="B215" s="14" t="str">
        <f t="shared" si="7"/>
        <v/>
      </c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</row>
    <row r="216" spans="1:28" ht="15.75" x14ac:dyDescent="0.25">
      <c r="A216" s="14" t="str">
        <f t="shared" si="6"/>
        <v/>
      </c>
      <c r="B216" s="14" t="str">
        <f t="shared" si="7"/>
        <v/>
      </c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</row>
    <row r="217" spans="1:28" ht="15.75" x14ac:dyDescent="0.25">
      <c r="A217" s="14" t="str">
        <f t="shared" si="6"/>
        <v/>
      </c>
      <c r="B217" s="14" t="str">
        <f t="shared" si="7"/>
        <v/>
      </c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</row>
    <row r="218" spans="1:28" ht="15.75" x14ac:dyDescent="0.25">
      <c r="A218" s="14" t="str">
        <f t="shared" si="6"/>
        <v/>
      </c>
      <c r="B218" s="14" t="str">
        <f t="shared" si="7"/>
        <v/>
      </c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</row>
    <row r="219" spans="1:28" ht="15.75" x14ac:dyDescent="0.25">
      <c r="A219" s="14" t="str">
        <f t="shared" si="6"/>
        <v/>
      </c>
      <c r="B219" s="14" t="str">
        <f t="shared" si="7"/>
        <v/>
      </c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</row>
    <row r="220" spans="1:28" ht="15.75" x14ac:dyDescent="0.25">
      <c r="A220" s="14" t="str">
        <f t="shared" si="6"/>
        <v/>
      </c>
      <c r="B220" s="14" t="str">
        <f t="shared" si="7"/>
        <v/>
      </c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</row>
    <row r="221" spans="1:28" ht="15.75" x14ac:dyDescent="0.25">
      <c r="A221" s="14" t="str">
        <f t="shared" si="6"/>
        <v/>
      </c>
      <c r="B221" s="14" t="str">
        <f t="shared" si="7"/>
        <v/>
      </c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</row>
    <row r="222" spans="1:28" ht="15.75" x14ac:dyDescent="0.25">
      <c r="A222" s="14" t="str">
        <f t="shared" si="6"/>
        <v/>
      </c>
      <c r="B222" s="14" t="str">
        <f t="shared" si="7"/>
        <v/>
      </c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</row>
    <row r="223" spans="1:28" ht="15.75" x14ac:dyDescent="0.25">
      <c r="A223" s="14" t="str">
        <f t="shared" si="6"/>
        <v/>
      </c>
      <c r="B223" s="14" t="str">
        <f t="shared" si="7"/>
        <v/>
      </c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</row>
    <row r="224" spans="1:28" ht="15.75" x14ac:dyDescent="0.25">
      <c r="A224" s="14" t="str">
        <f t="shared" si="6"/>
        <v/>
      </c>
      <c r="B224" s="14" t="str">
        <f t="shared" si="7"/>
        <v/>
      </c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</row>
    <row r="225" spans="1:28" ht="15.75" x14ac:dyDescent="0.25">
      <c r="A225" s="14" t="str">
        <f t="shared" si="6"/>
        <v/>
      </c>
      <c r="B225" s="14" t="str">
        <f t="shared" si="7"/>
        <v/>
      </c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</row>
    <row r="226" spans="1:28" ht="15.75" x14ac:dyDescent="0.25">
      <c r="A226" s="14" t="str">
        <f t="shared" si="6"/>
        <v/>
      </c>
      <c r="B226" s="14" t="str">
        <f t="shared" si="7"/>
        <v/>
      </c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</row>
    <row r="227" spans="1:28" ht="15.75" x14ac:dyDescent="0.25">
      <c r="A227" s="14" t="str">
        <f t="shared" si="6"/>
        <v/>
      </c>
      <c r="B227" s="14" t="str">
        <f t="shared" si="7"/>
        <v/>
      </c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</row>
    <row r="228" spans="1:28" ht="15.75" x14ac:dyDescent="0.25">
      <c r="A228" s="14" t="str">
        <f t="shared" si="6"/>
        <v/>
      </c>
      <c r="B228" s="14" t="str">
        <f t="shared" si="7"/>
        <v/>
      </c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</row>
    <row r="229" spans="1:28" ht="15.75" x14ac:dyDescent="0.25">
      <c r="A229" s="14" t="str">
        <f t="shared" si="6"/>
        <v/>
      </c>
      <c r="B229" s="14" t="str">
        <f t="shared" si="7"/>
        <v/>
      </c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</row>
    <row r="230" spans="1:28" ht="15.75" x14ac:dyDescent="0.25">
      <c r="A230" s="14" t="str">
        <f t="shared" si="6"/>
        <v/>
      </c>
      <c r="B230" s="14" t="str">
        <f t="shared" si="7"/>
        <v/>
      </c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</row>
    <row r="231" spans="1:28" ht="15.75" x14ac:dyDescent="0.25">
      <c r="A231" s="14" t="str">
        <f t="shared" si="6"/>
        <v/>
      </c>
      <c r="B231" s="14" t="str">
        <f t="shared" si="7"/>
        <v/>
      </c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</row>
    <row r="232" spans="1:28" ht="15.75" x14ac:dyDescent="0.25">
      <c r="A232" s="14" t="str">
        <f t="shared" si="6"/>
        <v/>
      </c>
      <c r="B232" s="14" t="str">
        <f t="shared" si="7"/>
        <v/>
      </c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</row>
    <row r="233" spans="1:28" ht="15.75" x14ac:dyDescent="0.25">
      <c r="A233" s="14" t="str">
        <f t="shared" si="6"/>
        <v/>
      </c>
      <c r="B233" s="14" t="str">
        <f t="shared" si="7"/>
        <v/>
      </c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</row>
    <row r="234" spans="1:28" ht="15.75" x14ac:dyDescent="0.25">
      <c r="A234" s="14" t="str">
        <f t="shared" si="6"/>
        <v/>
      </c>
      <c r="B234" s="14" t="str">
        <f t="shared" si="7"/>
        <v/>
      </c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</row>
    <row r="235" spans="1:28" ht="15.75" x14ac:dyDescent="0.25">
      <c r="A235" s="14" t="str">
        <f t="shared" si="6"/>
        <v/>
      </c>
      <c r="B235" s="14" t="str">
        <f t="shared" si="7"/>
        <v/>
      </c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</row>
    <row r="236" spans="1:28" ht="15.75" x14ac:dyDescent="0.25">
      <c r="A236" s="14" t="str">
        <f t="shared" si="6"/>
        <v/>
      </c>
      <c r="B236" s="14" t="str">
        <f t="shared" si="7"/>
        <v/>
      </c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</row>
    <row r="237" spans="1:28" ht="15.75" x14ac:dyDescent="0.25">
      <c r="A237" s="14" t="str">
        <f t="shared" si="6"/>
        <v/>
      </c>
      <c r="B237" s="14" t="str">
        <f t="shared" si="7"/>
        <v/>
      </c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</row>
    <row r="238" spans="1:28" ht="15.75" x14ac:dyDescent="0.25">
      <c r="A238" s="14" t="str">
        <f t="shared" si="6"/>
        <v/>
      </c>
      <c r="B238" s="14" t="str">
        <f t="shared" si="7"/>
        <v/>
      </c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</row>
    <row r="239" spans="1:28" ht="15.75" x14ac:dyDescent="0.25">
      <c r="A239" s="14" t="str">
        <f t="shared" si="6"/>
        <v/>
      </c>
      <c r="B239" s="14" t="str">
        <f t="shared" si="7"/>
        <v/>
      </c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</row>
    <row r="240" spans="1:28" ht="15.75" x14ac:dyDescent="0.25">
      <c r="A240" s="14" t="str">
        <f t="shared" si="6"/>
        <v/>
      </c>
      <c r="B240" s="14" t="str">
        <f t="shared" si="7"/>
        <v/>
      </c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</row>
    <row r="241" spans="1:28" ht="15.75" x14ac:dyDescent="0.25">
      <c r="A241" s="14" t="str">
        <f t="shared" si="6"/>
        <v/>
      </c>
      <c r="B241" s="14" t="str">
        <f t="shared" si="7"/>
        <v/>
      </c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</row>
    <row r="242" spans="1:28" ht="15.75" x14ac:dyDescent="0.25">
      <c r="A242" s="14" t="str">
        <f t="shared" si="6"/>
        <v/>
      </c>
      <c r="B242" s="14" t="str">
        <f t="shared" si="7"/>
        <v/>
      </c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</row>
    <row r="243" spans="1:28" ht="15.75" x14ac:dyDescent="0.25">
      <c r="A243" s="14" t="str">
        <f t="shared" si="6"/>
        <v/>
      </c>
      <c r="B243" s="14" t="str">
        <f t="shared" si="7"/>
        <v/>
      </c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</row>
    <row r="244" spans="1:28" ht="15.75" x14ac:dyDescent="0.25">
      <c r="A244" s="14" t="str">
        <f t="shared" si="6"/>
        <v/>
      </c>
      <c r="B244" s="14" t="str">
        <f t="shared" si="7"/>
        <v/>
      </c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</row>
    <row r="245" spans="1:28" ht="15.75" x14ac:dyDescent="0.25">
      <c r="A245" s="14" t="str">
        <f t="shared" si="6"/>
        <v/>
      </c>
      <c r="B245" s="14" t="str">
        <f t="shared" si="7"/>
        <v/>
      </c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</row>
    <row r="246" spans="1:28" ht="15.75" x14ac:dyDescent="0.25">
      <c r="A246" s="14" t="str">
        <f t="shared" si="6"/>
        <v/>
      </c>
      <c r="B246" s="14" t="str">
        <f t="shared" si="7"/>
        <v/>
      </c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</row>
    <row r="247" spans="1:28" ht="15.75" x14ac:dyDescent="0.25">
      <c r="A247" s="14" t="str">
        <f t="shared" si="6"/>
        <v/>
      </c>
      <c r="B247" s="14" t="str">
        <f t="shared" si="7"/>
        <v/>
      </c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</row>
    <row r="248" spans="1:28" ht="15.75" x14ac:dyDescent="0.25">
      <c r="A248" s="14" t="str">
        <f t="shared" si="6"/>
        <v/>
      </c>
      <c r="B248" s="14" t="str">
        <f t="shared" si="7"/>
        <v/>
      </c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</row>
    <row r="249" spans="1:28" ht="15.75" x14ac:dyDescent="0.25">
      <c r="A249" s="14" t="str">
        <f t="shared" si="6"/>
        <v/>
      </c>
      <c r="B249" s="14" t="str">
        <f t="shared" si="7"/>
        <v/>
      </c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</row>
    <row r="250" spans="1:28" ht="15.75" x14ac:dyDescent="0.25">
      <c r="A250" s="14" t="str">
        <f t="shared" si="6"/>
        <v/>
      </c>
      <c r="B250" s="14" t="str">
        <f t="shared" si="7"/>
        <v/>
      </c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</row>
    <row r="251" spans="1:28" ht="15.75" x14ac:dyDescent="0.25">
      <c r="A251" s="14" t="str">
        <f t="shared" si="6"/>
        <v/>
      </c>
      <c r="B251" s="14" t="str">
        <f t="shared" si="7"/>
        <v/>
      </c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</row>
    <row r="252" spans="1:28" ht="15.75" x14ac:dyDescent="0.25">
      <c r="A252" s="14" t="str">
        <f t="shared" si="6"/>
        <v/>
      </c>
      <c r="B252" s="14" t="str">
        <f t="shared" si="7"/>
        <v/>
      </c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</row>
    <row r="253" spans="1:28" ht="15.75" x14ac:dyDescent="0.25">
      <c r="A253" s="14" t="str">
        <f t="shared" si="6"/>
        <v/>
      </c>
      <c r="B253" s="14" t="str">
        <f t="shared" si="7"/>
        <v/>
      </c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</row>
    <row r="254" spans="1:28" ht="15.75" x14ac:dyDescent="0.25">
      <c r="A254" s="14" t="str">
        <f t="shared" si="6"/>
        <v/>
      </c>
      <c r="B254" s="14" t="str">
        <f t="shared" si="7"/>
        <v/>
      </c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</row>
    <row r="255" spans="1:28" ht="15.75" x14ac:dyDescent="0.25">
      <c r="A255" s="14" t="str">
        <f t="shared" si="6"/>
        <v/>
      </c>
      <c r="B255" s="14" t="str">
        <f t="shared" si="7"/>
        <v/>
      </c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</row>
    <row r="256" spans="1:28" ht="15.75" x14ac:dyDescent="0.25">
      <c r="A256" s="14" t="str">
        <f t="shared" si="6"/>
        <v/>
      </c>
      <c r="B256" s="14" t="str">
        <f t="shared" si="7"/>
        <v/>
      </c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</row>
    <row r="257" spans="1:28" ht="15.75" x14ac:dyDescent="0.25">
      <c r="A257" s="14" t="str">
        <f t="shared" si="6"/>
        <v/>
      </c>
      <c r="B257" s="14" t="str">
        <f t="shared" si="7"/>
        <v/>
      </c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</row>
    <row r="258" spans="1:28" ht="15.75" x14ac:dyDescent="0.25">
      <c r="A258" s="14" t="str">
        <f t="shared" ref="A258:A321" si="8">IF(ISBLANK(C258),"",ROW()-1)</f>
        <v/>
      </c>
      <c r="B258" s="14" t="str">
        <f t="shared" ref="B258:B321" si="9">IF(OR(ISBLANK(C258),ISBLANK(F258)),"","DIG-"&amp;IFERROR(VLOOKUP(F258,DigItemTypeLookup,2,FALSE),"?")&amp;"-"&amp;IF(G258="","?",IFERROR(VLOOKUP(G258,SubjectLookup,2,FALSE),"="))&amp;"-"&amp;IF(H258="","?",IFERROR(VLOOKUP(H258,GenreLookup,2,FALSE),"="))&amp;"-"&amp;IF(ISBLANK(D258),"NOC",UPPER(LEFT(TRIM(RIGHT(SUBSTITUTE(TRIM(D258)," ",REPT(" ",100)),100)),3)))&amp;"-"&amp;TEXT(A258,"000"))</f>
        <v/>
      </c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</row>
    <row r="259" spans="1:28" ht="15.75" x14ac:dyDescent="0.25">
      <c r="A259" s="14" t="str">
        <f t="shared" si="8"/>
        <v/>
      </c>
      <c r="B259" s="14" t="str">
        <f t="shared" si="9"/>
        <v/>
      </c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</row>
    <row r="260" spans="1:28" ht="15.75" x14ac:dyDescent="0.25">
      <c r="A260" s="14" t="str">
        <f t="shared" si="8"/>
        <v/>
      </c>
      <c r="B260" s="14" t="str">
        <f t="shared" si="9"/>
        <v/>
      </c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</row>
    <row r="261" spans="1:28" ht="15.75" x14ac:dyDescent="0.25">
      <c r="A261" s="14" t="str">
        <f t="shared" si="8"/>
        <v/>
      </c>
      <c r="B261" s="14" t="str">
        <f t="shared" si="9"/>
        <v/>
      </c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</row>
    <row r="262" spans="1:28" ht="15.75" x14ac:dyDescent="0.25">
      <c r="A262" s="14" t="str">
        <f t="shared" si="8"/>
        <v/>
      </c>
      <c r="B262" s="14" t="str">
        <f t="shared" si="9"/>
        <v/>
      </c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</row>
    <row r="263" spans="1:28" ht="15.75" x14ac:dyDescent="0.25">
      <c r="A263" s="14" t="str">
        <f t="shared" si="8"/>
        <v/>
      </c>
      <c r="B263" s="14" t="str">
        <f t="shared" si="9"/>
        <v/>
      </c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</row>
    <row r="264" spans="1:28" ht="15.75" x14ac:dyDescent="0.25">
      <c r="A264" s="14" t="str">
        <f t="shared" si="8"/>
        <v/>
      </c>
      <c r="B264" s="14" t="str">
        <f t="shared" si="9"/>
        <v/>
      </c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</row>
    <row r="265" spans="1:28" ht="15.75" x14ac:dyDescent="0.25">
      <c r="A265" s="14" t="str">
        <f t="shared" si="8"/>
        <v/>
      </c>
      <c r="B265" s="14" t="str">
        <f t="shared" si="9"/>
        <v/>
      </c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</row>
    <row r="266" spans="1:28" ht="15.75" x14ac:dyDescent="0.25">
      <c r="A266" s="14" t="str">
        <f t="shared" si="8"/>
        <v/>
      </c>
      <c r="B266" s="14" t="str">
        <f t="shared" si="9"/>
        <v/>
      </c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</row>
    <row r="267" spans="1:28" ht="15.75" x14ac:dyDescent="0.25">
      <c r="A267" s="14" t="str">
        <f t="shared" si="8"/>
        <v/>
      </c>
      <c r="B267" s="14" t="str">
        <f t="shared" si="9"/>
        <v/>
      </c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</row>
    <row r="268" spans="1:28" ht="15.75" x14ac:dyDescent="0.25">
      <c r="A268" s="14" t="str">
        <f t="shared" si="8"/>
        <v/>
      </c>
      <c r="B268" s="14" t="str">
        <f t="shared" si="9"/>
        <v/>
      </c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</row>
    <row r="269" spans="1:28" ht="15.75" x14ac:dyDescent="0.25">
      <c r="A269" s="14" t="str">
        <f t="shared" si="8"/>
        <v/>
      </c>
      <c r="B269" s="14" t="str">
        <f t="shared" si="9"/>
        <v/>
      </c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</row>
    <row r="270" spans="1:28" ht="15.75" x14ac:dyDescent="0.25">
      <c r="A270" s="14" t="str">
        <f t="shared" si="8"/>
        <v/>
      </c>
      <c r="B270" s="14" t="str">
        <f t="shared" si="9"/>
        <v/>
      </c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</row>
    <row r="271" spans="1:28" ht="15.75" x14ac:dyDescent="0.25">
      <c r="A271" s="14" t="str">
        <f t="shared" si="8"/>
        <v/>
      </c>
      <c r="B271" s="14" t="str">
        <f t="shared" si="9"/>
        <v/>
      </c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</row>
    <row r="272" spans="1:28" ht="15.75" x14ac:dyDescent="0.25">
      <c r="A272" s="14" t="str">
        <f t="shared" si="8"/>
        <v/>
      </c>
      <c r="B272" s="14" t="str">
        <f t="shared" si="9"/>
        <v/>
      </c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</row>
    <row r="273" spans="1:28" ht="15.75" x14ac:dyDescent="0.25">
      <c r="A273" s="14" t="str">
        <f t="shared" si="8"/>
        <v/>
      </c>
      <c r="B273" s="14" t="str">
        <f t="shared" si="9"/>
        <v/>
      </c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</row>
    <row r="274" spans="1:28" ht="15.75" x14ac:dyDescent="0.25">
      <c r="A274" s="14" t="str">
        <f t="shared" si="8"/>
        <v/>
      </c>
      <c r="B274" s="14" t="str">
        <f t="shared" si="9"/>
        <v/>
      </c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</row>
    <row r="275" spans="1:28" ht="15.75" x14ac:dyDescent="0.25">
      <c r="A275" s="14" t="str">
        <f t="shared" si="8"/>
        <v/>
      </c>
      <c r="B275" s="14" t="str">
        <f t="shared" si="9"/>
        <v/>
      </c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</row>
    <row r="276" spans="1:28" ht="15.75" x14ac:dyDescent="0.25">
      <c r="A276" s="14" t="str">
        <f t="shared" si="8"/>
        <v/>
      </c>
      <c r="B276" s="14" t="str">
        <f t="shared" si="9"/>
        <v/>
      </c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</row>
    <row r="277" spans="1:28" ht="15.75" x14ac:dyDescent="0.25">
      <c r="A277" s="14" t="str">
        <f t="shared" si="8"/>
        <v/>
      </c>
      <c r="B277" s="14" t="str">
        <f t="shared" si="9"/>
        <v/>
      </c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</row>
    <row r="278" spans="1:28" ht="15.75" x14ac:dyDescent="0.25">
      <c r="A278" s="14" t="str">
        <f t="shared" si="8"/>
        <v/>
      </c>
      <c r="B278" s="14" t="str">
        <f t="shared" si="9"/>
        <v/>
      </c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</row>
    <row r="279" spans="1:28" ht="15.75" x14ac:dyDescent="0.25">
      <c r="A279" s="14" t="str">
        <f t="shared" si="8"/>
        <v/>
      </c>
      <c r="B279" s="14" t="str">
        <f t="shared" si="9"/>
        <v/>
      </c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</row>
    <row r="280" spans="1:28" ht="15.75" x14ac:dyDescent="0.25">
      <c r="A280" s="14" t="str">
        <f t="shared" si="8"/>
        <v/>
      </c>
      <c r="B280" s="14" t="str">
        <f t="shared" si="9"/>
        <v/>
      </c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</row>
    <row r="281" spans="1:28" ht="15.75" x14ac:dyDescent="0.25">
      <c r="A281" s="14" t="str">
        <f t="shared" si="8"/>
        <v/>
      </c>
      <c r="B281" s="14" t="str">
        <f t="shared" si="9"/>
        <v/>
      </c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</row>
    <row r="282" spans="1:28" ht="15.75" x14ac:dyDescent="0.25">
      <c r="A282" s="14" t="str">
        <f t="shared" si="8"/>
        <v/>
      </c>
      <c r="B282" s="14" t="str">
        <f t="shared" si="9"/>
        <v/>
      </c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</row>
    <row r="283" spans="1:28" ht="15.75" x14ac:dyDescent="0.25">
      <c r="A283" s="14" t="str">
        <f t="shared" si="8"/>
        <v/>
      </c>
      <c r="B283" s="14" t="str">
        <f t="shared" si="9"/>
        <v/>
      </c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</row>
    <row r="284" spans="1:28" ht="15.75" x14ac:dyDescent="0.25">
      <c r="A284" s="14" t="str">
        <f t="shared" si="8"/>
        <v/>
      </c>
      <c r="B284" s="14" t="str">
        <f t="shared" si="9"/>
        <v/>
      </c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</row>
    <row r="285" spans="1:28" ht="15.75" x14ac:dyDescent="0.25">
      <c r="A285" s="14" t="str">
        <f t="shared" si="8"/>
        <v/>
      </c>
      <c r="B285" s="14" t="str">
        <f t="shared" si="9"/>
        <v/>
      </c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</row>
    <row r="286" spans="1:28" ht="15.75" x14ac:dyDescent="0.25">
      <c r="A286" s="14" t="str">
        <f t="shared" si="8"/>
        <v/>
      </c>
      <c r="B286" s="14" t="str">
        <f t="shared" si="9"/>
        <v/>
      </c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</row>
    <row r="287" spans="1:28" ht="15.75" x14ac:dyDescent="0.25">
      <c r="A287" s="14" t="str">
        <f t="shared" si="8"/>
        <v/>
      </c>
      <c r="B287" s="14" t="str">
        <f t="shared" si="9"/>
        <v/>
      </c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</row>
    <row r="288" spans="1:28" ht="15.75" x14ac:dyDescent="0.25">
      <c r="A288" s="14" t="str">
        <f t="shared" si="8"/>
        <v/>
      </c>
      <c r="B288" s="14" t="str">
        <f t="shared" si="9"/>
        <v/>
      </c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</row>
    <row r="289" spans="1:28" ht="15.75" x14ac:dyDescent="0.25">
      <c r="A289" s="14" t="str">
        <f t="shared" si="8"/>
        <v/>
      </c>
      <c r="B289" s="14" t="str">
        <f t="shared" si="9"/>
        <v/>
      </c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</row>
    <row r="290" spans="1:28" ht="15.75" x14ac:dyDescent="0.25">
      <c r="A290" s="14" t="str">
        <f t="shared" si="8"/>
        <v/>
      </c>
      <c r="B290" s="14" t="str">
        <f t="shared" si="9"/>
        <v/>
      </c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</row>
    <row r="291" spans="1:28" ht="15.75" x14ac:dyDescent="0.25">
      <c r="A291" s="14" t="str">
        <f t="shared" si="8"/>
        <v/>
      </c>
      <c r="B291" s="14" t="str">
        <f t="shared" si="9"/>
        <v/>
      </c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</row>
    <row r="292" spans="1:28" ht="15.75" x14ac:dyDescent="0.25">
      <c r="A292" s="14" t="str">
        <f t="shared" si="8"/>
        <v/>
      </c>
      <c r="B292" s="14" t="str">
        <f t="shared" si="9"/>
        <v/>
      </c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</row>
    <row r="293" spans="1:28" ht="15.75" x14ac:dyDescent="0.25">
      <c r="A293" s="14" t="str">
        <f t="shared" si="8"/>
        <v/>
      </c>
      <c r="B293" s="14" t="str">
        <f t="shared" si="9"/>
        <v/>
      </c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</row>
    <row r="294" spans="1:28" ht="15.75" x14ac:dyDescent="0.25">
      <c r="A294" s="14" t="str">
        <f t="shared" si="8"/>
        <v/>
      </c>
      <c r="B294" s="14" t="str">
        <f t="shared" si="9"/>
        <v/>
      </c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</row>
    <row r="295" spans="1:28" ht="15.75" x14ac:dyDescent="0.25">
      <c r="A295" s="14" t="str">
        <f t="shared" si="8"/>
        <v/>
      </c>
      <c r="B295" s="14" t="str">
        <f t="shared" si="9"/>
        <v/>
      </c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</row>
    <row r="296" spans="1:28" ht="15.75" x14ac:dyDescent="0.25">
      <c r="A296" s="14" t="str">
        <f t="shared" si="8"/>
        <v/>
      </c>
      <c r="B296" s="14" t="str">
        <f t="shared" si="9"/>
        <v/>
      </c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</row>
    <row r="297" spans="1:28" ht="15.75" x14ac:dyDescent="0.25">
      <c r="A297" s="14" t="str">
        <f t="shared" si="8"/>
        <v/>
      </c>
      <c r="B297" s="14" t="str">
        <f t="shared" si="9"/>
        <v/>
      </c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</row>
    <row r="298" spans="1:28" ht="15.75" x14ac:dyDescent="0.25">
      <c r="A298" s="14" t="str">
        <f t="shared" si="8"/>
        <v/>
      </c>
      <c r="B298" s="14" t="str">
        <f t="shared" si="9"/>
        <v/>
      </c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</row>
    <row r="299" spans="1:28" ht="15.75" x14ac:dyDescent="0.25">
      <c r="A299" s="14" t="str">
        <f t="shared" si="8"/>
        <v/>
      </c>
      <c r="B299" s="14" t="str">
        <f t="shared" si="9"/>
        <v/>
      </c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</row>
    <row r="300" spans="1:28" ht="15.75" x14ac:dyDescent="0.25">
      <c r="A300" s="14" t="str">
        <f t="shared" si="8"/>
        <v/>
      </c>
      <c r="B300" s="14" t="str">
        <f t="shared" si="9"/>
        <v/>
      </c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</row>
    <row r="301" spans="1:28" ht="15.75" x14ac:dyDescent="0.25">
      <c r="A301" s="14" t="str">
        <f t="shared" si="8"/>
        <v/>
      </c>
      <c r="B301" s="14" t="str">
        <f t="shared" si="9"/>
        <v/>
      </c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</row>
    <row r="302" spans="1:28" ht="15.75" x14ac:dyDescent="0.25">
      <c r="A302" s="14" t="str">
        <f t="shared" si="8"/>
        <v/>
      </c>
      <c r="B302" s="14" t="str">
        <f t="shared" si="9"/>
        <v/>
      </c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</row>
    <row r="303" spans="1:28" ht="15.75" x14ac:dyDescent="0.25">
      <c r="A303" s="14" t="str">
        <f t="shared" si="8"/>
        <v/>
      </c>
      <c r="B303" s="14" t="str">
        <f t="shared" si="9"/>
        <v/>
      </c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</row>
    <row r="304" spans="1:28" ht="15.75" x14ac:dyDescent="0.25">
      <c r="A304" s="14" t="str">
        <f t="shared" si="8"/>
        <v/>
      </c>
      <c r="B304" s="14" t="str">
        <f t="shared" si="9"/>
        <v/>
      </c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</row>
    <row r="305" spans="1:28" ht="15.75" x14ac:dyDescent="0.25">
      <c r="A305" s="14" t="str">
        <f t="shared" si="8"/>
        <v/>
      </c>
      <c r="B305" s="14" t="str">
        <f t="shared" si="9"/>
        <v/>
      </c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</row>
    <row r="306" spans="1:28" ht="15.75" x14ac:dyDescent="0.25">
      <c r="A306" s="14" t="str">
        <f t="shared" si="8"/>
        <v/>
      </c>
      <c r="B306" s="14" t="str">
        <f t="shared" si="9"/>
        <v/>
      </c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</row>
    <row r="307" spans="1:28" ht="15.75" x14ac:dyDescent="0.25">
      <c r="A307" s="14" t="str">
        <f t="shared" si="8"/>
        <v/>
      </c>
      <c r="B307" s="14" t="str">
        <f t="shared" si="9"/>
        <v/>
      </c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</row>
    <row r="308" spans="1:28" ht="15.75" x14ac:dyDescent="0.25">
      <c r="A308" s="14" t="str">
        <f t="shared" si="8"/>
        <v/>
      </c>
      <c r="B308" s="14" t="str">
        <f t="shared" si="9"/>
        <v/>
      </c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</row>
    <row r="309" spans="1:28" ht="15.75" x14ac:dyDescent="0.25">
      <c r="A309" s="14" t="str">
        <f t="shared" si="8"/>
        <v/>
      </c>
      <c r="B309" s="14" t="str">
        <f t="shared" si="9"/>
        <v/>
      </c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</row>
    <row r="310" spans="1:28" ht="15.75" x14ac:dyDescent="0.25">
      <c r="A310" s="14" t="str">
        <f t="shared" si="8"/>
        <v/>
      </c>
      <c r="B310" s="14" t="str">
        <f t="shared" si="9"/>
        <v/>
      </c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</row>
    <row r="311" spans="1:28" ht="15.75" x14ac:dyDescent="0.25">
      <c r="A311" s="14" t="str">
        <f t="shared" si="8"/>
        <v/>
      </c>
      <c r="B311" s="14" t="str">
        <f t="shared" si="9"/>
        <v/>
      </c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</row>
    <row r="312" spans="1:28" ht="15.75" x14ac:dyDescent="0.25">
      <c r="A312" s="14" t="str">
        <f t="shared" si="8"/>
        <v/>
      </c>
      <c r="B312" s="14" t="str">
        <f t="shared" si="9"/>
        <v/>
      </c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</row>
    <row r="313" spans="1:28" ht="15.75" x14ac:dyDescent="0.25">
      <c r="A313" s="14" t="str">
        <f t="shared" si="8"/>
        <v/>
      </c>
      <c r="B313" s="14" t="str">
        <f t="shared" si="9"/>
        <v/>
      </c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</row>
    <row r="314" spans="1:28" ht="15.75" x14ac:dyDescent="0.25">
      <c r="A314" s="14" t="str">
        <f t="shared" si="8"/>
        <v/>
      </c>
      <c r="B314" s="14" t="str">
        <f t="shared" si="9"/>
        <v/>
      </c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</row>
    <row r="315" spans="1:28" ht="15.75" x14ac:dyDescent="0.25">
      <c r="A315" s="14" t="str">
        <f t="shared" si="8"/>
        <v/>
      </c>
      <c r="B315" s="14" t="str">
        <f t="shared" si="9"/>
        <v/>
      </c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</row>
    <row r="316" spans="1:28" ht="15.75" x14ac:dyDescent="0.25">
      <c r="A316" s="14" t="str">
        <f t="shared" si="8"/>
        <v/>
      </c>
      <c r="B316" s="14" t="str">
        <f t="shared" si="9"/>
        <v/>
      </c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</row>
    <row r="317" spans="1:28" ht="15.75" x14ac:dyDescent="0.25">
      <c r="A317" s="14" t="str">
        <f t="shared" si="8"/>
        <v/>
      </c>
      <c r="B317" s="14" t="str">
        <f t="shared" si="9"/>
        <v/>
      </c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</row>
    <row r="318" spans="1:28" ht="15.75" x14ac:dyDescent="0.25">
      <c r="A318" s="14" t="str">
        <f t="shared" si="8"/>
        <v/>
      </c>
      <c r="B318" s="14" t="str">
        <f t="shared" si="9"/>
        <v/>
      </c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</row>
    <row r="319" spans="1:28" ht="15.75" x14ac:dyDescent="0.25">
      <c r="A319" s="14" t="str">
        <f t="shared" si="8"/>
        <v/>
      </c>
      <c r="B319" s="14" t="str">
        <f t="shared" si="9"/>
        <v/>
      </c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</row>
    <row r="320" spans="1:28" ht="15.75" x14ac:dyDescent="0.25">
      <c r="A320" s="14" t="str">
        <f t="shared" si="8"/>
        <v/>
      </c>
      <c r="B320" s="14" t="str">
        <f t="shared" si="9"/>
        <v/>
      </c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</row>
    <row r="321" spans="1:28" ht="15.75" x14ac:dyDescent="0.25">
      <c r="A321" s="14" t="str">
        <f t="shared" si="8"/>
        <v/>
      </c>
      <c r="B321" s="14" t="str">
        <f t="shared" si="9"/>
        <v/>
      </c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</row>
    <row r="322" spans="1:28" ht="15.75" x14ac:dyDescent="0.25">
      <c r="A322" s="14" t="str">
        <f t="shared" ref="A322:A385" si="10">IF(ISBLANK(C322),"",ROW()-1)</f>
        <v/>
      </c>
      <c r="B322" s="14" t="str">
        <f t="shared" ref="B322:B385" si="11">IF(OR(ISBLANK(C322),ISBLANK(F322)),"","DIG-"&amp;IFERROR(VLOOKUP(F322,DigItemTypeLookup,2,FALSE),"?")&amp;"-"&amp;IF(G322="","?",IFERROR(VLOOKUP(G322,SubjectLookup,2,FALSE),"="))&amp;"-"&amp;IF(H322="","?",IFERROR(VLOOKUP(H322,GenreLookup,2,FALSE),"="))&amp;"-"&amp;IF(ISBLANK(D322),"NOC",UPPER(LEFT(TRIM(RIGHT(SUBSTITUTE(TRIM(D322)," ",REPT(" ",100)),100)),3)))&amp;"-"&amp;TEXT(A322,"000"))</f>
        <v/>
      </c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</row>
    <row r="323" spans="1:28" ht="15.75" x14ac:dyDescent="0.25">
      <c r="A323" s="14" t="str">
        <f t="shared" si="10"/>
        <v/>
      </c>
      <c r="B323" s="14" t="str">
        <f t="shared" si="11"/>
        <v/>
      </c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</row>
    <row r="324" spans="1:28" ht="15.75" x14ac:dyDescent="0.25">
      <c r="A324" s="14" t="str">
        <f t="shared" si="10"/>
        <v/>
      </c>
      <c r="B324" s="14" t="str">
        <f t="shared" si="11"/>
        <v/>
      </c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</row>
    <row r="325" spans="1:28" ht="15.75" x14ac:dyDescent="0.25">
      <c r="A325" s="14" t="str">
        <f t="shared" si="10"/>
        <v/>
      </c>
      <c r="B325" s="14" t="str">
        <f t="shared" si="11"/>
        <v/>
      </c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</row>
    <row r="326" spans="1:28" ht="15.75" x14ac:dyDescent="0.25">
      <c r="A326" s="14" t="str">
        <f t="shared" si="10"/>
        <v/>
      </c>
      <c r="B326" s="14" t="str">
        <f t="shared" si="11"/>
        <v/>
      </c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</row>
    <row r="327" spans="1:28" ht="15.75" x14ac:dyDescent="0.25">
      <c r="A327" s="14" t="str">
        <f t="shared" si="10"/>
        <v/>
      </c>
      <c r="B327" s="14" t="str">
        <f t="shared" si="11"/>
        <v/>
      </c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</row>
    <row r="328" spans="1:28" ht="15.75" x14ac:dyDescent="0.25">
      <c r="A328" s="14" t="str">
        <f t="shared" si="10"/>
        <v/>
      </c>
      <c r="B328" s="14" t="str">
        <f t="shared" si="11"/>
        <v/>
      </c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</row>
    <row r="329" spans="1:28" ht="15.75" x14ac:dyDescent="0.25">
      <c r="A329" s="14" t="str">
        <f t="shared" si="10"/>
        <v/>
      </c>
      <c r="B329" s="14" t="str">
        <f t="shared" si="11"/>
        <v/>
      </c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</row>
    <row r="330" spans="1:28" ht="15.75" x14ac:dyDescent="0.25">
      <c r="A330" s="14" t="str">
        <f t="shared" si="10"/>
        <v/>
      </c>
      <c r="B330" s="14" t="str">
        <f t="shared" si="11"/>
        <v/>
      </c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</row>
    <row r="331" spans="1:28" ht="15.75" x14ac:dyDescent="0.25">
      <c r="A331" s="14" t="str">
        <f t="shared" si="10"/>
        <v/>
      </c>
      <c r="B331" s="14" t="str">
        <f t="shared" si="11"/>
        <v/>
      </c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</row>
    <row r="332" spans="1:28" ht="15.75" x14ac:dyDescent="0.25">
      <c r="A332" s="14" t="str">
        <f t="shared" si="10"/>
        <v/>
      </c>
      <c r="B332" s="14" t="str">
        <f t="shared" si="11"/>
        <v/>
      </c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</row>
    <row r="333" spans="1:28" ht="15.75" x14ac:dyDescent="0.25">
      <c r="A333" s="14" t="str">
        <f t="shared" si="10"/>
        <v/>
      </c>
      <c r="B333" s="14" t="str">
        <f t="shared" si="11"/>
        <v/>
      </c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</row>
    <row r="334" spans="1:28" ht="15.75" x14ac:dyDescent="0.25">
      <c r="A334" s="14" t="str">
        <f t="shared" si="10"/>
        <v/>
      </c>
      <c r="B334" s="14" t="str">
        <f t="shared" si="11"/>
        <v/>
      </c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</row>
    <row r="335" spans="1:28" ht="15.75" x14ac:dyDescent="0.25">
      <c r="A335" s="14" t="str">
        <f t="shared" si="10"/>
        <v/>
      </c>
      <c r="B335" s="14" t="str">
        <f t="shared" si="11"/>
        <v/>
      </c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</row>
    <row r="336" spans="1:28" ht="15.75" x14ac:dyDescent="0.25">
      <c r="A336" s="14" t="str">
        <f t="shared" si="10"/>
        <v/>
      </c>
      <c r="B336" s="14" t="str">
        <f t="shared" si="11"/>
        <v/>
      </c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</row>
    <row r="337" spans="1:28" ht="15.75" x14ac:dyDescent="0.25">
      <c r="A337" s="14" t="str">
        <f t="shared" si="10"/>
        <v/>
      </c>
      <c r="B337" s="14" t="str">
        <f t="shared" si="11"/>
        <v/>
      </c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</row>
    <row r="338" spans="1:28" ht="15.75" x14ac:dyDescent="0.25">
      <c r="A338" s="14" t="str">
        <f t="shared" si="10"/>
        <v/>
      </c>
      <c r="B338" s="14" t="str">
        <f t="shared" si="11"/>
        <v/>
      </c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</row>
    <row r="339" spans="1:28" ht="15.75" x14ac:dyDescent="0.25">
      <c r="A339" s="14" t="str">
        <f t="shared" si="10"/>
        <v/>
      </c>
      <c r="B339" s="14" t="str">
        <f t="shared" si="11"/>
        <v/>
      </c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</row>
    <row r="340" spans="1:28" ht="15.75" x14ac:dyDescent="0.25">
      <c r="A340" s="14" t="str">
        <f t="shared" si="10"/>
        <v/>
      </c>
      <c r="B340" s="14" t="str">
        <f t="shared" si="11"/>
        <v/>
      </c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</row>
    <row r="341" spans="1:28" ht="15.75" x14ac:dyDescent="0.25">
      <c r="A341" s="14" t="str">
        <f t="shared" si="10"/>
        <v/>
      </c>
      <c r="B341" s="14" t="str">
        <f t="shared" si="11"/>
        <v/>
      </c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</row>
    <row r="342" spans="1:28" ht="15.75" x14ac:dyDescent="0.25">
      <c r="A342" s="14" t="str">
        <f t="shared" si="10"/>
        <v/>
      </c>
      <c r="B342" s="14" t="str">
        <f t="shared" si="11"/>
        <v/>
      </c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</row>
    <row r="343" spans="1:28" ht="15.75" x14ac:dyDescent="0.25">
      <c r="A343" s="14" t="str">
        <f t="shared" si="10"/>
        <v/>
      </c>
      <c r="B343" s="14" t="str">
        <f t="shared" si="11"/>
        <v/>
      </c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</row>
    <row r="344" spans="1:28" ht="15.75" x14ac:dyDescent="0.25">
      <c r="A344" s="14" t="str">
        <f t="shared" si="10"/>
        <v/>
      </c>
      <c r="B344" s="14" t="str">
        <f t="shared" si="11"/>
        <v/>
      </c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r="345" spans="1:28" ht="15.75" x14ac:dyDescent="0.25">
      <c r="A345" s="14" t="str">
        <f t="shared" si="10"/>
        <v/>
      </c>
      <c r="B345" s="14" t="str">
        <f t="shared" si="11"/>
        <v/>
      </c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 spans="1:28" ht="15.75" x14ac:dyDescent="0.25">
      <c r="A346" s="14" t="str">
        <f t="shared" si="10"/>
        <v/>
      </c>
      <c r="B346" s="14" t="str">
        <f t="shared" si="11"/>
        <v/>
      </c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 spans="1:28" ht="15.75" x14ac:dyDescent="0.25">
      <c r="A347" s="14" t="str">
        <f t="shared" si="10"/>
        <v/>
      </c>
      <c r="B347" s="14" t="str">
        <f t="shared" si="11"/>
        <v/>
      </c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 spans="1:28" ht="15.75" x14ac:dyDescent="0.25">
      <c r="A348" s="14" t="str">
        <f t="shared" si="10"/>
        <v/>
      </c>
      <c r="B348" s="14" t="str">
        <f t="shared" si="11"/>
        <v/>
      </c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 spans="1:28" ht="15.75" x14ac:dyDescent="0.25">
      <c r="A349" s="14" t="str">
        <f t="shared" si="10"/>
        <v/>
      </c>
      <c r="B349" s="14" t="str">
        <f t="shared" si="11"/>
        <v/>
      </c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 spans="1:28" ht="15.75" x14ac:dyDescent="0.25">
      <c r="A350" s="14" t="str">
        <f t="shared" si="10"/>
        <v/>
      </c>
      <c r="B350" s="14" t="str">
        <f t="shared" si="11"/>
        <v/>
      </c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 spans="1:28" ht="15.75" x14ac:dyDescent="0.25">
      <c r="A351" s="14" t="str">
        <f t="shared" si="10"/>
        <v/>
      </c>
      <c r="B351" s="14" t="str">
        <f t="shared" si="11"/>
        <v/>
      </c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 spans="1:28" ht="15.75" x14ac:dyDescent="0.25">
      <c r="A352" s="14" t="str">
        <f t="shared" si="10"/>
        <v/>
      </c>
      <c r="B352" s="14" t="str">
        <f t="shared" si="11"/>
        <v/>
      </c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 spans="1:28" ht="15.75" x14ac:dyDescent="0.25">
      <c r="A353" s="14" t="str">
        <f t="shared" si="10"/>
        <v/>
      </c>
      <c r="B353" s="14" t="str">
        <f t="shared" si="11"/>
        <v/>
      </c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 spans="1:28" ht="15.75" x14ac:dyDescent="0.25">
      <c r="A354" s="14" t="str">
        <f t="shared" si="10"/>
        <v/>
      </c>
      <c r="B354" s="14" t="str">
        <f t="shared" si="11"/>
        <v/>
      </c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 spans="1:28" ht="15.75" x14ac:dyDescent="0.25">
      <c r="A355" s="14" t="str">
        <f t="shared" si="10"/>
        <v/>
      </c>
      <c r="B355" s="14" t="str">
        <f t="shared" si="11"/>
        <v/>
      </c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 spans="1:28" ht="15.75" x14ac:dyDescent="0.25">
      <c r="A356" s="14" t="str">
        <f t="shared" si="10"/>
        <v/>
      </c>
      <c r="B356" s="14" t="str">
        <f t="shared" si="11"/>
        <v/>
      </c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 spans="1:28" ht="15.75" x14ac:dyDescent="0.25">
      <c r="A357" s="14" t="str">
        <f t="shared" si="10"/>
        <v/>
      </c>
      <c r="B357" s="14" t="str">
        <f t="shared" si="11"/>
        <v/>
      </c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 spans="1:28" ht="15.75" x14ac:dyDescent="0.25">
      <c r="A358" s="14" t="str">
        <f t="shared" si="10"/>
        <v/>
      </c>
      <c r="B358" s="14" t="str">
        <f t="shared" si="11"/>
        <v/>
      </c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 spans="1:28" ht="15.75" x14ac:dyDescent="0.25">
      <c r="A359" s="14" t="str">
        <f t="shared" si="10"/>
        <v/>
      </c>
      <c r="B359" s="14" t="str">
        <f t="shared" si="11"/>
        <v/>
      </c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 spans="1:28" ht="15.75" x14ac:dyDescent="0.25">
      <c r="A360" s="14" t="str">
        <f t="shared" si="10"/>
        <v/>
      </c>
      <c r="B360" s="14" t="str">
        <f t="shared" si="11"/>
        <v/>
      </c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 spans="1:28" ht="15.75" x14ac:dyDescent="0.25">
      <c r="A361" s="14" t="str">
        <f t="shared" si="10"/>
        <v/>
      </c>
      <c r="B361" s="14" t="str">
        <f t="shared" si="11"/>
        <v/>
      </c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 spans="1:28" ht="15.75" x14ac:dyDescent="0.25">
      <c r="A362" s="14" t="str">
        <f t="shared" si="10"/>
        <v/>
      </c>
      <c r="B362" s="14" t="str">
        <f t="shared" si="11"/>
        <v/>
      </c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 spans="1:28" ht="15.75" x14ac:dyDescent="0.25">
      <c r="A363" s="14" t="str">
        <f t="shared" si="10"/>
        <v/>
      </c>
      <c r="B363" s="14" t="str">
        <f t="shared" si="11"/>
        <v/>
      </c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 spans="1:28" ht="15.75" x14ac:dyDescent="0.25">
      <c r="A364" s="14" t="str">
        <f t="shared" si="10"/>
        <v/>
      </c>
      <c r="B364" s="14" t="str">
        <f t="shared" si="11"/>
        <v/>
      </c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 spans="1:28" ht="15.75" x14ac:dyDescent="0.25">
      <c r="A365" s="14" t="str">
        <f t="shared" si="10"/>
        <v/>
      </c>
      <c r="B365" s="14" t="str">
        <f t="shared" si="11"/>
        <v/>
      </c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 spans="1:28" ht="15.75" x14ac:dyDescent="0.25">
      <c r="A366" s="14" t="str">
        <f t="shared" si="10"/>
        <v/>
      </c>
      <c r="B366" s="14" t="str">
        <f t="shared" si="11"/>
        <v/>
      </c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 spans="1:28" ht="15.75" x14ac:dyDescent="0.25">
      <c r="A367" s="14" t="str">
        <f t="shared" si="10"/>
        <v/>
      </c>
      <c r="B367" s="14" t="str">
        <f t="shared" si="11"/>
        <v/>
      </c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 spans="1:28" ht="15.75" x14ac:dyDescent="0.25">
      <c r="A368" s="14" t="str">
        <f t="shared" si="10"/>
        <v/>
      </c>
      <c r="B368" s="14" t="str">
        <f t="shared" si="11"/>
        <v/>
      </c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 spans="1:28" ht="15.75" x14ac:dyDescent="0.25">
      <c r="A369" s="14" t="str">
        <f t="shared" si="10"/>
        <v/>
      </c>
      <c r="B369" s="14" t="str">
        <f t="shared" si="11"/>
        <v/>
      </c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r="370" spans="1:28" ht="15.75" x14ac:dyDescent="0.25">
      <c r="A370" s="14" t="str">
        <f t="shared" si="10"/>
        <v/>
      </c>
      <c r="B370" s="14" t="str">
        <f t="shared" si="11"/>
        <v/>
      </c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</row>
    <row r="371" spans="1:28" ht="15.75" x14ac:dyDescent="0.25">
      <c r="A371" s="14" t="str">
        <f t="shared" si="10"/>
        <v/>
      </c>
      <c r="B371" s="14" t="str">
        <f t="shared" si="11"/>
        <v/>
      </c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r="372" spans="1:28" ht="15.75" x14ac:dyDescent="0.25">
      <c r="A372" s="14" t="str">
        <f t="shared" si="10"/>
        <v/>
      </c>
      <c r="B372" s="14" t="str">
        <f t="shared" si="11"/>
        <v/>
      </c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r="373" spans="1:28" ht="15.75" x14ac:dyDescent="0.25">
      <c r="A373" s="14" t="str">
        <f t="shared" si="10"/>
        <v/>
      </c>
      <c r="B373" s="14" t="str">
        <f t="shared" si="11"/>
        <v/>
      </c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</row>
    <row r="374" spans="1:28" ht="15.75" x14ac:dyDescent="0.25">
      <c r="A374" s="14" t="str">
        <f t="shared" si="10"/>
        <v/>
      </c>
      <c r="B374" s="14" t="str">
        <f t="shared" si="11"/>
        <v/>
      </c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r="375" spans="1:28" ht="15.75" x14ac:dyDescent="0.25">
      <c r="A375" s="14" t="str">
        <f t="shared" si="10"/>
        <v/>
      </c>
      <c r="B375" s="14" t="str">
        <f t="shared" si="11"/>
        <v/>
      </c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r="376" spans="1:28" ht="15.75" x14ac:dyDescent="0.25">
      <c r="A376" s="14" t="str">
        <f t="shared" si="10"/>
        <v/>
      </c>
      <c r="B376" s="14" t="str">
        <f t="shared" si="11"/>
        <v/>
      </c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</row>
    <row r="377" spans="1:28" ht="15.75" x14ac:dyDescent="0.25">
      <c r="A377" s="14" t="str">
        <f t="shared" si="10"/>
        <v/>
      </c>
      <c r="B377" s="14" t="str">
        <f t="shared" si="11"/>
        <v/>
      </c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</row>
    <row r="378" spans="1:28" ht="15.75" x14ac:dyDescent="0.25">
      <c r="A378" s="14" t="str">
        <f t="shared" si="10"/>
        <v/>
      </c>
      <c r="B378" s="14" t="str">
        <f t="shared" si="11"/>
        <v/>
      </c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</row>
    <row r="379" spans="1:28" ht="15.75" x14ac:dyDescent="0.25">
      <c r="A379" s="14" t="str">
        <f t="shared" si="10"/>
        <v/>
      </c>
      <c r="B379" s="14" t="str">
        <f t="shared" si="11"/>
        <v/>
      </c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</row>
    <row r="380" spans="1:28" ht="15.75" x14ac:dyDescent="0.25">
      <c r="A380" s="14" t="str">
        <f t="shared" si="10"/>
        <v/>
      </c>
      <c r="B380" s="14" t="str">
        <f t="shared" si="11"/>
        <v/>
      </c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</row>
    <row r="381" spans="1:28" ht="15.75" x14ac:dyDescent="0.25">
      <c r="A381" s="14" t="str">
        <f t="shared" si="10"/>
        <v/>
      </c>
      <c r="B381" s="14" t="str">
        <f t="shared" si="11"/>
        <v/>
      </c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</row>
    <row r="382" spans="1:28" ht="15.75" x14ac:dyDescent="0.25">
      <c r="A382" s="14" t="str">
        <f t="shared" si="10"/>
        <v/>
      </c>
      <c r="B382" s="14" t="str">
        <f t="shared" si="11"/>
        <v/>
      </c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</row>
    <row r="383" spans="1:28" ht="15.75" x14ac:dyDescent="0.25">
      <c r="A383" s="14" t="str">
        <f t="shared" si="10"/>
        <v/>
      </c>
      <c r="B383" s="14" t="str">
        <f t="shared" si="11"/>
        <v/>
      </c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</row>
    <row r="384" spans="1:28" ht="15.75" x14ac:dyDescent="0.25">
      <c r="A384" s="14" t="str">
        <f t="shared" si="10"/>
        <v/>
      </c>
      <c r="B384" s="14" t="str">
        <f t="shared" si="11"/>
        <v/>
      </c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</row>
    <row r="385" spans="1:28" ht="15.75" x14ac:dyDescent="0.25">
      <c r="A385" s="14" t="str">
        <f t="shared" si="10"/>
        <v/>
      </c>
      <c r="B385" s="14" t="str">
        <f t="shared" si="11"/>
        <v/>
      </c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</row>
    <row r="386" spans="1:28" ht="15.75" x14ac:dyDescent="0.25">
      <c r="A386" s="14" t="str">
        <f t="shared" ref="A386:A449" si="12">IF(ISBLANK(C386),"",ROW()-1)</f>
        <v/>
      </c>
      <c r="B386" s="14" t="str">
        <f t="shared" ref="B386:B449" si="13">IF(OR(ISBLANK(C386),ISBLANK(F386)),"","DIG-"&amp;IFERROR(VLOOKUP(F386,DigItemTypeLookup,2,FALSE),"?")&amp;"-"&amp;IF(G386="","?",IFERROR(VLOOKUP(G386,SubjectLookup,2,FALSE),"="))&amp;"-"&amp;IF(H386="","?",IFERROR(VLOOKUP(H386,GenreLookup,2,FALSE),"="))&amp;"-"&amp;IF(ISBLANK(D386),"NOC",UPPER(LEFT(TRIM(RIGHT(SUBSTITUTE(TRIM(D386)," ",REPT(" ",100)),100)),3)))&amp;"-"&amp;TEXT(A386,"000"))</f>
        <v/>
      </c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</row>
    <row r="387" spans="1:28" ht="15.75" x14ac:dyDescent="0.25">
      <c r="A387" s="14" t="str">
        <f t="shared" si="12"/>
        <v/>
      </c>
      <c r="B387" s="14" t="str">
        <f t="shared" si="13"/>
        <v/>
      </c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</row>
    <row r="388" spans="1:28" ht="15.75" x14ac:dyDescent="0.25">
      <c r="A388" s="14" t="str">
        <f t="shared" si="12"/>
        <v/>
      </c>
      <c r="B388" s="14" t="str">
        <f t="shared" si="13"/>
        <v/>
      </c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</row>
    <row r="389" spans="1:28" ht="15.75" x14ac:dyDescent="0.25">
      <c r="A389" s="14" t="str">
        <f t="shared" si="12"/>
        <v/>
      </c>
      <c r="B389" s="14" t="str">
        <f t="shared" si="13"/>
        <v/>
      </c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</row>
    <row r="390" spans="1:28" ht="15.75" x14ac:dyDescent="0.25">
      <c r="A390" s="14" t="str">
        <f t="shared" si="12"/>
        <v/>
      </c>
      <c r="B390" s="14" t="str">
        <f t="shared" si="13"/>
        <v/>
      </c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</row>
    <row r="391" spans="1:28" ht="15.75" x14ac:dyDescent="0.25">
      <c r="A391" s="14" t="str">
        <f t="shared" si="12"/>
        <v/>
      </c>
      <c r="B391" s="14" t="str">
        <f t="shared" si="13"/>
        <v/>
      </c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</row>
    <row r="392" spans="1:28" ht="15.75" x14ac:dyDescent="0.25">
      <c r="A392" s="14" t="str">
        <f t="shared" si="12"/>
        <v/>
      </c>
      <c r="B392" s="14" t="str">
        <f t="shared" si="13"/>
        <v/>
      </c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</row>
    <row r="393" spans="1:28" ht="15.75" x14ac:dyDescent="0.25">
      <c r="A393" s="14" t="str">
        <f t="shared" si="12"/>
        <v/>
      </c>
      <c r="B393" s="14" t="str">
        <f t="shared" si="13"/>
        <v/>
      </c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</row>
    <row r="394" spans="1:28" ht="15.75" x14ac:dyDescent="0.25">
      <c r="A394" s="14" t="str">
        <f t="shared" si="12"/>
        <v/>
      </c>
      <c r="B394" s="14" t="str">
        <f t="shared" si="13"/>
        <v/>
      </c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</row>
    <row r="395" spans="1:28" ht="15.75" x14ac:dyDescent="0.25">
      <c r="A395" s="14" t="str">
        <f t="shared" si="12"/>
        <v/>
      </c>
      <c r="B395" s="14" t="str">
        <f t="shared" si="13"/>
        <v/>
      </c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</row>
    <row r="396" spans="1:28" ht="15.75" x14ac:dyDescent="0.25">
      <c r="A396" s="14" t="str">
        <f t="shared" si="12"/>
        <v/>
      </c>
      <c r="B396" s="14" t="str">
        <f t="shared" si="13"/>
        <v/>
      </c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 spans="1:28" ht="15.75" x14ac:dyDescent="0.25">
      <c r="A397" s="14" t="str">
        <f t="shared" si="12"/>
        <v/>
      </c>
      <c r="B397" s="14" t="str">
        <f t="shared" si="13"/>
        <v/>
      </c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r="398" spans="1:28" ht="15.75" x14ac:dyDescent="0.25">
      <c r="A398" s="14" t="str">
        <f t="shared" si="12"/>
        <v/>
      </c>
      <c r="B398" s="14" t="str">
        <f t="shared" si="13"/>
        <v/>
      </c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 spans="1:28" ht="15.75" x14ac:dyDescent="0.25">
      <c r="A399" s="14" t="str">
        <f t="shared" si="12"/>
        <v/>
      </c>
      <c r="B399" s="14" t="str">
        <f t="shared" si="13"/>
        <v/>
      </c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 spans="1:28" ht="15.75" x14ac:dyDescent="0.25">
      <c r="A400" s="14" t="str">
        <f t="shared" si="12"/>
        <v/>
      </c>
      <c r="B400" s="14" t="str">
        <f t="shared" si="13"/>
        <v/>
      </c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r="401" spans="1:28" ht="15.75" x14ac:dyDescent="0.25">
      <c r="A401" s="14" t="str">
        <f t="shared" si="12"/>
        <v/>
      </c>
      <c r="B401" s="14" t="str">
        <f t="shared" si="13"/>
        <v/>
      </c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 spans="1:28" ht="15.75" x14ac:dyDescent="0.25">
      <c r="A402" s="14" t="str">
        <f t="shared" si="12"/>
        <v/>
      </c>
      <c r="B402" s="14" t="str">
        <f t="shared" si="13"/>
        <v/>
      </c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 spans="1:28" ht="15.75" x14ac:dyDescent="0.25">
      <c r="A403" s="14" t="str">
        <f t="shared" si="12"/>
        <v/>
      </c>
      <c r="B403" s="14" t="str">
        <f t="shared" si="13"/>
        <v/>
      </c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r="404" spans="1:28" ht="15.75" x14ac:dyDescent="0.25">
      <c r="A404" s="14" t="str">
        <f t="shared" si="12"/>
        <v/>
      </c>
      <c r="B404" s="14" t="str">
        <f t="shared" si="13"/>
        <v/>
      </c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 spans="1:28" ht="15.75" x14ac:dyDescent="0.25">
      <c r="A405" s="14" t="str">
        <f t="shared" si="12"/>
        <v/>
      </c>
      <c r="B405" s="14" t="str">
        <f t="shared" si="13"/>
        <v/>
      </c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 spans="1:28" ht="15.75" x14ac:dyDescent="0.25">
      <c r="A406" s="14" t="str">
        <f t="shared" si="12"/>
        <v/>
      </c>
      <c r="B406" s="14" t="str">
        <f t="shared" si="13"/>
        <v/>
      </c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r="407" spans="1:28" ht="15.75" x14ac:dyDescent="0.25">
      <c r="A407" s="14" t="str">
        <f t="shared" si="12"/>
        <v/>
      </c>
      <c r="B407" s="14" t="str">
        <f t="shared" si="13"/>
        <v/>
      </c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 spans="1:28" ht="15.75" x14ac:dyDescent="0.25">
      <c r="A408" s="14" t="str">
        <f t="shared" si="12"/>
        <v/>
      </c>
      <c r="B408" s="14" t="str">
        <f t="shared" si="13"/>
        <v/>
      </c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 spans="1:28" ht="15.75" x14ac:dyDescent="0.25">
      <c r="A409" s="14" t="str">
        <f t="shared" si="12"/>
        <v/>
      </c>
      <c r="B409" s="14" t="str">
        <f t="shared" si="13"/>
        <v/>
      </c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r="410" spans="1:28" ht="15.75" x14ac:dyDescent="0.25">
      <c r="A410" s="14" t="str">
        <f t="shared" si="12"/>
        <v/>
      </c>
      <c r="B410" s="14" t="str">
        <f t="shared" si="13"/>
        <v/>
      </c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 spans="1:28" ht="15.75" x14ac:dyDescent="0.25">
      <c r="A411" s="14" t="str">
        <f t="shared" si="12"/>
        <v/>
      </c>
      <c r="B411" s="14" t="str">
        <f t="shared" si="13"/>
        <v/>
      </c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 spans="1:28" ht="15.75" x14ac:dyDescent="0.25">
      <c r="A412" s="14" t="str">
        <f t="shared" si="12"/>
        <v/>
      </c>
      <c r="B412" s="14" t="str">
        <f t="shared" si="13"/>
        <v/>
      </c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r="413" spans="1:28" ht="15.75" x14ac:dyDescent="0.25">
      <c r="A413" s="14" t="str">
        <f t="shared" si="12"/>
        <v/>
      </c>
      <c r="B413" s="14" t="str">
        <f t="shared" si="13"/>
        <v/>
      </c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 spans="1:28" ht="15.75" x14ac:dyDescent="0.25">
      <c r="A414" s="14" t="str">
        <f t="shared" si="12"/>
        <v/>
      </c>
      <c r="B414" s="14" t="str">
        <f t="shared" si="13"/>
        <v/>
      </c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 spans="1:28" ht="15.75" x14ac:dyDescent="0.25">
      <c r="A415" s="14" t="str">
        <f t="shared" si="12"/>
        <v/>
      </c>
      <c r="B415" s="14" t="str">
        <f t="shared" si="13"/>
        <v/>
      </c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r="416" spans="1:28" ht="15.75" x14ac:dyDescent="0.25">
      <c r="A416" s="14" t="str">
        <f t="shared" si="12"/>
        <v/>
      </c>
      <c r="B416" s="14" t="str">
        <f t="shared" si="13"/>
        <v/>
      </c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 spans="1:28" ht="15.75" x14ac:dyDescent="0.25">
      <c r="A417" s="14" t="str">
        <f t="shared" si="12"/>
        <v/>
      </c>
      <c r="B417" s="14" t="str">
        <f t="shared" si="13"/>
        <v/>
      </c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 spans="1:28" ht="15.75" x14ac:dyDescent="0.25">
      <c r="A418" s="14" t="str">
        <f t="shared" si="12"/>
        <v/>
      </c>
      <c r="B418" s="14" t="str">
        <f t="shared" si="13"/>
        <v/>
      </c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r="419" spans="1:28" ht="15.75" x14ac:dyDescent="0.25">
      <c r="A419" s="14" t="str">
        <f t="shared" si="12"/>
        <v/>
      </c>
      <c r="B419" s="14" t="str">
        <f t="shared" si="13"/>
        <v/>
      </c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 spans="1:28" ht="15.75" x14ac:dyDescent="0.25">
      <c r="A420" s="14" t="str">
        <f t="shared" si="12"/>
        <v/>
      </c>
      <c r="B420" s="14" t="str">
        <f t="shared" si="13"/>
        <v/>
      </c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 spans="1:28" ht="15.75" x14ac:dyDescent="0.25">
      <c r="A421" s="14" t="str">
        <f t="shared" si="12"/>
        <v/>
      </c>
      <c r="B421" s="14" t="str">
        <f t="shared" si="13"/>
        <v/>
      </c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r="422" spans="1:28" ht="15.75" x14ac:dyDescent="0.25">
      <c r="A422" s="14" t="str">
        <f t="shared" si="12"/>
        <v/>
      </c>
      <c r="B422" s="14" t="str">
        <f t="shared" si="13"/>
        <v/>
      </c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 spans="1:28" ht="15.75" x14ac:dyDescent="0.25">
      <c r="A423" s="14" t="str">
        <f t="shared" si="12"/>
        <v/>
      </c>
      <c r="B423" s="14" t="str">
        <f t="shared" si="13"/>
        <v/>
      </c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 spans="1:28" ht="15.75" x14ac:dyDescent="0.25">
      <c r="A424" s="14" t="str">
        <f t="shared" si="12"/>
        <v/>
      </c>
      <c r="B424" s="14" t="str">
        <f t="shared" si="13"/>
        <v/>
      </c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r="425" spans="1:28" ht="15.75" x14ac:dyDescent="0.25">
      <c r="A425" s="14" t="str">
        <f t="shared" si="12"/>
        <v/>
      </c>
      <c r="B425" s="14" t="str">
        <f t="shared" si="13"/>
        <v/>
      </c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 spans="1:28" ht="15.75" x14ac:dyDescent="0.25">
      <c r="A426" s="14" t="str">
        <f t="shared" si="12"/>
        <v/>
      </c>
      <c r="B426" s="14" t="str">
        <f t="shared" si="13"/>
        <v/>
      </c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 spans="1:28" ht="15.75" x14ac:dyDescent="0.25">
      <c r="A427" s="14" t="str">
        <f t="shared" si="12"/>
        <v/>
      </c>
      <c r="B427" s="14" t="str">
        <f t="shared" si="13"/>
        <v/>
      </c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r="428" spans="1:28" ht="15.75" x14ac:dyDescent="0.25">
      <c r="A428" s="14" t="str">
        <f t="shared" si="12"/>
        <v/>
      </c>
      <c r="B428" s="14" t="str">
        <f t="shared" si="13"/>
        <v/>
      </c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 spans="1:28" ht="15.75" x14ac:dyDescent="0.25">
      <c r="A429" s="14" t="str">
        <f t="shared" si="12"/>
        <v/>
      </c>
      <c r="B429" s="14" t="str">
        <f t="shared" si="13"/>
        <v/>
      </c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 spans="1:28" ht="15.75" x14ac:dyDescent="0.25">
      <c r="A430" s="14" t="str">
        <f t="shared" si="12"/>
        <v/>
      </c>
      <c r="B430" s="14" t="str">
        <f t="shared" si="13"/>
        <v/>
      </c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r="431" spans="1:28" ht="15.75" x14ac:dyDescent="0.25">
      <c r="A431" s="14" t="str">
        <f t="shared" si="12"/>
        <v/>
      </c>
      <c r="B431" s="14" t="str">
        <f t="shared" si="13"/>
        <v/>
      </c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 spans="1:28" ht="15.75" x14ac:dyDescent="0.25">
      <c r="A432" s="14" t="str">
        <f t="shared" si="12"/>
        <v/>
      </c>
      <c r="B432" s="14" t="str">
        <f t="shared" si="13"/>
        <v/>
      </c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 spans="1:28" ht="15.75" x14ac:dyDescent="0.25">
      <c r="A433" s="14" t="str">
        <f t="shared" si="12"/>
        <v/>
      </c>
      <c r="B433" s="14" t="str">
        <f t="shared" si="13"/>
        <v/>
      </c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r="434" spans="1:28" ht="15.75" x14ac:dyDescent="0.25">
      <c r="A434" s="14" t="str">
        <f t="shared" si="12"/>
        <v/>
      </c>
      <c r="B434" s="14" t="str">
        <f t="shared" si="13"/>
        <v/>
      </c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 spans="1:28" ht="15.75" x14ac:dyDescent="0.25">
      <c r="A435" s="14" t="str">
        <f t="shared" si="12"/>
        <v/>
      </c>
      <c r="B435" s="14" t="str">
        <f t="shared" si="13"/>
        <v/>
      </c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 spans="1:28" ht="15.75" x14ac:dyDescent="0.25">
      <c r="A436" s="14" t="str">
        <f t="shared" si="12"/>
        <v/>
      </c>
      <c r="B436" s="14" t="str">
        <f t="shared" si="13"/>
        <v/>
      </c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r="437" spans="1:28" ht="15.75" x14ac:dyDescent="0.25">
      <c r="A437" s="14" t="str">
        <f t="shared" si="12"/>
        <v/>
      </c>
      <c r="B437" s="14" t="str">
        <f t="shared" si="13"/>
        <v/>
      </c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r="438" spans="1:28" ht="15.75" x14ac:dyDescent="0.25">
      <c r="A438" s="14" t="str">
        <f t="shared" si="12"/>
        <v/>
      </c>
      <c r="B438" s="14" t="str">
        <f t="shared" si="13"/>
        <v/>
      </c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r="439" spans="1:28" ht="15.75" x14ac:dyDescent="0.25">
      <c r="A439" s="14" t="str">
        <f t="shared" si="12"/>
        <v/>
      </c>
      <c r="B439" s="14" t="str">
        <f t="shared" si="13"/>
        <v/>
      </c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r="440" spans="1:28" ht="15.75" x14ac:dyDescent="0.25">
      <c r="A440" s="14" t="str">
        <f t="shared" si="12"/>
        <v/>
      </c>
      <c r="B440" s="14" t="str">
        <f t="shared" si="13"/>
        <v/>
      </c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r="441" spans="1:28" ht="15.75" x14ac:dyDescent="0.25">
      <c r="A441" s="14" t="str">
        <f t="shared" si="12"/>
        <v/>
      </c>
      <c r="B441" s="14" t="str">
        <f t="shared" si="13"/>
        <v/>
      </c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r="442" spans="1:28" ht="15.75" x14ac:dyDescent="0.25">
      <c r="A442" s="14" t="str">
        <f t="shared" si="12"/>
        <v/>
      </c>
      <c r="B442" s="14" t="str">
        <f t="shared" si="13"/>
        <v/>
      </c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r="443" spans="1:28" ht="15.75" x14ac:dyDescent="0.25">
      <c r="A443" s="14" t="str">
        <f t="shared" si="12"/>
        <v/>
      </c>
      <c r="B443" s="14" t="str">
        <f t="shared" si="13"/>
        <v/>
      </c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r="444" spans="1:28" ht="15.75" x14ac:dyDescent="0.25">
      <c r="A444" s="14" t="str">
        <f t="shared" si="12"/>
        <v/>
      </c>
      <c r="B444" s="14" t="str">
        <f t="shared" si="13"/>
        <v/>
      </c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r="445" spans="1:28" ht="15.75" x14ac:dyDescent="0.25">
      <c r="A445" s="14" t="str">
        <f t="shared" si="12"/>
        <v/>
      </c>
      <c r="B445" s="14" t="str">
        <f t="shared" si="13"/>
        <v/>
      </c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r="446" spans="1:28" ht="15.75" x14ac:dyDescent="0.25">
      <c r="A446" s="14" t="str">
        <f t="shared" si="12"/>
        <v/>
      </c>
      <c r="B446" s="14" t="str">
        <f t="shared" si="13"/>
        <v/>
      </c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r="447" spans="1:28" ht="15.75" x14ac:dyDescent="0.25">
      <c r="A447" s="14" t="str">
        <f t="shared" si="12"/>
        <v/>
      </c>
      <c r="B447" s="14" t="str">
        <f t="shared" si="13"/>
        <v/>
      </c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r="448" spans="1:28" ht="15.75" x14ac:dyDescent="0.25">
      <c r="A448" s="14" t="str">
        <f t="shared" si="12"/>
        <v/>
      </c>
      <c r="B448" s="14" t="str">
        <f t="shared" si="13"/>
        <v/>
      </c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r="449" spans="1:28" ht="15.75" x14ac:dyDescent="0.25">
      <c r="A449" s="14" t="str">
        <f t="shared" si="12"/>
        <v/>
      </c>
      <c r="B449" s="14" t="str">
        <f t="shared" si="13"/>
        <v/>
      </c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r="450" spans="1:28" ht="15.75" x14ac:dyDescent="0.25">
      <c r="A450" s="14" t="str">
        <f t="shared" ref="A450:A501" si="14">IF(ISBLANK(C450),"",ROW()-1)</f>
        <v/>
      </c>
      <c r="B450" s="14" t="str">
        <f t="shared" ref="B450:B513" si="15">IF(OR(ISBLANK(C450),ISBLANK(F450)),"","DIG-"&amp;IFERROR(VLOOKUP(F450,DigItemTypeLookup,2,FALSE),"?")&amp;"-"&amp;IF(G450="","?",IFERROR(VLOOKUP(G450,SubjectLookup,2,FALSE),"="))&amp;"-"&amp;IF(H450="","?",IFERROR(VLOOKUP(H450,GenreLookup,2,FALSE),"="))&amp;"-"&amp;IF(ISBLANK(D450),"NOC",UPPER(LEFT(TRIM(RIGHT(SUBSTITUTE(TRIM(D450)," ",REPT(" ",100)),100)),3)))&amp;"-"&amp;TEXT(A450,"000"))</f>
        <v/>
      </c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r="451" spans="1:28" ht="15.75" x14ac:dyDescent="0.25">
      <c r="A451" s="14" t="str">
        <f t="shared" si="14"/>
        <v/>
      </c>
      <c r="B451" s="14" t="str">
        <f t="shared" si="15"/>
        <v/>
      </c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r="452" spans="1:28" ht="15.75" x14ac:dyDescent="0.25">
      <c r="A452" s="14" t="str">
        <f t="shared" si="14"/>
        <v/>
      </c>
      <c r="B452" s="14" t="str">
        <f t="shared" si="15"/>
        <v/>
      </c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r="453" spans="1:28" ht="15.75" x14ac:dyDescent="0.25">
      <c r="A453" s="14" t="str">
        <f t="shared" si="14"/>
        <v/>
      </c>
      <c r="B453" s="14" t="str">
        <f t="shared" si="15"/>
        <v/>
      </c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r="454" spans="1:28" ht="15.75" x14ac:dyDescent="0.25">
      <c r="A454" s="14" t="str">
        <f t="shared" si="14"/>
        <v/>
      </c>
      <c r="B454" s="14" t="str">
        <f t="shared" si="15"/>
        <v/>
      </c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r="455" spans="1:28" ht="15.75" x14ac:dyDescent="0.25">
      <c r="A455" s="14" t="str">
        <f t="shared" si="14"/>
        <v/>
      </c>
      <c r="B455" s="14" t="str">
        <f t="shared" si="15"/>
        <v/>
      </c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r="456" spans="1:28" ht="15.75" x14ac:dyDescent="0.25">
      <c r="A456" s="14" t="str">
        <f t="shared" si="14"/>
        <v/>
      </c>
      <c r="B456" s="14" t="str">
        <f t="shared" si="15"/>
        <v/>
      </c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r="457" spans="1:28" ht="15.75" x14ac:dyDescent="0.25">
      <c r="A457" s="14" t="str">
        <f t="shared" si="14"/>
        <v/>
      </c>
      <c r="B457" s="14" t="str">
        <f t="shared" si="15"/>
        <v/>
      </c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r="458" spans="1:28" ht="15.75" x14ac:dyDescent="0.25">
      <c r="A458" s="14" t="str">
        <f t="shared" si="14"/>
        <v/>
      </c>
      <c r="B458" s="14" t="str">
        <f t="shared" si="15"/>
        <v/>
      </c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r="459" spans="1:28" ht="15.75" x14ac:dyDescent="0.25">
      <c r="A459" s="14" t="str">
        <f t="shared" si="14"/>
        <v/>
      </c>
      <c r="B459" s="14" t="str">
        <f t="shared" si="15"/>
        <v/>
      </c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r="460" spans="1:28" ht="15.75" x14ac:dyDescent="0.25">
      <c r="A460" s="14" t="str">
        <f t="shared" si="14"/>
        <v/>
      </c>
      <c r="B460" s="14" t="str">
        <f t="shared" si="15"/>
        <v/>
      </c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r="461" spans="1:28" ht="15.75" x14ac:dyDescent="0.25">
      <c r="A461" s="14" t="str">
        <f t="shared" si="14"/>
        <v/>
      </c>
      <c r="B461" s="14" t="str">
        <f t="shared" si="15"/>
        <v/>
      </c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r="462" spans="1:28" ht="15.75" x14ac:dyDescent="0.25">
      <c r="A462" s="14" t="str">
        <f t="shared" si="14"/>
        <v/>
      </c>
      <c r="B462" s="14" t="str">
        <f t="shared" si="15"/>
        <v/>
      </c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r="463" spans="1:28" ht="15.75" x14ac:dyDescent="0.25">
      <c r="A463" s="14" t="str">
        <f t="shared" si="14"/>
        <v/>
      </c>
      <c r="B463" s="14" t="str">
        <f t="shared" si="15"/>
        <v/>
      </c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r="464" spans="1:28" ht="15.75" x14ac:dyDescent="0.25">
      <c r="A464" s="14" t="str">
        <f t="shared" si="14"/>
        <v/>
      </c>
      <c r="B464" s="14" t="str">
        <f t="shared" si="15"/>
        <v/>
      </c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r="465" spans="1:28" ht="15.75" x14ac:dyDescent="0.25">
      <c r="A465" s="14" t="str">
        <f t="shared" si="14"/>
        <v/>
      </c>
      <c r="B465" s="14" t="str">
        <f t="shared" si="15"/>
        <v/>
      </c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r="466" spans="1:28" ht="15.75" x14ac:dyDescent="0.25">
      <c r="A466" s="14" t="str">
        <f t="shared" si="14"/>
        <v/>
      </c>
      <c r="B466" s="14" t="str">
        <f t="shared" si="15"/>
        <v/>
      </c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r="467" spans="1:28" ht="15.75" x14ac:dyDescent="0.25">
      <c r="A467" s="14" t="str">
        <f t="shared" si="14"/>
        <v/>
      </c>
      <c r="B467" s="14" t="str">
        <f t="shared" si="15"/>
        <v/>
      </c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r="468" spans="1:28" ht="15.75" x14ac:dyDescent="0.25">
      <c r="A468" s="14" t="str">
        <f t="shared" si="14"/>
        <v/>
      </c>
      <c r="B468" s="14" t="str">
        <f t="shared" si="15"/>
        <v/>
      </c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r="469" spans="1:28" ht="15.75" x14ac:dyDescent="0.25">
      <c r="A469" s="14" t="str">
        <f t="shared" si="14"/>
        <v/>
      </c>
      <c r="B469" s="14" t="str">
        <f t="shared" si="15"/>
        <v/>
      </c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r="470" spans="1:28" ht="15.75" x14ac:dyDescent="0.25">
      <c r="A470" s="14" t="str">
        <f t="shared" si="14"/>
        <v/>
      </c>
      <c r="B470" s="14" t="str">
        <f t="shared" si="15"/>
        <v/>
      </c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r="471" spans="1:28" ht="15.75" x14ac:dyDescent="0.25">
      <c r="A471" s="14" t="str">
        <f t="shared" si="14"/>
        <v/>
      </c>
      <c r="B471" s="14" t="str">
        <f t="shared" si="15"/>
        <v/>
      </c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r="472" spans="1:28" ht="15.75" x14ac:dyDescent="0.25">
      <c r="A472" s="14" t="str">
        <f t="shared" si="14"/>
        <v/>
      </c>
      <c r="B472" s="14" t="str">
        <f t="shared" si="15"/>
        <v/>
      </c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r="473" spans="1:28" ht="15.75" x14ac:dyDescent="0.25">
      <c r="A473" s="14" t="str">
        <f t="shared" si="14"/>
        <v/>
      </c>
      <c r="B473" s="14" t="str">
        <f t="shared" si="15"/>
        <v/>
      </c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r="474" spans="1:28" ht="15.75" x14ac:dyDescent="0.25">
      <c r="A474" s="14" t="str">
        <f t="shared" si="14"/>
        <v/>
      </c>
      <c r="B474" s="14" t="str">
        <f t="shared" si="15"/>
        <v/>
      </c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r="475" spans="1:28" ht="15.75" x14ac:dyDescent="0.25">
      <c r="A475" s="14" t="str">
        <f t="shared" si="14"/>
        <v/>
      </c>
      <c r="B475" s="14" t="str">
        <f t="shared" si="15"/>
        <v/>
      </c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r="476" spans="1:28" ht="15.75" x14ac:dyDescent="0.25">
      <c r="A476" s="14" t="str">
        <f t="shared" si="14"/>
        <v/>
      </c>
      <c r="B476" s="14" t="str">
        <f t="shared" si="15"/>
        <v/>
      </c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r="477" spans="1:28" ht="15.75" x14ac:dyDescent="0.25">
      <c r="A477" s="14" t="str">
        <f t="shared" si="14"/>
        <v/>
      </c>
      <c r="B477" s="14" t="str">
        <f t="shared" si="15"/>
        <v/>
      </c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r="478" spans="1:28" ht="15.75" x14ac:dyDescent="0.25">
      <c r="A478" s="14" t="str">
        <f t="shared" si="14"/>
        <v/>
      </c>
      <c r="B478" s="14" t="str">
        <f t="shared" si="15"/>
        <v/>
      </c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r="479" spans="1:28" ht="15.75" x14ac:dyDescent="0.25">
      <c r="A479" s="14" t="str">
        <f t="shared" si="14"/>
        <v/>
      </c>
      <c r="B479" s="14" t="str">
        <f t="shared" si="15"/>
        <v/>
      </c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r="480" spans="1:28" ht="15.75" x14ac:dyDescent="0.25">
      <c r="A480" s="14" t="str">
        <f t="shared" si="14"/>
        <v/>
      </c>
      <c r="B480" s="14" t="str">
        <f t="shared" si="15"/>
        <v/>
      </c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r="481" spans="1:28" ht="15.75" x14ac:dyDescent="0.25">
      <c r="A481" s="14" t="str">
        <f t="shared" si="14"/>
        <v/>
      </c>
      <c r="B481" s="14" t="str">
        <f t="shared" si="15"/>
        <v/>
      </c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r="482" spans="1:28" ht="15.75" x14ac:dyDescent="0.25">
      <c r="A482" s="14" t="str">
        <f t="shared" si="14"/>
        <v/>
      </c>
      <c r="B482" s="14" t="str">
        <f t="shared" si="15"/>
        <v/>
      </c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r="483" spans="1:28" ht="15.75" x14ac:dyDescent="0.25">
      <c r="A483" s="14" t="str">
        <f t="shared" si="14"/>
        <v/>
      </c>
      <c r="B483" s="14" t="str">
        <f t="shared" si="15"/>
        <v/>
      </c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r="484" spans="1:28" ht="15.75" x14ac:dyDescent="0.25">
      <c r="A484" s="14" t="str">
        <f t="shared" si="14"/>
        <v/>
      </c>
      <c r="B484" s="14" t="str">
        <f t="shared" si="15"/>
        <v/>
      </c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r="485" spans="1:28" ht="15.75" x14ac:dyDescent="0.25">
      <c r="A485" s="14" t="str">
        <f t="shared" si="14"/>
        <v/>
      </c>
      <c r="B485" s="14" t="str">
        <f t="shared" si="15"/>
        <v/>
      </c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r="486" spans="1:28" ht="15.75" x14ac:dyDescent="0.25">
      <c r="A486" s="14" t="str">
        <f t="shared" si="14"/>
        <v/>
      </c>
      <c r="B486" s="14" t="str">
        <f t="shared" si="15"/>
        <v/>
      </c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r="487" spans="1:28" ht="15.75" x14ac:dyDescent="0.25">
      <c r="A487" s="14" t="str">
        <f t="shared" si="14"/>
        <v/>
      </c>
      <c r="B487" s="14" t="str">
        <f t="shared" si="15"/>
        <v/>
      </c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r="488" spans="1:28" ht="15.75" x14ac:dyDescent="0.25">
      <c r="A488" s="14" t="str">
        <f t="shared" si="14"/>
        <v/>
      </c>
      <c r="B488" s="14" t="str">
        <f t="shared" si="15"/>
        <v/>
      </c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r="489" spans="1:28" ht="15.75" x14ac:dyDescent="0.25">
      <c r="A489" s="14" t="str">
        <f t="shared" si="14"/>
        <v/>
      </c>
      <c r="B489" s="14" t="str">
        <f t="shared" si="15"/>
        <v/>
      </c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r="490" spans="1:28" ht="15.75" x14ac:dyDescent="0.25">
      <c r="A490" s="14" t="str">
        <f t="shared" si="14"/>
        <v/>
      </c>
      <c r="B490" s="14" t="str">
        <f t="shared" si="15"/>
        <v/>
      </c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r="491" spans="1:28" ht="15.75" x14ac:dyDescent="0.25">
      <c r="A491" s="14" t="str">
        <f t="shared" si="14"/>
        <v/>
      </c>
      <c r="B491" s="14" t="str">
        <f t="shared" si="15"/>
        <v/>
      </c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r="492" spans="1:28" ht="15.75" x14ac:dyDescent="0.25">
      <c r="A492" s="14" t="str">
        <f t="shared" si="14"/>
        <v/>
      </c>
      <c r="B492" s="14" t="str">
        <f t="shared" si="15"/>
        <v/>
      </c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r="493" spans="1:28" ht="15.75" x14ac:dyDescent="0.25">
      <c r="A493" s="14" t="str">
        <f t="shared" si="14"/>
        <v/>
      </c>
      <c r="B493" s="14" t="str">
        <f t="shared" si="15"/>
        <v/>
      </c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r="494" spans="1:28" ht="15.75" x14ac:dyDescent="0.25">
      <c r="A494" s="14" t="str">
        <f t="shared" si="14"/>
        <v/>
      </c>
      <c r="B494" s="14" t="str">
        <f t="shared" si="15"/>
        <v/>
      </c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r="495" spans="1:28" ht="15.75" x14ac:dyDescent="0.25">
      <c r="A495" s="14" t="str">
        <f t="shared" si="14"/>
        <v/>
      </c>
      <c r="B495" s="14" t="str">
        <f t="shared" si="15"/>
        <v/>
      </c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r="496" spans="1:28" ht="15.75" x14ac:dyDescent="0.25">
      <c r="A496" s="14" t="str">
        <f t="shared" si="14"/>
        <v/>
      </c>
      <c r="B496" s="14" t="str">
        <f t="shared" si="15"/>
        <v/>
      </c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r="497" spans="1:28" ht="15.75" x14ac:dyDescent="0.25">
      <c r="A497" s="14" t="str">
        <f t="shared" si="14"/>
        <v/>
      </c>
      <c r="B497" s="14" t="str">
        <f t="shared" si="15"/>
        <v/>
      </c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r="498" spans="1:28" ht="15.75" x14ac:dyDescent="0.25">
      <c r="A498" s="14" t="str">
        <f t="shared" si="14"/>
        <v/>
      </c>
      <c r="B498" s="14" t="str">
        <f t="shared" si="15"/>
        <v/>
      </c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r="499" spans="1:28" ht="15.75" x14ac:dyDescent="0.25">
      <c r="A499" s="14" t="str">
        <f t="shared" si="14"/>
        <v/>
      </c>
      <c r="B499" s="14" t="str">
        <f t="shared" si="15"/>
        <v/>
      </c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r="500" spans="1:28" ht="15.75" x14ac:dyDescent="0.25">
      <c r="A500" s="14" t="str">
        <f t="shared" si="14"/>
        <v/>
      </c>
      <c r="B500" s="14" t="str">
        <f t="shared" si="15"/>
        <v/>
      </c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r="501" spans="1:28" ht="15.75" x14ac:dyDescent="0.25">
      <c r="A501" s="14" t="str">
        <f t="shared" si="14"/>
        <v/>
      </c>
      <c r="B501" s="14" t="str">
        <f t="shared" si="15"/>
        <v/>
      </c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</sheetData>
  <sheetProtection password="E720" sheet="1"/>
  <autoFilter ref="A1:AB501" xr:uid="{00000000-0009-0000-0000-000004000000}"/>
  <dataValidations count="10">
    <dataValidation type="list" allowBlank="1" sqref="F2:F501" xr:uid="{00000000-0002-0000-0400-000000000000}">
      <formula1>DigItemTypeList</formula1>
    </dataValidation>
    <dataValidation type="list" allowBlank="1" sqref="G2:G501" xr:uid="{00000000-0002-0000-0400-000001000000}">
      <formula1>SubjectList</formula1>
    </dataValidation>
    <dataValidation type="list" allowBlank="1" sqref="H2:H501" xr:uid="{00000000-0002-0000-0400-000002000000}">
      <formula1>GenreList</formula1>
    </dataValidation>
    <dataValidation type="list" allowBlank="1" sqref="I2:I501" xr:uid="{00000000-0002-0000-0400-000003000000}">
      <formula1>LanguageList</formula1>
    </dataValidation>
    <dataValidation type="list" allowBlank="1" sqref="J2:J501" xr:uid="{00000000-0002-0000-0400-000004000000}">
      <formula1>FormatList</formula1>
    </dataValidation>
    <dataValidation type="list" allowBlank="1" sqref="P2:P501" xr:uid="{00000000-0002-0000-0400-000005000000}">
      <formula1>OCRStatusList</formula1>
    </dataValidation>
    <dataValidation type="list" allowBlank="1" sqref="T2:T501" xr:uid="{00000000-0002-0000-0400-000006000000}">
      <formula1>RightsList</formula1>
    </dataValidation>
    <dataValidation type="list" allowBlank="1" sqref="U2:U501" xr:uid="{00000000-0002-0000-0400-000007000000}">
      <formula1>AccessLevelList</formula1>
    </dataValidation>
    <dataValidation type="list" allowBlank="1" sqref="AA2:AA501" xr:uid="{00000000-0002-0000-0400-000008000000}">
      <formula1>ReadingStatusList</formula1>
    </dataValidation>
    <dataValidation type="list" allowBlank="1" sqref="AB2:AB501" xr:uid="{00000000-0002-0000-0400-000009000000}">
      <formula1>PreservationList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01"/>
  <sheetViews>
    <sheetView workbookViewId="0">
      <pane ySplit="1" topLeftCell="A2" activePane="bottomLeft" state="frozen"/>
      <selection pane="bottomLeft" activeCell="B13" sqref="B13"/>
    </sheetView>
  </sheetViews>
  <sheetFormatPr defaultRowHeight="15" x14ac:dyDescent="0.25"/>
  <cols>
    <col min="1" max="1" width="12" customWidth="1"/>
    <col min="2" max="2" width="32" customWidth="1"/>
    <col min="3" max="3" width="24" customWidth="1"/>
    <col min="4" max="4" width="14" customWidth="1"/>
    <col min="5" max="5" width="34" customWidth="1"/>
    <col min="6" max="6" width="22" customWidth="1"/>
    <col min="7" max="7" width="14" customWidth="1"/>
    <col min="8" max="8" width="12" customWidth="1"/>
    <col min="9" max="9" width="26" customWidth="1"/>
    <col min="10" max="10" width="22" customWidth="1"/>
    <col min="11" max="12" width="14" customWidth="1"/>
    <col min="13" max="13" width="18" customWidth="1"/>
    <col min="14" max="14" width="20" customWidth="1"/>
    <col min="15" max="15" width="18" customWidth="1"/>
    <col min="16" max="18" width="16" customWidth="1"/>
    <col min="19" max="19" width="14" customWidth="1"/>
    <col min="20" max="20" width="30" customWidth="1"/>
    <col min="21" max="21" width="18" customWidth="1"/>
    <col min="22" max="23" width="22" customWidth="1"/>
    <col min="24" max="24" width="18" customWidth="1"/>
    <col min="25" max="25" width="26" customWidth="1"/>
    <col min="26" max="26" width="22" customWidth="1"/>
    <col min="27" max="27" width="40" customWidth="1"/>
    <col min="28" max="28" width="16" customWidth="1"/>
  </cols>
  <sheetData>
    <row r="1" spans="1:28" ht="33.950000000000003" customHeight="1" x14ac:dyDescent="0.25">
      <c r="A1" s="5" t="s">
        <v>446</v>
      </c>
      <c r="B1" s="5" t="s">
        <v>361</v>
      </c>
      <c r="C1" s="5" t="s">
        <v>363</v>
      </c>
      <c r="D1" s="5" t="s">
        <v>486</v>
      </c>
      <c r="E1" s="5" t="s">
        <v>385</v>
      </c>
      <c r="F1" s="5" t="s">
        <v>487</v>
      </c>
      <c r="G1" s="5" t="s">
        <v>95</v>
      </c>
      <c r="H1" s="5" t="s">
        <v>87</v>
      </c>
      <c r="I1" s="5" t="s">
        <v>488</v>
      </c>
      <c r="J1" s="5" t="s">
        <v>489</v>
      </c>
      <c r="K1" s="5" t="s">
        <v>90</v>
      </c>
      <c r="L1" s="5" t="s">
        <v>91</v>
      </c>
      <c r="M1" s="5" t="s">
        <v>380</v>
      </c>
      <c r="N1" s="5" t="s">
        <v>490</v>
      </c>
      <c r="O1" s="5" t="s">
        <v>104</v>
      </c>
      <c r="P1" s="5" t="s">
        <v>89</v>
      </c>
      <c r="Q1" s="5" t="s">
        <v>93</v>
      </c>
      <c r="R1" s="5" t="s">
        <v>92</v>
      </c>
      <c r="S1" s="5" t="s">
        <v>491</v>
      </c>
      <c r="T1" s="5" t="s">
        <v>384</v>
      </c>
      <c r="U1" s="5" t="s">
        <v>100</v>
      </c>
      <c r="V1" s="5" t="s">
        <v>492</v>
      </c>
      <c r="W1" s="5" t="s">
        <v>493</v>
      </c>
      <c r="X1" s="5" t="s">
        <v>494</v>
      </c>
      <c r="Y1" s="5" t="s">
        <v>495</v>
      </c>
      <c r="Z1" s="5" t="s">
        <v>496</v>
      </c>
      <c r="AA1" s="5" t="s">
        <v>497</v>
      </c>
      <c r="AB1" s="5" t="s">
        <v>498</v>
      </c>
    </row>
    <row r="2" spans="1:28" ht="31.5" x14ac:dyDescent="0.25">
      <c r="A2" s="14" t="str">
        <f t="shared" ref="A2:A33" si="0">IF(ISBLANK(B2),"","ARC-"&amp;TEXT(ROW()-1,"0000"))</f>
        <v>ARC-0001</v>
      </c>
      <c r="B2" s="8" t="s">
        <v>499</v>
      </c>
      <c r="C2" s="8"/>
      <c r="D2" s="8" t="s">
        <v>500</v>
      </c>
      <c r="E2" s="8" t="s">
        <v>501</v>
      </c>
      <c r="F2" s="8" t="s">
        <v>162</v>
      </c>
      <c r="G2" s="8" t="s">
        <v>121</v>
      </c>
      <c r="H2" s="8" t="s">
        <v>141</v>
      </c>
      <c r="I2" s="8" t="s">
        <v>502</v>
      </c>
      <c r="J2" s="8" t="s">
        <v>238</v>
      </c>
      <c r="K2" s="8" t="s">
        <v>198</v>
      </c>
      <c r="L2" s="8" t="s">
        <v>199</v>
      </c>
      <c r="M2" s="8" t="s">
        <v>503</v>
      </c>
      <c r="N2" s="8"/>
      <c r="O2" s="8" t="s">
        <v>130</v>
      </c>
      <c r="P2" s="8" t="s">
        <v>115</v>
      </c>
      <c r="Q2" s="8" t="s">
        <v>201</v>
      </c>
      <c r="R2" s="8" t="s">
        <v>145</v>
      </c>
      <c r="S2" s="8"/>
      <c r="T2" s="8" t="s">
        <v>504</v>
      </c>
      <c r="U2" s="8" t="s">
        <v>310</v>
      </c>
      <c r="V2" s="8" t="s">
        <v>505</v>
      </c>
      <c r="W2" s="8" t="s">
        <v>506</v>
      </c>
      <c r="X2" s="8" t="s">
        <v>507</v>
      </c>
      <c r="Y2" s="8" t="s">
        <v>508</v>
      </c>
      <c r="Z2" s="8"/>
      <c r="AA2" s="8"/>
      <c r="AB2" s="16" t="str">
        <f t="shared" ref="AB2:AB33" si="1">IF(AA2="","",HYPERLINK(AA2,"Open ↗"))</f>
        <v/>
      </c>
    </row>
    <row r="3" spans="1:28" ht="31.5" x14ac:dyDescent="0.25">
      <c r="A3" s="14" t="str">
        <f t="shared" si="0"/>
        <v>ARC-0002</v>
      </c>
      <c r="B3" s="8" t="s">
        <v>479</v>
      </c>
      <c r="C3" s="8"/>
      <c r="D3" s="8" t="s">
        <v>509</v>
      </c>
      <c r="E3" s="8" t="s">
        <v>510</v>
      </c>
      <c r="F3" s="8" t="s">
        <v>108</v>
      </c>
      <c r="G3" s="8" t="s">
        <v>148</v>
      </c>
      <c r="H3" s="8" t="s">
        <v>141</v>
      </c>
      <c r="I3" s="8" t="s">
        <v>511</v>
      </c>
      <c r="J3" s="8" t="s">
        <v>120</v>
      </c>
      <c r="K3" s="8" t="s">
        <v>171</v>
      </c>
      <c r="L3" s="8" t="s">
        <v>199</v>
      </c>
      <c r="M3" s="8" t="s">
        <v>512</v>
      </c>
      <c r="N3" s="8"/>
      <c r="O3" s="8" t="s">
        <v>184</v>
      </c>
      <c r="P3" s="8" t="s">
        <v>197</v>
      </c>
      <c r="Q3" s="8" t="s">
        <v>146</v>
      </c>
      <c r="R3" s="8" t="s">
        <v>200</v>
      </c>
      <c r="S3" s="8"/>
      <c r="T3" s="8" t="s">
        <v>513</v>
      </c>
      <c r="U3" s="8" t="s">
        <v>153</v>
      </c>
      <c r="V3" s="8" t="s">
        <v>514</v>
      </c>
      <c r="W3" s="8" t="s">
        <v>515</v>
      </c>
      <c r="X3" s="8" t="s">
        <v>516</v>
      </c>
      <c r="Y3" s="8" t="s">
        <v>517</v>
      </c>
      <c r="Z3" s="8" t="s">
        <v>518</v>
      </c>
      <c r="AA3" s="8"/>
      <c r="AB3" s="16" t="str">
        <f t="shared" si="1"/>
        <v/>
      </c>
    </row>
    <row r="4" spans="1:28" ht="31.5" x14ac:dyDescent="0.25">
      <c r="A4" s="14" t="str">
        <f t="shared" si="0"/>
        <v>ARC-0003</v>
      </c>
      <c r="B4" s="8" t="s">
        <v>519</v>
      </c>
      <c r="C4" s="8"/>
      <c r="D4" s="8" t="s">
        <v>520</v>
      </c>
      <c r="E4" s="8" t="s">
        <v>521</v>
      </c>
      <c r="F4" s="8" t="s">
        <v>258</v>
      </c>
      <c r="G4" s="8" t="s">
        <v>121</v>
      </c>
      <c r="H4" s="8" t="s">
        <v>141</v>
      </c>
      <c r="I4" s="8" t="s">
        <v>522</v>
      </c>
      <c r="J4" s="8" t="s">
        <v>238</v>
      </c>
      <c r="K4" s="8" t="s">
        <v>143</v>
      </c>
      <c r="L4" s="8" t="s">
        <v>254</v>
      </c>
      <c r="M4" s="8" t="s">
        <v>523</v>
      </c>
      <c r="N4" s="8"/>
      <c r="O4" s="8" t="s">
        <v>157</v>
      </c>
      <c r="P4" s="8" t="s">
        <v>115</v>
      </c>
      <c r="Q4" s="8" t="s">
        <v>222</v>
      </c>
      <c r="R4" s="8" t="s">
        <v>145</v>
      </c>
      <c r="S4" s="8"/>
      <c r="T4" s="8" t="s">
        <v>524</v>
      </c>
      <c r="U4" s="8" t="s">
        <v>255</v>
      </c>
      <c r="V4" s="8" t="s">
        <v>525</v>
      </c>
      <c r="W4" s="8" t="s">
        <v>526</v>
      </c>
      <c r="X4" s="8" t="s">
        <v>527</v>
      </c>
      <c r="Y4" s="8" t="s">
        <v>528</v>
      </c>
      <c r="Z4" s="8" t="s">
        <v>529</v>
      </c>
      <c r="AA4" s="8"/>
      <c r="AB4" s="16" t="str">
        <f t="shared" si="1"/>
        <v/>
      </c>
    </row>
    <row r="5" spans="1:28" ht="31.5" x14ac:dyDescent="0.25">
      <c r="A5" s="14" t="str">
        <f t="shared" si="0"/>
        <v>ARC-0004</v>
      </c>
      <c r="B5" s="8" t="s">
        <v>530</v>
      </c>
      <c r="C5" s="8"/>
      <c r="D5" s="8" t="s">
        <v>531</v>
      </c>
      <c r="E5" s="8" t="s">
        <v>532</v>
      </c>
      <c r="F5" s="8" t="s">
        <v>269</v>
      </c>
      <c r="G5" s="8" t="s">
        <v>121</v>
      </c>
      <c r="H5" s="8" t="s">
        <v>141</v>
      </c>
      <c r="I5" s="8" t="s">
        <v>502</v>
      </c>
      <c r="J5" s="8" t="s">
        <v>238</v>
      </c>
      <c r="K5" s="8" t="s">
        <v>198</v>
      </c>
      <c r="L5" s="8" t="s">
        <v>237</v>
      </c>
      <c r="M5" s="8" t="s">
        <v>533</v>
      </c>
      <c r="N5" s="8"/>
      <c r="O5" s="8" t="s">
        <v>157</v>
      </c>
      <c r="P5" s="8" t="s">
        <v>115</v>
      </c>
      <c r="Q5" s="8" t="s">
        <v>222</v>
      </c>
      <c r="R5" s="8" t="s">
        <v>145</v>
      </c>
      <c r="S5" s="8"/>
      <c r="T5" s="8" t="s">
        <v>534</v>
      </c>
      <c r="U5" s="8" t="s">
        <v>277</v>
      </c>
      <c r="V5" s="8" t="s">
        <v>535</v>
      </c>
      <c r="W5" s="8" t="s">
        <v>536</v>
      </c>
      <c r="X5" s="8" t="s">
        <v>516</v>
      </c>
      <c r="Y5" s="8" t="s">
        <v>537</v>
      </c>
      <c r="Z5" s="8" t="s">
        <v>538</v>
      </c>
      <c r="AA5" s="8"/>
      <c r="AB5" s="16" t="str">
        <f t="shared" si="1"/>
        <v/>
      </c>
    </row>
    <row r="6" spans="1:28" ht="31.5" x14ac:dyDescent="0.25">
      <c r="A6" s="14" t="str">
        <f t="shared" si="0"/>
        <v>ARC-0005</v>
      </c>
      <c r="B6" s="8" t="s">
        <v>539</v>
      </c>
      <c r="C6" s="8"/>
      <c r="D6" s="8" t="s">
        <v>540</v>
      </c>
      <c r="E6" s="8" t="s">
        <v>541</v>
      </c>
      <c r="F6" s="8" t="s">
        <v>280</v>
      </c>
      <c r="G6" s="8" t="s">
        <v>148</v>
      </c>
      <c r="H6" s="8" t="s">
        <v>141</v>
      </c>
      <c r="I6" s="8" t="s">
        <v>542</v>
      </c>
      <c r="J6" s="8" t="s">
        <v>543</v>
      </c>
      <c r="K6" s="8" t="s">
        <v>143</v>
      </c>
      <c r="L6" s="8" t="s">
        <v>199</v>
      </c>
      <c r="M6" s="8" t="s">
        <v>544</v>
      </c>
      <c r="N6" s="8"/>
      <c r="O6" s="8" t="s">
        <v>184</v>
      </c>
      <c r="P6" s="8" t="s">
        <v>115</v>
      </c>
      <c r="Q6" s="8" t="s">
        <v>222</v>
      </c>
      <c r="R6" s="8" t="s">
        <v>200</v>
      </c>
      <c r="S6" s="8"/>
      <c r="T6" s="8" t="s">
        <v>545</v>
      </c>
      <c r="U6" s="8" t="s">
        <v>154</v>
      </c>
      <c r="V6" s="8"/>
      <c r="W6" s="8" t="s">
        <v>546</v>
      </c>
      <c r="X6" s="8" t="s">
        <v>547</v>
      </c>
      <c r="Y6" s="8" t="s">
        <v>548</v>
      </c>
      <c r="Z6" s="8" t="s">
        <v>549</v>
      </c>
      <c r="AA6" s="8"/>
      <c r="AB6" s="16" t="str">
        <f t="shared" si="1"/>
        <v/>
      </c>
    </row>
    <row r="7" spans="1:28" ht="31.5" x14ac:dyDescent="0.25">
      <c r="A7" s="14" t="str">
        <f t="shared" si="0"/>
        <v>ARC-0006</v>
      </c>
      <c r="B7" s="8" t="s">
        <v>550</v>
      </c>
      <c r="C7" s="8"/>
      <c r="D7" s="8" t="s">
        <v>551</v>
      </c>
      <c r="E7" s="8" t="s">
        <v>552</v>
      </c>
      <c r="F7" s="8" t="s">
        <v>301</v>
      </c>
      <c r="G7" s="8" t="s">
        <v>148</v>
      </c>
      <c r="H7" s="8" t="s">
        <v>141</v>
      </c>
      <c r="I7" s="8" t="s">
        <v>553</v>
      </c>
      <c r="J7" s="8" t="s">
        <v>543</v>
      </c>
      <c r="K7" s="8" t="s">
        <v>143</v>
      </c>
      <c r="L7" s="8" t="s">
        <v>199</v>
      </c>
      <c r="M7" s="8" t="s">
        <v>554</v>
      </c>
      <c r="N7" s="8"/>
      <c r="O7" s="8" t="s">
        <v>184</v>
      </c>
      <c r="P7" s="8" t="s">
        <v>115</v>
      </c>
      <c r="Q7" s="8" t="s">
        <v>222</v>
      </c>
      <c r="R7" s="8" t="s">
        <v>200</v>
      </c>
      <c r="S7" s="8"/>
      <c r="T7" s="8"/>
      <c r="U7" s="8" t="s">
        <v>181</v>
      </c>
      <c r="V7" s="8"/>
      <c r="W7" s="8" t="s">
        <v>555</v>
      </c>
      <c r="X7" s="8" t="s">
        <v>507</v>
      </c>
      <c r="Y7" s="8" t="s">
        <v>556</v>
      </c>
      <c r="Z7" s="8" t="s">
        <v>557</v>
      </c>
      <c r="AA7" s="8"/>
      <c r="AB7" s="16" t="str">
        <f t="shared" si="1"/>
        <v/>
      </c>
    </row>
    <row r="8" spans="1:28" ht="15.75" x14ac:dyDescent="0.25">
      <c r="A8" s="14" t="str">
        <f t="shared" si="0"/>
        <v/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16" t="str">
        <f t="shared" si="1"/>
        <v/>
      </c>
    </row>
    <row r="9" spans="1:28" ht="15.75" x14ac:dyDescent="0.25">
      <c r="A9" s="14" t="str">
        <f t="shared" si="0"/>
        <v/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16" t="str">
        <f t="shared" si="1"/>
        <v/>
      </c>
    </row>
    <row r="10" spans="1:28" ht="15.75" x14ac:dyDescent="0.25">
      <c r="A10" s="14" t="str">
        <f t="shared" si="0"/>
        <v/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16" t="str">
        <f t="shared" si="1"/>
        <v/>
      </c>
    </row>
    <row r="11" spans="1:28" ht="15.75" x14ac:dyDescent="0.25">
      <c r="A11" s="14" t="str">
        <f t="shared" si="0"/>
        <v/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16" t="str">
        <f t="shared" si="1"/>
        <v/>
      </c>
    </row>
    <row r="12" spans="1:28" ht="15.75" x14ac:dyDescent="0.25">
      <c r="A12" s="14" t="str">
        <f t="shared" si="0"/>
        <v/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16" t="str">
        <f t="shared" si="1"/>
        <v/>
      </c>
    </row>
    <row r="13" spans="1:28" ht="15.75" x14ac:dyDescent="0.25">
      <c r="A13" s="14" t="str">
        <f t="shared" si="0"/>
        <v/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16" t="str">
        <f t="shared" si="1"/>
        <v/>
      </c>
    </row>
    <row r="14" spans="1:28" ht="15.75" x14ac:dyDescent="0.25">
      <c r="A14" s="14" t="str">
        <f t="shared" si="0"/>
        <v/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16" t="str">
        <f t="shared" si="1"/>
        <v/>
      </c>
    </row>
    <row r="15" spans="1:28" ht="15.75" x14ac:dyDescent="0.25">
      <c r="A15" s="14" t="str">
        <f t="shared" si="0"/>
        <v/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16" t="str">
        <f t="shared" si="1"/>
        <v/>
      </c>
    </row>
    <row r="16" spans="1:28" ht="15.75" x14ac:dyDescent="0.25">
      <c r="A16" s="14" t="str">
        <f t="shared" si="0"/>
        <v/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16" t="str">
        <f t="shared" si="1"/>
        <v/>
      </c>
    </row>
    <row r="17" spans="1:28" ht="15.75" x14ac:dyDescent="0.25">
      <c r="A17" s="14" t="str">
        <f t="shared" si="0"/>
        <v/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16" t="str">
        <f t="shared" si="1"/>
        <v/>
      </c>
    </row>
    <row r="18" spans="1:28" ht="15.75" x14ac:dyDescent="0.25">
      <c r="A18" s="14" t="str">
        <f t="shared" si="0"/>
        <v/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16" t="str">
        <f t="shared" si="1"/>
        <v/>
      </c>
    </row>
    <row r="19" spans="1:28" ht="15.75" x14ac:dyDescent="0.25">
      <c r="A19" s="14" t="str">
        <f t="shared" si="0"/>
        <v/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16" t="str">
        <f t="shared" si="1"/>
        <v/>
      </c>
    </row>
    <row r="20" spans="1:28" ht="15.75" x14ac:dyDescent="0.25">
      <c r="A20" s="14" t="str">
        <f t="shared" si="0"/>
        <v/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16" t="str">
        <f t="shared" si="1"/>
        <v/>
      </c>
    </row>
    <row r="21" spans="1:28" ht="15.75" x14ac:dyDescent="0.25">
      <c r="A21" s="14" t="str">
        <f t="shared" si="0"/>
        <v/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16" t="str">
        <f t="shared" si="1"/>
        <v/>
      </c>
    </row>
    <row r="22" spans="1:28" ht="15.75" x14ac:dyDescent="0.25">
      <c r="A22" s="14" t="str">
        <f t="shared" si="0"/>
        <v/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16" t="str">
        <f t="shared" si="1"/>
        <v/>
      </c>
    </row>
    <row r="23" spans="1:28" ht="15.75" x14ac:dyDescent="0.25">
      <c r="A23" s="14" t="str">
        <f t="shared" si="0"/>
        <v/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16" t="str">
        <f t="shared" si="1"/>
        <v/>
      </c>
    </row>
    <row r="24" spans="1:28" ht="15.75" x14ac:dyDescent="0.25">
      <c r="A24" s="14" t="str">
        <f t="shared" si="0"/>
        <v/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16" t="str">
        <f t="shared" si="1"/>
        <v/>
      </c>
    </row>
    <row r="25" spans="1:28" ht="15.75" x14ac:dyDescent="0.25">
      <c r="A25" s="14" t="str">
        <f t="shared" si="0"/>
        <v/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16" t="str">
        <f t="shared" si="1"/>
        <v/>
      </c>
    </row>
    <row r="26" spans="1:28" ht="15.75" x14ac:dyDescent="0.25">
      <c r="A26" s="14" t="str">
        <f t="shared" si="0"/>
        <v/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16" t="str">
        <f t="shared" si="1"/>
        <v/>
      </c>
    </row>
    <row r="27" spans="1:28" ht="15.75" x14ac:dyDescent="0.25">
      <c r="A27" s="14" t="str">
        <f t="shared" si="0"/>
        <v/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16" t="str">
        <f t="shared" si="1"/>
        <v/>
      </c>
    </row>
    <row r="28" spans="1:28" ht="15.75" x14ac:dyDescent="0.25">
      <c r="A28" s="14" t="str">
        <f t="shared" si="0"/>
        <v/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16" t="str">
        <f t="shared" si="1"/>
        <v/>
      </c>
    </row>
    <row r="29" spans="1:28" ht="15.75" x14ac:dyDescent="0.25">
      <c r="A29" s="14" t="str">
        <f t="shared" si="0"/>
        <v/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16" t="str">
        <f t="shared" si="1"/>
        <v/>
      </c>
    </row>
    <row r="30" spans="1:28" ht="15.75" x14ac:dyDescent="0.25">
      <c r="A30" s="14" t="str">
        <f t="shared" si="0"/>
        <v/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16" t="str">
        <f t="shared" si="1"/>
        <v/>
      </c>
    </row>
    <row r="31" spans="1:28" ht="15.75" x14ac:dyDescent="0.25">
      <c r="A31" s="14" t="str">
        <f t="shared" si="0"/>
        <v/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16" t="str">
        <f t="shared" si="1"/>
        <v/>
      </c>
    </row>
    <row r="32" spans="1:28" ht="15.75" x14ac:dyDescent="0.25">
      <c r="A32" s="14" t="str">
        <f t="shared" si="0"/>
        <v/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16" t="str">
        <f t="shared" si="1"/>
        <v/>
      </c>
    </row>
    <row r="33" spans="1:28" ht="15.75" x14ac:dyDescent="0.25">
      <c r="A33" s="14" t="str">
        <f t="shared" si="0"/>
        <v/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16" t="str">
        <f t="shared" si="1"/>
        <v/>
      </c>
    </row>
    <row r="34" spans="1:28" ht="15.75" x14ac:dyDescent="0.25">
      <c r="A34" s="14" t="str">
        <f t="shared" ref="A34:A65" si="2">IF(ISBLANK(B34),"","ARC-"&amp;TEXT(ROW()-1,"0000"))</f>
        <v/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16" t="str">
        <f t="shared" ref="AB34:AB65" si="3">IF(AA34="","",HYPERLINK(AA34,"Open ↗"))</f>
        <v/>
      </c>
    </row>
    <row r="35" spans="1:28" ht="15.75" x14ac:dyDescent="0.25">
      <c r="A35" s="14" t="str">
        <f t="shared" si="2"/>
        <v/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16" t="str">
        <f t="shared" si="3"/>
        <v/>
      </c>
    </row>
    <row r="36" spans="1:28" ht="15.75" x14ac:dyDescent="0.25">
      <c r="A36" s="14" t="str">
        <f t="shared" si="2"/>
        <v/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16" t="str">
        <f t="shared" si="3"/>
        <v/>
      </c>
    </row>
    <row r="37" spans="1:28" ht="15.75" x14ac:dyDescent="0.25">
      <c r="A37" s="14" t="str">
        <f t="shared" si="2"/>
        <v/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16" t="str">
        <f t="shared" si="3"/>
        <v/>
      </c>
    </row>
    <row r="38" spans="1:28" ht="15.75" x14ac:dyDescent="0.25">
      <c r="A38" s="14" t="str">
        <f t="shared" si="2"/>
        <v/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16" t="str">
        <f t="shared" si="3"/>
        <v/>
      </c>
    </row>
    <row r="39" spans="1:28" ht="15.75" x14ac:dyDescent="0.25">
      <c r="A39" s="14" t="str">
        <f t="shared" si="2"/>
        <v/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16" t="str">
        <f t="shared" si="3"/>
        <v/>
      </c>
    </row>
    <row r="40" spans="1:28" ht="15.75" x14ac:dyDescent="0.25">
      <c r="A40" s="14" t="str">
        <f t="shared" si="2"/>
        <v/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16" t="str">
        <f t="shared" si="3"/>
        <v/>
      </c>
    </row>
    <row r="41" spans="1:28" ht="15.75" x14ac:dyDescent="0.25">
      <c r="A41" s="14" t="str">
        <f t="shared" si="2"/>
        <v/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16" t="str">
        <f t="shared" si="3"/>
        <v/>
      </c>
    </row>
    <row r="42" spans="1:28" ht="15.75" x14ac:dyDescent="0.25">
      <c r="A42" s="14" t="str">
        <f t="shared" si="2"/>
        <v/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16" t="str">
        <f t="shared" si="3"/>
        <v/>
      </c>
    </row>
    <row r="43" spans="1:28" ht="15.75" x14ac:dyDescent="0.25">
      <c r="A43" s="14" t="str">
        <f t="shared" si="2"/>
        <v/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16" t="str">
        <f t="shared" si="3"/>
        <v/>
      </c>
    </row>
    <row r="44" spans="1:28" ht="15.75" x14ac:dyDescent="0.25">
      <c r="A44" s="14" t="str">
        <f t="shared" si="2"/>
        <v/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16" t="str">
        <f t="shared" si="3"/>
        <v/>
      </c>
    </row>
    <row r="45" spans="1:28" ht="15.75" x14ac:dyDescent="0.25">
      <c r="A45" s="14" t="str">
        <f t="shared" si="2"/>
        <v/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16" t="str">
        <f t="shared" si="3"/>
        <v/>
      </c>
    </row>
    <row r="46" spans="1:28" ht="15.75" x14ac:dyDescent="0.25">
      <c r="A46" s="14" t="str">
        <f t="shared" si="2"/>
        <v/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16" t="str">
        <f t="shared" si="3"/>
        <v/>
      </c>
    </row>
    <row r="47" spans="1:28" ht="15.75" x14ac:dyDescent="0.25">
      <c r="A47" s="14" t="str">
        <f t="shared" si="2"/>
        <v/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16" t="str">
        <f t="shared" si="3"/>
        <v/>
      </c>
    </row>
    <row r="48" spans="1:28" ht="15.75" x14ac:dyDescent="0.25">
      <c r="A48" s="14" t="str">
        <f t="shared" si="2"/>
        <v/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16" t="str">
        <f t="shared" si="3"/>
        <v/>
      </c>
    </row>
    <row r="49" spans="1:28" ht="15.75" x14ac:dyDescent="0.25">
      <c r="A49" s="14" t="str">
        <f t="shared" si="2"/>
        <v/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16" t="str">
        <f t="shared" si="3"/>
        <v/>
      </c>
    </row>
    <row r="50" spans="1:28" ht="15.75" x14ac:dyDescent="0.25">
      <c r="A50" s="14" t="str">
        <f t="shared" si="2"/>
        <v/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16" t="str">
        <f t="shared" si="3"/>
        <v/>
      </c>
    </row>
    <row r="51" spans="1:28" ht="15.75" x14ac:dyDescent="0.25">
      <c r="A51" s="14" t="str">
        <f t="shared" si="2"/>
        <v/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16" t="str">
        <f t="shared" si="3"/>
        <v/>
      </c>
    </row>
    <row r="52" spans="1:28" ht="15.75" x14ac:dyDescent="0.25">
      <c r="A52" s="14" t="str">
        <f t="shared" si="2"/>
        <v/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16" t="str">
        <f t="shared" si="3"/>
        <v/>
      </c>
    </row>
    <row r="53" spans="1:28" ht="15.75" x14ac:dyDescent="0.25">
      <c r="A53" s="14" t="str">
        <f t="shared" si="2"/>
        <v/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16" t="str">
        <f t="shared" si="3"/>
        <v/>
      </c>
    </row>
    <row r="54" spans="1:28" ht="15.75" x14ac:dyDescent="0.25">
      <c r="A54" s="14" t="str">
        <f t="shared" si="2"/>
        <v/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16" t="str">
        <f t="shared" si="3"/>
        <v/>
      </c>
    </row>
    <row r="55" spans="1:28" ht="15.75" x14ac:dyDescent="0.25">
      <c r="A55" s="14" t="str">
        <f t="shared" si="2"/>
        <v/>
      </c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16" t="str">
        <f t="shared" si="3"/>
        <v/>
      </c>
    </row>
    <row r="56" spans="1:28" ht="15.75" x14ac:dyDescent="0.25">
      <c r="A56" s="14" t="str">
        <f t="shared" si="2"/>
        <v/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16" t="str">
        <f t="shared" si="3"/>
        <v/>
      </c>
    </row>
    <row r="57" spans="1:28" ht="15.75" x14ac:dyDescent="0.25">
      <c r="A57" s="14" t="str">
        <f t="shared" si="2"/>
        <v/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16" t="str">
        <f t="shared" si="3"/>
        <v/>
      </c>
    </row>
    <row r="58" spans="1:28" ht="15.75" x14ac:dyDescent="0.25">
      <c r="A58" s="14" t="str">
        <f t="shared" si="2"/>
        <v/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16" t="str">
        <f t="shared" si="3"/>
        <v/>
      </c>
    </row>
    <row r="59" spans="1:28" ht="15.75" x14ac:dyDescent="0.25">
      <c r="A59" s="14" t="str">
        <f t="shared" si="2"/>
        <v/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16" t="str">
        <f t="shared" si="3"/>
        <v/>
      </c>
    </row>
    <row r="60" spans="1:28" ht="15.75" x14ac:dyDescent="0.25">
      <c r="A60" s="14" t="str">
        <f t="shared" si="2"/>
        <v/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16" t="str">
        <f t="shared" si="3"/>
        <v/>
      </c>
    </row>
    <row r="61" spans="1:28" ht="15.75" x14ac:dyDescent="0.25">
      <c r="A61" s="14" t="str">
        <f t="shared" si="2"/>
        <v/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16" t="str">
        <f t="shared" si="3"/>
        <v/>
      </c>
    </row>
    <row r="62" spans="1:28" ht="15.75" x14ac:dyDescent="0.25">
      <c r="A62" s="14" t="str">
        <f t="shared" si="2"/>
        <v/>
      </c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16" t="str">
        <f t="shared" si="3"/>
        <v/>
      </c>
    </row>
    <row r="63" spans="1:28" ht="15.75" x14ac:dyDescent="0.25">
      <c r="A63" s="14" t="str">
        <f t="shared" si="2"/>
        <v/>
      </c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16" t="str">
        <f t="shared" si="3"/>
        <v/>
      </c>
    </row>
    <row r="64" spans="1:28" ht="15.75" x14ac:dyDescent="0.25">
      <c r="A64" s="14" t="str">
        <f t="shared" si="2"/>
        <v/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16" t="str">
        <f t="shared" si="3"/>
        <v/>
      </c>
    </row>
    <row r="65" spans="1:28" ht="15.75" x14ac:dyDescent="0.25">
      <c r="A65" s="14" t="str">
        <f t="shared" si="2"/>
        <v/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16" t="str">
        <f t="shared" si="3"/>
        <v/>
      </c>
    </row>
    <row r="66" spans="1:28" ht="15.75" x14ac:dyDescent="0.25">
      <c r="A66" s="14" t="str">
        <f t="shared" ref="A66:A97" si="4">IF(ISBLANK(B66),"","ARC-"&amp;TEXT(ROW()-1,"0000"))</f>
        <v/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16" t="str">
        <f t="shared" ref="AB66:AB97" si="5">IF(AA66="","",HYPERLINK(AA66,"Open ↗"))</f>
        <v/>
      </c>
    </row>
    <row r="67" spans="1:28" ht="15.75" x14ac:dyDescent="0.25">
      <c r="A67" s="14" t="str">
        <f t="shared" si="4"/>
        <v/>
      </c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16" t="str">
        <f t="shared" si="5"/>
        <v/>
      </c>
    </row>
    <row r="68" spans="1:28" ht="15.75" x14ac:dyDescent="0.25">
      <c r="A68" s="14" t="str">
        <f t="shared" si="4"/>
        <v/>
      </c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16" t="str">
        <f t="shared" si="5"/>
        <v/>
      </c>
    </row>
    <row r="69" spans="1:28" ht="15.75" x14ac:dyDescent="0.25">
      <c r="A69" s="14" t="str">
        <f t="shared" si="4"/>
        <v/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16" t="str">
        <f t="shared" si="5"/>
        <v/>
      </c>
    </row>
    <row r="70" spans="1:28" ht="15.75" x14ac:dyDescent="0.25">
      <c r="A70" s="14" t="str">
        <f t="shared" si="4"/>
        <v/>
      </c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16" t="str">
        <f t="shared" si="5"/>
        <v/>
      </c>
    </row>
    <row r="71" spans="1:28" ht="15.75" x14ac:dyDescent="0.25">
      <c r="A71" s="14" t="str">
        <f t="shared" si="4"/>
        <v/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16" t="str">
        <f t="shared" si="5"/>
        <v/>
      </c>
    </row>
    <row r="72" spans="1:28" ht="15.75" x14ac:dyDescent="0.25">
      <c r="A72" s="14" t="str">
        <f t="shared" si="4"/>
        <v/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16" t="str">
        <f t="shared" si="5"/>
        <v/>
      </c>
    </row>
    <row r="73" spans="1:28" ht="15.75" x14ac:dyDescent="0.25">
      <c r="A73" s="14" t="str">
        <f t="shared" si="4"/>
        <v/>
      </c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16" t="str">
        <f t="shared" si="5"/>
        <v/>
      </c>
    </row>
    <row r="74" spans="1:28" ht="15.75" x14ac:dyDescent="0.25">
      <c r="A74" s="14" t="str">
        <f t="shared" si="4"/>
        <v/>
      </c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16" t="str">
        <f t="shared" si="5"/>
        <v/>
      </c>
    </row>
    <row r="75" spans="1:28" ht="15.75" x14ac:dyDescent="0.25">
      <c r="A75" s="14" t="str">
        <f t="shared" si="4"/>
        <v/>
      </c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16" t="str">
        <f t="shared" si="5"/>
        <v/>
      </c>
    </row>
    <row r="76" spans="1:28" ht="15.75" x14ac:dyDescent="0.25">
      <c r="A76" s="14" t="str">
        <f t="shared" si="4"/>
        <v/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16" t="str">
        <f t="shared" si="5"/>
        <v/>
      </c>
    </row>
    <row r="77" spans="1:28" ht="15.75" x14ac:dyDescent="0.25">
      <c r="A77" s="14" t="str">
        <f t="shared" si="4"/>
        <v/>
      </c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16" t="str">
        <f t="shared" si="5"/>
        <v/>
      </c>
    </row>
    <row r="78" spans="1:28" ht="15.75" x14ac:dyDescent="0.25">
      <c r="A78" s="14" t="str">
        <f t="shared" si="4"/>
        <v/>
      </c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16" t="str">
        <f t="shared" si="5"/>
        <v/>
      </c>
    </row>
    <row r="79" spans="1:28" ht="15.75" x14ac:dyDescent="0.25">
      <c r="A79" s="14" t="str">
        <f t="shared" si="4"/>
        <v/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16" t="str">
        <f t="shared" si="5"/>
        <v/>
      </c>
    </row>
    <row r="80" spans="1:28" ht="15.75" x14ac:dyDescent="0.25">
      <c r="A80" s="14" t="str">
        <f t="shared" si="4"/>
        <v/>
      </c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16" t="str">
        <f t="shared" si="5"/>
        <v/>
      </c>
    </row>
    <row r="81" spans="1:28" ht="15.75" x14ac:dyDescent="0.25">
      <c r="A81" s="14" t="str">
        <f t="shared" si="4"/>
        <v/>
      </c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16" t="str">
        <f t="shared" si="5"/>
        <v/>
      </c>
    </row>
    <row r="82" spans="1:28" ht="15.75" x14ac:dyDescent="0.25">
      <c r="A82" s="14" t="str">
        <f t="shared" si="4"/>
        <v/>
      </c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16" t="str">
        <f t="shared" si="5"/>
        <v/>
      </c>
    </row>
    <row r="83" spans="1:28" ht="15.75" x14ac:dyDescent="0.25">
      <c r="A83" s="14" t="str">
        <f t="shared" si="4"/>
        <v/>
      </c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16" t="str">
        <f t="shared" si="5"/>
        <v/>
      </c>
    </row>
    <row r="84" spans="1:28" ht="15.75" x14ac:dyDescent="0.25">
      <c r="A84" s="14" t="str">
        <f t="shared" si="4"/>
        <v/>
      </c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16" t="str">
        <f t="shared" si="5"/>
        <v/>
      </c>
    </row>
    <row r="85" spans="1:28" ht="15.75" x14ac:dyDescent="0.25">
      <c r="A85" s="14" t="str">
        <f t="shared" si="4"/>
        <v/>
      </c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16" t="str">
        <f t="shared" si="5"/>
        <v/>
      </c>
    </row>
    <row r="86" spans="1:28" ht="15.75" x14ac:dyDescent="0.25">
      <c r="A86" s="14" t="str">
        <f t="shared" si="4"/>
        <v/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16" t="str">
        <f t="shared" si="5"/>
        <v/>
      </c>
    </row>
    <row r="87" spans="1:28" ht="15.75" x14ac:dyDescent="0.25">
      <c r="A87" s="14" t="str">
        <f t="shared" si="4"/>
        <v/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16" t="str">
        <f t="shared" si="5"/>
        <v/>
      </c>
    </row>
    <row r="88" spans="1:28" ht="15.75" x14ac:dyDescent="0.25">
      <c r="A88" s="14" t="str">
        <f t="shared" si="4"/>
        <v/>
      </c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16" t="str">
        <f t="shared" si="5"/>
        <v/>
      </c>
    </row>
    <row r="89" spans="1:28" ht="15.75" x14ac:dyDescent="0.25">
      <c r="A89" s="14" t="str">
        <f t="shared" si="4"/>
        <v/>
      </c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16" t="str">
        <f t="shared" si="5"/>
        <v/>
      </c>
    </row>
    <row r="90" spans="1:28" ht="15.75" x14ac:dyDescent="0.25">
      <c r="A90" s="14" t="str">
        <f t="shared" si="4"/>
        <v/>
      </c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16" t="str">
        <f t="shared" si="5"/>
        <v/>
      </c>
    </row>
    <row r="91" spans="1:28" ht="15.75" x14ac:dyDescent="0.25">
      <c r="A91" s="14" t="str">
        <f t="shared" si="4"/>
        <v/>
      </c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16" t="str">
        <f t="shared" si="5"/>
        <v/>
      </c>
    </row>
    <row r="92" spans="1:28" ht="15.75" x14ac:dyDescent="0.25">
      <c r="A92" s="14" t="str">
        <f t="shared" si="4"/>
        <v/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16" t="str">
        <f t="shared" si="5"/>
        <v/>
      </c>
    </row>
    <row r="93" spans="1:28" ht="15.75" x14ac:dyDescent="0.25">
      <c r="A93" s="14" t="str">
        <f t="shared" si="4"/>
        <v/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16" t="str">
        <f t="shared" si="5"/>
        <v/>
      </c>
    </row>
    <row r="94" spans="1:28" ht="15.75" x14ac:dyDescent="0.25">
      <c r="A94" s="14" t="str">
        <f t="shared" si="4"/>
        <v/>
      </c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16" t="str">
        <f t="shared" si="5"/>
        <v/>
      </c>
    </row>
    <row r="95" spans="1:28" ht="15.75" x14ac:dyDescent="0.25">
      <c r="A95" s="14" t="str">
        <f t="shared" si="4"/>
        <v/>
      </c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16" t="str">
        <f t="shared" si="5"/>
        <v/>
      </c>
    </row>
    <row r="96" spans="1:28" ht="15.75" x14ac:dyDescent="0.25">
      <c r="A96" s="14" t="str">
        <f t="shared" si="4"/>
        <v/>
      </c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16" t="str">
        <f t="shared" si="5"/>
        <v/>
      </c>
    </row>
    <row r="97" spans="1:28" ht="15.75" x14ac:dyDescent="0.25">
      <c r="A97" s="14" t="str">
        <f t="shared" si="4"/>
        <v/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16" t="str">
        <f t="shared" si="5"/>
        <v/>
      </c>
    </row>
    <row r="98" spans="1:28" ht="15.75" x14ac:dyDescent="0.25">
      <c r="A98" s="14" t="str">
        <f t="shared" ref="A98:A129" si="6">IF(ISBLANK(B98),"","ARC-"&amp;TEXT(ROW()-1,"0000"))</f>
        <v/>
      </c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16" t="str">
        <f t="shared" ref="AB98:AB129" si="7">IF(AA98="","",HYPERLINK(AA98,"Open ↗"))</f>
        <v/>
      </c>
    </row>
    <row r="99" spans="1:28" ht="15.75" x14ac:dyDescent="0.25">
      <c r="A99" s="14" t="str">
        <f t="shared" si="6"/>
        <v/>
      </c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16" t="str">
        <f t="shared" si="7"/>
        <v/>
      </c>
    </row>
    <row r="100" spans="1:28" ht="15.75" x14ac:dyDescent="0.25">
      <c r="A100" s="14" t="str">
        <f t="shared" si="6"/>
        <v/>
      </c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16" t="str">
        <f t="shared" si="7"/>
        <v/>
      </c>
    </row>
    <row r="101" spans="1:28" ht="15.75" x14ac:dyDescent="0.25">
      <c r="A101" s="14" t="str">
        <f t="shared" si="6"/>
        <v/>
      </c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16" t="str">
        <f t="shared" si="7"/>
        <v/>
      </c>
    </row>
    <row r="102" spans="1:28" ht="15.75" x14ac:dyDescent="0.25">
      <c r="A102" s="14" t="str">
        <f t="shared" si="6"/>
        <v/>
      </c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16" t="str">
        <f t="shared" si="7"/>
        <v/>
      </c>
    </row>
    <row r="103" spans="1:28" ht="15.75" x14ac:dyDescent="0.25">
      <c r="A103" s="14" t="str">
        <f t="shared" si="6"/>
        <v/>
      </c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16" t="str">
        <f t="shared" si="7"/>
        <v/>
      </c>
    </row>
    <row r="104" spans="1:28" ht="15.75" x14ac:dyDescent="0.25">
      <c r="A104" s="14" t="str">
        <f t="shared" si="6"/>
        <v/>
      </c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16" t="str">
        <f t="shared" si="7"/>
        <v/>
      </c>
    </row>
    <row r="105" spans="1:28" ht="15.75" x14ac:dyDescent="0.25">
      <c r="A105" s="14" t="str">
        <f t="shared" si="6"/>
        <v/>
      </c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16" t="str">
        <f t="shared" si="7"/>
        <v/>
      </c>
    </row>
    <row r="106" spans="1:28" ht="15.75" x14ac:dyDescent="0.25">
      <c r="A106" s="14" t="str">
        <f t="shared" si="6"/>
        <v/>
      </c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16" t="str">
        <f t="shared" si="7"/>
        <v/>
      </c>
    </row>
    <row r="107" spans="1:28" ht="15.75" x14ac:dyDescent="0.25">
      <c r="A107" s="14" t="str">
        <f t="shared" si="6"/>
        <v/>
      </c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16" t="str">
        <f t="shared" si="7"/>
        <v/>
      </c>
    </row>
    <row r="108" spans="1:28" ht="15.75" x14ac:dyDescent="0.25">
      <c r="A108" s="14" t="str">
        <f t="shared" si="6"/>
        <v/>
      </c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16" t="str">
        <f t="shared" si="7"/>
        <v/>
      </c>
    </row>
    <row r="109" spans="1:28" ht="15.75" x14ac:dyDescent="0.25">
      <c r="A109" s="14" t="str">
        <f t="shared" si="6"/>
        <v/>
      </c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16" t="str">
        <f t="shared" si="7"/>
        <v/>
      </c>
    </row>
    <row r="110" spans="1:28" ht="15.75" x14ac:dyDescent="0.25">
      <c r="A110" s="14" t="str">
        <f t="shared" si="6"/>
        <v/>
      </c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16" t="str">
        <f t="shared" si="7"/>
        <v/>
      </c>
    </row>
    <row r="111" spans="1:28" ht="15.75" x14ac:dyDescent="0.25">
      <c r="A111" s="14" t="str">
        <f t="shared" si="6"/>
        <v/>
      </c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16" t="str">
        <f t="shared" si="7"/>
        <v/>
      </c>
    </row>
    <row r="112" spans="1:28" ht="15.75" x14ac:dyDescent="0.25">
      <c r="A112" s="14" t="str">
        <f t="shared" si="6"/>
        <v/>
      </c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16" t="str">
        <f t="shared" si="7"/>
        <v/>
      </c>
    </row>
    <row r="113" spans="1:28" ht="15.75" x14ac:dyDescent="0.25">
      <c r="A113" s="14" t="str">
        <f t="shared" si="6"/>
        <v/>
      </c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16" t="str">
        <f t="shared" si="7"/>
        <v/>
      </c>
    </row>
    <row r="114" spans="1:28" ht="15.75" x14ac:dyDescent="0.25">
      <c r="A114" s="14" t="str">
        <f t="shared" si="6"/>
        <v/>
      </c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16" t="str">
        <f t="shared" si="7"/>
        <v/>
      </c>
    </row>
    <row r="115" spans="1:28" ht="15.75" x14ac:dyDescent="0.25">
      <c r="A115" s="14" t="str">
        <f t="shared" si="6"/>
        <v/>
      </c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16" t="str">
        <f t="shared" si="7"/>
        <v/>
      </c>
    </row>
    <row r="116" spans="1:28" ht="15.75" x14ac:dyDescent="0.25">
      <c r="A116" s="14" t="str">
        <f t="shared" si="6"/>
        <v/>
      </c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16" t="str">
        <f t="shared" si="7"/>
        <v/>
      </c>
    </row>
    <row r="117" spans="1:28" ht="15.75" x14ac:dyDescent="0.25">
      <c r="A117" s="14" t="str">
        <f t="shared" si="6"/>
        <v/>
      </c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16" t="str">
        <f t="shared" si="7"/>
        <v/>
      </c>
    </row>
    <row r="118" spans="1:28" ht="15.75" x14ac:dyDescent="0.25">
      <c r="A118" s="14" t="str">
        <f t="shared" si="6"/>
        <v/>
      </c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16" t="str">
        <f t="shared" si="7"/>
        <v/>
      </c>
    </row>
    <row r="119" spans="1:28" ht="15.75" x14ac:dyDescent="0.25">
      <c r="A119" s="14" t="str">
        <f t="shared" si="6"/>
        <v/>
      </c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16" t="str">
        <f t="shared" si="7"/>
        <v/>
      </c>
    </row>
    <row r="120" spans="1:28" ht="15.75" x14ac:dyDescent="0.25">
      <c r="A120" s="14" t="str">
        <f t="shared" si="6"/>
        <v/>
      </c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16" t="str">
        <f t="shared" si="7"/>
        <v/>
      </c>
    </row>
    <row r="121" spans="1:28" ht="15.75" x14ac:dyDescent="0.25">
      <c r="A121" s="14" t="str">
        <f t="shared" si="6"/>
        <v/>
      </c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16" t="str">
        <f t="shared" si="7"/>
        <v/>
      </c>
    </row>
    <row r="122" spans="1:28" ht="15.75" x14ac:dyDescent="0.25">
      <c r="A122" s="14" t="str">
        <f t="shared" si="6"/>
        <v/>
      </c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16" t="str">
        <f t="shared" si="7"/>
        <v/>
      </c>
    </row>
    <row r="123" spans="1:28" ht="15.75" x14ac:dyDescent="0.25">
      <c r="A123" s="14" t="str">
        <f t="shared" si="6"/>
        <v/>
      </c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16" t="str">
        <f t="shared" si="7"/>
        <v/>
      </c>
    </row>
    <row r="124" spans="1:28" ht="15.75" x14ac:dyDescent="0.25">
      <c r="A124" s="14" t="str">
        <f t="shared" si="6"/>
        <v/>
      </c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16" t="str">
        <f t="shared" si="7"/>
        <v/>
      </c>
    </row>
    <row r="125" spans="1:28" ht="15.75" x14ac:dyDescent="0.25">
      <c r="A125" s="14" t="str">
        <f t="shared" si="6"/>
        <v/>
      </c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16" t="str">
        <f t="shared" si="7"/>
        <v/>
      </c>
    </row>
    <row r="126" spans="1:28" ht="15.75" x14ac:dyDescent="0.25">
      <c r="A126" s="14" t="str">
        <f t="shared" si="6"/>
        <v/>
      </c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16" t="str">
        <f t="shared" si="7"/>
        <v/>
      </c>
    </row>
    <row r="127" spans="1:28" ht="15.75" x14ac:dyDescent="0.25">
      <c r="A127" s="14" t="str">
        <f t="shared" si="6"/>
        <v/>
      </c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16" t="str">
        <f t="shared" si="7"/>
        <v/>
      </c>
    </row>
    <row r="128" spans="1:28" ht="15.75" x14ac:dyDescent="0.25">
      <c r="A128" s="14" t="str">
        <f t="shared" si="6"/>
        <v/>
      </c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16" t="str">
        <f t="shared" si="7"/>
        <v/>
      </c>
    </row>
    <row r="129" spans="1:28" ht="15.75" x14ac:dyDescent="0.25">
      <c r="A129" s="14" t="str">
        <f t="shared" si="6"/>
        <v/>
      </c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16" t="str">
        <f t="shared" si="7"/>
        <v/>
      </c>
    </row>
    <row r="130" spans="1:28" ht="15.75" x14ac:dyDescent="0.25">
      <c r="A130" s="14" t="str">
        <f t="shared" ref="A130:A161" si="8">IF(ISBLANK(B130),"","ARC-"&amp;TEXT(ROW()-1,"0000"))</f>
        <v/>
      </c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16" t="str">
        <f t="shared" ref="AB130:AB161" si="9">IF(AA130="","",HYPERLINK(AA130,"Open ↗"))</f>
        <v/>
      </c>
    </row>
    <row r="131" spans="1:28" ht="15.75" x14ac:dyDescent="0.25">
      <c r="A131" s="14" t="str">
        <f t="shared" si="8"/>
        <v/>
      </c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16" t="str">
        <f t="shared" si="9"/>
        <v/>
      </c>
    </row>
    <row r="132" spans="1:28" ht="15.75" x14ac:dyDescent="0.25">
      <c r="A132" s="14" t="str">
        <f t="shared" si="8"/>
        <v/>
      </c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16" t="str">
        <f t="shared" si="9"/>
        <v/>
      </c>
    </row>
    <row r="133" spans="1:28" ht="15.75" x14ac:dyDescent="0.25">
      <c r="A133" s="14" t="str">
        <f t="shared" si="8"/>
        <v/>
      </c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16" t="str">
        <f t="shared" si="9"/>
        <v/>
      </c>
    </row>
    <row r="134" spans="1:28" ht="15.75" x14ac:dyDescent="0.25">
      <c r="A134" s="14" t="str">
        <f t="shared" si="8"/>
        <v/>
      </c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16" t="str">
        <f t="shared" si="9"/>
        <v/>
      </c>
    </row>
    <row r="135" spans="1:28" ht="15.75" x14ac:dyDescent="0.25">
      <c r="A135" s="14" t="str">
        <f t="shared" si="8"/>
        <v/>
      </c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16" t="str">
        <f t="shared" si="9"/>
        <v/>
      </c>
    </row>
    <row r="136" spans="1:28" ht="15.75" x14ac:dyDescent="0.25">
      <c r="A136" s="14" t="str">
        <f t="shared" si="8"/>
        <v/>
      </c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16" t="str">
        <f t="shared" si="9"/>
        <v/>
      </c>
    </row>
    <row r="137" spans="1:28" ht="15.75" x14ac:dyDescent="0.25">
      <c r="A137" s="14" t="str">
        <f t="shared" si="8"/>
        <v/>
      </c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16" t="str">
        <f t="shared" si="9"/>
        <v/>
      </c>
    </row>
    <row r="138" spans="1:28" ht="15.75" x14ac:dyDescent="0.25">
      <c r="A138" s="14" t="str">
        <f t="shared" si="8"/>
        <v/>
      </c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16" t="str">
        <f t="shared" si="9"/>
        <v/>
      </c>
    </row>
    <row r="139" spans="1:28" ht="15.75" x14ac:dyDescent="0.25">
      <c r="A139" s="14" t="str">
        <f t="shared" si="8"/>
        <v/>
      </c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16" t="str">
        <f t="shared" si="9"/>
        <v/>
      </c>
    </row>
    <row r="140" spans="1:28" ht="15.75" x14ac:dyDescent="0.25">
      <c r="A140" s="14" t="str">
        <f t="shared" si="8"/>
        <v/>
      </c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16" t="str">
        <f t="shared" si="9"/>
        <v/>
      </c>
    </row>
    <row r="141" spans="1:28" ht="15.75" x14ac:dyDescent="0.25">
      <c r="A141" s="14" t="str">
        <f t="shared" si="8"/>
        <v/>
      </c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16" t="str">
        <f t="shared" si="9"/>
        <v/>
      </c>
    </row>
    <row r="142" spans="1:28" ht="15.75" x14ac:dyDescent="0.25">
      <c r="A142" s="14" t="str">
        <f t="shared" si="8"/>
        <v/>
      </c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16" t="str">
        <f t="shared" si="9"/>
        <v/>
      </c>
    </row>
    <row r="143" spans="1:28" ht="15.75" x14ac:dyDescent="0.25">
      <c r="A143" s="14" t="str">
        <f t="shared" si="8"/>
        <v/>
      </c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16" t="str">
        <f t="shared" si="9"/>
        <v/>
      </c>
    </row>
    <row r="144" spans="1:28" ht="15.75" x14ac:dyDescent="0.25">
      <c r="A144" s="14" t="str">
        <f t="shared" si="8"/>
        <v/>
      </c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16" t="str">
        <f t="shared" si="9"/>
        <v/>
      </c>
    </row>
    <row r="145" spans="1:28" ht="15.75" x14ac:dyDescent="0.25">
      <c r="A145" s="14" t="str">
        <f t="shared" si="8"/>
        <v/>
      </c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16" t="str">
        <f t="shared" si="9"/>
        <v/>
      </c>
    </row>
    <row r="146" spans="1:28" ht="15.75" x14ac:dyDescent="0.25">
      <c r="A146" s="14" t="str">
        <f t="shared" si="8"/>
        <v/>
      </c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16" t="str">
        <f t="shared" si="9"/>
        <v/>
      </c>
    </row>
    <row r="147" spans="1:28" ht="15.75" x14ac:dyDescent="0.25">
      <c r="A147" s="14" t="str">
        <f t="shared" si="8"/>
        <v/>
      </c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16" t="str">
        <f t="shared" si="9"/>
        <v/>
      </c>
    </row>
    <row r="148" spans="1:28" ht="15.75" x14ac:dyDescent="0.25">
      <c r="A148" s="14" t="str">
        <f t="shared" si="8"/>
        <v/>
      </c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16" t="str">
        <f t="shared" si="9"/>
        <v/>
      </c>
    </row>
    <row r="149" spans="1:28" ht="15.75" x14ac:dyDescent="0.25">
      <c r="A149" s="14" t="str">
        <f t="shared" si="8"/>
        <v/>
      </c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16" t="str">
        <f t="shared" si="9"/>
        <v/>
      </c>
    </row>
    <row r="150" spans="1:28" ht="15.75" x14ac:dyDescent="0.25">
      <c r="A150" s="14" t="str">
        <f t="shared" si="8"/>
        <v/>
      </c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16" t="str">
        <f t="shared" si="9"/>
        <v/>
      </c>
    </row>
    <row r="151" spans="1:28" ht="15.75" x14ac:dyDescent="0.25">
      <c r="A151" s="14" t="str">
        <f t="shared" si="8"/>
        <v/>
      </c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16" t="str">
        <f t="shared" si="9"/>
        <v/>
      </c>
    </row>
    <row r="152" spans="1:28" ht="15.75" x14ac:dyDescent="0.25">
      <c r="A152" s="14" t="str">
        <f t="shared" si="8"/>
        <v/>
      </c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16" t="str">
        <f t="shared" si="9"/>
        <v/>
      </c>
    </row>
    <row r="153" spans="1:28" ht="15.75" x14ac:dyDescent="0.25">
      <c r="A153" s="14" t="str">
        <f t="shared" si="8"/>
        <v/>
      </c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16" t="str">
        <f t="shared" si="9"/>
        <v/>
      </c>
    </row>
    <row r="154" spans="1:28" ht="15.75" x14ac:dyDescent="0.25">
      <c r="A154" s="14" t="str">
        <f t="shared" si="8"/>
        <v/>
      </c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16" t="str">
        <f t="shared" si="9"/>
        <v/>
      </c>
    </row>
    <row r="155" spans="1:28" ht="15.75" x14ac:dyDescent="0.25">
      <c r="A155" s="14" t="str">
        <f t="shared" si="8"/>
        <v/>
      </c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16" t="str">
        <f t="shared" si="9"/>
        <v/>
      </c>
    </row>
    <row r="156" spans="1:28" ht="15.75" x14ac:dyDescent="0.25">
      <c r="A156" s="14" t="str">
        <f t="shared" si="8"/>
        <v/>
      </c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16" t="str">
        <f t="shared" si="9"/>
        <v/>
      </c>
    </row>
    <row r="157" spans="1:28" ht="15.75" x14ac:dyDescent="0.25">
      <c r="A157" s="14" t="str">
        <f t="shared" si="8"/>
        <v/>
      </c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16" t="str">
        <f t="shared" si="9"/>
        <v/>
      </c>
    </row>
    <row r="158" spans="1:28" ht="15.75" x14ac:dyDescent="0.25">
      <c r="A158" s="14" t="str">
        <f t="shared" si="8"/>
        <v/>
      </c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16" t="str">
        <f t="shared" si="9"/>
        <v/>
      </c>
    </row>
    <row r="159" spans="1:28" ht="15.75" x14ac:dyDescent="0.25">
      <c r="A159" s="14" t="str">
        <f t="shared" si="8"/>
        <v/>
      </c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16" t="str">
        <f t="shared" si="9"/>
        <v/>
      </c>
    </row>
    <row r="160" spans="1:28" ht="15.75" x14ac:dyDescent="0.25">
      <c r="A160" s="14" t="str">
        <f t="shared" si="8"/>
        <v/>
      </c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16" t="str">
        <f t="shared" si="9"/>
        <v/>
      </c>
    </row>
    <row r="161" spans="1:28" ht="15.75" x14ac:dyDescent="0.25">
      <c r="A161" s="14" t="str">
        <f t="shared" si="8"/>
        <v/>
      </c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16" t="str">
        <f t="shared" si="9"/>
        <v/>
      </c>
    </row>
    <row r="162" spans="1:28" ht="15.75" x14ac:dyDescent="0.25">
      <c r="A162" s="14" t="str">
        <f t="shared" ref="A162:A193" si="10">IF(ISBLANK(B162),"","ARC-"&amp;TEXT(ROW()-1,"0000"))</f>
        <v/>
      </c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16" t="str">
        <f t="shared" ref="AB162:AB193" si="11">IF(AA162="","",HYPERLINK(AA162,"Open ↗"))</f>
        <v/>
      </c>
    </row>
    <row r="163" spans="1:28" ht="15.75" x14ac:dyDescent="0.25">
      <c r="A163" s="14" t="str">
        <f t="shared" si="10"/>
        <v/>
      </c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16" t="str">
        <f t="shared" si="11"/>
        <v/>
      </c>
    </row>
    <row r="164" spans="1:28" ht="15.75" x14ac:dyDescent="0.25">
      <c r="A164" s="14" t="str">
        <f t="shared" si="10"/>
        <v/>
      </c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16" t="str">
        <f t="shared" si="11"/>
        <v/>
      </c>
    </row>
    <row r="165" spans="1:28" ht="15.75" x14ac:dyDescent="0.25">
      <c r="A165" s="14" t="str">
        <f t="shared" si="10"/>
        <v/>
      </c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16" t="str">
        <f t="shared" si="11"/>
        <v/>
      </c>
    </row>
    <row r="166" spans="1:28" ht="15.75" x14ac:dyDescent="0.25">
      <c r="A166" s="14" t="str">
        <f t="shared" si="10"/>
        <v/>
      </c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16" t="str">
        <f t="shared" si="11"/>
        <v/>
      </c>
    </row>
    <row r="167" spans="1:28" ht="15.75" x14ac:dyDescent="0.25">
      <c r="A167" s="14" t="str">
        <f t="shared" si="10"/>
        <v/>
      </c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16" t="str">
        <f t="shared" si="11"/>
        <v/>
      </c>
    </row>
    <row r="168" spans="1:28" ht="15.75" x14ac:dyDescent="0.25">
      <c r="A168" s="14" t="str">
        <f t="shared" si="10"/>
        <v/>
      </c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16" t="str">
        <f t="shared" si="11"/>
        <v/>
      </c>
    </row>
    <row r="169" spans="1:28" ht="15.75" x14ac:dyDescent="0.25">
      <c r="A169" s="14" t="str">
        <f t="shared" si="10"/>
        <v/>
      </c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16" t="str">
        <f t="shared" si="11"/>
        <v/>
      </c>
    </row>
    <row r="170" spans="1:28" ht="15.75" x14ac:dyDescent="0.25">
      <c r="A170" s="14" t="str">
        <f t="shared" si="10"/>
        <v/>
      </c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16" t="str">
        <f t="shared" si="11"/>
        <v/>
      </c>
    </row>
    <row r="171" spans="1:28" ht="15.75" x14ac:dyDescent="0.25">
      <c r="A171" s="14" t="str">
        <f t="shared" si="10"/>
        <v/>
      </c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16" t="str">
        <f t="shared" si="11"/>
        <v/>
      </c>
    </row>
    <row r="172" spans="1:28" ht="15.75" x14ac:dyDescent="0.25">
      <c r="A172" s="14" t="str">
        <f t="shared" si="10"/>
        <v/>
      </c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16" t="str">
        <f t="shared" si="11"/>
        <v/>
      </c>
    </row>
    <row r="173" spans="1:28" ht="15.75" x14ac:dyDescent="0.25">
      <c r="A173" s="14" t="str">
        <f t="shared" si="10"/>
        <v/>
      </c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16" t="str">
        <f t="shared" si="11"/>
        <v/>
      </c>
    </row>
    <row r="174" spans="1:28" ht="15.75" x14ac:dyDescent="0.25">
      <c r="A174" s="14" t="str">
        <f t="shared" si="10"/>
        <v/>
      </c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16" t="str">
        <f t="shared" si="11"/>
        <v/>
      </c>
    </row>
    <row r="175" spans="1:28" ht="15.75" x14ac:dyDescent="0.25">
      <c r="A175" s="14" t="str">
        <f t="shared" si="10"/>
        <v/>
      </c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16" t="str">
        <f t="shared" si="11"/>
        <v/>
      </c>
    </row>
    <row r="176" spans="1:28" ht="15.75" x14ac:dyDescent="0.25">
      <c r="A176" s="14" t="str">
        <f t="shared" si="10"/>
        <v/>
      </c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16" t="str">
        <f t="shared" si="11"/>
        <v/>
      </c>
    </row>
    <row r="177" spans="1:28" ht="15.75" x14ac:dyDescent="0.25">
      <c r="A177" s="14" t="str">
        <f t="shared" si="10"/>
        <v/>
      </c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16" t="str">
        <f t="shared" si="11"/>
        <v/>
      </c>
    </row>
    <row r="178" spans="1:28" ht="15.75" x14ac:dyDescent="0.25">
      <c r="A178" s="14" t="str">
        <f t="shared" si="10"/>
        <v/>
      </c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16" t="str">
        <f t="shared" si="11"/>
        <v/>
      </c>
    </row>
    <row r="179" spans="1:28" ht="15.75" x14ac:dyDescent="0.25">
      <c r="A179" s="14" t="str">
        <f t="shared" si="10"/>
        <v/>
      </c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16" t="str">
        <f t="shared" si="11"/>
        <v/>
      </c>
    </row>
    <row r="180" spans="1:28" ht="15.75" x14ac:dyDescent="0.25">
      <c r="A180" s="14" t="str">
        <f t="shared" si="10"/>
        <v/>
      </c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16" t="str">
        <f t="shared" si="11"/>
        <v/>
      </c>
    </row>
    <row r="181" spans="1:28" ht="15.75" x14ac:dyDescent="0.25">
      <c r="A181" s="14" t="str">
        <f t="shared" si="10"/>
        <v/>
      </c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16" t="str">
        <f t="shared" si="11"/>
        <v/>
      </c>
    </row>
    <row r="182" spans="1:28" ht="15.75" x14ac:dyDescent="0.25">
      <c r="A182" s="14" t="str">
        <f t="shared" si="10"/>
        <v/>
      </c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16" t="str">
        <f t="shared" si="11"/>
        <v/>
      </c>
    </row>
    <row r="183" spans="1:28" ht="15.75" x14ac:dyDescent="0.25">
      <c r="A183" s="14" t="str">
        <f t="shared" si="10"/>
        <v/>
      </c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16" t="str">
        <f t="shared" si="11"/>
        <v/>
      </c>
    </row>
    <row r="184" spans="1:28" ht="15.75" x14ac:dyDescent="0.25">
      <c r="A184" s="14" t="str">
        <f t="shared" si="10"/>
        <v/>
      </c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16" t="str">
        <f t="shared" si="11"/>
        <v/>
      </c>
    </row>
    <row r="185" spans="1:28" ht="15.75" x14ac:dyDescent="0.25">
      <c r="A185" s="14" t="str">
        <f t="shared" si="10"/>
        <v/>
      </c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16" t="str">
        <f t="shared" si="11"/>
        <v/>
      </c>
    </row>
    <row r="186" spans="1:28" ht="15.75" x14ac:dyDescent="0.25">
      <c r="A186" s="14" t="str">
        <f t="shared" si="10"/>
        <v/>
      </c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16" t="str">
        <f t="shared" si="11"/>
        <v/>
      </c>
    </row>
    <row r="187" spans="1:28" ht="15.75" x14ac:dyDescent="0.25">
      <c r="A187" s="14" t="str">
        <f t="shared" si="10"/>
        <v/>
      </c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16" t="str">
        <f t="shared" si="11"/>
        <v/>
      </c>
    </row>
    <row r="188" spans="1:28" ht="15.75" x14ac:dyDescent="0.25">
      <c r="A188" s="14" t="str">
        <f t="shared" si="10"/>
        <v/>
      </c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16" t="str">
        <f t="shared" si="11"/>
        <v/>
      </c>
    </row>
    <row r="189" spans="1:28" ht="15.75" x14ac:dyDescent="0.25">
      <c r="A189" s="14" t="str">
        <f t="shared" si="10"/>
        <v/>
      </c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16" t="str">
        <f t="shared" si="11"/>
        <v/>
      </c>
    </row>
    <row r="190" spans="1:28" ht="15.75" x14ac:dyDescent="0.25">
      <c r="A190" s="14" t="str">
        <f t="shared" si="10"/>
        <v/>
      </c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16" t="str">
        <f t="shared" si="11"/>
        <v/>
      </c>
    </row>
    <row r="191" spans="1:28" ht="15.75" x14ac:dyDescent="0.25">
      <c r="A191" s="14" t="str">
        <f t="shared" si="10"/>
        <v/>
      </c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16" t="str">
        <f t="shared" si="11"/>
        <v/>
      </c>
    </row>
    <row r="192" spans="1:28" ht="15.75" x14ac:dyDescent="0.25">
      <c r="A192" s="14" t="str">
        <f t="shared" si="10"/>
        <v/>
      </c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16" t="str">
        <f t="shared" si="11"/>
        <v/>
      </c>
    </row>
    <row r="193" spans="1:28" ht="15.75" x14ac:dyDescent="0.25">
      <c r="A193" s="14" t="str">
        <f t="shared" si="10"/>
        <v/>
      </c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16" t="str">
        <f t="shared" si="11"/>
        <v/>
      </c>
    </row>
    <row r="194" spans="1:28" ht="15.75" x14ac:dyDescent="0.25">
      <c r="A194" s="14" t="str">
        <f t="shared" ref="A194:A225" si="12">IF(ISBLANK(B194),"","ARC-"&amp;TEXT(ROW()-1,"0000"))</f>
        <v/>
      </c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16" t="str">
        <f t="shared" ref="AB194:AB225" si="13">IF(AA194="","",HYPERLINK(AA194,"Open ↗"))</f>
        <v/>
      </c>
    </row>
    <row r="195" spans="1:28" ht="15.75" x14ac:dyDescent="0.25">
      <c r="A195" s="14" t="str">
        <f t="shared" si="12"/>
        <v/>
      </c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16" t="str">
        <f t="shared" si="13"/>
        <v/>
      </c>
    </row>
    <row r="196" spans="1:28" ht="15.75" x14ac:dyDescent="0.25">
      <c r="A196" s="14" t="str">
        <f t="shared" si="12"/>
        <v/>
      </c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16" t="str">
        <f t="shared" si="13"/>
        <v/>
      </c>
    </row>
    <row r="197" spans="1:28" ht="15.75" x14ac:dyDescent="0.25">
      <c r="A197" s="14" t="str">
        <f t="shared" si="12"/>
        <v/>
      </c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16" t="str">
        <f t="shared" si="13"/>
        <v/>
      </c>
    </row>
    <row r="198" spans="1:28" ht="15.75" x14ac:dyDescent="0.25">
      <c r="A198" s="14" t="str">
        <f t="shared" si="12"/>
        <v/>
      </c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16" t="str">
        <f t="shared" si="13"/>
        <v/>
      </c>
    </row>
    <row r="199" spans="1:28" ht="15.75" x14ac:dyDescent="0.25">
      <c r="A199" s="14" t="str">
        <f t="shared" si="12"/>
        <v/>
      </c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16" t="str">
        <f t="shared" si="13"/>
        <v/>
      </c>
    </row>
    <row r="200" spans="1:28" ht="15.75" x14ac:dyDescent="0.25">
      <c r="A200" s="14" t="str">
        <f t="shared" si="12"/>
        <v/>
      </c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16" t="str">
        <f t="shared" si="13"/>
        <v/>
      </c>
    </row>
    <row r="201" spans="1:28" ht="15.75" x14ac:dyDescent="0.25">
      <c r="A201" s="14" t="str">
        <f t="shared" si="12"/>
        <v/>
      </c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16" t="str">
        <f t="shared" si="13"/>
        <v/>
      </c>
    </row>
  </sheetData>
  <sheetProtection password="E720" sheet="1"/>
  <autoFilter ref="A1:AB201" xr:uid="{00000000-0009-0000-0000-000005000000}"/>
  <dataValidations count="10">
    <dataValidation type="list" allowBlank="1" sqref="F2:F201" xr:uid="{00000000-0002-0000-0500-000000000000}">
      <formula1>ArcItemTypeList</formula1>
    </dataValidation>
    <dataValidation type="list" allowBlank="1" sqref="G2:G201" xr:uid="{00000000-0002-0000-0500-000001000000}">
      <formula1>PhysDigiList</formula1>
    </dataValidation>
    <dataValidation type="list" allowBlank="1" sqref="H2:H201" xr:uid="{00000000-0002-0000-0500-000002000000}">
      <formula1>LanguageList</formula1>
    </dataValidation>
    <dataValidation type="list" allowBlank="1" sqref="K2:K201" xr:uid="{00000000-0002-0000-0500-000003000000}">
      <formula1>ConditionList</formula1>
    </dataValidation>
    <dataValidation type="list" allowBlank="1" sqref="L2:L201" xr:uid="{00000000-0002-0000-0500-000004000000}">
      <formula1>LocationTypeList</formula1>
    </dataValidation>
    <dataValidation type="list" allowBlank="1" sqref="O2:O201" xr:uid="{00000000-0002-0000-0500-000005000000}">
      <formula1>DigitisationList</formula1>
    </dataValidation>
    <dataValidation type="list" allowBlank="1" sqref="P2:P201" xr:uid="{00000000-0002-0000-0500-000006000000}">
      <formula1>OCRStatusList</formula1>
    </dataValidation>
    <dataValidation type="list" allowBlank="1" sqref="Q2:Q201" xr:uid="{00000000-0002-0000-0500-000007000000}">
      <formula1>RightsList</formula1>
    </dataValidation>
    <dataValidation type="list" allowBlank="1" sqref="R2:R201" xr:uid="{00000000-0002-0000-0500-000008000000}">
      <formula1>AccessLevelList</formula1>
    </dataValidation>
    <dataValidation type="list" allowBlank="1" sqref="U2:U201" xr:uid="{00000000-0002-0000-0500-000009000000}">
      <formula1>CollectionList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0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12" customWidth="1"/>
    <col min="4" max="4" width="22" customWidth="1"/>
    <col min="5" max="7" width="14" customWidth="1"/>
    <col min="8" max="8" width="12" customWidth="1"/>
    <col min="9" max="9" width="30" customWidth="1"/>
  </cols>
  <sheetData>
    <row r="1" spans="1:9" ht="30" customHeight="1" x14ac:dyDescent="0.25">
      <c r="A1" s="5" t="s">
        <v>558</v>
      </c>
      <c r="B1" s="5" t="s">
        <v>358</v>
      </c>
      <c r="C1" s="5" t="s">
        <v>559</v>
      </c>
      <c r="D1" s="5" t="s">
        <v>560</v>
      </c>
      <c r="E1" s="5" t="s">
        <v>561</v>
      </c>
      <c r="F1" s="5" t="s">
        <v>562</v>
      </c>
      <c r="G1" s="5" t="s">
        <v>563</v>
      </c>
      <c r="H1" s="5" t="s">
        <v>564</v>
      </c>
      <c r="I1" s="5" t="s">
        <v>384</v>
      </c>
    </row>
    <row r="2" spans="1:9" ht="15.75" x14ac:dyDescent="0.25">
      <c r="A2" s="14" t="str">
        <f t="shared" ref="A2:A65" si="0">IF(ISBLANK(B2),"",ROW()-1)</f>
        <v/>
      </c>
      <c r="B2" s="8"/>
      <c r="C2" s="8"/>
      <c r="D2" s="16" t="str">
        <f>IFERROR(IF(ISBLANK(C2),"",VLOOKUP(C2,Members!$A$2:$B$101,2,FALSE)),"")</f>
        <v/>
      </c>
      <c r="E2" s="8"/>
      <c r="F2" s="14" t="str">
        <f>IF(ISBLANK(E2),"",E2+Settings!$B$7)</f>
        <v/>
      </c>
      <c r="G2" s="8"/>
      <c r="H2" s="16" t="str">
        <f t="shared" ref="H2:H65" ca="1" si="1">IF(ISBLANK(B2),"",IF(NOT(ISBLANK(G2)),"Returned",IF(TODAY()&gt;F2,"Overdue","Active")))</f>
        <v/>
      </c>
      <c r="I2" s="8"/>
    </row>
    <row r="3" spans="1:9" ht="15.75" x14ac:dyDescent="0.25">
      <c r="A3" s="14" t="str">
        <f t="shared" si="0"/>
        <v/>
      </c>
      <c r="B3" s="8"/>
      <c r="C3" s="8"/>
      <c r="D3" s="16" t="str">
        <f>IFERROR(IF(ISBLANK(C3),"",VLOOKUP(C3,Members!$A$2:$B$101,2,FALSE)),"")</f>
        <v/>
      </c>
      <c r="E3" s="8"/>
      <c r="F3" s="14" t="str">
        <f>IF(ISBLANK(E3),"",E3+Settings!$B$7)</f>
        <v/>
      </c>
      <c r="G3" s="8"/>
      <c r="H3" s="16" t="str">
        <f t="shared" ca="1" si="1"/>
        <v/>
      </c>
      <c r="I3" s="8"/>
    </row>
    <row r="4" spans="1:9" ht="15.75" x14ac:dyDescent="0.25">
      <c r="A4" s="14" t="str">
        <f t="shared" si="0"/>
        <v/>
      </c>
      <c r="B4" s="8"/>
      <c r="C4" s="8"/>
      <c r="D4" s="16" t="str">
        <f>IFERROR(IF(ISBLANK(C4),"",VLOOKUP(C4,Members!$A$2:$B$101,2,FALSE)),"")</f>
        <v/>
      </c>
      <c r="E4" s="8"/>
      <c r="F4" s="14" t="str">
        <f>IF(ISBLANK(E4),"",E4+Settings!$B$7)</f>
        <v/>
      </c>
      <c r="G4" s="8"/>
      <c r="H4" s="16" t="str">
        <f t="shared" ca="1" si="1"/>
        <v/>
      </c>
      <c r="I4" s="8"/>
    </row>
    <row r="5" spans="1:9" ht="15.75" x14ac:dyDescent="0.25">
      <c r="A5" s="14" t="str">
        <f t="shared" si="0"/>
        <v/>
      </c>
      <c r="B5" s="8"/>
      <c r="C5" s="8"/>
      <c r="D5" s="16" t="str">
        <f>IFERROR(IF(ISBLANK(C5),"",VLOOKUP(C5,Members!$A$2:$B$101,2,FALSE)),"")</f>
        <v/>
      </c>
      <c r="E5" s="8"/>
      <c r="F5" s="14" t="str">
        <f>IF(ISBLANK(E5),"",E5+Settings!$B$7)</f>
        <v/>
      </c>
      <c r="G5" s="8"/>
      <c r="H5" s="16" t="str">
        <f t="shared" ca="1" si="1"/>
        <v/>
      </c>
      <c r="I5" s="8"/>
    </row>
    <row r="6" spans="1:9" ht="15.75" x14ac:dyDescent="0.25">
      <c r="A6" s="14" t="str">
        <f t="shared" si="0"/>
        <v/>
      </c>
      <c r="B6" s="8"/>
      <c r="C6" s="8"/>
      <c r="D6" s="16" t="str">
        <f>IFERROR(IF(ISBLANK(C6),"",VLOOKUP(C6,Members!$A$2:$B$101,2,FALSE)),"")</f>
        <v/>
      </c>
      <c r="E6" s="8"/>
      <c r="F6" s="14" t="str">
        <f>IF(ISBLANK(E6),"",E6+Settings!$B$7)</f>
        <v/>
      </c>
      <c r="G6" s="8"/>
      <c r="H6" s="16" t="str">
        <f t="shared" ca="1" si="1"/>
        <v/>
      </c>
      <c r="I6" s="8"/>
    </row>
    <row r="7" spans="1:9" ht="15.75" x14ac:dyDescent="0.25">
      <c r="A7" s="14" t="str">
        <f t="shared" si="0"/>
        <v/>
      </c>
      <c r="B7" s="8"/>
      <c r="C7" s="8"/>
      <c r="D7" s="16" t="str">
        <f>IFERROR(IF(ISBLANK(C7),"",VLOOKUP(C7,Members!$A$2:$B$101,2,FALSE)),"")</f>
        <v/>
      </c>
      <c r="E7" s="8"/>
      <c r="F7" s="14" t="str">
        <f>IF(ISBLANK(E7),"",E7+Settings!$B$7)</f>
        <v/>
      </c>
      <c r="G7" s="8"/>
      <c r="H7" s="16" t="str">
        <f t="shared" ca="1" si="1"/>
        <v/>
      </c>
      <c r="I7" s="8"/>
    </row>
    <row r="8" spans="1:9" ht="15.75" x14ac:dyDescent="0.25">
      <c r="A8" s="14" t="str">
        <f t="shared" si="0"/>
        <v/>
      </c>
      <c r="B8" s="8"/>
      <c r="C8" s="8"/>
      <c r="D8" s="16" t="str">
        <f>IFERROR(IF(ISBLANK(C8),"",VLOOKUP(C8,Members!$A$2:$B$101,2,FALSE)),"")</f>
        <v/>
      </c>
      <c r="E8" s="8"/>
      <c r="F8" s="14" t="str">
        <f>IF(ISBLANK(E8),"",E8+Settings!$B$7)</f>
        <v/>
      </c>
      <c r="G8" s="8"/>
      <c r="H8" s="16" t="str">
        <f t="shared" ca="1" si="1"/>
        <v/>
      </c>
      <c r="I8" s="8"/>
    </row>
    <row r="9" spans="1:9" ht="15.75" x14ac:dyDescent="0.25">
      <c r="A9" s="14" t="str">
        <f t="shared" si="0"/>
        <v/>
      </c>
      <c r="B9" s="8"/>
      <c r="C9" s="8"/>
      <c r="D9" s="16" t="str">
        <f>IFERROR(IF(ISBLANK(C9),"",VLOOKUP(C9,Members!$A$2:$B$101,2,FALSE)),"")</f>
        <v/>
      </c>
      <c r="E9" s="8"/>
      <c r="F9" s="14" t="str">
        <f>IF(ISBLANK(E9),"",E9+Settings!$B$7)</f>
        <v/>
      </c>
      <c r="G9" s="8"/>
      <c r="H9" s="16" t="str">
        <f t="shared" ca="1" si="1"/>
        <v/>
      </c>
      <c r="I9" s="8"/>
    </row>
    <row r="10" spans="1:9" ht="15.75" x14ac:dyDescent="0.25">
      <c r="A10" s="14" t="str">
        <f t="shared" si="0"/>
        <v/>
      </c>
      <c r="B10" s="8"/>
      <c r="C10" s="8"/>
      <c r="D10" s="16" t="str">
        <f>IFERROR(IF(ISBLANK(C10),"",VLOOKUP(C10,Members!$A$2:$B$101,2,FALSE)),"")</f>
        <v/>
      </c>
      <c r="E10" s="8"/>
      <c r="F10" s="14" t="str">
        <f>IF(ISBLANK(E10),"",E10+Settings!$B$7)</f>
        <v/>
      </c>
      <c r="G10" s="8"/>
      <c r="H10" s="16" t="str">
        <f t="shared" ca="1" si="1"/>
        <v/>
      </c>
      <c r="I10" s="8"/>
    </row>
    <row r="11" spans="1:9" ht="15.75" x14ac:dyDescent="0.25">
      <c r="A11" s="14" t="str">
        <f t="shared" si="0"/>
        <v/>
      </c>
      <c r="B11" s="8"/>
      <c r="C11" s="8"/>
      <c r="D11" s="16" t="str">
        <f>IFERROR(IF(ISBLANK(C11),"",VLOOKUP(C11,Members!$A$2:$B$101,2,FALSE)),"")</f>
        <v/>
      </c>
      <c r="E11" s="8"/>
      <c r="F11" s="14" t="str">
        <f>IF(ISBLANK(E11),"",E11+Settings!$B$7)</f>
        <v/>
      </c>
      <c r="G11" s="8"/>
      <c r="H11" s="16" t="str">
        <f t="shared" ca="1" si="1"/>
        <v/>
      </c>
      <c r="I11" s="8"/>
    </row>
    <row r="12" spans="1:9" ht="15.75" x14ac:dyDescent="0.25">
      <c r="A12" s="14" t="str">
        <f t="shared" si="0"/>
        <v/>
      </c>
      <c r="B12" s="8"/>
      <c r="C12" s="8"/>
      <c r="D12" s="16" t="str">
        <f>IFERROR(IF(ISBLANK(C12),"",VLOOKUP(C12,Members!$A$2:$B$101,2,FALSE)),"")</f>
        <v/>
      </c>
      <c r="E12" s="8"/>
      <c r="F12" s="14" t="str">
        <f>IF(ISBLANK(E12),"",E12+Settings!$B$7)</f>
        <v/>
      </c>
      <c r="G12" s="8"/>
      <c r="H12" s="16" t="str">
        <f t="shared" ca="1" si="1"/>
        <v/>
      </c>
      <c r="I12" s="8"/>
    </row>
    <row r="13" spans="1:9" ht="15.75" x14ac:dyDescent="0.25">
      <c r="A13" s="14" t="str">
        <f t="shared" si="0"/>
        <v/>
      </c>
      <c r="B13" s="8"/>
      <c r="C13" s="8"/>
      <c r="D13" s="16" t="str">
        <f>IFERROR(IF(ISBLANK(C13),"",VLOOKUP(C13,Members!$A$2:$B$101,2,FALSE)),"")</f>
        <v/>
      </c>
      <c r="E13" s="8"/>
      <c r="F13" s="14" t="str">
        <f>IF(ISBLANK(E13),"",E13+Settings!$B$7)</f>
        <v/>
      </c>
      <c r="G13" s="8"/>
      <c r="H13" s="16" t="str">
        <f t="shared" ca="1" si="1"/>
        <v/>
      </c>
      <c r="I13" s="8"/>
    </row>
    <row r="14" spans="1:9" ht="15.75" x14ac:dyDescent="0.25">
      <c r="A14" s="14" t="str">
        <f t="shared" si="0"/>
        <v/>
      </c>
      <c r="B14" s="8"/>
      <c r="C14" s="8"/>
      <c r="D14" s="16" t="str">
        <f>IFERROR(IF(ISBLANK(C14),"",VLOOKUP(C14,Members!$A$2:$B$101,2,FALSE)),"")</f>
        <v/>
      </c>
      <c r="E14" s="8"/>
      <c r="F14" s="14" t="str">
        <f>IF(ISBLANK(E14),"",E14+Settings!$B$7)</f>
        <v/>
      </c>
      <c r="G14" s="8"/>
      <c r="H14" s="16" t="str">
        <f t="shared" ca="1" si="1"/>
        <v/>
      </c>
      <c r="I14" s="8"/>
    </row>
    <row r="15" spans="1:9" ht="15.75" x14ac:dyDescent="0.25">
      <c r="A15" s="14" t="str">
        <f t="shared" si="0"/>
        <v/>
      </c>
      <c r="B15" s="8"/>
      <c r="C15" s="8"/>
      <c r="D15" s="16" t="str">
        <f>IFERROR(IF(ISBLANK(C15),"",VLOOKUP(C15,Members!$A$2:$B$101,2,FALSE)),"")</f>
        <v/>
      </c>
      <c r="E15" s="8"/>
      <c r="F15" s="14" t="str">
        <f>IF(ISBLANK(E15),"",E15+Settings!$B$7)</f>
        <v/>
      </c>
      <c r="G15" s="8"/>
      <c r="H15" s="16" t="str">
        <f t="shared" ca="1" si="1"/>
        <v/>
      </c>
      <c r="I15" s="8"/>
    </row>
    <row r="16" spans="1:9" ht="15.75" x14ac:dyDescent="0.25">
      <c r="A16" s="14" t="str">
        <f t="shared" si="0"/>
        <v/>
      </c>
      <c r="B16" s="8"/>
      <c r="C16" s="8"/>
      <c r="D16" s="16" t="str">
        <f>IFERROR(IF(ISBLANK(C16),"",VLOOKUP(C16,Members!$A$2:$B$101,2,FALSE)),"")</f>
        <v/>
      </c>
      <c r="E16" s="8"/>
      <c r="F16" s="14" t="str">
        <f>IF(ISBLANK(E16),"",E16+Settings!$B$7)</f>
        <v/>
      </c>
      <c r="G16" s="8"/>
      <c r="H16" s="16" t="str">
        <f t="shared" ca="1" si="1"/>
        <v/>
      </c>
      <c r="I16" s="8"/>
    </row>
    <row r="17" spans="1:9" ht="15.75" x14ac:dyDescent="0.25">
      <c r="A17" s="14" t="str">
        <f t="shared" si="0"/>
        <v/>
      </c>
      <c r="B17" s="8"/>
      <c r="C17" s="8"/>
      <c r="D17" s="16" t="str">
        <f>IFERROR(IF(ISBLANK(C17),"",VLOOKUP(C17,Members!$A$2:$B$101,2,FALSE)),"")</f>
        <v/>
      </c>
      <c r="E17" s="8"/>
      <c r="F17" s="14" t="str">
        <f>IF(ISBLANK(E17),"",E17+Settings!$B$7)</f>
        <v/>
      </c>
      <c r="G17" s="8"/>
      <c r="H17" s="16" t="str">
        <f t="shared" ca="1" si="1"/>
        <v/>
      </c>
      <c r="I17" s="8"/>
    </row>
    <row r="18" spans="1:9" ht="15.75" x14ac:dyDescent="0.25">
      <c r="A18" s="14" t="str">
        <f t="shared" si="0"/>
        <v/>
      </c>
      <c r="B18" s="8"/>
      <c r="C18" s="8"/>
      <c r="D18" s="16" t="str">
        <f>IFERROR(IF(ISBLANK(C18),"",VLOOKUP(C18,Members!$A$2:$B$101,2,FALSE)),"")</f>
        <v/>
      </c>
      <c r="E18" s="8"/>
      <c r="F18" s="14" t="str">
        <f>IF(ISBLANK(E18),"",E18+Settings!$B$7)</f>
        <v/>
      </c>
      <c r="G18" s="8"/>
      <c r="H18" s="16" t="str">
        <f t="shared" ca="1" si="1"/>
        <v/>
      </c>
      <c r="I18" s="8"/>
    </row>
    <row r="19" spans="1:9" ht="15.75" x14ac:dyDescent="0.25">
      <c r="A19" s="14" t="str">
        <f t="shared" si="0"/>
        <v/>
      </c>
      <c r="B19" s="8"/>
      <c r="C19" s="8"/>
      <c r="D19" s="16" t="str">
        <f>IFERROR(IF(ISBLANK(C19),"",VLOOKUP(C19,Members!$A$2:$B$101,2,FALSE)),"")</f>
        <v/>
      </c>
      <c r="E19" s="8"/>
      <c r="F19" s="14" t="str">
        <f>IF(ISBLANK(E19),"",E19+Settings!$B$7)</f>
        <v/>
      </c>
      <c r="G19" s="8"/>
      <c r="H19" s="16" t="str">
        <f t="shared" ca="1" si="1"/>
        <v/>
      </c>
      <c r="I19" s="8"/>
    </row>
    <row r="20" spans="1:9" ht="15.75" x14ac:dyDescent="0.25">
      <c r="A20" s="14" t="str">
        <f t="shared" si="0"/>
        <v/>
      </c>
      <c r="B20" s="8"/>
      <c r="C20" s="8"/>
      <c r="D20" s="16" t="str">
        <f>IFERROR(IF(ISBLANK(C20),"",VLOOKUP(C20,Members!$A$2:$B$101,2,FALSE)),"")</f>
        <v/>
      </c>
      <c r="E20" s="8"/>
      <c r="F20" s="14" t="str">
        <f>IF(ISBLANK(E20),"",E20+Settings!$B$7)</f>
        <v/>
      </c>
      <c r="G20" s="8"/>
      <c r="H20" s="16" t="str">
        <f t="shared" ca="1" si="1"/>
        <v/>
      </c>
      <c r="I20" s="8"/>
    </row>
    <row r="21" spans="1:9" ht="15.75" x14ac:dyDescent="0.25">
      <c r="A21" s="14" t="str">
        <f t="shared" si="0"/>
        <v/>
      </c>
      <c r="B21" s="8"/>
      <c r="C21" s="8"/>
      <c r="D21" s="16" t="str">
        <f>IFERROR(IF(ISBLANK(C21),"",VLOOKUP(C21,Members!$A$2:$B$101,2,FALSE)),"")</f>
        <v/>
      </c>
      <c r="E21" s="8"/>
      <c r="F21" s="14" t="str">
        <f>IF(ISBLANK(E21),"",E21+Settings!$B$7)</f>
        <v/>
      </c>
      <c r="G21" s="8"/>
      <c r="H21" s="16" t="str">
        <f t="shared" ca="1" si="1"/>
        <v/>
      </c>
      <c r="I21" s="8"/>
    </row>
    <row r="22" spans="1:9" ht="15.75" x14ac:dyDescent="0.25">
      <c r="A22" s="14" t="str">
        <f t="shared" si="0"/>
        <v/>
      </c>
      <c r="B22" s="8"/>
      <c r="C22" s="8"/>
      <c r="D22" s="16" t="str">
        <f>IFERROR(IF(ISBLANK(C22),"",VLOOKUP(C22,Members!$A$2:$B$101,2,FALSE)),"")</f>
        <v/>
      </c>
      <c r="E22" s="8"/>
      <c r="F22" s="14" t="str">
        <f>IF(ISBLANK(E22),"",E22+Settings!$B$7)</f>
        <v/>
      </c>
      <c r="G22" s="8"/>
      <c r="H22" s="16" t="str">
        <f t="shared" ca="1" si="1"/>
        <v/>
      </c>
      <c r="I22" s="8"/>
    </row>
    <row r="23" spans="1:9" ht="15.75" x14ac:dyDescent="0.25">
      <c r="A23" s="14" t="str">
        <f t="shared" si="0"/>
        <v/>
      </c>
      <c r="B23" s="8"/>
      <c r="C23" s="8"/>
      <c r="D23" s="16" t="str">
        <f>IFERROR(IF(ISBLANK(C23),"",VLOOKUP(C23,Members!$A$2:$B$101,2,FALSE)),"")</f>
        <v/>
      </c>
      <c r="E23" s="8"/>
      <c r="F23" s="14" t="str">
        <f>IF(ISBLANK(E23),"",E23+Settings!$B$7)</f>
        <v/>
      </c>
      <c r="G23" s="8"/>
      <c r="H23" s="16" t="str">
        <f t="shared" ca="1" si="1"/>
        <v/>
      </c>
      <c r="I23" s="8"/>
    </row>
    <row r="24" spans="1:9" ht="15.75" x14ac:dyDescent="0.25">
      <c r="A24" s="14" t="str">
        <f t="shared" si="0"/>
        <v/>
      </c>
      <c r="B24" s="8"/>
      <c r="C24" s="8"/>
      <c r="D24" s="16" t="str">
        <f>IFERROR(IF(ISBLANK(C24),"",VLOOKUP(C24,Members!$A$2:$B$101,2,FALSE)),"")</f>
        <v/>
      </c>
      <c r="E24" s="8"/>
      <c r="F24" s="14" t="str">
        <f>IF(ISBLANK(E24),"",E24+Settings!$B$7)</f>
        <v/>
      </c>
      <c r="G24" s="8"/>
      <c r="H24" s="16" t="str">
        <f t="shared" ca="1" si="1"/>
        <v/>
      </c>
      <c r="I24" s="8"/>
    </row>
    <row r="25" spans="1:9" ht="15.75" x14ac:dyDescent="0.25">
      <c r="A25" s="14" t="str">
        <f t="shared" si="0"/>
        <v/>
      </c>
      <c r="B25" s="8"/>
      <c r="C25" s="8"/>
      <c r="D25" s="16" t="str">
        <f>IFERROR(IF(ISBLANK(C25),"",VLOOKUP(C25,Members!$A$2:$B$101,2,FALSE)),"")</f>
        <v/>
      </c>
      <c r="E25" s="8"/>
      <c r="F25" s="14" t="str">
        <f>IF(ISBLANK(E25),"",E25+Settings!$B$7)</f>
        <v/>
      </c>
      <c r="G25" s="8"/>
      <c r="H25" s="16" t="str">
        <f t="shared" ca="1" si="1"/>
        <v/>
      </c>
      <c r="I25" s="8"/>
    </row>
    <row r="26" spans="1:9" ht="15.75" x14ac:dyDescent="0.25">
      <c r="A26" s="14" t="str">
        <f t="shared" si="0"/>
        <v/>
      </c>
      <c r="B26" s="8"/>
      <c r="C26" s="8"/>
      <c r="D26" s="16" t="str">
        <f>IFERROR(IF(ISBLANK(C26),"",VLOOKUP(C26,Members!$A$2:$B$101,2,FALSE)),"")</f>
        <v/>
      </c>
      <c r="E26" s="8"/>
      <c r="F26" s="14" t="str">
        <f>IF(ISBLANK(E26),"",E26+Settings!$B$7)</f>
        <v/>
      </c>
      <c r="G26" s="8"/>
      <c r="H26" s="16" t="str">
        <f t="shared" ca="1" si="1"/>
        <v/>
      </c>
      <c r="I26" s="8"/>
    </row>
    <row r="27" spans="1:9" ht="15.75" x14ac:dyDescent="0.25">
      <c r="A27" s="14" t="str">
        <f t="shared" si="0"/>
        <v/>
      </c>
      <c r="B27" s="8"/>
      <c r="C27" s="8"/>
      <c r="D27" s="16" t="str">
        <f>IFERROR(IF(ISBLANK(C27),"",VLOOKUP(C27,Members!$A$2:$B$101,2,FALSE)),"")</f>
        <v/>
      </c>
      <c r="E27" s="8"/>
      <c r="F27" s="14" t="str">
        <f>IF(ISBLANK(E27),"",E27+Settings!$B$7)</f>
        <v/>
      </c>
      <c r="G27" s="8"/>
      <c r="H27" s="16" t="str">
        <f t="shared" ca="1" si="1"/>
        <v/>
      </c>
      <c r="I27" s="8"/>
    </row>
    <row r="28" spans="1:9" ht="15.75" x14ac:dyDescent="0.25">
      <c r="A28" s="14" t="str">
        <f t="shared" si="0"/>
        <v/>
      </c>
      <c r="B28" s="8"/>
      <c r="C28" s="8"/>
      <c r="D28" s="16" t="str">
        <f>IFERROR(IF(ISBLANK(C28),"",VLOOKUP(C28,Members!$A$2:$B$101,2,FALSE)),"")</f>
        <v/>
      </c>
      <c r="E28" s="8"/>
      <c r="F28" s="14" t="str">
        <f>IF(ISBLANK(E28),"",E28+Settings!$B$7)</f>
        <v/>
      </c>
      <c r="G28" s="8"/>
      <c r="H28" s="16" t="str">
        <f t="shared" ca="1" si="1"/>
        <v/>
      </c>
      <c r="I28" s="8"/>
    </row>
    <row r="29" spans="1:9" ht="15.75" x14ac:dyDescent="0.25">
      <c r="A29" s="14" t="str">
        <f t="shared" si="0"/>
        <v/>
      </c>
      <c r="B29" s="8"/>
      <c r="C29" s="8"/>
      <c r="D29" s="16" t="str">
        <f>IFERROR(IF(ISBLANK(C29),"",VLOOKUP(C29,Members!$A$2:$B$101,2,FALSE)),"")</f>
        <v/>
      </c>
      <c r="E29" s="8"/>
      <c r="F29" s="14" t="str">
        <f>IF(ISBLANK(E29),"",E29+Settings!$B$7)</f>
        <v/>
      </c>
      <c r="G29" s="8"/>
      <c r="H29" s="16" t="str">
        <f t="shared" ca="1" si="1"/>
        <v/>
      </c>
      <c r="I29" s="8"/>
    </row>
    <row r="30" spans="1:9" ht="15.75" x14ac:dyDescent="0.25">
      <c r="A30" s="14" t="str">
        <f t="shared" si="0"/>
        <v/>
      </c>
      <c r="B30" s="8"/>
      <c r="C30" s="8"/>
      <c r="D30" s="16" t="str">
        <f>IFERROR(IF(ISBLANK(C30),"",VLOOKUP(C30,Members!$A$2:$B$101,2,FALSE)),"")</f>
        <v/>
      </c>
      <c r="E30" s="8"/>
      <c r="F30" s="14" t="str">
        <f>IF(ISBLANK(E30),"",E30+Settings!$B$7)</f>
        <v/>
      </c>
      <c r="G30" s="8"/>
      <c r="H30" s="16" t="str">
        <f t="shared" ca="1" si="1"/>
        <v/>
      </c>
      <c r="I30" s="8"/>
    </row>
    <row r="31" spans="1:9" ht="15.75" x14ac:dyDescent="0.25">
      <c r="A31" s="14" t="str">
        <f t="shared" si="0"/>
        <v/>
      </c>
      <c r="B31" s="8"/>
      <c r="C31" s="8"/>
      <c r="D31" s="16" t="str">
        <f>IFERROR(IF(ISBLANK(C31),"",VLOOKUP(C31,Members!$A$2:$B$101,2,FALSE)),"")</f>
        <v/>
      </c>
      <c r="E31" s="8"/>
      <c r="F31" s="14" t="str">
        <f>IF(ISBLANK(E31),"",E31+Settings!$B$7)</f>
        <v/>
      </c>
      <c r="G31" s="8"/>
      <c r="H31" s="16" t="str">
        <f t="shared" ca="1" si="1"/>
        <v/>
      </c>
      <c r="I31" s="8"/>
    </row>
    <row r="32" spans="1:9" ht="15.75" x14ac:dyDescent="0.25">
      <c r="A32" s="14" t="str">
        <f t="shared" si="0"/>
        <v/>
      </c>
      <c r="B32" s="8"/>
      <c r="C32" s="8"/>
      <c r="D32" s="16" t="str">
        <f>IFERROR(IF(ISBLANK(C32),"",VLOOKUP(C32,Members!$A$2:$B$101,2,FALSE)),"")</f>
        <v/>
      </c>
      <c r="E32" s="8"/>
      <c r="F32" s="14" t="str">
        <f>IF(ISBLANK(E32),"",E32+Settings!$B$7)</f>
        <v/>
      </c>
      <c r="G32" s="8"/>
      <c r="H32" s="16" t="str">
        <f t="shared" ca="1" si="1"/>
        <v/>
      </c>
      <c r="I32" s="8"/>
    </row>
    <row r="33" spans="1:9" ht="15.75" x14ac:dyDescent="0.25">
      <c r="A33" s="14" t="str">
        <f t="shared" si="0"/>
        <v/>
      </c>
      <c r="B33" s="8"/>
      <c r="C33" s="8"/>
      <c r="D33" s="16" t="str">
        <f>IFERROR(IF(ISBLANK(C33),"",VLOOKUP(C33,Members!$A$2:$B$101,2,FALSE)),"")</f>
        <v/>
      </c>
      <c r="E33" s="8"/>
      <c r="F33" s="14" t="str">
        <f>IF(ISBLANK(E33),"",E33+Settings!$B$7)</f>
        <v/>
      </c>
      <c r="G33" s="8"/>
      <c r="H33" s="16" t="str">
        <f t="shared" ca="1" si="1"/>
        <v/>
      </c>
      <c r="I33" s="8"/>
    </row>
    <row r="34" spans="1:9" ht="15.75" x14ac:dyDescent="0.25">
      <c r="A34" s="14" t="str">
        <f t="shared" si="0"/>
        <v/>
      </c>
      <c r="B34" s="8"/>
      <c r="C34" s="8"/>
      <c r="D34" s="16" t="str">
        <f>IFERROR(IF(ISBLANK(C34),"",VLOOKUP(C34,Members!$A$2:$B$101,2,FALSE)),"")</f>
        <v/>
      </c>
      <c r="E34" s="8"/>
      <c r="F34" s="14" t="str">
        <f>IF(ISBLANK(E34),"",E34+Settings!$B$7)</f>
        <v/>
      </c>
      <c r="G34" s="8"/>
      <c r="H34" s="16" t="str">
        <f t="shared" ca="1" si="1"/>
        <v/>
      </c>
      <c r="I34" s="8"/>
    </row>
    <row r="35" spans="1:9" ht="15.75" x14ac:dyDescent="0.25">
      <c r="A35" s="14" t="str">
        <f t="shared" si="0"/>
        <v/>
      </c>
      <c r="B35" s="8"/>
      <c r="C35" s="8"/>
      <c r="D35" s="16" t="str">
        <f>IFERROR(IF(ISBLANK(C35),"",VLOOKUP(C35,Members!$A$2:$B$101,2,FALSE)),"")</f>
        <v/>
      </c>
      <c r="E35" s="8"/>
      <c r="F35" s="14" t="str">
        <f>IF(ISBLANK(E35),"",E35+Settings!$B$7)</f>
        <v/>
      </c>
      <c r="G35" s="8"/>
      <c r="H35" s="16" t="str">
        <f t="shared" ca="1" si="1"/>
        <v/>
      </c>
      <c r="I35" s="8"/>
    </row>
    <row r="36" spans="1:9" ht="15.75" x14ac:dyDescent="0.25">
      <c r="A36" s="14" t="str">
        <f t="shared" si="0"/>
        <v/>
      </c>
      <c r="B36" s="8"/>
      <c r="C36" s="8"/>
      <c r="D36" s="16" t="str">
        <f>IFERROR(IF(ISBLANK(C36),"",VLOOKUP(C36,Members!$A$2:$B$101,2,FALSE)),"")</f>
        <v/>
      </c>
      <c r="E36" s="8"/>
      <c r="F36" s="14" t="str">
        <f>IF(ISBLANK(E36),"",E36+Settings!$B$7)</f>
        <v/>
      </c>
      <c r="G36" s="8"/>
      <c r="H36" s="16" t="str">
        <f t="shared" ca="1" si="1"/>
        <v/>
      </c>
      <c r="I36" s="8"/>
    </row>
    <row r="37" spans="1:9" ht="15.75" x14ac:dyDescent="0.25">
      <c r="A37" s="14" t="str">
        <f t="shared" si="0"/>
        <v/>
      </c>
      <c r="B37" s="8"/>
      <c r="C37" s="8"/>
      <c r="D37" s="16" t="str">
        <f>IFERROR(IF(ISBLANK(C37),"",VLOOKUP(C37,Members!$A$2:$B$101,2,FALSE)),"")</f>
        <v/>
      </c>
      <c r="E37" s="8"/>
      <c r="F37" s="14" t="str">
        <f>IF(ISBLANK(E37),"",E37+Settings!$B$7)</f>
        <v/>
      </c>
      <c r="G37" s="8"/>
      <c r="H37" s="16" t="str">
        <f t="shared" ca="1" si="1"/>
        <v/>
      </c>
      <c r="I37" s="8"/>
    </row>
    <row r="38" spans="1:9" ht="15.75" x14ac:dyDescent="0.25">
      <c r="A38" s="14" t="str">
        <f t="shared" si="0"/>
        <v/>
      </c>
      <c r="B38" s="8"/>
      <c r="C38" s="8"/>
      <c r="D38" s="16" t="str">
        <f>IFERROR(IF(ISBLANK(C38),"",VLOOKUP(C38,Members!$A$2:$B$101,2,FALSE)),"")</f>
        <v/>
      </c>
      <c r="E38" s="8"/>
      <c r="F38" s="14" t="str">
        <f>IF(ISBLANK(E38),"",E38+Settings!$B$7)</f>
        <v/>
      </c>
      <c r="G38" s="8"/>
      <c r="H38" s="16" t="str">
        <f t="shared" ca="1" si="1"/>
        <v/>
      </c>
      <c r="I38" s="8"/>
    </row>
    <row r="39" spans="1:9" ht="15.75" x14ac:dyDescent="0.25">
      <c r="A39" s="14" t="str">
        <f t="shared" si="0"/>
        <v/>
      </c>
      <c r="B39" s="8"/>
      <c r="C39" s="8"/>
      <c r="D39" s="16" t="str">
        <f>IFERROR(IF(ISBLANK(C39),"",VLOOKUP(C39,Members!$A$2:$B$101,2,FALSE)),"")</f>
        <v/>
      </c>
      <c r="E39" s="8"/>
      <c r="F39" s="14" t="str">
        <f>IF(ISBLANK(E39),"",E39+Settings!$B$7)</f>
        <v/>
      </c>
      <c r="G39" s="8"/>
      <c r="H39" s="16" t="str">
        <f t="shared" ca="1" si="1"/>
        <v/>
      </c>
      <c r="I39" s="8"/>
    </row>
    <row r="40" spans="1:9" ht="15.75" x14ac:dyDescent="0.25">
      <c r="A40" s="14" t="str">
        <f t="shared" si="0"/>
        <v/>
      </c>
      <c r="B40" s="8"/>
      <c r="C40" s="8"/>
      <c r="D40" s="16" t="str">
        <f>IFERROR(IF(ISBLANK(C40),"",VLOOKUP(C40,Members!$A$2:$B$101,2,FALSE)),"")</f>
        <v/>
      </c>
      <c r="E40" s="8"/>
      <c r="F40" s="14" t="str">
        <f>IF(ISBLANK(E40),"",E40+Settings!$B$7)</f>
        <v/>
      </c>
      <c r="G40" s="8"/>
      <c r="H40" s="16" t="str">
        <f t="shared" ca="1" si="1"/>
        <v/>
      </c>
      <c r="I40" s="8"/>
    </row>
    <row r="41" spans="1:9" ht="15.75" x14ac:dyDescent="0.25">
      <c r="A41" s="14" t="str">
        <f t="shared" si="0"/>
        <v/>
      </c>
      <c r="B41" s="8"/>
      <c r="C41" s="8"/>
      <c r="D41" s="16" t="str">
        <f>IFERROR(IF(ISBLANK(C41),"",VLOOKUP(C41,Members!$A$2:$B$101,2,FALSE)),"")</f>
        <v/>
      </c>
      <c r="E41" s="8"/>
      <c r="F41" s="14" t="str">
        <f>IF(ISBLANK(E41),"",E41+Settings!$B$7)</f>
        <v/>
      </c>
      <c r="G41" s="8"/>
      <c r="H41" s="16" t="str">
        <f t="shared" ca="1" si="1"/>
        <v/>
      </c>
      <c r="I41" s="8"/>
    </row>
    <row r="42" spans="1:9" ht="15.75" x14ac:dyDescent="0.25">
      <c r="A42" s="14" t="str">
        <f t="shared" si="0"/>
        <v/>
      </c>
      <c r="B42" s="8"/>
      <c r="C42" s="8"/>
      <c r="D42" s="16" t="str">
        <f>IFERROR(IF(ISBLANK(C42),"",VLOOKUP(C42,Members!$A$2:$B$101,2,FALSE)),"")</f>
        <v/>
      </c>
      <c r="E42" s="8"/>
      <c r="F42" s="14" t="str">
        <f>IF(ISBLANK(E42),"",E42+Settings!$B$7)</f>
        <v/>
      </c>
      <c r="G42" s="8"/>
      <c r="H42" s="16" t="str">
        <f t="shared" ca="1" si="1"/>
        <v/>
      </c>
      <c r="I42" s="8"/>
    </row>
    <row r="43" spans="1:9" ht="15.75" x14ac:dyDescent="0.25">
      <c r="A43" s="14" t="str">
        <f t="shared" si="0"/>
        <v/>
      </c>
      <c r="B43" s="8"/>
      <c r="C43" s="8"/>
      <c r="D43" s="16" t="str">
        <f>IFERROR(IF(ISBLANK(C43),"",VLOOKUP(C43,Members!$A$2:$B$101,2,FALSE)),"")</f>
        <v/>
      </c>
      <c r="E43" s="8"/>
      <c r="F43" s="14" t="str">
        <f>IF(ISBLANK(E43),"",E43+Settings!$B$7)</f>
        <v/>
      </c>
      <c r="G43" s="8"/>
      <c r="H43" s="16" t="str">
        <f t="shared" ca="1" si="1"/>
        <v/>
      </c>
      <c r="I43" s="8"/>
    </row>
    <row r="44" spans="1:9" ht="15.75" x14ac:dyDescent="0.25">
      <c r="A44" s="14" t="str">
        <f t="shared" si="0"/>
        <v/>
      </c>
      <c r="B44" s="8"/>
      <c r="C44" s="8"/>
      <c r="D44" s="16" t="str">
        <f>IFERROR(IF(ISBLANK(C44),"",VLOOKUP(C44,Members!$A$2:$B$101,2,FALSE)),"")</f>
        <v/>
      </c>
      <c r="E44" s="8"/>
      <c r="F44" s="14" t="str">
        <f>IF(ISBLANK(E44),"",E44+Settings!$B$7)</f>
        <v/>
      </c>
      <c r="G44" s="8"/>
      <c r="H44" s="16" t="str">
        <f t="shared" ca="1" si="1"/>
        <v/>
      </c>
      <c r="I44" s="8"/>
    </row>
    <row r="45" spans="1:9" ht="15.75" x14ac:dyDescent="0.25">
      <c r="A45" s="14" t="str">
        <f t="shared" si="0"/>
        <v/>
      </c>
      <c r="B45" s="8"/>
      <c r="C45" s="8"/>
      <c r="D45" s="16" t="str">
        <f>IFERROR(IF(ISBLANK(C45),"",VLOOKUP(C45,Members!$A$2:$B$101,2,FALSE)),"")</f>
        <v/>
      </c>
      <c r="E45" s="8"/>
      <c r="F45" s="14" t="str">
        <f>IF(ISBLANK(E45),"",E45+Settings!$B$7)</f>
        <v/>
      </c>
      <c r="G45" s="8"/>
      <c r="H45" s="16" t="str">
        <f t="shared" ca="1" si="1"/>
        <v/>
      </c>
      <c r="I45" s="8"/>
    </row>
    <row r="46" spans="1:9" ht="15.75" x14ac:dyDescent="0.25">
      <c r="A46" s="14" t="str">
        <f t="shared" si="0"/>
        <v/>
      </c>
      <c r="B46" s="8"/>
      <c r="C46" s="8"/>
      <c r="D46" s="16" t="str">
        <f>IFERROR(IF(ISBLANK(C46),"",VLOOKUP(C46,Members!$A$2:$B$101,2,FALSE)),"")</f>
        <v/>
      </c>
      <c r="E46" s="8"/>
      <c r="F46" s="14" t="str">
        <f>IF(ISBLANK(E46),"",E46+Settings!$B$7)</f>
        <v/>
      </c>
      <c r="G46" s="8"/>
      <c r="H46" s="16" t="str">
        <f t="shared" ca="1" si="1"/>
        <v/>
      </c>
      <c r="I46" s="8"/>
    </row>
    <row r="47" spans="1:9" ht="15.75" x14ac:dyDescent="0.25">
      <c r="A47" s="14" t="str">
        <f t="shared" si="0"/>
        <v/>
      </c>
      <c r="B47" s="8"/>
      <c r="C47" s="8"/>
      <c r="D47" s="16" t="str">
        <f>IFERROR(IF(ISBLANK(C47),"",VLOOKUP(C47,Members!$A$2:$B$101,2,FALSE)),"")</f>
        <v/>
      </c>
      <c r="E47" s="8"/>
      <c r="F47" s="14" t="str">
        <f>IF(ISBLANK(E47),"",E47+Settings!$B$7)</f>
        <v/>
      </c>
      <c r="G47" s="8"/>
      <c r="H47" s="16" t="str">
        <f t="shared" ca="1" si="1"/>
        <v/>
      </c>
      <c r="I47" s="8"/>
    </row>
    <row r="48" spans="1:9" ht="15.75" x14ac:dyDescent="0.25">
      <c r="A48" s="14" t="str">
        <f t="shared" si="0"/>
        <v/>
      </c>
      <c r="B48" s="8"/>
      <c r="C48" s="8"/>
      <c r="D48" s="16" t="str">
        <f>IFERROR(IF(ISBLANK(C48),"",VLOOKUP(C48,Members!$A$2:$B$101,2,FALSE)),"")</f>
        <v/>
      </c>
      <c r="E48" s="8"/>
      <c r="F48" s="14" t="str">
        <f>IF(ISBLANK(E48),"",E48+Settings!$B$7)</f>
        <v/>
      </c>
      <c r="G48" s="8"/>
      <c r="H48" s="16" t="str">
        <f t="shared" ca="1" si="1"/>
        <v/>
      </c>
      <c r="I48" s="8"/>
    </row>
    <row r="49" spans="1:9" ht="15.75" x14ac:dyDescent="0.25">
      <c r="A49" s="14" t="str">
        <f t="shared" si="0"/>
        <v/>
      </c>
      <c r="B49" s="8"/>
      <c r="C49" s="8"/>
      <c r="D49" s="16" t="str">
        <f>IFERROR(IF(ISBLANK(C49),"",VLOOKUP(C49,Members!$A$2:$B$101,2,FALSE)),"")</f>
        <v/>
      </c>
      <c r="E49" s="8"/>
      <c r="F49" s="14" t="str">
        <f>IF(ISBLANK(E49),"",E49+Settings!$B$7)</f>
        <v/>
      </c>
      <c r="G49" s="8"/>
      <c r="H49" s="16" t="str">
        <f t="shared" ca="1" si="1"/>
        <v/>
      </c>
      <c r="I49" s="8"/>
    </row>
    <row r="50" spans="1:9" ht="15.75" x14ac:dyDescent="0.25">
      <c r="A50" s="14" t="str">
        <f t="shared" si="0"/>
        <v/>
      </c>
      <c r="B50" s="8"/>
      <c r="C50" s="8"/>
      <c r="D50" s="16" t="str">
        <f>IFERROR(IF(ISBLANK(C50),"",VLOOKUP(C50,Members!$A$2:$B$101,2,FALSE)),"")</f>
        <v/>
      </c>
      <c r="E50" s="8"/>
      <c r="F50" s="14" t="str">
        <f>IF(ISBLANK(E50),"",E50+Settings!$B$7)</f>
        <v/>
      </c>
      <c r="G50" s="8"/>
      <c r="H50" s="16" t="str">
        <f t="shared" ca="1" si="1"/>
        <v/>
      </c>
      <c r="I50" s="8"/>
    </row>
    <row r="51" spans="1:9" ht="15.75" x14ac:dyDescent="0.25">
      <c r="A51" s="14" t="str">
        <f t="shared" si="0"/>
        <v/>
      </c>
      <c r="B51" s="8"/>
      <c r="C51" s="8"/>
      <c r="D51" s="16" t="str">
        <f>IFERROR(IF(ISBLANK(C51),"",VLOOKUP(C51,Members!$A$2:$B$101,2,FALSE)),"")</f>
        <v/>
      </c>
      <c r="E51" s="8"/>
      <c r="F51" s="14" t="str">
        <f>IF(ISBLANK(E51),"",E51+Settings!$B$7)</f>
        <v/>
      </c>
      <c r="G51" s="8"/>
      <c r="H51" s="16" t="str">
        <f t="shared" ca="1" si="1"/>
        <v/>
      </c>
      <c r="I51" s="8"/>
    </row>
    <row r="52" spans="1:9" ht="15.75" x14ac:dyDescent="0.25">
      <c r="A52" s="14" t="str">
        <f t="shared" si="0"/>
        <v/>
      </c>
      <c r="B52" s="8"/>
      <c r="C52" s="8"/>
      <c r="D52" s="16" t="str">
        <f>IFERROR(IF(ISBLANK(C52),"",VLOOKUP(C52,Members!$A$2:$B$101,2,FALSE)),"")</f>
        <v/>
      </c>
      <c r="E52" s="8"/>
      <c r="F52" s="14" t="str">
        <f>IF(ISBLANK(E52),"",E52+Settings!$B$7)</f>
        <v/>
      </c>
      <c r="G52" s="8"/>
      <c r="H52" s="16" t="str">
        <f t="shared" ca="1" si="1"/>
        <v/>
      </c>
      <c r="I52" s="8"/>
    </row>
    <row r="53" spans="1:9" ht="15.75" x14ac:dyDescent="0.25">
      <c r="A53" s="14" t="str">
        <f t="shared" si="0"/>
        <v/>
      </c>
      <c r="B53" s="8"/>
      <c r="C53" s="8"/>
      <c r="D53" s="16" t="str">
        <f>IFERROR(IF(ISBLANK(C53),"",VLOOKUP(C53,Members!$A$2:$B$101,2,FALSE)),"")</f>
        <v/>
      </c>
      <c r="E53" s="8"/>
      <c r="F53" s="14" t="str">
        <f>IF(ISBLANK(E53),"",E53+Settings!$B$7)</f>
        <v/>
      </c>
      <c r="G53" s="8"/>
      <c r="H53" s="16" t="str">
        <f t="shared" ca="1" si="1"/>
        <v/>
      </c>
      <c r="I53" s="8"/>
    </row>
    <row r="54" spans="1:9" ht="15.75" x14ac:dyDescent="0.25">
      <c r="A54" s="14" t="str">
        <f t="shared" si="0"/>
        <v/>
      </c>
      <c r="B54" s="8"/>
      <c r="C54" s="8"/>
      <c r="D54" s="16" t="str">
        <f>IFERROR(IF(ISBLANK(C54),"",VLOOKUP(C54,Members!$A$2:$B$101,2,FALSE)),"")</f>
        <v/>
      </c>
      <c r="E54" s="8"/>
      <c r="F54" s="14" t="str">
        <f>IF(ISBLANK(E54),"",E54+Settings!$B$7)</f>
        <v/>
      </c>
      <c r="G54" s="8"/>
      <c r="H54" s="16" t="str">
        <f t="shared" ca="1" si="1"/>
        <v/>
      </c>
      <c r="I54" s="8"/>
    </row>
    <row r="55" spans="1:9" ht="15.75" x14ac:dyDescent="0.25">
      <c r="A55" s="14" t="str">
        <f t="shared" si="0"/>
        <v/>
      </c>
      <c r="B55" s="8"/>
      <c r="C55" s="8"/>
      <c r="D55" s="16" t="str">
        <f>IFERROR(IF(ISBLANK(C55),"",VLOOKUP(C55,Members!$A$2:$B$101,2,FALSE)),"")</f>
        <v/>
      </c>
      <c r="E55" s="8"/>
      <c r="F55" s="14" t="str">
        <f>IF(ISBLANK(E55),"",E55+Settings!$B$7)</f>
        <v/>
      </c>
      <c r="G55" s="8"/>
      <c r="H55" s="16" t="str">
        <f t="shared" ca="1" si="1"/>
        <v/>
      </c>
      <c r="I55" s="8"/>
    </row>
    <row r="56" spans="1:9" ht="15.75" x14ac:dyDescent="0.25">
      <c r="A56" s="14" t="str">
        <f t="shared" si="0"/>
        <v/>
      </c>
      <c r="B56" s="8"/>
      <c r="C56" s="8"/>
      <c r="D56" s="16" t="str">
        <f>IFERROR(IF(ISBLANK(C56),"",VLOOKUP(C56,Members!$A$2:$B$101,2,FALSE)),"")</f>
        <v/>
      </c>
      <c r="E56" s="8"/>
      <c r="F56" s="14" t="str">
        <f>IF(ISBLANK(E56),"",E56+Settings!$B$7)</f>
        <v/>
      </c>
      <c r="G56" s="8"/>
      <c r="H56" s="16" t="str">
        <f t="shared" ca="1" si="1"/>
        <v/>
      </c>
      <c r="I56" s="8"/>
    </row>
    <row r="57" spans="1:9" ht="15.75" x14ac:dyDescent="0.25">
      <c r="A57" s="14" t="str">
        <f t="shared" si="0"/>
        <v/>
      </c>
      <c r="B57" s="8"/>
      <c r="C57" s="8"/>
      <c r="D57" s="16" t="str">
        <f>IFERROR(IF(ISBLANK(C57),"",VLOOKUP(C57,Members!$A$2:$B$101,2,FALSE)),"")</f>
        <v/>
      </c>
      <c r="E57" s="8"/>
      <c r="F57" s="14" t="str">
        <f>IF(ISBLANK(E57),"",E57+Settings!$B$7)</f>
        <v/>
      </c>
      <c r="G57" s="8"/>
      <c r="H57" s="16" t="str">
        <f t="shared" ca="1" si="1"/>
        <v/>
      </c>
      <c r="I57" s="8"/>
    </row>
    <row r="58" spans="1:9" ht="15.75" x14ac:dyDescent="0.25">
      <c r="A58" s="14" t="str">
        <f t="shared" si="0"/>
        <v/>
      </c>
      <c r="B58" s="8"/>
      <c r="C58" s="8"/>
      <c r="D58" s="16" t="str">
        <f>IFERROR(IF(ISBLANK(C58),"",VLOOKUP(C58,Members!$A$2:$B$101,2,FALSE)),"")</f>
        <v/>
      </c>
      <c r="E58" s="8"/>
      <c r="F58" s="14" t="str">
        <f>IF(ISBLANK(E58),"",E58+Settings!$B$7)</f>
        <v/>
      </c>
      <c r="G58" s="8"/>
      <c r="H58" s="16" t="str">
        <f t="shared" ca="1" si="1"/>
        <v/>
      </c>
      <c r="I58" s="8"/>
    </row>
    <row r="59" spans="1:9" ht="15.75" x14ac:dyDescent="0.25">
      <c r="A59" s="14" t="str">
        <f t="shared" si="0"/>
        <v/>
      </c>
      <c r="B59" s="8"/>
      <c r="C59" s="8"/>
      <c r="D59" s="16" t="str">
        <f>IFERROR(IF(ISBLANK(C59),"",VLOOKUP(C59,Members!$A$2:$B$101,2,FALSE)),"")</f>
        <v/>
      </c>
      <c r="E59" s="8"/>
      <c r="F59" s="14" t="str">
        <f>IF(ISBLANK(E59),"",E59+Settings!$B$7)</f>
        <v/>
      </c>
      <c r="G59" s="8"/>
      <c r="H59" s="16" t="str">
        <f t="shared" ca="1" si="1"/>
        <v/>
      </c>
      <c r="I59" s="8"/>
    </row>
    <row r="60" spans="1:9" ht="15.75" x14ac:dyDescent="0.25">
      <c r="A60" s="14" t="str">
        <f t="shared" si="0"/>
        <v/>
      </c>
      <c r="B60" s="8"/>
      <c r="C60" s="8"/>
      <c r="D60" s="16" t="str">
        <f>IFERROR(IF(ISBLANK(C60),"",VLOOKUP(C60,Members!$A$2:$B$101,2,FALSE)),"")</f>
        <v/>
      </c>
      <c r="E60" s="8"/>
      <c r="F60" s="14" t="str">
        <f>IF(ISBLANK(E60),"",E60+Settings!$B$7)</f>
        <v/>
      </c>
      <c r="G60" s="8"/>
      <c r="H60" s="16" t="str">
        <f t="shared" ca="1" si="1"/>
        <v/>
      </c>
      <c r="I60" s="8"/>
    </row>
    <row r="61" spans="1:9" ht="15.75" x14ac:dyDescent="0.25">
      <c r="A61" s="14" t="str">
        <f t="shared" si="0"/>
        <v/>
      </c>
      <c r="B61" s="8"/>
      <c r="C61" s="8"/>
      <c r="D61" s="16" t="str">
        <f>IFERROR(IF(ISBLANK(C61),"",VLOOKUP(C61,Members!$A$2:$B$101,2,FALSE)),"")</f>
        <v/>
      </c>
      <c r="E61" s="8"/>
      <c r="F61" s="14" t="str">
        <f>IF(ISBLANK(E61),"",E61+Settings!$B$7)</f>
        <v/>
      </c>
      <c r="G61" s="8"/>
      <c r="H61" s="16" t="str">
        <f t="shared" ca="1" si="1"/>
        <v/>
      </c>
      <c r="I61" s="8"/>
    </row>
    <row r="62" spans="1:9" ht="15.75" x14ac:dyDescent="0.25">
      <c r="A62" s="14" t="str">
        <f t="shared" si="0"/>
        <v/>
      </c>
      <c r="B62" s="8"/>
      <c r="C62" s="8"/>
      <c r="D62" s="16" t="str">
        <f>IFERROR(IF(ISBLANK(C62),"",VLOOKUP(C62,Members!$A$2:$B$101,2,FALSE)),"")</f>
        <v/>
      </c>
      <c r="E62" s="8"/>
      <c r="F62" s="14" t="str">
        <f>IF(ISBLANK(E62),"",E62+Settings!$B$7)</f>
        <v/>
      </c>
      <c r="G62" s="8"/>
      <c r="H62" s="16" t="str">
        <f t="shared" ca="1" si="1"/>
        <v/>
      </c>
      <c r="I62" s="8"/>
    </row>
    <row r="63" spans="1:9" ht="15.75" x14ac:dyDescent="0.25">
      <c r="A63" s="14" t="str">
        <f t="shared" si="0"/>
        <v/>
      </c>
      <c r="B63" s="8"/>
      <c r="C63" s="8"/>
      <c r="D63" s="16" t="str">
        <f>IFERROR(IF(ISBLANK(C63),"",VLOOKUP(C63,Members!$A$2:$B$101,2,FALSE)),"")</f>
        <v/>
      </c>
      <c r="E63" s="8"/>
      <c r="F63" s="14" t="str">
        <f>IF(ISBLANK(E63),"",E63+Settings!$B$7)</f>
        <v/>
      </c>
      <c r="G63" s="8"/>
      <c r="H63" s="16" t="str">
        <f t="shared" ca="1" si="1"/>
        <v/>
      </c>
      <c r="I63" s="8"/>
    </row>
    <row r="64" spans="1:9" ht="15.75" x14ac:dyDescent="0.25">
      <c r="A64" s="14" t="str">
        <f t="shared" si="0"/>
        <v/>
      </c>
      <c r="B64" s="8"/>
      <c r="C64" s="8"/>
      <c r="D64" s="16" t="str">
        <f>IFERROR(IF(ISBLANK(C64),"",VLOOKUP(C64,Members!$A$2:$B$101,2,FALSE)),"")</f>
        <v/>
      </c>
      <c r="E64" s="8"/>
      <c r="F64" s="14" t="str">
        <f>IF(ISBLANK(E64),"",E64+Settings!$B$7)</f>
        <v/>
      </c>
      <c r="G64" s="8"/>
      <c r="H64" s="16" t="str">
        <f t="shared" ca="1" si="1"/>
        <v/>
      </c>
      <c r="I64" s="8"/>
    </row>
    <row r="65" spans="1:9" ht="15.75" x14ac:dyDescent="0.25">
      <c r="A65" s="14" t="str">
        <f t="shared" si="0"/>
        <v/>
      </c>
      <c r="B65" s="8"/>
      <c r="C65" s="8"/>
      <c r="D65" s="16" t="str">
        <f>IFERROR(IF(ISBLANK(C65),"",VLOOKUP(C65,Members!$A$2:$B$101,2,FALSE)),"")</f>
        <v/>
      </c>
      <c r="E65" s="8"/>
      <c r="F65" s="14" t="str">
        <f>IF(ISBLANK(E65),"",E65+Settings!$B$7)</f>
        <v/>
      </c>
      <c r="G65" s="8"/>
      <c r="H65" s="16" t="str">
        <f t="shared" ca="1" si="1"/>
        <v/>
      </c>
      <c r="I65" s="8"/>
    </row>
    <row r="66" spans="1:9" ht="15.75" x14ac:dyDescent="0.25">
      <c r="A66" s="14" t="str">
        <f t="shared" ref="A66:A129" si="2">IF(ISBLANK(B66),"",ROW()-1)</f>
        <v/>
      </c>
      <c r="B66" s="8"/>
      <c r="C66" s="8"/>
      <c r="D66" s="16" t="str">
        <f>IFERROR(IF(ISBLANK(C66),"",VLOOKUP(C66,Members!$A$2:$B$101,2,FALSE)),"")</f>
        <v/>
      </c>
      <c r="E66" s="8"/>
      <c r="F66" s="14" t="str">
        <f>IF(ISBLANK(E66),"",E66+Settings!$B$7)</f>
        <v/>
      </c>
      <c r="G66" s="8"/>
      <c r="H66" s="16" t="str">
        <f t="shared" ref="H66:H129" ca="1" si="3">IF(ISBLANK(B66),"",IF(NOT(ISBLANK(G66)),"Returned",IF(TODAY()&gt;F66,"Overdue","Active")))</f>
        <v/>
      </c>
      <c r="I66" s="8"/>
    </row>
    <row r="67" spans="1:9" ht="15.75" x14ac:dyDescent="0.25">
      <c r="A67" s="14" t="str">
        <f t="shared" si="2"/>
        <v/>
      </c>
      <c r="B67" s="8"/>
      <c r="C67" s="8"/>
      <c r="D67" s="16" t="str">
        <f>IFERROR(IF(ISBLANK(C67),"",VLOOKUP(C67,Members!$A$2:$B$101,2,FALSE)),"")</f>
        <v/>
      </c>
      <c r="E67" s="8"/>
      <c r="F67" s="14" t="str">
        <f>IF(ISBLANK(E67),"",E67+Settings!$B$7)</f>
        <v/>
      </c>
      <c r="G67" s="8"/>
      <c r="H67" s="16" t="str">
        <f t="shared" ca="1" si="3"/>
        <v/>
      </c>
      <c r="I67" s="8"/>
    </row>
    <row r="68" spans="1:9" ht="15.75" x14ac:dyDescent="0.25">
      <c r="A68" s="14" t="str">
        <f t="shared" si="2"/>
        <v/>
      </c>
      <c r="B68" s="8"/>
      <c r="C68" s="8"/>
      <c r="D68" s="16" t="str">
        <f>IFERROR(IF(ISBLANK(C68),"",VLOOKUP(C68,Members!$A$2:$B$101,2,FALSE)),"")</f>
        <v/>
      </c>
      <c r="E68" s="8"/>
      <c r="F68" s="14" t="str">
        <f>IF(ISBLANK(E68),"",E68+Settings!$B$7)</f>
        <v/>
      </c>
      <c r="G68" s="8"/>
      <c r="H68" s="16" t="str">
        <f t="shared" ca="1" si="3"/>
        <v/>
      </c>
      <c r="I68" s="8"/>
    </row>
    <row r="69" spans="1:9" ht="15.75" x14ac:dyDescent="0.25">
      <c r="A69" s="14" t="str">
        <f t="shared" si="2"/>
        <v/>
      </c>
      <c r="B69" s="8"/>
      <c r="C69" s="8"/>
      <c r="D69" s="16" t="str">
        <f>IFERROR(IF(ISBLANK(C69),"",VLOOKUP(C69,Members!$A$2:$B$101,2,FALSE)),"")</f>
        <v/>
      </c>
      <c r="E69" s="8"/>
      <c r="F69" s="14" t="str">
        <f>IF(ISBLANK(E69),"",E69+Settings!$B$7)</f>
        <v/>
      </c>
      <c r="G69" s="8"/>
      <c r="H69" s="16" t="str">
        <f t="shared" ca="1" si="3"/>
        <v/>
      </c>
      <c r="I69" s="8"/>
    </row>
    <row r="70" spans="1:9" ht="15.75" x14ac:dyDescent="0.25">
      <c r="A70" s="14" t="str">
        <f t="shared" si="2"/>
        <v/>
      </c>
      <c r="B70" s="8"/>
      <c r="C70" s="8"/>
      <c r="D70" s="16" t="str">
        <f>IFERROR(IF(ISBLANK(C70),"",VLOOKUP(C70,Members!$A$2:$B$101,2,FALSE)),"")</f>
        <v/>
      </c>
      <c r="E70" s="8"/>
      <c r="F70" s="14" t="str">
        <f>IF(ISBLANK(E70),"",E70+Settings!$B$7)</f>
        <v/>
      </c>
      <c r="G70" s="8"/>
      <c r="H70" s="16" t="str">
        <f t="shared" ca="1" si="3"/>
        <v/>
      </c>
      <c r="I70" s="8"/>
    </row>
    <row r="71" spans="1:9" ht="15.75" x14ac:dyDescent="0.25">
      <c r="A71" s="14" t="str">
        <f t="shared" si="2"/>
        <v/>
      </c>
      <c r="B71" s="8"/>
      <c r="C71" s="8"/>
      <c r="D71" s="16" t="str">
        <f>IFERROR(IF(ISBLANK(C71),"",VLOOKUP(C71,Members!$A$2:$B$101,2,FALSE)),"")</f>
        <v/>
      </c>
      <c r="E71" s="8"/>
      <c r="F71" s="14" t="str">
        <f>IF(ISBLANK(E71),"",E71+Settings!$B$7)</f>
        <v/>
      </c>
      <c r="G71" s="8"/>
      <c r="H71" s="16" t="str">
        <f t="shared" ca="1" si="3"/>
        <v/>
      </c>
      <c r="I71" s="8"/>
    </row>
    <row r="72" spans="1:9" ht="15.75" x14ac:dyDescent="0.25">
      <c r="A72" s="14" t="str">
        <f t="shared" si="2"/>
        <v/>
      </c>
      <c r="B72" s="8"/>
      <c r="C72" s="8"/>
      <c r="D72" s="16" t="str">
        <f>IFERROR(IF(ISBLANK(C72),"",VLOOKUP(C72,Members!$A$2:$B$101,2,FALSE)),"")</f>
        <v/>
      </c>
      <c r="E72" s="8"/>
      <c r="F72" s="14" t="str">
        <f>IF(ISBLANK(E72),"",E72+Settings!$B$7)</f>
        <v/>
      </c>
      <c r="G72" s="8"/>
      <c r="H72" s="16" t="str">
        <f t="shared" ca="1" si="3"/>
        <v/>
      </c>
      <c r="I72" s="8"/>
    </row>
    <row r="73" spans="1:9" ht="15.75" x14ac:dyDescent="0.25">
      <c r="A73" s="14" t="str">
        <f t="shared" si="2"/>
        <v/>
      </c>
      <c r="B73" s="8"/>
      <c r="C73" s="8"/>
      <c r="D73" s="16" t="str">
        <f>IFERROR(IF(ISBLANK(C73),"",VLOOKUP(C73,Members!$A$2:$B$101,2,FALSE)),"")</f>
        <v/>
      </c>
      <c r="E73" s="8"/>
      <c r="F73" s="14" t="str">
        <f>IF(ISBLANK(E73),"",E73+Settings!$B$7)</f>
        <v/>
      </c>
      <c r="G73" s="8"/>
      <c r="H73" s="16" t="str">
        <f t="shared" ca="1" si="3"/>
        <v/>
      </c>
      <c r="I73" s="8"/>
    </row>
    <row r="74" spans="1:9" ht="15.75" x14ac:dyDescent="0.25">
      <c r="A74" s="14" t="str">
        <f t="shared" si="2"/>
        <v/>
      </c>
      <c r="B74" s="8"/>
      <c r="C74" s="8"/>
      <c r="D74" s="16" t="str">
        <f>IFERROR(IF(ISBLANK(C74),"",VLOOKUP(C74,Members!$A$2:$B$101,2,FALSE)),"")</f>
        <v/>
      </c>
      <c r="E74" s="8"/>
      <c r="F74" s="14" t="str">
        <f>IF(ISBLANK(E74),"",E74+Settings!$B$7)</f>
        <v/>
      </c>
      <c r="G74" s="8"/>
      <c r="H74" s="16" t="str">
        <f t="shared" ca="1" si="3"/>
        <v/>
      </c>
      <c r="I74" s="8"/>
    </row>
    <row r="75" spans="1:9" ht="15.75" x14ac:dyDescent="0.25">
      <c r="A75" s="14" t="str">
        <f t="shared" si="2"/>
        <v/>
      </c>
      <c r="B75" s="8"/>
      <c r="C75" s="8"/>
      <c r="D75" s="16" t="str">
        <f>IFERROR(IF(ISBLANK(C75),"",VLOOKUP(C75,Members!$A$2:$B$101,2,FALSE)),"")</f>
        <v/>
      </c>
      <c r="E75" s="8"/>
      <c r="F75" s="14" t="str">
        <f>IF(ISBLANK(E75),"",E75+Settings!$B$7)</f>
        <v/>
      </c>
      <c r="G75" s="8"/>
      <c r="H75" s="16" t="str">
        <f t="shared" ca="1" si="3"/>
        <v/>
      </c>
      <c r="I75" s="8"/>
    </row>
    <row r="76" spans="1:9" ht="15.75" x14ac:dyDescent="0.25">
      <c r="A76" s="14" t="str">
        <f t="shared" si="2"/>
        <v/>
      </c>
      <c r="B76" s="8"/>
      <c r="C76" s="8"/>
      <c r="D76" s="16" t="str">
        <f>IFERROR(IF(ISBLANK(C76),"",VLOOKUP(C76,Members!$A$2:$B$101,2,FALSE)),"")</f>
        <v/>
      </c>
      <c r="E76" s="8"/>
      <c r="F76" s="14" t="str">
        <f>IF(ISBLANK(E76),"",E76+Settings!$B$7)</f>
        <v/>
      </c>
      <c r="G76" s="8"/>
      <c r="H76" s="16" t="str">
        <f t="shared" ca="1" si="3"/>
        <v/>
      </c>
      <c r="I76" s="8"/>
    </row>
    <row r="77" spans="1:9" ht="15.75" x14ac:dyDescent="0.25">
      <c r="A77" s="14" t="str">
        <f t="shared" si="2"/>
        <v/>
      </c>
      <c r="B77" s="8"/>
      <c r="C77" s="8"/>
      <c r="D77" s="16" t="str">
        <f>IFERROR(IF(ISBLANK(C77),"",VLOOKUP(C77,Members!$A$2:$B$101,2,FALSE)),"")</f>
        <v/>
      </c>
      <c r="E77" s="8"/>
      <c r="F77" s="14" t="str">
        <f>IF(ISBLANK(E77),"",E77+Settings!$B$7)</f>
        <v/>
      </c>
      <c r="G77" s="8"/>
      <c r="H77" s="16" t="str">
        <f t="shared" ca="1" si="3"/>
        <v/>
      </c>
      <c r="I77" s="8"/>
    </row>
    <row r="78" spans="1:9" ht="15.75" x14ac:dyDescent="0.25">
      <c r="A78" s="14" t="str">
        <f t="shared" si="2"/>
        <v/>
      </c>
      <c r="B78" s="8"/>
      <c r="C78" s="8"/>
      <c r="D78" s="16" t="str">
        <f>IFERROR(IF(ISBLANK(C78),"",VLOOKUP(C78,Members!$A$2:$B$101,2,FALSE)),"")</f>
        <v/>
      </c>
      <c r="E78" s="8"/>
      <c r="F78" s="14" t="str">
        <f>IF(ISBLANK(E78),"",E78+Settings!$B$7)</f>
        <v/>
      </c>
      <c r="G78" s="8"/>
      <c r="H78" s="16" t="str">
        <f t="shared" ca="1" si="3"/>
        <v/>
      </c>
      <c r="I78" s="8"/>
    </row>
    <row r="79" spans="1:9" ht="15.75" x14ac:dyDescent="0.25">
      <c r="A79" s="14" t="str">
        <f t="shared" si="2"/>
        <v/>
      </c>
      <c r="B79" s="8"/>
      <c r="C79" s="8"/>
      <c r="D79" s="16" t="str">
        <f>IFERROR(IF(ISBLANK(C79),"",VLOOKUP(C79,Members!$A$2:$B$101,2,FALSE)),"")</f>
        <v/>
      </c>
      <c r="E79" s="8"/>
      <c r="F79" s="14" t="str">
        <f>IF(ISBLANK(E79),"",E79+Settings!$B$7)</f>
        <v/>
      </c>
      <c r="G79" s="8"/>
      <c r="H79" s="16" t="str">
        <f t="shared" ca="1" si="3"/>
        <v/>
      </c>
      <c r="I79" s="8"/>
    </row>
    <row r="80" spans="1:9" ht="15.75" x14ac:dyDescent="0.25">
      <c r="A80" s="14" t="str">
        <f t="shared" si="2"/>
        <v/>
      </c>
      <c r="B80" s="8"/>
      <c r="C80" s="8"/>
      <c r="D80" s="16" t="str">
        <f>IFERROR(IF(ISBLANK(C80),"",VLOOKUP(C80,Members!$A$2:$B$101,2,FALSE)),"")</f>
        <v/>
      </c>
      <c r="E80" s="8"/>
      <c r="F80" s="14" t="str">
        <f>IF(ISBLANK(E80),"",E80+Settings!$B$7)</f>
        <v/>
      </c>
      <c r="G80" s="8"/>
      <c r="H80" s="16" t="str">
        <f t="shared" ca="1" si="3"/>
        <v/>
      </c>
      <c r="I80" s="8"/>
    </row>
    <row r="81" spans="1:9" ht="15.75" x14ac:dyDescent="0.25">
      <c r="A81" s="14" t="str">
        <f t="shared" si="2"/>
        <v/>
      </c>
      <c r="B81" s="8"/>
      <c r="C81" s="8"/>
      <c r="D81" s="16" t="str">
        <f>IFERROR(IF(ISBLANK(C81),"",VLOOKUP(C81,Members!$A$2:$B$101,2,FALSE)),"")</f>
        <v/>
      </c>
      <c r="E81" s="8"/>
      <c r="F81" s="14" t="str">
        <f>IF(ISBLANK(E81),"",E81+Settings!$B$7)</f>
        <v/>
      </c>
      <c r="G81" s="8"/>
      <c r="H81" s="16" t="str">
        <f t="shared" ca="1" si="3"/>
        <v/>
      </c>
      <c r="I81" s="8"/>
    </row>
    <row r="82" spans="1:9" ht="15.75" x14ac:dyDescent="0.25">
      <c r="A82" s="14" t="str">
        <f t="shared" si="2"/>
        <v/>
      </c>
      <c r="B82" s="8"/>
      <c r="C82" s="8"/>
      <c r="D82" s="16" t="str">
        <f>IFERROR(IF(ISBLANK(C82),"",VLOOKUP(C82,Members!$A$2:$B$101,2,FALSE)),"")</f>
        <v/>
      </c>
      <c r="E82" s="8"/>
      <c r="F82" s="14" t="str">
        <f>IF(ISBLANK(E82),"",E82+Settings!$B$7)</f>
        <v/>
      </c>
      <c r="G82" s="8"/>
      <c r="H82" s="16" t="str">
        <f t="shared" ca="1" si="3"/>
        <v/>
      </c>
      <c r="I82" s="8"/>
    </row>
    <row r="83" spans="1:9" ht="15.75" x14ac:dyDescent="0.25">
      <c r="A83" s="14" t="str">
        <f t="shared" si="2"/>
        <v/>
      </c>
      <c r="B83" s="8"/>
      <c r="C83" s="8"/>
      <c r="D83" s="16" t="str">
        <f>IFERROR(IF(ISBLANK(C83),"",VLOOKUP(C83,Members!$A$2:$B$101,2,FALSE)),"")</f>
        <v/>
      </c>
      <c r="E83" s="8"/>
      <c r="F83" s="14" t="str">
        <f>IF(ISBLANK(E83),"",E83+Settings!$B$7)</f>
        <v/>
      </c>
      <c r="G83" s="8"/>
      <c r="H83" s="16" t="str">
        <f t="shared" ca="1" si="3"/>
        <v/>
      </c>
      <c r="I83" s="8"/>
    </row>
    <row r="84" spans="1:9" ht="15.75" x14ac:dyDescent="0.25">
      <c r="A84" s="14" t="str">
        <f t="shared" si="2"/>
        <v/>
      </c>
      <c r="B84" s="8"/>
      <c r="C84" s="8"/>
      <c r="D84" s="16" t="str">
        <f>IFERROR(IF(ISBLANK(C84),"",VLOOKUP(C84,Members!$A$2:$B$101,2,FALSE)),"")</f>
        <v/>
      </c>
      <c r="E84" s="8"/>
      <c r="F84" s="14" t="str">
        <f>IF(ISBLANK(E84),"",E84+Settings!$B$7)</f>
        <v/>
      </c>
      <c r="G84" s="8"/>
      <c r="H84" s="16" t="str">
        <f t="shared" ca="1" si="3"/>
        <v/>
      </c>
      <c r="I84" s="8"/>
    </row>
    <row r="85" spans="1:9" ht="15.75" x14ac:dyDescent="0.25">
      <c r="A85" s="14" t="str">
        <f t="shared" si="2"/>
        <v/>
      </c>
      <c r="B85" s="8"/>
      <c r="C85" s="8"/>
      <c r="D85" s="16" t="str">
        <f>IFERROR(IF(ISBLANK(C85),"",VLOOKUP(C85,Members!$A$2:$B$101,2,FALSE)),"")</f>
        <v/>
      </c>
      <c r="E85" s="8"/>
      <c r="F85" s="14" t="str">
        <f>IF(ISBLANK(E85),"",E85+Settings!$B$7)</f>
        <v/>
      </c>
      <c r="G85" s="8"/>
      <c r="H85" s="16" t="str">
        <f t="shared" ca="1" si="3"/>
        <v/>
      </c>
      <c r="I85" s="8"/>
    </row>
    <row r="86" spans="1:9" ht="15.75" x14ac:dyDescent="0.25">
      <c r="A86" s="14" t="str">
        <f t="shared" si="2"/>
        <v/>
      </c>
      <c r="B86" s="8"/>
      <c r="C86" s="8"/>
      <c r="D86" s="16" t="str">
        <f>IFERROR(IF(ISBLANK(C86),"",VLOOKUP(C86,Members!$A$2:$B$101,2,FALSE)),"")</f>
        <v/>
      </c>
      <c r="E86" s="8"/>
      <c r="F86" s="14" t="str">
        <f>IF(ISBLANK(E86),"",E86+Settings!$B$7)</f>
        <v/>
      </c>
      <c r="G86" s="8"/>
      <c r="H86" s="16" t="str">
        <f t="shared" ca="1" si="3"/>
        <v/>
      </c>
      <c r="I86" s="8"/>
    </row>
    <row r="87" spans="1:9" ht="15.75" x14ac:dyDescent="0.25">
      <c r="A87" s="14" t="str">
        <f t="shared" si="2"/>
        <v/>
      </c>
      <c r="B87" s="8"/>
      <c r="C87" s="8"/>
      <c r="D87" s="16" t="str">
        <f>IFERROR(IF(ISBLANK(C87),"",VLOOKUP(C87,Members!$A$2:$B$101,2,FALSE)),"")</f>
        <v/>
      </c>
      <c r="E87" s="8"/>
      <c r="F87" s="14" t="str">
        <f>IF(ISBLANK(E87),"",E87+Settings!$B$7)</f>
        <v/>
      </c>
      <c r="G87" s="8"/>
      <c r="H87" s="16" t="str">
        <f t="shared" ca="1" si="3"/>
        <v/>
      </c>
      <c r="I87" s="8"/>
    </row>
    <row r="88" spans="1:9" ht="15.75" x14ac:dyDescent="0.25">
      <c r="A88" s="14" t="str">
        <f t="shared" si="2"/>
        <v/>
      </c>
      <c r="B88" s="8"/>
      <c r="C88" s="8"/>
      <c r="D88" s="16" t="str">
        <f>IFERROR(IF(ISBLANK(C88),"",VLOOKUP(C88,Members!$A$2:$B$101,2,FALSE)),"")</f>
        <v/>
      </c>
      <c r="E88" s="8"/>
      <c r="F88" s="14" t="str">
        <f>IF(ISBLANK(E88),"",E88+Settings!$B$7)</f>
        <v/>
      </c>
      <c r="G88" s="8"/>
      <c r="H88" s="16" t="str">
        <f t="shared" ca="1" si="3"/>
        <v/>
      </c>
      <c r="I88" s="8"/>
    </row>
    <row r="89" spans="1:9" ht="15.75" x14ac:dyDescent="0.25">
      <c r="A89" s="14" t="str">
        <f t="shared" si="2"/>
        <v/>
      </c>
      <c r="B89" s="8"/>
      <c r="C89" s="8"/>
      <c r="D89" s="16" t="str">
        <f>IFERROR(IF(ISBLANK(C89),"",VLOOKUP(C89,Members!$A$2:$B$101,2,FALSE)),"")</f>
        <v/>
      </c>
      <c r="E89" s="8"/>
      <c r="F89" s="14" t="str">
        <f>IF(ISBLANK(E89),"",E89+Settings!$B$7)</f>
        <v/>
      </c>
      <c r="G89" s="8"/>
      <c r="H89" s="16" t="str">
        <f t="shared" ca="1" si="3"/>
        <v/>
      </c>
      <c r="I89" s="8"/>
    </row>
    <row r="90" spans="1:9" ht="15.75" x14ac:dyDescent="0.25">
      <c r="A90" s="14" t="str">
        <f t="shared" si="2"/>
        <v/>
      </c>
      <c r="B90" s="8"/>
      <c r="C90" s="8"/>
      <c r="D90" s="16" t="str">
        <f>IFERROR(IF(ISBLANK(C90),"",VLOOKUP(C90,Members!$A$2:$B$101,2,FALSE)),"")</f>
        <v/>
      </c>
      <c r="E90" s="8"/>
      <c r="F90" s="14" t="str">
        <f>IF(ISBLANK(E90),"",E90+Settings!$B$7)</f>
        <v/>
      </c>
      <c r="G90" s="8"/>
      <c r="H90" s="16" t="str">
        <f t="shared" ca="1" si="3"/>
        <v/>
      </c>
      <c r="I90" s="8"/>
    </row>
    <row r="91" spans="1:9" ht="15.75" x14ac:dyDescent="0.25">
      <c r="A91" s="14" t="str">
        <f t="shared" si="2"/>
        <v/>
      </c>
      <c r="B91" s="8"/>
      <c r="C91" s="8"/>
      <c r="D91" s="16" t="str">
        <f>IFERROR(IF(ISBLANK(C91),"",VLOOKUP(C91,Members!$A$2:$B$101,2,FALSE)),"")</f>
        <v/>
      </c>
      <c r="E91" s="8"/>
      <c r="F91" s="14" t="str">
        <f>IF(ISBLANK(E91),"",E91+Settings!$B$7)</f>
        <v/>
      </c>
      <c r="G91" s="8"/>
      <c r="H91" s="16" t="str">
        <f t="shared" ca="1" si="3"/>
        <v/>
      </c>
      <c r="I91" s="8"/>
    </row>
    <row r="92" spans="1:9" ht="15.75" x14ac:dyDescent="0.25">
      <c r="A92" s="14" t="str">
        <f t="shared" si="2"/>
        <v/>
      </c>
      <c r="B92" s="8"/>
      <c r="C92" s="8"/>
      <c r="D92" s="16" t="str">
        <f>IFERROR(IF(ISBLANK(C92),"",VLOOKUP(C92,Members!$A$2:$B$101,2,FALSE)),"")</f>
        <v/>
      </c>
      <c r="E92" s="8"/>
      <c r="F92" s="14" t="str">
        <f>IF(ISBLANK(E92),"",E92+Settings!$B$7)</f>
        <v/>
      </c>
      <c r="G92" s="8"/>
      <c r="H92" s="16" t="str">
        <f t="shared" ca="1" si="3"/>
        <v/>
      </c>
      <c r="I92" s="8"/>
    </row>
    <row r="93" spans="1:9" ht="15.75" x14ac:dyDescent="0.25">
      <c r="A93" s="14" t="str">
        <f t="shared" si="2"/>
        <v/>
      </c>
      <c r="B93" s="8"/>
      <c r="C93" s="8"/>
      <c r="D93" s="16" t="str">
        <f>IFERROR(IF(ISBLANK(C93),"",VLOOKUP(C93,Members!$A$2:$B$101,2,FALSE)),"")</f>
        <v/>
      </c>
      <c r="E93" s="8"/>
      <c r="F93" s="14" t="str">
        <f>IF(ISBLANK(E93),"",E93+Settings!$B$7)</f>
        <v/>
      </c>
      <c r="G93" s="8"/>
      <c r="H93" s="16" t="str">
        <f t="shared" ca="1" si="3"/>
        <v/>
      </c>
      <c r="I93" s="8"/>
    </row>
    <row r="94" spans="1:9" ht="15.75" x14ac:dyDescent="0.25">
      <c r="A94" s="14" t="str">
        <f t="shared" si="2"/>
        <v/>
      </c>
      <c r="B94" s="8"/>
      <c r="C94" s="8"/>
      <c r="D94" s="16" t="str">
        <f>IFERROR(IF(ISBLANK(C94),"",VLOOKUP(C94,Members!$A$2:$B$101,2,FALSE)),"")</f>
        <v/>
      </c>
      <c r="E94" s="8"/>
      <c r="F94" s="14" t="str">
        <f>IF(ISBLANK(E94),"",E94+Settings!$B$7)</f>
        <v/>
      </c>
      <c r="G94" s="8"/>
      <c r="H94" s="16" t="str">
        <f t="shared" ca="1" si="3"/>
        <v/>
      </c>
      <c r="I94" s="8"/>
    </row>
    <row r="95" spans="1:9" ht="15.75" x14ac:dyDescent="0.25">
      <c r="A95" s="14" t="str">
        <f t="shared" si="2"/>
        <v/>
      </c>
      <c r="B95" s="8"/>
      <c r="C95" s="8"/>
      <c r="D95" s="16" t="str">
        <f>IFERROR(IF(ISBLANK(C95),"",VLOOKUP(C95,Members!$A$2:$B$101,2,FALSE)),"")</f>
        <v/>
      </c>
      <c r="E95" s="8"/>
      <c r="F95" s="14" t="str">
        <f>IF(ISBLANK(E95),"",E95+Settings!$B$7)</f>
        <v/>
      </c>
      <c r="G95" s="8"/>
      <c r="H95" s="16" t="str">
        <f t="shared" ca="1" si="3"/>
        <v/>
      </c>
      <c r="I95" s="8"/>
    </row>
    <row r="96" spans="1:9" ht="15.75" x14ac:dyDescent="0.25">
      <c r="A96" s="14" t="str">
        <f t="shared" si="2"/>
        <v/>
      </c>
      <c r="B96" s="8"/>
      <c r="C96" s="8"/>
      <c r="D96" s="16" t="str">
        <f>IFERROR(IF(ISBLANK(C96),"",VLOOKUP(C96,Members!$A$2:$B$101,2,FALSE)),"")</f>
        <v/>
      </c>
      <c r="E96" s="8"/>
      <c r="F96" s="14" t="str">
        <f>IF(ISBLANK(E96),"",E96+Settings!$B$7)</f>
        <v/>
      </c>
      <c r="G96" s="8"/>
      <c r="H96" s="16" t="str">
        <f t="shared" ca="1" si="3"/>
        <v/>
      </c>
      <c r="I96" s="8"/>
    </row>
    <row r="97" spans="1:9" ht="15.75" x14ac:dyDescent="0.25">
      <c r="A97" s="14" t="str">
        <f t="shared" si="2"/>
        <v/>
      </c>
      <c r="B97" s="8"/>
      <c r="C97" s="8"/>
      <c r="D97" s="16" t="str">
        <f>IFERROR(IF(ISBLANK(C97),"",VLOOKUP(C97,Members!$A$2:$B$101,2,FALSE)),"")</f>
        <v/>
      </c>
      <c r="E97" s="8"/>
      <c r="F97" s="14" t="str">
        <f>IF(ISBLANK(E97),"",E97+Settings!$B$7)</f>
        <v/>
      </c>
      <c r="G97" s="8"/>
      <c r="H97" s="16" t="str">
        <f t="shared" ca="1" si="3"/>
        <v/>
      </c>
      <c r="I97" s="8"/>
    </row>
    <row r="98" spans="1:9" ht="15.75" x14ac:dyDescent="0.25">
      <c r="A98" s="14" t="str">
        <f t="shared" si="2"/>
        <v/>
      </c>
      <c r="B98" s="8"/>
      <c r="C98" s="8"/>
      <c r="D98" s="16" t="str">
        <f>IFERROR(IF(ISBLANK(C98),"",VLOOKUP(C98,Members!$A$2:$B$101,2,FALSE)),"")</f>
        <v/>
      </c>
      <c r="E98" s="8"/>
      <c r="F98" s="14" t="str">
        <f>IF(ISBLANK(E98),"",E98+Settings!$B$7)</f>
        <v/>
      </c>
      <c r="G98" s="8"/>
      <c r="H98" s="16" t="str">
        <f t="shared" ca="1" si="3"/>
        <v/>
      </c>
      <c r="I98" s="8"/>
    </row>
    <row r="99" spans="1:9" ht="15.75" x14ac:dyDescent="0.25">
      <c r="A99" s="14" t="str">
        <f t="shared" si="2"/>
        <v/>
      </c>
      <c r="B99" s="8"/>
      <c r="C99" s="8"/>
      <c r="D99" s="16" t="str">
        <f>IFERROR(IF(ISBLANK(C99),"",VLOOKUP(C99,Members!$A$2:$B$101,2,FALSE)),"")</f>
        <v/>
      </c>
      <c r="E99" s="8"/>
      <c r="F99" s="14" t="str">
        <f>IF(ISBLANK(E99),"",E99+Settings!$B$7)</f>
        <v/>
      </c>
      <c r="G99" s="8"/>
      <c r="H99" s="16" t="str">
        <f t="shared" ca="1" si="3"/>
        <v/>
      </c>
      <c r="I99" s="8"/>
    </row>
    <row r="100" spans="1:9" ht="15.75" x14ac:dyDescent="0.25">
      <c r="A100" s="14" t="str">
        <f t="shared" si="2"/>
        <v/>
      </c>
      <c r="B100" s="8"/>
      <c r="C100" s="8"/>
      <c r="D100" s="16" t="str">
        <f>IFERROR(IF(ISBLANK(C100),"",VLOOKUP(C100,Members!$A$2:$B$101,2,FALSE)),"")</f>
        <v/>
      </c>
      <c r="E100" s="8"/>
      <c r="F100" s="14" t="str">
        <f>IF(ISBLANK(E100),"",E100+Settings!$B$7)</f>
        <v/>
      </c>
      <c r="G100" s="8"/>
      <c r="H100" s="16" t="str">
        <f t="shared" ca="1" si="3"/>
        <v/>
      </c>
      <c r="I100" s="8"/>
    </row>
    <row r="101" spans="1:9" ht="15.75" x14ac:dyDescent="0.25">
      <c r="A101" s="14" t="str">
        <f t="shared" si="2"/>
        <v/>
      </c>
      <c r="B101" s="8"/>
      <c r="C101" s="8"/>
      <c r="D101" s="16" t="str">
        <f>IFERROR(IF(ISBLANK(C101),"",VLOOKUP(C101,Members!$A$2:$B$101,2,FALSE)),"")</f>
        <v/>
      </c>
      <c r="E101" s="8"/>
      <c r="F101" s="14" t="str">
        <f>IF(ISBLANK(E101),"",E101+Settings!$B$7)</f>
        <v/>
      </c>
      <c r="G101" s="8"/>
      <c r="H101" s="16" t="str">
        <f t="shared" ca="1" si="3"/>
        <v/>
      </c>
      <c r="I101" s="8"/>
    </row>
    <row r="102" spans="1:9" ht="15.75" x14ac:dyDescent="0.25">
      <c r="A102" s="14" t="str">
        <f t="shared" si="2"/>
        <v/>
      </c>
      <c r="B102" s="8"/>
      <c r="C102" s="8"/>
      <c r="D102" s="16" t="str">
        <f>IFERROR(IF(ISBLANK(C102),"",VLOOKUP(C102,Members!$A$2:$B$101,2,FALSE)),"")</f>
        <v/>
      </c>
      <c r="E102" s="8"/>
      <c r="F102" s="14" t="str">
        <f>IF(ISBLANK(E102),"",E102+Settings!$B$7)</f>
        <v/>
      </c>
      <c r="G102" s="8"/>
      <c r="H102" s="16" t="str">
        <f t="shared" ca="1" si="3"/>
        <v/>
      </c>
      <c r="I102" s="8"/>
    </row>
    <row r="103" spans="1:9" ht="15.75" x14ac:dyDescent="0.25">
      <c r="A103" s="14" t="str">
        <f t="shared" si="2"/>
        <v/>
      </c>
      <c r="B103" s="8"/>
      <c r="C103" s="8"/>
      <c r="D103" s="16" t="str">
        <f>IFERROR(IF(ISBLANK(C103),"",VLOOKUP(C103,Members!$A$2:$B$101,2,FALSE)),"")</f>
        <v/>
      </c>
      <c r="E103" s="8"/>
      <c r="F103" s="14" t="str">
        <f>IF(ISBLANK(E103),"",E103+Settings!$B$7)</f>
        <v/>
      </c>
      <c r="G103" s="8"/>
      <c r="H103" s="16" t="str">
        <f t="shared" ca="1" si="3"/>
        <v/>
      </c>
      <c r="I103" s="8"/>
    </row>
    <row r="104" spans="1:9" ht="15.75" x14ac:dyDescent="0.25">
      <c r="A104" s="14" t="str">
        <f t="shared" si="2"/>
        <v/>
      </c>
      <c r="B104" s="8"/>
      <c r="C104" s="8"/>
      <c r="D104" s="16" t="str">
        <f>IFERROR(IF(ISBLANK(C104),"",VLOOKUP(C104,Members!$A$2:$B$101,2,FALSE)),"")</f>
        <v/>
      </c>
      <c r="E104" s="8"/>
      <c r="F104" s="14" t="str">
        <f>IF(ISBLANK(E104),"",E104+Settings!$B$7)</f>
        <v/>
      </c>
      <c r="G104" s="8"/>
      <c r="H104" s="16" t="str">
        <f t="shared" ca="1" si="3"/>
        <v/>
      </c>
      <c r="I104" s="8"/>
    </row>
    <row r="105" spans="1:9" ht="15.75" x14ac:dyDescent="0.25">
      <c r="A105" s="14" t="str">
        <f t="shared" si="2"/>
        <v/>
      </c>
      <c r="B105" s="8"/>
      <c r="C105" s="8"/>
      <c r="D105" s="16" t="str">
        <f>IFERROR(IF(ISBLANK(C105),"",VLOOKUP(C105,Members!$A$2:$B$101,2,FALSE)),"")</f>
        <v/>
      </c>
      <c r="E105" s="8"/>
      <c r="F105" s="14" t="str">
        <f>IF(ISBLANK(E105),"",E105+Settings!$B$7)</f>
        <v/>
      </c>
      <c r="G105" s="8"/>
      <c r="H105" s="16" t="str">
        <f t="shared" ca="1" si="3"/>
        <v/>
      </c>
      <c r="I105" s="8"/>
    </row>
    <row r="106" spans="1:9" ht="15.75" x14ac:dyDescent="0.25">
      <c r="A106" s="14" t="str">
        <f t="shared" si="2"/>
        <v/>
      </c>
      <c r="B106" s="8"/>
      <c r="C106" s="8"/>
      <c r="D106" s="16" t="str">
        <f>IFERROR(IF(ISBLANK(C106),"",VLOOKUP(C106,Members!$A$2:$B$101,2,FALSE)),"")</f>
        <v/>
      </c>
      <c r="E106" s="8"/>
      <c r="F106" s="14" t="str">
        <f>IF(ISBLANK(E106),"",E106+Settings!$B$7)</f>
        <v/>
      </c>
      <c r="G106" s="8"/>
      <c r="H106" s="16" t="str">
        <f t="shared" ca="1" si="3"/>
        <v/>
      </c>
      <c r="I106" s="8"/>
    </row>
    <row r="107" spans="1:9" ht="15.75" x14ac:dyDescent="0.25">
      <c r="A107" s="14" t="str">
        <f t="shared" si="2"/>
        <v/>
      </c>
      <c r="B107" s="8"/>
      <c r="C107" s="8"/>
      <c r="D107" s="16" t="str">
        <f>IFERROR(IF(ISBLANK(C107),"",VLOOKUP(C107,Members!$A$2:$B$101,2,FALSE)),"")</f>
        <v/>
      </c>
      <c r="E107" s="8"/>
      <c r="F107" s="14" t="str">
        <f>IF(ISBLANK(E107),"",E107+Settings!$B$7)</f>
        <v/>
      </c>
      <c r="G107" s="8"/>
      <c r="H107" s="16" t="str">
        <f t="shared" ca="1" si="3"/>
        <v/>
      </c>
      <c r="I107" s="8"/>
    </row>
    <row r="108" spans="1:9" ht="15.75" x14ac:dyDescent="0.25">
      <c r="A108" s="14" t="str">
        <f t="shared" si="2"/>
        <v/>
      </c>
      <c r="B108" s="8"/>
      <c r="C108" s="8"/>
      <c r="D108" s="16" t="str">
        <f>IFERROR(IF(ISBLANK(C108),"",VLOOKUP(C108,Members!$A$2:$B$101,2,FALSE)),"")</f>
        <v/>
      </c>
      <c r="E108" s="8"/>
      <c r="F108" s="14" t="str">
        <f>IF(ISBLANK(E108),"",E108+Settings!$B$7)</f>
        <v/>
      </c>
      <c r="G108" s="8"/>
      <c r="H108" s="16" t="str">
        <f t="shared" ca="1" si="3"/>
        <v/>
      </c>
      <c r="I108" s="8"/>
    </row>
    <row r="109" spans="1:9" ht="15.75" x14ac:dyDescent="0.25">
      <c r="A109" s="14" t="str">
        <f t="shared" si="2"/>
        <v/>
      </c>
      <c r="B109" s="8"/>
      <c r="C109" s="8"/>
      <c r="D109" s="16" t="str">
        <f>IFERROR(IF(ISBLANK(C109),"",VLOOKUP(C109,Members!$A$2:$B$101,2,FALSE)),"")</f>
        <v/>
      </c>
      <c r="E109" s="8"/>
      <c r="F109" s="14" t="str">
        <f>IF(ISBLANK(E109),"",E109+Settings!$B$7)</f>
        <v/>
      </c>
      <c r="G109" s="8"/>
      <c r="H109" s="16" t="str">
        <f t="shared" ca="1" si="3"/>
        <v/>
      </c>
      <c r="I109" s="8"/>
    </row>
    <row r="110" spans="1:9" ht="15.75" x14ac:dyDescent="0.25">
      <c r="A110" s="14" t="str">
        <f t="shared" si="2"/>
        <v/>
      </c>
      <c r="B110" s="8"/>
      <c r="C110" s="8"/>
      <c r="D110" s="16" t="str">
        <f>IFERROR(IF(ISBLANK(C110),"",VLOOKUP(C110,Members!$A$2:$B$101,2,FALSE)),"")</f>
        <v/>
      </c>
      <c r="E110" s="8"/>
      <c r="F110" s="14" t="str">
        <f>IF(ISBLANK(E110),"",E110+Settings!$B$7)</f>
        <v/>
      </c>
      <c r="G110" s="8"/>
      <c r="H110" s="16" t="str">
        <f t="shared" ca="1" si="3"/>
        <v/>
      </c>
      <c r="I110" s="8"/>
    </row>
    <row r="111" spans="1:9" ht="15.75" x14ac:dyDescent="0.25">
      <c r="A111" s="14" t="str">
        <f t="shared" si="2"/>
        <v/>
      </c>
      <c r="B111" s="8"/>
      <c r="C111" s="8"/>
      <c r="D111" s="16" t="str">
        <f>IFERROR(IF(ISBLANK(C111),"",VLOOKUP(C111,Members!$A$2:$B$101,2,FALSE)),"")</f>
        <v/>
      </c>
      <c r="E111" s="8"/>
      <c r="F111" s="14" t="str">
        <f>IF(ISBLANK(E111),"",E111+Settings!$B$7)</f>
        <v/>
      </c>
      <c r="G111" s="8"/>
      <c r="H111" s="16" t="str">
        <f t="shared" ca="1" si="3"/>
        <v/>
      </c>
      <c r="I111" s="8"/>
    </row>
    <row r="112" spans="1:9" ht="15.75" x14ac:dyDescent="0.25">
      <c r="A112" s="14" t="str">
        <f t="shared" si="2"/>
        <v/>
      </c>
      <c r="B112" s="8"/>
      <c r="C112" s="8"/>
      <c r="D112" s="16" t="str">
        <f>IFERROR(IF(ISBLANK(C112),"",VLOOKUP(C112,Members!$A$2:$B$101,2,FALSE)),"")</f>
        <v/>
      </c>
      <c r="E112" s="8"/>
      <c r="F112" s="14" t="str">
        <f>IF(ISBLANK(E112),"",E112+Settings!$B$7)</f>
        <v/>
      </c>
      <c r="G112" s="8"/>
      <c r="H112" s="16" t="str">
        <f t="shared" ca="1" si="3"/>
        <v/>
      </c>
      <c r="I112" s="8"/>
    </row>
    <row r="113" spans="1:9" ht="15.75" x14ac:dyDescent="0.25">
      <c r="A113" s="14" t="str">
        <f t="shared" si="2"/>
        <v/>
      </c>
      <c r="B113" s="8"/>
      <c r="C113" s="8"/>
      <c r="D113" s="16" t="str">
        <f>IFERROR(IF(ISBLANK(C113),"",VLOOKUP(C113,Members!$A$2:$B$101,2,FALSE)),"")</f>
        <v/>
      </c>
      <c r="E113" s="8"/>
      <c r="F113" s="14" t="str">
        <f>IF(ISBLANK(E113),"",E113+Settings!$B$7)</f>
        <v/>
      </c>
      <c r="G113" s="8"/>
      <c r="H113" s="16" t="str">
        <f t="shared" ca="1" si="3"/>
        <v/>
      </c>
      <c r="I113" s="8"/>
    </row>
    <row r="114" spans="1:9" ht="15.75" x14ac:dyDescent="0.25">
      <c r="A114" s="14" t="str">
        <f t="shared" si="2"/>
        <v/>
      </c>
      <c r="B114" s="8"/>
      <c r="C114" s="8"/>
      <c r="D114" s="16" t="str">
        <f>IFERROR(IF(ISBLANK(C114),"",VLOOKUP(C114,Members!$A$2:$B$101,2,FALSE)),"")</f>
        <v/>
      </c>
      <c r="E114" s="8"/>
      <c r="F114" s="14" t="str">
        <f>IF(ISBLANK(E114),"",E114+Settings!$B$7)</f>
        <v/>
      </c>
      <c r="G114" s="8"/>
      <c r="H114" s="16" t="str">
        <f t="shared" ca="1" si="3"/>
        <v/>
      </c>
      <c r="I114" s="8"/>
    </row>
    <row r="115" spans="1:9" ht="15.75" x14ac:dyDescent="0.25">
      <c r="A115" s="14" t="str">
        <f t="shared" si="2"/>
        <v/>
      </c>
      <c r="B115" s="8"/>
      <c r="C115" s="8"/>
      <c r="D115" s="16" t="str">
        <f>IFERROR(IF(ISBLANK(C115),"",VLOOKUP(C115,Members!$A$2:$B$101,2,FALSE)),"")</f>
        <v/>
      </c>
      <c r="E115" s="8"/>
      <c r="F115" s="14" t="str">
        <f>IF(ISBLANK(E115),"",E115+Settings!$B$7)</f>
        <v/>
      </c>
      <c r="G115" s="8"/>
      <c r="H115" s="16" t="str">
        <f t="shared" ca="1" si="3"/>
        <v/>
      </c>
      <c r="I115" s="8"/>
    </row>
    <row r="116" spans="1:9" ht="15.75" x14ac:dyDescent="0.25">
      <c r="A116" s="14" t="str">
        <f t="shared" si="2"/>
        <v/>
      </c>
      <c r="B116" s="8"/>
      <c r="C116" s="8"/>
      <c r="D116" s="16" t="str">
        <f>IFERROR(IF(ISBLANK(C116),"",VLOOKUP(C116,Members!$A$2:$B$101,2,FALSE)),"")</f>
        <v/>
      </c>
      <c r="E116" s="8"/>
      <c r="F116" s="14" t="str">
        <f>IF(ISBLANK(E116),"",E116+Settings!$B$7)</f>
        <v/>
      </c>
      <c r="G116" s="8"/>
      <c r="H116" s="16" t="str">
        <f t="shared" ca="1" si="3"/>
        <v/>
      </c>
      <c r="I116" s="8"/>
    </row>
    <row r="117" spans="1:9" ht="15.75" x14ac:dyDescent="0.25">
      <c r="A117" s="14" t="str">
        <f t="shared" si="2"/>
        <v/>
      </c>
      <c r="B117" s="8"/>
      <c r="C117" s="8"/>
      <c r="D117" s="16" t="str">
        <f>IFERROR(IF(ISBLANK(C117),"",VLOOKUP(C117,Members!$A$2:$B$101,2,FALSE)),"")</f>
        <v/>
      </c>
      <c r="E117" s="8"/>
      <c r="F117" s="14" t="str">
        <f>IF(ISBLANK(E117),"",E117+Settings!$B$7)</f>
        <v/>
      </c>
      <c r="G117" s="8"/>
      <c r="H117" s="16" t="str">
        <f t="shared" ca="1" si="3"/>
        <v/>
      </c>
      <c r="I117" s="8"/>
    </row>
    <row r="118" spans="1:9" ht="15.75" x14ac:dyDescent="0.25">
      <c r="A118" s="14" t="str">
        <f t="shared" si="2"/>
        <v/>
      </c>
      <c r="B118" s="8"/>
      <c r="C118" s="8"/>
      <c r="D118" s="16" t="str">
        <f>IFERROR(IF(ISBLANK(C118),"",VLOOKUP(C118,Members!$A$2:$B$101,2,FALSE)),"")</f>
        <v/>
      </c>
      <c r="E118" s="8"/>
      <c r="F118" s="14" t="str">
        <f>IF(ISBLANK(E118),"",E118+Settings!$B$7)</f>
        <v/>
      </c>
      <c r="G118" s="8"/>
      <c r="H118" s="16" t="str">
        <f t="shared" ca="1" si="3"/>
        <v/>
      </c>
      <c r="I118" s="8"/>
    </row>
    <row r="119" spans="1:9" ht="15.75" x14ac:dyDescent="0.25">
      <c r="A119" s="14" t="str">
        <f t="shared" si="2"/>
        <v/>
      </c>
      <c r="B119" s="8"/>
      <c r="C119" s="8"/>
      <c r="D119" s="16" t="str">
        <f>IFERROR(IF(ISBLANK(C119),"",VLOOKUP(C119,Members!$A$2:$B$101,2,FALSE)),"")</f>
        <v/>
      </c>
      <c r="E119" s="8"/>
      <c r="F119" s="14" t="str">
        <f>IF(ISBLANK(E119),"",E119+Settings!$B$7)</f>
        <v/>
      </c>
      <c r="G119" s="8"/>
      <c r="H119" s="16" t="str">
        <f t="shared" ca="1" si="3"/>
        <v/>
      </c>
      <c r="I119" s="8"/>
    </row>
    <row r="120" spans="1:9" ht="15.75" x14ac:dyDescent="0.25">
      <c r="A120" s="14" t="str">
        <f t="shared" si="2"/>
        <v/>
      </c>
      <c r="B120" s="8"/>
      <c r="C120" s="8"/>
      <c r="D120" s="16" t="str">
        <f>IFERROR(IF(ISBLANK(C120),"",VLOOKUP(C120,Members!$A$2:$B$101,2,FALSE)),"")</f>
        <v/>
      </c>
      <c r="E120" s="8"/>
      <c r="F120" s="14" t="str">
        <f>IF(ISBLANK(E120),"",E120+Settings!$B$7)</f>
        <v/>
      </c>
      <c r="G120" s="8"/>
      <c r="H120" s="16" t="str">
        <f t="shared" ca="1" si="3"/>
        <v/>
      </c>
      <c r="I120" s="8"/>
    </row>
    <row r="121" spans="1:9" ht="15.75" x14ac:dyDescent="0.25">
      <c r="A121" s="14" t="str">
        <f t="shared" si="2"/>
        <v/>
      </c>
      <c r="B121" s="8"/>
      <c r="C121" s="8"/>
      <c r="D121" s="16" t="str">
        <f>IFERROR(IF(ISBLANK(C121),"",VLOOKUP(C121,Members!$A$2:$B$101,2,FALSE)),"")</f>
        <v/>
      </c>
      <c r="E121" s="8"/>
      <c r="F121" s="14" t="str">
        <f>IF(ISBLANK(E121),"",E121+Settings!$B$7)</f>
        <v/>
      </c>
      <c r="G121" s="8"/>
      <c r="H121" s="16" t="str">
        <f t="shared" ca="1" si="3"/>
        <v/>
      </c>
      <c r="I121" s="8"/>
    </row>
    <row r="122" spans="1:9" ht="15.75" x14ac:dyDescent="0.25">
      <c r="A122" s="14" t="str">
        <f t="shared" si="2"/>
        <v/>
      </c>
      <c r="B122" s="8"/>
      <c r="C122" s="8"/>
      <c r="D122" s="16" t="str">
        <f>IFERROR(IF(ISBLANK(C122),"",VLOOKUP(C122,Members!$A$2:$B$101,2,FALSE)),"")</f>
        <v/>
      </c>
      <c r="E122" s="8"/>
      <c r="F122" s="14" t="str">
        <f>IF(ISBLANK(E122),"",E122+Settings!$B$7)</f>
        <v/>
      </c>
      <c r="G122" s="8"/>
      <c r="H122" s="16" t="str">
        <f t="shared" ca="1" si="3"/>
        <v/>
      </c>
      <c r="I122" s="8"/>
    </row>
    <row r="123" spans="1:9" ht="15.75" x14ac:dyDescent="0.25">
      <c r="A123" s="14" t="str">
        <f t="shared" si="2"/>
        <v/>
      </c>
      <c r="B123" s="8"/>
      <c r="C123" s="8"/>
      <c r="D123" s="16" t="str">
        <f>IFERROR(IF(ISBLANK(C123),"",VLOOKUP(C123,Members!$A$2:$B$101,2,FALSE)),"")</f>
        <v/>
      </c>
      <c r="E123" s="8"/>
      <c r="F123" s="14" t="str">
        <f>IF(ISBLANK(E123),"",E123+Settings!$B$7)</f>
        <v/>
      </c>
      <c r="G123" s="8"/>
      <c r="H123" s="16" t="str">
        <f t="shared" ca="1" si="3"/>
        <v/>
      </c>
      <c r="I123" s="8"/>
    </row>
    <row r="124" spans="1:9" ht="15.75" x14ac:dyDescent="0.25">
      <c r="A124" s="14" t="str">
        <f t="shared" si="2"/>
        <v/>
      </c>
      <c r="B124" s="8"/>
      <c r="C124" s="8"/>
      <c r="D124" s="16" t="str">
        <f>IFERROR(IF(ISBLANK(C124),"",VLOOKUP(C124,Members!$A$2:$B$101,2,FALSE)),"")</f>
        <v/>
      </c>
      <c r="E124" s="8"/>
      <c r="F124" s="14" t="str">
        <f>IF(ISBLANK(E124),"",E124+Settings!$B$7)</f>
        <v/>
      </c>
      <c r="G124" s="8"/>
      <c r="H124" s="16" t="str">
        <f t="shared" ca="1" si="3"/>
        <v/>
      </c>
      <c r="I124" s="8"/>
    </row>
    <row r="125" spans="1:9" ht="15.75" x14ac:dyDescent="0.25">
      <c r="A125" s="14" t="str">
        <f t="shared" si="2"/>
        <v/>
      </c>
      <c r="B125" s="8"/>
      <c r="C125" s="8"/>
      <c r="D125" s="16" t="str">
        <f>IFERROR(IF(ISBLANK(C125),"",VLOOKUP(C125,Members!$A$2:$B$101,2,FALSE)),"")</f>
        <v/>
      </c>
      <c r="E125" s="8"/>
      <c r="F125" s="14" t="str">
        <f>IF(ISBLANK(E125),"",E125+Settings!$B$7)</f>
        <v/>
      </c>
      <c r="G125" s="8"/>
      <c r="H125" s="16" t="str">
        <f t="shared" ca="1" si="3"/>
        <v/>
      </c>
      <c r="I125" s="8"/>
    </row>
    <row r="126" spans="1:9" ht="15.75" x14ac:dyDescent="0.25">
      <c r="A126" s="14" t="str">
        <f t="shared" si="2"/>
        <v/>
      </c>
      <c r="B126" s="8"/>
      <c r="C126" s="8"/>
      <c r="D126" s="16" t="str">
        <f>IFERROR(IF(ISBLANK(C126),"",VLOOKUP(C126,Members!$A$2:$B$101,2,FALSE)),"")</f>
        <v/>
      </c>
      <c r="E126" s="8"/>
      <c r="F126" s="14" t="str">
        <f>IF(ISBLANK(E126),"",E126+Settings!$B$7)</f>
        <v/>
      </c>
      <c r="G126" s="8"/>
      <c r="H126" s="16" t="str">
        <f t="shared" ca="1" si="3"/>
        <v/>
      </c>
      <c r="I126" s="8"/>
    </row>
    <row r="127" spans="1:9" ht="15.75" x14ac:dyDescent="0.25">
      <c r="A127" s="14" t="str">
        <f t="shared" si="2"/>
        <v/>
      </c>
      <c r="B127" s="8"/>
      <c r="C127" s="8"/>
      <c r="D127" s="16" t="str">
        <f>IFERROR(IF(ISBLANK(C127),"",VLOOKUP(C127,Members!$A$2:$B$101,2,FALSE)),"")</f>
        <v/>
      </c>
      <c r="E127" s="8"/>
      <c r="F127" s="14" t="str">
        <f>IF(ISBLANK(E127),"",E127+Settings!$B$7)</f>
        <v/>
      </c>
      <c r="G127" s="8"/>
      <c r="H127" s="16" t="str">
        <f t="shared" ca="1" si="3"/>
        <v/>
      </c>
      <c r="I127" s="8"/>
    </row>
    <row r="128" spans="1:9" ht="15.75" x14ac:dyDescent="0.25">
      <c r="A128" s="14" t="str">
        <f t="shared" si="2"/>
        <v/>
      </c>
      <c r="B128" s="8"/>
      <c r="C128" s="8"/>
      <c r="D128" s="16" t="str">
        <f>IFERROR(IF(ISBLANK(C128),"",VLOOKUP(C128,Members!$A$2:$B$101,2,FALSE)),"")</f>
        <v/>
      </c>
      <c r="E128" s="8"/>
      <c r="F128" s="14" t="str">
        <f>IF(ISBLANK(E128),"",E128+Settings!$B$7)</f>
        <v/>
      </c>
      <c r="G128" s="8"/>
      <c r="H128" s="16" t="str">
        <f t="shared" ca="1" si="3"/>
        <v/>
      </c>
      <c r="I128" s="8"/>
    </row>
    <row r="129" spans="1:9" ht="15.75" x14ac:dyDescent="0.25">
      <c r="A129" s="14" t="str">
        <f t="shared" si="2"/>
        <v/>
      </c>
      <c r="B129" s="8"/>
      <c r="C129" s="8"/>
      <c r="D129" s="16" t="str">
        <f>IFERROR(IF(ISBLANK(C129),"",VLOOKUP(C129,Members!$A$2:$B$101,2,FALSE)),"")</f>
        <v/>
      </c>
      <c r="E129" s="8"/>
      <c r="F129" s="14" t="str">
        <f>IF(ISBLANK(E129),"",E129+Settings!$B$7)</f>
        <v/>
      </c>
      <c r="G129" s="8"/>
      <c r="H129" s="16" t="str">
        <f t="shared" ca="1" si="3"/>
        <v/>
      </c>
      <c r="I129" s="8"/>
    </row>
    <row r="130" spans="1:9" ht="15.75" x14ac:dyDescent="0.25">
      <c r="A130" s="14" t="str">
        <f t="shared" ref="A130:A193" si="4">IF(ISBLANK(B130),"",ROW()-1)</f>
        <v/>
      </c>
      <c r="B130" s="8"/>
      <c r="C130" s="8"/>
      <c r="D130" s="16" t="str">
        <f>IFERROR(IF(ISBLANK(C130),"",VLOOKUP(C130,Members!$A$2:$B$101,2,FALSE)),"")</f>
        <v/>
      </c>
      <c r="E130" s="8"/>
      <c r="F130" s="14" t="str">
        <f>IF(ISBLANK(E130),"",E130+Settings!$B$7)</f>
        <v/>
      </c>
      <c r="G130" s="8"/>
      <c r="H130" s="16" t="str">
        <f t="shared" ref="H130:H193" ca="1" si="5">IF(ISBLANK(B130),"",IF(NOT(ISBLANK(G130)),"Returned",IF(TODAY()&gt;F130,"Overdue","Active")))</f>
        <v/>
      </c>
      <c r="I130" s="8"/>
    </row>
    <row r="131" spans="1:9" ht="15.75" x14ac:dyDescent="0.25">
      <c r="A131" s="14" t="str">
        <f t="shared" si="4"/>
        <v/>
      </c>
      <c r="B131" s="8"/>
      <c r="C131" s="8"/>
      <c r="D131" s="16" t="str">
        <f>IFERROR(IF(ISBLANK(C131),"",VLOOKUP(C131,Members!$A$2:$B$101,2,FALSE)),"")</f>
        <v/>
      </c>
      <c r="E131" s="8"/>
      <c r="F131" s="14" t="str">
        <f>IF(ISBLANK(E131),"",E131+Settings!$B$7)</f>
        <v/>
      </c>
      <c r="G131" s="8"/>
      <c r="H131" s="16" t="str">
        <f t="shared" ca="1" si="5"/>
        <v/>
      </c>
      <c r="I131" s="8"/>
    </row>
    <row r="132" spans="1:9" ht="15.75" x14ac:dyDescent="0.25">
      <c r="A132" s="14" t="str">
        <f t="shared" si="4"/>
        <v/>
      </c>
      <c r="B132" s="8"/>
      <c r="C132" s="8"/>
      <c r="D132" s="16" t="str">
        <f>IFERROR(IF(ISBLANK(C132),"",VLOOKUP(C132,Members!$A$2:$B$101,2,FALSE)),"")</f>
        <v/>
      </c>
      <c r="E132" s="8"/>
      <c r="F132" s="14" t="str">
        <f>IF(ISBLANK(E132),"",E132+Settings!$B$7)</f>
        <v/>
      </c>
      <c r="G132" s="8"/>
      <c r="H132" s="16" t="str">
        <f t="shared" ca="1" si="5"/>
        <v/>
      </c>
      <c r="I132" s="8"/>
    </row>
    <row r="133" spans="1:9" ht="15.75" x14ac:dyDescent="0.25">
      <c r="A133" s="14" t="str">
        <f t="shared" si="4"/>
        <v/>
      </c>
      <c r="B133" s="8"/>
      <c r="C133" s="8"/>
      <c r="D133" s="16" t="str">
        <f>IFERROR(IF(ISBLANK(C133),"",VLOOKUP(C133,Members!$A$2:$B$101,2,FALSE)),"")</f>
        <v/>
      </c>
      <c r="E133" s="8"/>
      <c r="F133" s="14" t="str">
        <f>IF(ISBLANK(E133),"",E133+Settings!$B$7)</f>
        <v/>
      </c>
      <c r="G133" s="8"/>
      <c r="H133" s="16" t="str">
        <f t="shared" ca="1" si="5"/>
        <v/>
      </c>
      <c r="I133" s="8"/>
    </row>
    <row r="134" spans="1:9" ht="15.75" x14ac:dyDescent="0.25">
      <c r="A134" s="14" t="str">
        <f t="shared" si="4"/>
        <v/>
      </c>
      <c r="B134" s="8"/>
      <c r="C134" s="8"/>
      <c r="D134" s="16" t="str">
        <f>IFERROR(IF(ISBLANK(C134),"",VLOOKUP(C134,Members!$A$2:$B$101,2,FALSE)),"")</f>
        <v/>
      </c>
      <c r="E134" s="8"/>
      <c r="F134" s="14" t="str">
        <f>IF(ISBLANK(E134),"",E134+Settings!$B$7)</f>
        <v/>
      </c>
      <c r="G134" s="8"/>
      <c r="H134" s="16" t="str">
        <f t="shared" ca="1" si="5"/>
        <v/>
      </c>
      <c r="I134" s="8"/>
    </row>
    <row r="135" spans="1:9" ht="15.75" x14ac:dyDescent="0.25">
      <c r="A135" s="14" t="str">
        <f t="shared" si="4"/>
        <v/>
      </c>
      <c r="B135" s="8"/>
      <c r="C135" s="8"/>
      <c r="D135" s="16" t="str">
        <f>IFERROR(IF(ISBLANK(C135),"",VLOOKUP(C135,Members!$A$2:$B$101,2,FALSE)),"")</f>
        <v/>
      </c>
      <c r="E135" s="8"/>
      <c r="F135" s="14" t="str">
        <f>IF(ISBLANK(E135),"",E135+Settings!$B$7)</f>
        <v/>
      </c>
      <c r="G135" s="8"/>
      <c r="H135" s="16" t="str">
        <f t="shared" ca="1" si="5"/>
        <v/>
      </c>
      <c r="I135" s="8"/>
    </row>
    <row r="136" spans="1:9" ht="15.75" x14ac:dyDescent="0.25">
      <c r="A136" s="14" t="str">
        <f t="shared" si="4"/>
        <v/>
      </c>
      <c r="B136" s="8"/>
      <c r="C136" s="8"/>
      <c r="D136" s="16" t="str">
        <f>IFERROR(IF(ISBLANK(C136),"",VLOOKUP(C136,Members!$A$2:$B$101,2,FALSE)),"")</f>
        <v/>
      </c>
      <c r="E136" s="8"/>
      <c r="F136" s="14" t="str">
        <f>IF(ISBLANK(E136),"",E136+Settings!$B$7)</f>
        <v/>
      </c>
      <c r="G136" s="8"/>
      <c r="H136" s="16" t="str">
        <f t="shared" ca="1" si="5"/>
        <v/>
      </c>
      <c r="I136" s="8"/>
    </row>
    <row r="137" spans="1:9" ht="15.75" x14ac:dyDescent="0.25">
      <c r="A137" s="14" t="str">
        <f t="shared" si="4"/>
        <v/>
      </c>
      <c r="B137" s="8"/>
      <c r="C137" s="8"/>
      <c r="D137" s="16" t="str">
        <f>IFERROR(IF(ISBLANK(C137),"",VLOOKUP(C137,Members!$A$2:$B$101,2,FALSE)),"")</f>
        <v/>
      </c>
      <c r="E137" s="8"/>
      <c r="F137" s="14" t="str">
        <f>IF(ISBLANK(E137),"",E137+Settings!$B$7)</f>
        <v/>
      </c>
      <c r="G137" s="8"/>
      <c r="H137" s="16" t="str">
        <f t="shared" ca="1" si="5"/>
        <v/>
      </c>
      <c r="I137" s="8"/>
    </row>
    <row r="138" spans="1:9" ht="15.75" x14ac:dyDescent="0.25">
      <c r="A138" s="14" t="str">
        <f t="shared" si="4"/>
        <v/>
      </c>
      <c r="B138" s="8"/>
      <c r="C138" s="8"/>
      <c r="D138" s="16" t="str">
        <f>IFERROR(IF(ISBLANK(C138),"",VLOOKUP(C138,Members!$A$2:$B$101,2,FALSE)),"")</f>
        <v/>
      </c>
      <c r="E138" s="8"/>
      <c r="F138" s="14" t="str">
        <f>IF(ISBLANK(E138),"",E138+Settings!$B$7)</f>
        <v/>
      </c>
      <c r="G138" s="8"/>
      <c r="H138" s="16" t="str">
        <f t="shared" ca="1" si="5"/>
        <v/>
      </c>
      <c r="I138" s="8"/>
    </row>
    <row r="139" spans="1:9" ht="15.75" x14ac:dyDescent="0.25">
      <c r="A139" s="14" t="str">
        <f t="shared" si="4"/>
        <v/>
      </c>
      <c r="B139" s="8"/>
      <c r="C139" s="8"/>
      <c r="D139" s="16" t="str">
        <f>IFERROR(IF(ISBLANK(C139),"",VLOOKUP(C139,Members!$A$2:$B$101,2,FALSE)),"")</f>
        <v/>
      </c>
      <c r="E139" s="8"/>
      <c r="F139" s="14" t="str">
        <f>IF(ISBLANK(E139),"",E139+Settings!$B$7)</f>
        <v/>
      </c>
      <c r="G139" s="8"/>
      <c r="H139" s="16" t="str">
        <f t="shared" ca="1" si="5"/>
        <v/>
      </c>
      <c r="I139" s="8"/>
    </row>
    <row r="140" spans="1:9" ht="15.75" x14ac:dyDescent="0.25">
      <c r="A140" s="14" t="str">
        <f t="shared" si="4"/>
        <v/>
      </c>
      <c r="B140" s="8"/>
      <c r="C140" s="8"/>
      <c r="D140" s="16" t="str">
        <f>IFERROR(IF(ISBLANK(C140),"",VLOOKUP(C140,Members!$A$2:$B$101,2,FALSE)),"")</f>
        <v/>
      </c>
      <c r="E140" s="8"/>
      <c r="F140" s="14" t="str">
        <f>IF(ISBLANK(E140),"",E140+Settings!$B$7)</f>
        <v/>
      </c>
      <c r="G140" s="8"/>
      <c r="H140" s="16" t="str">
        <f t="shared" ca="1" si="5"/>
        <v/>
      </c>
      <c r="I140" s="8"/>
    </row>
    <row r="141" spans="1:9" ht="15.75" x14ac:dyDescent="0.25">
      <c r="A141" s="14" t="str">
        <f t="shared" si="4"/>
        <v/>
      </c>
      <c r="B141" s="8"/>
      <c r="C141" s="8"/>
      <c r="D141" s="16" t="str">
        <f>IFERROR(IF(ISBLANK(C141),"",VLOOKUP(C141,Members!$A$2:$B$101,2,FALSE)),"")</f>
        <v/>
      </c>
      <c r="E141" s="8"/>
      <c r="F141" s="14" t="str">
        <f>IF(ISBLANK(E141),"",E141+Settings!$B$7)</f>
        <v/>
      </c>
      <c r="G141" s="8"/>
      <c r="H141" s="16" t="str">
        <f t="shared" ca="1" si="5"/>
        <v/>
      </c>
      <c r="I141" s="8"/>
    </row>
    <row r="142" spans="1:9" ht="15.75" x14ac:dyDescent="0.25">
      <c r="A142" s="14" t="str">
        <f t="shared" si="4"/>
        <v/>
      </c>
      <c r="B142" s="8"/>
      <c r="C142" s="8"/>
      <c r="D142" s="16" t="str">
        <f>IFERROR(IF(ISBLANK(C142),"",VLOOKUP(C142,Members!$A$2:$B$101,2,FALSE)),"")</f>
        <v/>
      </c>
      <c r="E142" s="8"/>
      <c r="F142" s="14" t="str">
        <f>IF(ISBLANK(E142),"",E142+Settings!$B$7)</f>
        <v/>
      </c>
      <c r="G142" s="8"/>
      <c r="H142" s="16" t="str">
        <f t="shared" ca="1" si="5"/>
        <v/>
      </c>
      <c r="I142" s="8"/>
    </row>
    <row r="143" spans="1:9" ht="15.75" x14ac:dyDescent="0.25">
      <c r="A143" s="14" t="str">
        <f t="shared" si="4"/>
        <v/>
      </c>
      <c r="B143" s="8"/>
      <c r="C143" s="8"/>
      <c r="D143" s="16" t="str">
        <f>IFERROR(IF(ISBLANK(C143),"",VLOOKUP(C143,Members!$A$2:$B$101,2,FALSE)),"")</f>
        <v/>
      </c>
      <c r="E143" s="8"/>
      <c r="F143" s="14" t="str">
        <f>IF(ISBLANK(E143),"",E143+Settings!$B$7)</f>
        <v/>
      </c>
      <c r="G143" s="8"/>
      <c r="H143" s="16" t="str">
        <f t="shared" ca="1" si="5"/>
        <v/>
      </c>
      <c r="I143" s="8"/>
    </row>
    <row r="144" spans="1:9" ht="15.75" x14ac:dyDescent="0.25">
      <c r="A144" s="14" t="str">
        <f t="shared" si="4"/>
        <v/>
      </c>
      <c r="B144" s="8"/>
      <c r="C144" s="8"/>
      <c r="D144" s="16" t="str">
        <f>IFERROR(IF(ISBLANK(C144),"",VLOOKUP(C144,Members!$A$2:$B$101,2,FALSE)),"")</f>
        <v/>
      </c>
      <c r="E144" s="8"/>
      <c r="F144" s="14" t="str">
        <f>IF(ISBLANK(E144),"",E144+Settings!$B$7)</f>
        <v/>
      </c>
      <c r="G144" s="8"/>
      <c r="H144" s="16" t="str">
        <f t="shared" ca="1" si="5"/>
        <v/>
      </c>
      <c r="I144" s="8"/>
    </row>
    <row r="145" spans="1:9" ht="15.75" x14ac:dyDescent="0.25">
      <c r="A145" s="14" t="str">
        <f t="shared" si="4"/>
        <v/>
      </c>
      <c r="B145" s="8"/>
      <c r="C145" s="8"/>
      <c r="D145" s="16" t="str">
        <f>IFERROR(IF(ISBLANK(C145),"",VLOOKUP(C145,Members!$A$2:$B$101,2,FALSE)),"")</f>
        <v/>
      </c>
      <c r="E145" s="8"/>
      <c r="F145" s="14" t="str">
        <f>IF(ISBLANK(E145),"",E145+Settings!$B$7)</f>
        <v/>
      </c>
      <c r="G145" s="8"/>
      <c r="H145" s="16" t="str">
        <f t="shared" ca="1" si="5"/>
        <v/>
      </c>
      <c r="I145" s="8"/>
    </row>
    <row r="146" spans="1:9" ht="15.75" x14ac:dyDescent="0.25">
      <c r="A146" s="14" t="str">
        <f t="shared" si="4"/>
        <v/>
      </c>
      <c r="B146" s="8"/>
      <c r="C146" s="8"/>
      <c r="D146" s="16" t="str">
        <f>IFERROR(IF(ISBLANK(C146),"",VLOOKUP(C146,Members!$A$2:$B$101,2,FALSE)),"")</f>
        <v/>
      </c>
      <c r="E146" s="8"/>
      <c r="F146" s="14" t="str">
        <f>IF(ISBLANK(E146),"",E146+Settings!$B$7)</f>
        <v/>
      </c>
      <c r="G146" s="8"/>
      <c r="H146" s="16" t="str">
        <f t="shared" ca="1" si="5"/>
        <v/>
      </c>
      <c r="I146" s="8"/>
    </row>
    <row r="147" spans="1:9" ht="15.75" x14ac:dyDescent="0.25">
      <c r="A147" s="14" t="str">
        <f t="shared" si="4"/>
        <v/>
      </c>
      <c r="B147" s="8"/>
      <c r="C147" s="8"/>
      <c r="D147" s="16" t="str">
        <f>IFERROR(IF(ISBLANK(C147),"",VLOOKUP(C147,Members!$A$2:$B$101,2,FALSE)),"")</f>
        <v/>
      </c>
      <c r="E147" s="8"/>
      <c r="F147" s="14" t="str">
        <f>IF(ISBLANK(E147),"",E147+Settings!$B$7)</f>
        <v/>
      </c>
      <c r="G147" s="8"/>
      <c r="H147" s="16" t="str">
        <f t="shared" ca="1" si="5"/>
        <v/>
      </c>
      <c r="I147" s="8"/>
    </row>
    <row r="148" spans="1:9" ht="15.75" x14ac:dyDescent="0.25">
      <c r="A148" s="14" t="str">
        <f t="shared" si="4"/>
        <v/>
      </c>
      <c r="B148" s="8"/>
      <c r="C148" s="8"/>
      <c r="D148" s="16" t="str">
        <f>IFERROR(IF(ISBLANK(C148),"",VLOOKUP(C148,Members!$A$2:$B$101,2,FALSE)),"")</f>
        <v/>
      </c>
      <c r="E148" s="8"/>
      <c r="F148" s="14" t="str">
        <f>IF(ISBLANK(E148),"",E148+Settings!$B$7)</f>
        <v/>
      </c>
      <c r="G148" s="8"/>
      <c r="H148" s="16" t="str">
        <f t="shared" ca="1" si="5"/>
        <v/>
      </c>
      <c r="I148" s="8"/>
    </row>
    <row r="149" spans="1:9" ht="15.75" x14ac:dyDescent="0.25">
      <c r="A149" s="14" t="str">
        <f t="shared" si="4"/>
        <v/>
      </c>
      <c r="B149" s="8"/>
      <c r="C149" s="8"/>
      <c r="D149" s="16" t="str">
        <f>IFERROR(IF(ISBLANK(C149),"",VLOOKUP(C149,Members!$A$2:$B$101,2,FALSE)),"")</f>
        <v/>
      </c>
      <c r="E149" s="8"/>
      <c r="F149" s="14" t="str">
        <f>IF(ISBLANK(E149),"",E149+Settings!$B$7)</f>
        <v/>
      </c>
      <c r="G149" s="8"/>
      <c r="H149" s="16" t="str">
        <f t="shared" ca="1" si="5"/>
        <v/>
      </c>
      <c r="I149" s="8"/>
    </row>
    <row r="150" spans="1:9" ht="15.75" x14ac:dyDescent="0.25">
      <c r="A150" s="14" t="str">
        <f t="shared" si="4"/>
        <v/>
      </c>
      <c r="B150" s="8"/>
      <c r="C150" s="8"/>
      <c r="D150" s="16" t="str">
        <f>IFERROR(IF(ISBLANK(C150),"",VLOOKUP(C150,Members!$A$2:$B$101,2,FALSE)),"")</f>
        <v/>
      </c>
      <c r="E150" s="8"/>
      <c r="F150" s="14" t="str">
        <f>IF(ISBLANK(E150),"",E150+Settings!$B$7)</f>
        <v/>
      </c>
      <c r="G150" s="8"/>
      <c r="H150" s="16" t="str">
        <f t="shared" ca="1" si="5"/>
        <v/>
      </c>
      <c r="I150" s="8"/>
    </row>
    <row r="151" spans="1:9" ht="15.75" x14ac:dyDescent="0.25">
      <c r="A151" s="14" t="str">
        <f t="shared" si="4"/>
        <v/>
      </c>
      <c r="B151" s="8"/>
      <c r="C151" s="8"/>
      <c r="D151" s="16" t="str">
        <f>IFERROR(IF(ISBLANK(C151),"",VLOOKUP(C151,Members!$A$2:$B$101,2,FALSE)),"")</f>
        <v/>
      </c>
      <c r="E151" s="8"/>
      <c r="F151" s="14" t="str">
        <f>IF(ISBLANK(E151),"",E151+Settings!$B$7)</f>
        <v/>
      </c>
      <c r="G151" s="8"/>
      <c r="H151" s="16" t="str">
        <f t="shared" ca="1" si="5"/>
        <v/>
      </c>
      <c r="I151" s="8"/>
    </row>
    <row r="152" spans="1:9" ht="15.75" x14ac:dyDescent="0.25">
      <c r="A152" s="14" t="str">
        <f t="shared" si="4"/>
        <v/>
      </c>
      <c r="B152" s="8"/>
      <c r="C152" s="8"/>
      <c r="D152" s="16" t="str">
        <f>IFERROR(IF(ISBLANK(C152),"",VLOOKUP(C152,Members!$A$2:$B$101,2,FALSE)),"")</f>
        <v/>
      </c>
      <c r="E152" s="8"/>
      <c r="F152" s="14" t="str">
        <f>IF(ISBLANK(E152),"",E152+Settings!$B$7)</f>
        <v/>
      </c>
      <c r="G152" s="8"/>
      <c r="H152" s="16" t="str">
        <f t="shared" ca="1" si="5"/>
        <v/>
      </c>
      <c r="I152" s="8"/>
    </row>
    <row r="153" spans="1:9" ht="15.75" x14ac:dyDescent="0.25">
      <c r="A153" s="14" t="str">
        <f t="shared" si="4"/>
        <v/>
      </c>
      <c r="B153" s="8"/>
      <c r="C153" s="8"/>
      <c r="D153" s="16" t="str">
        <f>IFERROR(IF(ISBLANK(C153),"",VLOOKUP(C153,Members!$A$2:$B$101,2,FALSE)),"")</f>
        <v/>
      </c>
      <c r="E153" s="8"/>
      <c r="F153" s="14" t="str">
        <f>IF(ISBLANK(E153),"",E153+Settings!$B$7)</f>
        <v/>
      </c>
      <c r="G153" s="8"/>
      <c r="H153" s="16" t="str">
        <f t="shared" ca="1" si="5"/>
        <v/>
      </c>
      <c r="I153" s="8"/>
    </row>
    <row r="154" spans="1:9" ht="15.75" x14ac:dyDescent="0.25">
      <c r="A154" s="14" t="str">
        <f t="shared" si="4"/>
        <v/>
      </c>
      <c r="B154" s="8"/>
      <c r="C154" s="8"/>
      <c r="D154" s="16" t="str">
        <f>IFERROR(IF(ISBLANK(C154),"",VLOOKUP(C154,Members!$A$2:$B$101,2,FALSE)),"")</f>
        <v/>
      </c>
      <c r="E154" s="8"/>
      <c r="F154" s="14" t="str">
        <f>IF(ISBLANK(E154),"",E154+Settings!$B$7)</f>
        <v/>
      </c>
      <c r="G154" s="8"/>
      <c r="H154" s="16" t="str">
        <f t="shared" ca="1" si="5"/>
        <v/>
      </c>
      <c r="I154" s="8"/>
    </row>
    <row r="155" spans="1:9" ht="15.75" x14ac:dyDescent="0.25">
      <c r="A155" s="14" t="str">
        <f t="shared" si="4"/>
        <v/>
      </c>
      <c r="B155" s="8"/>
      <c r="C155" s="8"/>
      <c r="D155" s="16" t="str">
        <f>IFERROR(IF(ISBLANK(C155),"",VLOOKUP(C155,Members!$A$2:$B$101,2,FALSE)),"")</f>
        <v/>
      </c>
      <c r="E155" s="8"/>
      <c r="F155" s="14" t="str">
        <f>IF(ISBLANK(E155),"",E155+Settings!$B$7)</f>
        <v/>
      </c>
      <c r="G155" s="8"/>
      <c r="H155" s="16" t="str">
        <f t="shared" ca="1" si="5"/>
        <v/>
      </c>
      <c r="I155" s="8"/>
    </row>
    <row r="156" spans="1:9" ht="15.75" x14ac:dyDescent="0.25">
      <c r="A156" s="14" t="str">
        <f t="shared" si="4"/>
        <v/>
      </c>
      <c r="B156" s="8"/>
      <c r="C156" s="8"/>
      <c r="D156" s="16" t="str">
        <f>IFERROR(IF(ISBLANK(C156),"",VLOOKUP(C156,Members!$A$2:$B$101,2,FALSE)),"")</f>
        <v/>
      </c>
      <c r="E156" s="8"/>
      <c r="F156" s="14" t="str">
        <f>IF(ISBLANK(E156),"",E156+Settings!$B$7)</f>
        <v/>
      </c>
      <c r="G156" s="8"/>
      <c r="H156" s="16" t="str">
        <f t="shared" ca="1" si="5"/>
        <v/>
      </c>
      <c r="I156" s="8"/>
    </row>
    <row r="157" spans="1:9" ht="15.75" x14ac:dyDescent="0.25">
      <c r="A157" s="14" t="str">
        <f t="shared" si="4"/>
        <v/>
      </c>
      <c r="B157" s="8"/>
      <c r="C157" s="8"/>
      <c r="D157" s="16" t="str">
        <f>IFERROR(IF(ISBLANK(C157),"",VLOOKUP(C157,Members!$A$2:$B$101,2,FALSE)),"")</f>
        <v/>
      </c>
      <c r="E157" s="8"/>
      <c r="F157" s="14" t="str">
        <f>IF(ISBLANK(E157),"",E157+Settings!$B$7)</f>
        <v/>
      </c>
      <c r="G157" s="8"/>
      <c r="H157" s="16" t="str">
        <f t="shared" ca="1" si="5"/>
        <v/>
      </c>
      <c r="I157" s="8"/>
    </row>
    <row r="158" spans="1:9" ht="15.75" x14ac:dyDescent="0.25">
      <c r="A158" s="14" t="str">
        <f t="shared" si="4"/>
        <v/>
      </c>
      <c r="B158" s="8"/>
      <c r="C158" s="8"/>
      <c r="D158" s="16" t="str">
        <f>IFERROR(IF(ISBLANK(C158),"",VLOOKUP(C158,Members!$A$2:$B$101,2,FALSE)),"")</f>
        <v/>
      </c>
      <c r="E158" s="8"/>
      <c r="F158" s="14" t="str">
        <f>IF(ISBLANK(E158),"",E158+Settings!$B$7)</f>
        <v/>
      </c>
      <c r="G158" s="8"/>
      <c r="H158" s="16" t="str">
        <f t="shared" ca="1" si="5"/>
        <v/>
      </c>
      <c r="I158" s="8"/>
    </row>
    <row r="159" spans="1:9" ht="15.75" x14ac:dyDescent="0.25">
      <c r="A159" s="14" t="str">
        <f t="shared" si="4"/>
        <v/>
      </c>
      <c r="B159" s="8"/>
      <c r="C159" s="8"/>
      <c r="D159" s="16" t="str">
        <f>IFERROR(IF(ISBLANK(C159),"",VLOOKUP(C159,Members!$A$2:$B$101,2,FALSE)),"")</f>
        <v/>
      </c>
      <c r="E159" s="8"/>
      <c r="F159" s="14" t="str">
        <f>IF(ISBLANK(E159),"",E159+Settings!$B$7)</f>
        <v/>
      </c>
      <c r="G159" s="8"/>
      <c r="H159" s="16" t="str">
        <f t="shared" ca="1" si="5"/>
        <v/>
      </c>
      <c r="I159" s="8"/>
    </row>
    <row r="160" spans="1:9" ht="15.75" x14ac:dyDescent="0.25">
      <c r="A160" s="14" t="str">
        <f t="shared" si="4"/>
        <v/>
      </c>
      <c r="B160" s="8"/>
      <c r="C160" s="8"/>
      <c r="D160" s="16" t="str">
        <f>IFERROR(IF(ISBLANK(C160),"",VLOOKUP(C160,Members!$A$2:$B$101,2,FALSE)),"")</f>
        <v/>
      </c>
      <c r="E160" s="8"/>
      <c r="F160" s="14" t="str">
        <f>IF(ISBLANK(E160),"",E160+Settings!$B$7)</f>
        <v/>
      </c>
      <c r="G160" s="8"/>
      <c r="H160" s="16" t="str">
        <f t="shared" ca="1" si="5"/>
        <v/>
      </c>
      <c r="I160" s="8"/>
    </row>
    <row r="161" spans="1:9" ht="15.75" x14ac:dyDescent="0.25">
      <c r="A161" s="14" t="str">
        <f t="shared" si="4"/>
        <v/>
      </c>
      <c r="B161" s="8"/>
      <c r="C161" s="8"/>
      <c r="D161" s="16" t="str">
        <f>IFERROR(IF(ISBLANK(C161),"",VLOOKUP(C161,Members!$A$2:$B$101,2,FALSE)),"")</f>
        <v/>
      </c>
      <c r="E161" s="8"/>
      <c r="F161" s="14" t="str">
        <f>IF(ISBLANK(E161),"",E161+Settings!$B$7)</f>
        <v/>
      </c>
      <c r="G161" s="8"/>
      <c r="H161" s="16" t="str">
        <f t="shared" ca="1" si="5"/>
        <v/>
      </c>
      <c r="I161" s="8"/>
    </row>
    <row r="162" spans="1:9" ht="15.75" x14ac:dyDescent="0.25">
      <c r="A162" s="14" t="str">
        <f t="shared" si="4"/>
        <v/>
      </c>
      <c r="B162" s="8"/>
      <c r="C162" s="8"/>
      <c r="D162" s="16" t="str">
        <f>IFERROR(IF(ISBLANK(C162),"",VLOOKUP(C162,Members!$A$2:$B$101,2,FALSE)),"")</f>
        <v/>
      </c>
      <c r="E162" s="8"/>
      <c r="F162" s="14" t="str">
        <f>IF(ISBLANK(E162),"",E162+Settings!$B$7)</f>
        <v/>
      </c>
      <c r="G162" s="8"/>
      <c r="H162" s="16" t="str">
        <f t="shared" ca="1" si="5"/>
        <v/>
      </c>
      <c r="I162" s="8"/>
    </row>
    <row r="163" spans="1:9" ht="15.75" x14ac:dyDescent="0.25">
      <c r="A163" s="14" t="str">
        <f t="shared" si="4"/>
        <v/>
      </c>
      <c r="B163" s="8"/>
      <c r="C163" s="8"/>
      <c r="D163" s="16" t="str">
        <f>IFERROR(IF(ISBLANK(C163),"",VLOOKUP(C163,Members!$A$2:$B$101,2,FALSE)),"")</f>
        <v/>
      </c>
      <c r="E163" s="8"/>
      <c r="F163" s="14" t="str">
        <f>IF(ISBLANK(E163),"",E163+Settings!$B$7)</f>
        <v/>
      </c>
      <c r="G163" s="8"/>
      <c r="H163" s="16" t="str">
        <f t="shared" ca="1" si="5"/>
        <v/>
      </c>
      <c r="I163" s="8"/>
    </row>
    <row r="164" spans="1:9" ht="15.75" x14ac:dyDescent="0.25">
      <c r="A164" s="14" t="str">
        <f t="shared" si="4"/>
        <v/>
      </c>
      <c r="B164" s="8"/>
      <c r="C164" s="8"/>
      <c r="D164" s="16" t="str">
        <f>IFERROR(IF(ISBLANK(C164),"",VLOOKUP(C164,Members!$A$2:$B$101,2,FALSE)),"")</f>
        <v/>
      </c>
      <c r="E164" s="8"/>
      <c r="F164" s="14" t="str">
        <f>IF(ISBLANK(E164),"",E164+Settings!$B$7)</f>
        <v/>
      </c>
      <c r="G164" s="8"/>
      <c r="H164" s="16" t="str">
        <f t="shared" ca="1" si="5"/>
        <v/>
      </c>
      <c r="I164" s="8"/>
    </row>
    <row r="165" spans="1:9" ht="15.75" x14ac:dyDescent="0.25">
      <c r="A165" s="14" t="str">
        <f t="shared" si="4"/>
        <v/>
      </c>
      <c r="B165" s="8"/>
      <c r="C165" s="8"/>
      <c r="D165" s="16" t="str">
        <f>IFERROR(IF(ISBLANK(C165),"",VLOOKUP(C165,Members!$A$2:$B$101,2,FALSE)),"")</f>
        <v/>
      </c>
      <c r="E165" s="8"/>
      <c r="F165" s="14" t="str">
        <f>IF(ISBLANK(E165),"",E165+Settings!$B$7)</f>
        <v/>
      </c>
      <c r="G165" s="8"/>
      <c r="H165" s="16" t="str">
        <f t="shared" ca="1" si="5"/>
        <v/>
      </c>
      <c r="I165" s="8"/>
    </row>
    <row r="166" spans="1:9" ht="15.75" x14ac:dyDescent="0.25">
      <c r="A166" s="14" t="str">
        <f t="shared" si="4"/>
        <v/>
      </c>
      <c r="B166" s="8"/>
      <c r="C166" s="8"/>
      <c r="D166" s="16" t="str">
        <f>IFERROR(IF(ISBLANK(C166),"",VLOOKUP(C166,Members!$A$2:$B$101,2,FALSE)),"")</f>
        <v/>
      </c>
      <c r="E166" s="8"/>
      <c r="F166" s="14" t="str">
        <f>IF(ISBLANK(E166),"",E166+Settings!$B$7)</f>
        <v/>
      </c>
      <c r="G166" s="8"/>
      <c r="H166" s="16" t="str">
        <f t="shared" ca="1" si="5"/>
        <v/>
      </c>
      <c r="I166" s="8"/>
    </row>
    <row r="167" spans="1:9" ht="15.75" x14ac:dyDescent="0.25">
      <c r="A167" s="14" t="str">
        <f t="shared" si="4"/>
        <v/>
      </c>
      <c r="B167" s="8"/>
      <c r="C167" s="8"/>
      <c r="D167" s="16" t="str">
        <f>IFERROR(IF(ISBLANK(C167),"",VLOOKUP(C167,Members!$A$2:$B$101,2,FALSE)),"")</f>
        <v/>
      </c>
      <c r="E167" s="8"/>
      <c r="F167" s="14" t="str">
        <f>IF(ISBLANK(E167),"",E167+Settings!$B$7)</f>
        <v/>
      </c>
      <c r="G167" s="8"/>
      <c r="H167" s="16" t="str">
        <f t="shared" ca="1" si="5"/>
        <v/>
      </c>
      <c r="I167" s="8"/>
    </row>
    <row r="168" spans="1:9" ht="15.75" x14ac:dyDescent="0.25">
      <c r="A168" s="14" t="str">
        <f t="shared" si="4"/>
        <v/>
      </c>
      <c r="B168" s="8"/>
      <c r="C168" s="8"/>
      <c r="D168" s="16" t="str">
        <f>IFERROR(IF(ISBLANK(C168),"",VLOOKUP(C168,Members!$A$2:$B$101,2,FALSE)),"")</f>
        <v/>
      </c>
      <c r="E168" s="8"/>
      <c r="F168" s="14" t="str">
        <f>IF(ISBLANK(E168),"",E168+Settings!$B$7)</f>
        <v/>
      </c>
      <c r="G168" s="8"/>
      <c r="H168" s="16" t="str">
        <f t="shared" ca="1" si="5"/>
        <v/>
      </c>
      <c r="I168" s="8"/>
    </row>
    <row r="169" spans="1:9" ht="15.75" x14ac:dyDescent="0.25">
      <c r="A169" s="14" t="str">
        <f t="shared" si="4"/>
        <v/>
      </c>
      <c r="B169" s="8"/>
      <c r="C169" s="8"/>
      <c r="D169" s="16" t="str">
        <f>IFERROR(IF(ISBLANK(C169),"",VLOOKUP(C169,Members!$A$2:$B$101,2,FALSE)),"")</f>
        <v/>
      </c>
      <c r="E169" s="8"/>
      <c r="F169" s="14" t="str">
        <f>IF(ISBLANK(E169),"",E169+Settings!$B$7)</f>
        <v/>
      </c>
      <c r="G169" s="8"/>
      <c r="H169" s="16" t="str">
        <f t="shared" ca="1" si="5"/>
        <v/>
      </c>
      <c r="I169" s="8"/>
    </row>
    <row r="170" spans="1:9" ht="15.75" x14ac:dyDescent="0.25">
      <c r="A170" s="14" t="str">
        <f t="shared" si="4"/>
        <v/>
      </c>
      <c r="B170" s="8"/>
      <c r="C170" s="8"/>
      <c r="D170" s="16" t="str">
        <f>IFERROR(IF(ISBLANK(C170),"",VLOOKUP(C170,Members!$A$2:$B$101,2,FALSE)),"")</f>
        <v/>
      </c>
      <c r="E170" s="8"/>
      <c r="F170" s="14" t="str">
        <f>IF(ISBLANK(E170),"",E170+Settings!$B$7)</f>
        <v/>
      </c>
      <c r="G170" s="8"/>
      <c r="H170" s="16" t="str">
        <f t="shared" ca="1" si="5"/>
        <v/>
      </c>
      <c r="I170" s="8"/>
    </row>
    <row r="171" spans="1:9" ht="15.75" x14ac:dyDescent="0.25">
      <c r="A171" s="14" t="str">
        <f t="shared" si="4"/>
        <v/>
      </c>
      <c r="B171" s="8"/>
      <c r="C171" s="8"/>
      <c r="D171" s="16" t="str">
        <f>IFERROR(IF(ISBLANK(C171),"",VLOOKUP(C171,Members!$A$2:$B$101,2,FALSE)),"")</f>
        <v/>
      </c>
      <c r="E171" s="8"/>
      <c r="F171" s="14" t="str">
        <f>IF(ISBLANK(E171),"",E171+Settings!$B$7)</f>
        <v/>
      </c>
      <c r="G171" s="8"/>
      <c r="H171" s="16" t="str">
        <f t="shared" ca="1" si="5"/>
        <v/>
      </c>
      <c r="I171" s="8"/>
    </row>
    <row r="172" spans="1:9" ht="15.75" x14ac:dyDescent="0.25">
      <c r="A172" s="14" t="str">
        <f t="shared" si="4"/>
        <v/>
      </c>
      <c r="B172" s="8"/>
      <c r="C172" s="8"/>
      <c r="D172" s="16" t="str">
        <f>IFERROR(IF(ISBLANK(C172),"",VLOOKUP(C172,Members!$A$2:$B$101,2,FALSE)),"")</f>
        <v/>
      </c>
      <c r="E172" s="8"/>
      <c r="F172" s="14" t="str">
        <f>IF(ISBLANK(E172),"",E172+Settings!$B$7)</f>
        <v/>
      </c>
      <c r="G172" s="8"/>
      <c r="H172" s="16" t="str">
        <f t="shared" ca="1" si="5"/>
        <v/>
      </c>
      <c r="I172" s="8"/>
    </row>
    <row r="173" spans="1:9" ht="15.75" x14ac:dyDescent="0.25">
      <c r="A173" s="14" t="str">
        <f t="shared" si="4"/>
        <v/>
      </c>
      <c r="B173" s="8"/>
      <c r="C173" s="8"/>
      <c r="D173" s="16" t="str">
        <f>IFERROR(IF(ISBLANK(C173),"",VLOOKUP(C173,Members!$A$2:$B$101,2,FALSE)),"")</f>
        <v/>
      </c>
      <c r="E173" s="8"/>
      <c r="F173" s="14" t="str">
        <f>IF(ISBLANK(E173),"",E173+Settings!$B$7)</f>
        <v/>
      </c>
      <c r="G173" s="8"/>
      <c r="H173" s="16" t="str">
        <f t="shared" ca="1" si="5"/>
        <v/>
      </c>
      <c r="I173" s="8"/>
    </row>
    <row r="174" spans="1:9" ht="15.75" x14ac:dyDescent="0.25">
      <c r="A174" s="14" t="str">
        <f t="shared" si="4"/>
        <v/>
      </c>
      <c r="B174" s="8"/>
      <c r="C174" s="8"/>
      <c r="D174" s="16" t="str">
        <f>IFERROR(IF(ISBLANK(C174),"",VLOOKUP(C174,Members!$A$2:$B$101,2,FALSE)),"")</f>
        <v/>
      </c>
      <c r="E174" s="8"/>
      <c r="F174" s="14" t="str">
        <f>IF(ISBLANK(E174),"",E174+Settings!$B$7)</f>
        <v/>
      </c>
      <c r="G174" s="8"/>
      <c r="H174" s="16" t="str">
        <f t="shared" ca="1" si="5"/>
        <v/>
      </c>
      <c r="I174" s="8"/>
    </row>
    <row r="175" spans="1:9" ht="15.75" x14ac:dyDescent="0.25">
      <c r="A175" s="14" t="str">
        <f t="shared" si="4"/>
        <v/>
      </c>
      <c r="B175" s="8"/>
      <c r="C175" s="8"/>
      <c r="D175" s="16" t="str">
        <f>IFERROR(IF(ISBLANK(C175),"",VLOOKUP(C175,Members!$A$2:$B$101,2,FALSE)),"")</f>
        <v/>
      </c>
      <c r="E175" s="8"/>
      <c r="F175" s="14" t="str">
        <f>IF(ISBLANK(E175),"",E175+Settings!$B$7)</f>
        <v/>
      </c>
      <c r="G175" s="8"/>
      <c r="H175" s="16" t="str">
        <f t="shared" ca="1" si="5"/>
        <v/>
      </c>
      <c r="I175" s="8"/>
    </row>
    <row r="176" spans="1:9" ht="15.75" x14ac:dyDescent="0.25">
      <c r="A176" s="14" t="str">
        <f t="shared" si="4"/>
        <v/>
      </c>
      <c r="B176" s="8"/>
      <c r="C176" s="8"/>
      <c r="D176" s="16" t="str">
        <f>IFERROR(IF(ISBLANK(C176),"",VLOOKUP(C176,Members!$A$2:$B$101,2,FALSE)),"")</f>
        <v/>
      </c>
      <c r="E176" s="8"/>
      <c r="F176" s="14" t="str">
        <f>IF(ISBLANK(E176),"",E176+Settings!$B$7)</f>
        <v/>
      </c>
      <c r="G176" s="8"/>
      <c r="H176" s="16" t="str">
        <f t="shared" ca="1" si="5"/>
        <v/>
      </c>
      <c r="I176" s="8"/>
    </row>
    <row r="177" spans="1:9" ht="15.75" x14ac:dyDescent="0.25">
      <c r="A177" s="14" t="str">
        <f t="shared" si="4"/>
        <v/>
      </c>
      <c r="B177" s="8"/>
      <c r="C177" s="8"/>
      <c r="D177" s="16" t="str">
        <f>IFERROR(IF(ISBLANK(C177),"",VLOOKUP(C177,Members!$A$2:$B$101,2,FALSE)),"")</f>
        <v/>
      </c>
      <c r="E177" s="8"/>
      <c r="F177" s="14" t="str">
        <f>IF(ISBLANK(E177),"",E177+Settings!$B$7)</f>
        <v/>
      </c>
      <c r="G177" s="8"/>
      <c r="H177" s="16" t="str">
        <f t="shared" ca="1" si="5"/>
        <v/>
      </c>
      <c r="I177" s="8"/>
    </row>
    <row r="178" spans="1:9" ht="15.75" x14ac:dyDescent="0.25">
      <c r="A178" s="14" t="str">
        <f t="shared" si="4"/>
        <v/>
      </c>
      <c r="B178" s="8"/>
      <c r="C178" s="8"/>
      <c r="D178" s="16" t="str">
        <f>IFERROR(IF(ISBLANK(C178),"",VLOOKUP(C178,Members!$A$2:$B$101,2,FALSE)),"")</f>
        <v/>
      </c>
      <c r="E178" s="8"/>
      <c r="F178" s="14" t="str">
        <f>IF(ISBLANK(E178),"",E178+Settings!$B$7)</f>
        <v/>
      </c>
      <c r="G178" s="8"/>
      <c r="H178" s="16" t="str">
        <f t="shared" ca="1" si="5"/>
        <v/>
      </c>
      <c r="I178" s="8"/>
    </row>
    <row r="179" spans="1:9" ht="15.75" x14ac:dyDescent="0.25">
      <c r="A179" s="14" t="str">
        <f t="shared" si="4"/>
        <v/>
      </c>
      <c r="B179" s="8"/>
      <c r="C179" s="8"/>
      <c r="D179" s="16" t="str">
        <f>IFERROR(IF(ISBLANK(C179),"",VLOOKUP(C179,Members!$A$2:$B$101,2,FALSE)),"")</f>
        <v/>
      </c>
      <c r="E179" s="8"/>
      <c r="F179" s="14" t="str">
        <f>IF(ISBLANK(E179),"",E179+Settings!$B$7)</f>
        <v/>
      </c>
      <c r="G179" s="8"/>
      <c r="H179" s="16" t="str">
        <f t="shared" ca="1" si="5"/>
        <v/>
      </c>
      <c r="I179" s="8"/>
    </row>
    <row r="180" spans="1:9" ht="15.75" x14ac:dyDescent="0.25">
      <c r="A180" s="14" t="str">
        <f t="shared" si="4"/>
        <v/>
      </c>
      <c r="B180" s="8"/>
      <c r="C180" s="8"/>
      <c r="D180" s="16" t="str">
        <f>IFERROR(IF(ISBLANK(C180),"",VLOOKUP(C180,Members!$A$2:$B$101,2,FALSE)),"")</f>
        <v/>
      </c>
      <c r="E180" s="8"/>
      <c r="F180" s="14" t="str">
        <f>IF(ISBLANK(E180),"",E180+Settings!$B$7)</f>
        <v/>
      </c>
      <c r="G180" s="8"/>
      <c r="H180" s="16" t="str">
        <f t="shared" ca="1" si="5"/>
        <v/>
      </c>
      <c r="I180" s="8"/>
    </row>
    <row r="181" spans="1:9" ht="15.75" x14ac:dyDescent="0.25">
      <c r="A181" s="14" t="str">
        <f t="shared" si="4"/>
        <v/>
      </c>
      <c r="B181" s="8"/>
      <c r="C181" s="8"/>
      <c r="D181" s="16" t="str">
        <f>IFERROR(IF(ISBLANK(C181),"",VLOOKUP(C181,Members!$A$2:$B$101,2,FALSE)),"")</f>
        <v/>
      </c>
      <c r="E181" s="8"/>
      <c r="F181" s="14" t="str">
        <f>IF(ISBLANK(E181),"",E181+Settings!$B$7)</f>
        <v/>
      </c>
      <c r="G181" s="8"/>
      <c r="H181" s="16" t="str">
        <f t="shared" ca="1" si="5"/>
        <v/>
      </c>
      <c r="I181" s="8"/>
    </row>
    <row r="182" spans="1:9" ht="15.75" x14ac:dyDescent="0.25">
      <c r="A182" s="14" t="str">
        <f t="shared" si="4"/>
        <v/>
      </c>
      <c r="B182" s="8"/>
      <c r="C182" s="8"/>
      <c r="D182" s="16" t="str">
        <f>IFERROR(IF(ISBLANK(C182),"",VLOOKUP(C182,Members!$A$2:$B$101,2,FALSE)),"")</f>
        <v/>
      </c>
      <c r="E182" s="8"/>
      <c r="F182" s="14" t="str">
        <f>IF(ISBLANK(E182),"",E182+Settings!$B$7)</f>
        <v/>
      </c>
      <c r="G182" s="8"/>
      <c r="H182" s="16" t="str">
        <f t="shared" ca="1" si="5"/>
        <v/>
      </c>
      <c r="I182" s="8"/>
    </row>
    <row r="183" spans="1:9" ht="15.75" x14ac:dyDescent="0.25">
      <c r="A183" s="14" t="str">
        <f t="shared" si="4"/>
        <v/>
      </c>
      <c r="B183" s="8"/>
      <c r="C183" s="8"/>
      <c r="D183" s="16" t="str">
        <f>IFERROR(IF(ISBLANK(C183),"",VLOOKUP(C183,Members!$A$2:$B$101,2,FALSE)),"")</f>
        <v/>
      </c>
      <c r="E183" s="8"/>
      <c r="F183" s="14" t="str">
        <f>IF(ISBLANK(E183),"",E183+Settings!$B$7)</f>
        <v/>
      </c>
      <c r="G183" s="8"/>
      <c r="H183" s="16" t="str">
        <f t="shared" ca="1" si="5"/>
        <v/>
      </c>
      <c r="I183" s="8"/>
    </row>
    <row r="184" spans="1:9" ht="15.75" x14ac:dyDescent="0.25">
      <c r="A184" s="14" t="str">
        <f t="shared" si="4"/>
        <v/>
      </c>
      <c r="B184" s="8"/>
      <c r="C184" s="8"/>
      <c r="D184" s="16" t="str">
        <f>IFERROR(IF(ISBLANK(C184),"",VLOOKUP(C184,Members!$A$2:$B$101,2,FALSE)),"")</f>
        <v/>
      </c>
      <c r="E184" s="8"/>
      <c r="F184" s="14" t="str">
        <f>IF(ISBLANK(E184),"",E184+Settings!$B$7)</f>
        <v/>
      </c>
      <c r="G184" s="8"/>
      <c r="H184" s="16" t="str">
        <f t="shared" ca="1" si="5"/>
        <v/>
      </c>
      <c r="I184" s="8"/>
    </row>
    <row r="185" spans="1:9" ht="15.75" x14ac:dyDescent="0.25">
      <c r="A185" s="14" t="str">
        <f t="shared" si="4"/>
        <v/>
      </c>
      <c r="B185" s="8"/>
      <c r="C185" s="8"/>
      <c r="D185" s="16" t="str">
        <f>IFERROR(IF(ISBLANK(C185),"",VLOOKUP(C185,Members!$A$2:$B$101,2,FALSE)),"")</f>
        <v/>
      </c>
      <c r="E185" s="8"/>
      <c r="F185" s="14" t="str">
        <f>IF(ISBLANK(E185),"",E185+Settings!$B$7)</f>
        <v/>
      </c>
      <c r="G185" s="8"/>
      <c r="H185" s="16" t="str">
        <f t="shared" ca="1" si="5"/>
        <v/>
      </c>
      <c r="I185" s="8"/>
    </row>
    <row r="186" spans="1:9" ht="15.75" x14ac:dyDescent="0.25">
      <c r="A186" s="14" t="str">
        <f t="shared" si="4"/>
        <v/>
      </c>
      <c r="B186" s="8"/>
      <c r="C186" s="8"/>
      <c r="D186" s="16" t="str">
        <f>IFERROR(IF(ISBLANK(C186),"",VLOOKUP(C186,Members!$A$2:$B$101,2,FALSE)),"")</f>
        <v/>
      </c>
      <c r="E186" s="8"/>
      <c r="F186" s="14" t="str">
        <f>IF(ISBLANK(E186),"",E186+Settings!$B$7)</f>
        <v/>
      </c>
      <c r="G186" s="8"/>
      <c r="H186" s="16" t="str">
        <f t="shared" ca="1" si="5"/>
        <v/>
      </c>
      <c r="I186" s="8"/>
    </row>
    <row r="187" spans="1:9" ht="15.75" x14ac:dyDescent="0.25">
      <c r="A187" s="14" t="str">
        <f t="shared" si="4"/>
        <v/>
      </c>
      <c r="B187" s="8"/>
      <c r="C187" s="8"/>
      <c r="D187" s="16" t="str">
        <f>IFERROR(IF(ISBLANK(C187),"",VLOOKUP(C187,Members!$A$2:$B$101,2,FALSE)),"")</f>
        <v/>
      </c>
      <c r="E187" s="8"/>
      <c r="F187" s="14" t="str">
        <f>IF(ISBLANK(E187),"",E187+Settings!$B$7)</f>
        <v/>
      </c>
      <c r="G187" s="8"/>
      <c r="H187" s="16" t="str">
        <f t="shared" ca="1" si="5"/>
        <v/>
      </c>
      <c r="I187" s="8"/>
    </row>
    <row r="188" spans="1:9" ht="15.75" x14ac:dyDescent="0.25">
      <c r="A188" s="14" t="str">
        <f t="shared" si="4"/>
        <v/>
      </c>
      <c r="B188" s="8"/>
      <c r="C188" s="8"/>
      <c r="D188" s="16" t="str">
        <f>IFERROR(IF(ISBLANK(C188),"",VLOOKUP(C188,Members!$A$2:$B$101,2,FALSE)),"")</f>
        <v/>
      </c>
      <c r="E188" s="8"/>
      <c r="F188" s="14" t="str">
        <f>IF(ISBLANK(E188),"",E188+Settings!$B$7)</f>
        <v/>
      </c>
      <c r="G188" s="8"/>
      <c r="H188" s="16" t="str">
        <f t="shared" ca="1" si="5"/>
        <v/>
      </c>
      <c r="I188" s="8"/>
    </row>
    <row r="189" spans="1:9" ht="15.75" x14ac:dyDescent="0.25">
      <c r="A189" s="14" t="str">
        <f t="shared" si="4"/>
        <v/>
      </c>
      <c r="B189" s="8"/>
      <c r="C189" s="8"/>
      <c r="D189" s="16" t="str">
        <f>IFERROR(IF(ISBLANK(C189),"",VLOOKUP(C189,Members!$A$2:$B$101,2,FALSE)),"")</f>
        <v/>
      </c>
      <c r="E189" s="8"/>
      <c r="F189" s="14" t="str">
        <f>IF(ISBLANK(E189),"",E189+Settings!$B$7)</f>
        <v/>
      </c>
      <c r="G189" s="8"/>
      <c r="H189" s="16" t="str">
        <f t="shared" ca="1" si="5"/>
        <v/>
      </c>
      <c r="I189" s="8"/>
    </row>
    <row r="190" spans="1:9" ht="15.75" x14ac:dyDescent="0.25">
      <c r="A190" s="14" t="str">
        <f t="shared" si="4"/>
        <v/>
      </c>
      <c r="B190" s="8"/>
      <c r="C190" s="8"/>
      <c r="D190" s="16" t="str">
        <f>IFERROR(IF(ISBLANK(C190),"",VLOOKUP(C190,Members!$A$2:$B$101,2,FALSE)),"")</f>
        <v/>
      </c>
      <c r="E190" s="8"/>
      <c r="F190" s="14" t="str">
        <f>IF(ISBLANK(E190),"",E190+Settings!$B$7)</f>
        <v/>
      </c>
      <c r="G190" s="8"/>
      <c r="H190" s="16" t="str">
        <f t="shared" ca="1" si="5"/>
        <v/>
      </c>
      <c r="I190" s="8"/>
    </row>
    <row r="191" spans="1:9" ht="15.75" x14ac:dyDescent="0.25">
      <c r="A191" s="14" t="str">
        <f t="shared" si="4"/>
        <v/>
      </c>
      <c r="B191" s="8"/>
      <c r="C191" s="8"/>
      <c r="D191" s="16" t="str">
        <f>IFERROR(IF(ISBLANK(C191),"",VLOOKUP(C191,Members!$A$2:$B$101,2,FALSE)),"")</f>
        <v/>
      </c>
      <c r="E191" s="8"/>
      <c r="F191" s="14" t="str">
        <f>IF(ISBLANK(E191),"",E191+Settings!$B$7)</f>
        <v/>
      </c>
      <c r="G191" s="8"/>
      <c r="H191" s="16" t="str">
        <f t="shared" ca="1" si="5"/>
        <v/>
      </c>
      <c r="I191" s="8"/>
    </row>
    <row r="192" spans="1:9" ht="15.75" x14ac:dyDescent="0.25">
      <c r="A192" s="14" t="str">
        <f t="shared" si="4"/>
        <v/>
      </c>
      <c r="B192" s="8"/>
      <c r="C192" s="8"/>
      <c r="D192" s="16" t="str">
        <f>IFERROR(IF(ISBLANK(C192),"",VLOOKUP(C192,Members!$A$2:$B$101,2,FALSE)),"")</f>
        <v/>
      </c>
      <c r="E192" s="8"/>
      <c r="F192" s="14" t="str">
        <f>IF(ISBLANK(E192),"",E192+Settings!$B$7)</f>
        <v/>
      </c>
      <c r="G192" s="8"/>
      <c r="H192" s="16" t="str">
        <f t="shared" ca="1" si="5"/>
        <v/>
      </c>
      <c r="I192" s="8"/>
    </row>
    <row r="193" spans="1:9" ht="15.75" x14ac:dyDescent="0.25">
      <c r="A193" s="14" t="str">
        <f t="shared" si="4"/>
        <v/>
      </c>
      <c r="B193" s="8"/>
      <c r="C193" s="8"/>
      <c r="D193" s="16" t="str">
        <f>IFERROR(IF(ISBLANK(C193),"",VLOOKUP(C193,Members!$A$2:$B$101,2,FALSE)),"")</f>
        <v/>
      </c>
      <c r="E193" s="8"/>
      <c r="F193" s="14" t="str">
        <f>IF(ISBLANK(E193),"",E193+Settings!$B$7)</f>
        <v/>
      </c>
      <c r="G193" s="8"/>
      <c r="H193" s="16" t="str">
        <f t="shared" ca="1" si="5"/>
        <v/>
      </c>
      <c r="I193" s="8"/>
    </row>
    <row r="194" spans="1:9" ht="15.75" x14ac:dyDescent="0.25">
      <c r="A194" s="14" t="str">
        <f t="shared" ref="A194:A257" si="6">IF(ISBLANK(B194),"",ROW()-1)</f>
        <v/>
      </c>
      <c r="B194" s="8"/>
      <c r="C194" s="8"/>
      <c r="D194" s="16" t="str">
        <f>IFERROR(IF(ISBLANK(C194),"",VLOOKUP(C194,Members!$A$2:$B$101,2,FALSE)),"")</f>
        <v/>
      </c>
      <c r="E194" s="8"/>
      <c r="F194" s="14" t="str">
        <f>IF(ISBLANK(E194),"",E194+Settings!$B$7)</f>
        <v/>
      </c>
      <c r="G194" s="8"/>
      <c r="H194" s="16" t="str">
        <f t="shared" ref="H194:H257" ca="1" si="7">IF(ISBLANK(B194),"",IF(NOT(ISBLANK(G194)),"Returned",IF(TODAY()&gt;F194,"Overdue","Active")))</f>
        <v/>
      </c>
      <c r="I194" s="8"/>
    </row>
    <row r="195" spans="1:9" ht="15.75" x14ac:dyDescent="0.25">
      <c r="A195" s="14" t="str">
        <f t="shared" si="6"/>
        <v/>
      </c>
      <c r="B195" s="8"/>
      <c r="C195" s="8"/>
      <c r="D195" s="16" t="str">
        <f>IFERROR(IF(ISBLANK(C195),"",VLOOKUP(C195,Members!$A$2:$B$101,2,FALSE)),"")</f>
        <v/>
      </c>
      <c r="E195" s="8"/>
      <c r="F195" s="14" t="str">
        <f>IF(ISBLANK(E195),"",E195+Settings!$B$7)</f>
        <v/>
      </c>
      <c r="G195" s="8"/>
      <c r="H195" s="16" t="str">
        <f t="shared" ca="1" si="7"/>
        <v/>
      </c>
      <c r="I195" s="8"/>
    </row>
    <row r="196" spans="1:9" ht="15.75" x14ac:dyDescent="0.25">
      <c r="A196" s="14" t="str">
        <f t="shared" si="6"/>
        <v/>
      </c>
      <c r="B196" s="8"/>
      <c r="C196" s="8"/>
      <c r="D196" s="16" t="str">
        <f>IFERROR(IF(ISBLANK(C196),"",VLOOKUP(C196,Members!$A$2:$B$101,2,FALSE)),"")</f>
        <v/>
      </c>
      <c r="E196" s="8"/>
      <c r="F196" s="14" t="str">
        <f>IF(ISBLANK(E196),"",E196+Settings!$B$7)</f>
        <v/>
      </c>
      <c r="G196" s="8"/>
      <c r="H196" s="16" t="str">
        <f t="shared" ca="1" si="7"/>
        <v/>
      </c>
      <c r="I196" s="8"/>
    </row>
    <row r="197" spans="1:9" ht="15.75" x14ac:dyDescent="0.25">
      <c r="A197" s="14" t="str">
        <f t="shared" si="6"/>
        <v/>
      </c>
      <c r="B197" s="8"/>
      <c r="C197" s="8"/>
      <c r="D197" s="16" t="str">
        <f>IFERROR(IF(ISBLANK(C197),"",VLOOKUP(C197,Members!$A$2:$B$101,2,FALSE)),"")</f>
        <v/>
      </c>
      <c r="E197" s="8"/>
      <c r="F197" s="14" t="str">
        <f>IF(ISBLANK(E197),"",E197+Settings!$B$7)</f>
        <v/>
      </c>
      <c r="G197" s="8"/>
      <c r="H197" s="16" t="str">
        <f t="shared" ca="1" si="7"/>
        <v/>
      </c>
      <c r="I197" s="8"/>
    </row>
    <row r="198" spans="1:9" ht="15.75" x14ac:dyDescent="0.25">
      <c r="A198" s="14" t="str">
        <f t="shared" si="6"/>
        <v/>
      </c>
      <c r="B198" s="8"/>
      <c r="C198" s="8"/>
      <c r="D198" s="16" t="str">
        <f>IFERROR(IF(ISBLANK(C198),"",VLOOKUP(C198,Members!$A$2:$B$101,2,FALSE)),"")</f>
        <v/>
      </c>
      <c r="E198" s="8"/>
      <c r="F198" s="14" t="str">
        <f>IF(ISBLANK(E198),"",E198+Settings!$B$7)</f>
        <v/>
      </c>
      <c r="G198" s="8"/>
      <c r="H198" s="16" t="str">
        <f t="shared" ca="1" si="7"/>
        <v/>
      </c>
      <c r="I198" s="8"/>
    </row>
    <row r="199" spans="1:9" ht="15.75" x14ac:dyDescent="0.25">
      <c r="A199" s="14" t="str">
        <f t="shared" si="6"/>
        <v/>
      </c>
      <c r="B199" s="8"/>
      <c r="C199" s="8"/>
      <c r="D199" s="16" t="str">
        <f>IFERROR(IF(ISBLANK(C199),"",VLOOKUP(C199,Members!$A$2:$B$101,2,FALSE)),"")</f>
        <v/>
      </c>
      <c r="E199" s="8"/>
      <c r="F199" s="14" t="str">
        <f>IF(ISBLANK(E199),"",E199+Settings!$B$7)</f>
        <v/>
      </c>
      <c r="G199" s="8"/>
      <c r="H199" s="16" t="str">
        <f t="shared" ca="1" si="7"/>
        <v/>
      </c>
      <c r="I199" s="8"/>
    </row>
    <row r="200" spans="1:9" ht="15.75" x14ac:dyDescent="0.25">
      <c r="A200" s="14" t="str">
        <f t="shared" si="6"/>
        <v/>
      </c>
      <c r="B200" s="8"/>
      <c r="C200" s="8"/>
      <c r="D200" s="16" t="str">
        <f>IFERROR(IF(ISBLANK(C200),"",VLOOKUP(C200,Members!$A$2:$B$101,2,FALSE)),"")</f>
        <v/>
      </c>
      <c r="E200" s="8"/>
      <c r="F200" s="14" t="str">
        <f>IF(ISBLANK(E200),"",E200+Settings!$B$7)</f>
        <v/>
      </c>
      <c r="G200" s="8"/>
      <c r="H200" s="16" t="str">
        <f t="shared" ca="1" si="7"/>
        <v/>
      </c>
      <c r="I200" s="8"/>
    </row>
    <row r="201" spans="1:9" ht="15.75" x14ac:dyDescent="0.25">
      <c r="A201" s="14" t="str">
        <f t="shared" si="6"/>
        <v/>
      </c>
      <c r="B201" s="8"/>
      <c r="C201" s="8"/>
      <c r="D201" s="16" t="str">
        <f>IFERROR(IF(ISBLANK(C201),"",VLOOKUP(C201,Members!$A$2:$B$101,2,FALSE)),"")</f>
        <v/>
      </c>
      <c r="E201" s="8"/>
      <c r="F201" s="14" t="str">
        <f>IF(ISBLANK(E201),"",E201+Settings!$B$7)</f>
        <v/>
      </c>
      <c r="G201" s="8"/>
      <c r="H201" s="16" t="str">
        <f t="shared" ca="1" si="7"/>
        <v/>
      </c>
      <c r="I201" s="8"/>
    </row>
    <row r="202" spans="1:9" ht="15.75" x14ac:dyDescent="0.25">
      <c r="A202" s="14" t="str">
        <f t="shared" si="6"/>
        <v/>
      </c>
      <c r="B202" s="8"/>
      <c r="C202" s="8"/>
      <c r="D202" s="16" t="str">
        <f>IFERROR(IF(ISBLANK(C202),"",VLOOKUP(C202,Members!$A$2:$B$101,2,FALSE)),"")</f>
        <v/>
      </c>
      <c r="E202" s="8"/>
      <c r="F202" s="14" t="str">
        <f>IF(ISBLANK(E202),"",E202+Settings!$B$7)</f>
        <v/>
      </c>
      <c r="G202" s="8"/>
      <c r="H202" s="16" t="str">
        <f t="shared" ca="1" si="7"/>
        <v/>
      </c>
      <c r="I202" s="8"/>
    </row>
    <row r="203" spans="1:9" ht="15.75" x14ac:dyDescent="0.25">
      <c r="A203" s="14" t="str">
        <f t="shared" si="6"/>
        <v/>
      </c>
      <c r="B203" s="8"/>
      <c r="C203" s="8"/>
      <c r="D203" s="16" t="str">
        <f>IFERROR(IF(ISBLANK(C203),"",VLOOKUP(C203,Members!$A$2:$B$101,2,FALSE)),"")</f>
        <v/>
      </c>
      <c r="E203" s="8"/>
      <c r="F203" s="14" t="str">
        <f>IF(ISBLANK(E203),"",E203+Settings!$B$7)</f>
        <v/>
      </c>
      <c r="G203" s="8"/>
      <c r="H203" s="16" t="str">
        <f t="shared" ca="1" si="7"/>
        <v/>
      </c>
      <c r="I203" s="8"/>
    </row>
    <row r="204" spans="1:9" ht="15.75" x14ac:dyDescent="0.25">
      <c r="A204" s="14" t="str">
        <f t="shared" si="6"/>
        <v/>
      </c>
      <c r="B204" s="8"/>
      <c r="C204" s="8"/>
      <c r="D204" s="16" t="str">
        <f>IFERROR(IF(ISBLANK(C204),"",VLOOKUP(C204,Members!$A$2:$B$101,2,FALSE)),"")</f>
        <v/>
      </c>
      <c r="E204" s="8"/>
      <c r="F204" s="14" t="str">
        <f>IF(ISBLANK(E204),"",E204+Settings!$B$7)</f>
        <v/>
      </c>
      <c r="G204" s="8"/>
      <c r="H204" s="16" t="str">
        <f t="shared" ca="1" si="7"/>
        <v/>
      </c>
      <c r="I204" s="8"/>
    </row>
    <row r="205" spans="1:9" ht="15.75" x14ac:dyDescent="0.25">
      <c r="A205" s="14" t="str">
        <f t="shared" si="6"/>
        <v/>
      </c>
      <c r="B205" s="8"/>
      <c r="C205" s="8"/>
      <c r="D205" s="16" t="str">
        <f>IFERROR(IF(ISBLANK(C205),"",VLOOKUP(C205,Members!$A$2:$B$101,2,FALSE)),"")</f>
        <v/>
      </c>
      <c r="E205" s="8"/>
      <c r="F205" s="14" t="str">
        <f>IF(ISBLANK(E205),"",E205+Settings!$B$7)</f>
        <v/>
      </c>
      <c r="G205" s="8"/>
      <c r="H205" s="16" t="str">
        <f t="shared" ca="1" si="7"/>
        <v/>
      </c>
      <c r="I205" s="8"/>
    </row>
    <row r="206" spans="1:9" ht="15.75" x14ac:dyDescent="0.25">
      <c r="A206" s="14" t="str">
        <f t="shared" si="6"/>
        <v/>
      </c>
      <c r="B206" s="8"/>
      <c r="C206" s="8"/>
      <c r="D206" s="16" t="str">
        <f>IFERROR(IF(ISBLANK(C206),"",VLOOKUP(C206,Members!$A$2:$B$101,2,FALSE)),"")</f>
        <v/>
      </c>
      <c r="E206" s="8"/>
      <c r="F206" s="14" t="str">
        <f>IF(ISBLANK(E206),"",E206+Settings!$B$7)</f>
        <v/>
      </c>
      <c r="G206" s="8"/>
      <c r="H206" s="16" t="str">
        <f t="shared" ca="1" si="7"/>
        <v/>
      </c>
      <c r="I206" s="8"/>
    </row>
    <row r="207" spans="1:9" ht="15.75" x14ac:dyDescent="0.25">
      <c r="A207" s="14" t="str">
        <f t="shared" si="6"/>
        <v/>
      </c>
      <c r="B207" s="8"/>
      <c r="C207" s="8"/>
      <c r="D207" s="16" t="str">
        <f>IFERROR(IF(ISBLANK(C207),"",VLOOKUP(C207,Members!$A$2:$B$101,2,FALSE)),"")</f>
        <v/>
      </c>
      <c r="E207" s="8"/>
      <c r="F207" s="14" t="str">
        <f>IF(ISBLANK(E207),"",E207+Settings!$B$7)</f>
        <v/>
      </c>
      <c r="G207" s="8"/>
      <c r="H207" s="16" t="str">
        <f t="shared" ca="1" si="7"/>
        <v/>
      </c>
      <c r="I207" s="8"/>
    </row>
    <row r="208" spans="1:9" ht="15.75" x14ac:dyDescent="0.25">
      <c r="A208" s="14" t="str">
        <f t="shared" si="6"/>
        <v/>
      </c>
      <c r="B208" s="8"/>
      <c r="C208" s="8"/>
      <c r="D208" s="16" t="str">
        <f>IFERROR(IF(ISBLANK(C208),"",VLOOKUP(C208,Members!$A$2:$B$101,2,FALSE)),"")</f>
        <v/>
      </c>
      <c r="E208" s="8"/>
      <c r="F208" s="14" t="str">
        <f>IF(ISBLANK(E208),"",E208+Settings!$B$7)</f>
        <v/>
      </c>
      <c r="G208" s="8"/>
      <c r="H208" s="16" t="str">
        <f t="shared" ca="1" si="7"/>
        <v/>
      </c>
      <c r="I208" s="8"/>
    </row>
    <row r="209" spans="1:9" ht="15.75" x14ac:dyDescent="0.25">
      <c r="A209" s="14" t="str">
        <f t="shared" si="6"/>
        <v/>
      </c>
      <c r="B209" s="8"/>
      <c r="C209" s="8"/>
      <c r="D209" s="16" t="str">
        <f>IFERROR(IF(ISBLANK(C209),"",VLOOKUP(C209,Members!$A$2:$B$101,2,FALSE)),"")</f>
        <v/>
      </c>
      <c r="E209" s="8"/>
      <c r="F209" s="14" t="str">
        <f>IF(ISBLANK(E209),"",E209+Settings!$B$7)</f>
        <v/>
      </c>
      <c r="G209" s="8"/>
      <c r="H209" s="16" t="str">
        <f t="shared" ca="1" si="7"/>
        <v/>
      </c>
      <c r="I209" s="8"/>
    </row>
    <row r="210" spans="1:9" ht="15.75" x14ac:dyDescent="0.25">
      <c r="A210" s="14" t="str">
        <f t="shared" si="6"/>
        <v/>
      </c>
      <c r="B210" s="8"/>
      <c r="C210" s="8"/>
      <c r="D210" s="16" t="str">
        <f>IFERROR(IF(ISBLANK(C210),"",VLOOKUP(C210,Members!$A$2:$B$101,2,FALSE)),"")</f>
        <v/>
      </c>
      <c r="E210" s="8"/>
      <c r="F210" s="14" t="str">
        <f>IF(ISBLANK(E210),"",E210+Settings!$B$7)</f>
        <v/>
      </c>
      <c r="G210" s="8"/>
      <c r="H210" s="16" t="str">
        <f t="shared" ca="1" si="7"/>
        <v/>
      </c>
      <c r="I210" s="8"/>
    </row>
    <row r="211" spans="1:9" ht="15.75" x14ac:dyDescent="0.25">
      <c r="A211" s="14" t="str">
        <f t="shared" si="6"/>
        <v/>
      </c>
      <c r="B211" s="8"/>
      <c r="C211" s="8"/>
      <c r="D211" s="16" t="str">
        <f>IFERROR(IF(ISBLANK(C211),"",VLOOKUP(C211,Members!$A$2:$B$101,2,FALSE)),"")</f>
        <v/>
      </c>
      <c r="E211" s="8"/>
      <c r="F211" s="14" t="str">
        <f>IF(ISBLANK(E211),"",E211+Settings!$B$7)</f>
        <v/>
      </c>
      <c r="G211" s="8"/>
      <c r="H211" s="16" t="str">
        <f t="shared" ca="1" si="7"/>
        <v/>
      </c>
      <c r="I211" s="8"/>
    </row>
    <row r="212" spans="1:9" ht="15.75" x14ac:dyDescent="0.25">
      <c r="A212" s="14" t="str">
        <f t="shared" si="6"/>
        <v/>
      </c>
      <c r="B212" s="8"/>
      <c r="C212" s="8"/>
      <c r="D212" s="16" t="str">
        <f>IFERROR(IF(ISBLANK(C212),"",VLOOKUP(C212,Members!$A$2:$B$101,2,FALSE)),"")</f>
        <v/>
      </c>
      <c r="E212" s="8"/>
      <c r="F212" s="14" t="str">
        <f>IF(ISBLANK(E212),"",E212+Settings!$B$7)</f>
        <v/>
      </c>
      <c r="G212" s="8"/>
      <c r="H212" s="16" t="str">
        <f t="shared" ca="1" si="7"/>
        <v/>
      </c>
      <c r="I212" s="8"/>
    </row>
    <row r="213" spans="1:9" ht="15.75" x14ac:dyDescent="0.25">
      <c r="A213" s="14" t="str">
        <f t="shared" si="6"/>
        <v/>
      </c>
      <c r="B213" s="8"/>
      <c r="C213" s="8"/>
      <c r="D213" s="16" t="str">
        <f>IFERROR(IF(ISBLANK(C213),"",VLOOKUP(C213,Members!$A$2:$B$101,2,FALSE)),"")</f>
        <v/>
      </c>
      <c r="E213" s="8"/>
      <c r="F213" s="14" t="str">
        <f>IF(ISBLANK(E213),"",E213+Settings!$B$7)</f>
        <v/>
      </c>
      <c r="G213" s="8"/>
      <c r="H213" s="16" t="str">
        <f t="shared" ca="1" si="7"/>
        <v/>
      </c>
      <c r="I213" s="8"/>
    </row>
    <row r="214" spans="1:9" ht="15.75" x14ac:dyDescent="0.25">
      <c r="A214" s="14" t="str">
        <f t="shared" si="6"/>
        <v/>
      </c>
      <c r="B214" s="8"/>
      <c r="C214" s="8"/>
      <c r="D214" s="16" t="str">
        <f>IFERROR(IF(ISBLANK(C214),"",VLOOKUP(C214,Members!$A$2:$B$101,2,FALSE)),"")</f>
        <v/>
      </c>
      <c r="E214" s="8"/>
      <c r="F214" s="14" t="str">
        <f>IF(ISBLANK(E214),"",E214+Settings!$B$7)</f>
        <v/>
      </c>
      <c r="G214" s="8"/>
      <c r="H214" s="16" t="str">
        <f t="shared" ca="1" si="7"/>
        <v/>
      </c>
      <c r="I214" s="8"/>
    </row>
    <row r="215" spans="1:9" ht="15.75" x14ac:dyDescent="0.25">
      <c r="A215" s="14" t="str">
        <f t="shared" si="6"/>
        <v/>
      </c>
      <c r="B215" s="8"/>
      <c r="C215" s="8"/>
      <c r="D215" s="16" t="str">
        <f>IFERROR(IF(ISBLANK(C215),"",VLOOKUP(C215,Members!$A$2:$B$101,2,FALSE)),"")</f>
        <v/>
      </c>
      <c r="E215" s="8"/>
      <c r="F215" s="14" t="str">
        <f>IF(ISBLANK(E215),"",E215+Settings!$B$7)</f>
        <v/>
      </c>
      <c r="G215" s="8"/>
      <c r="H215" s="16" t="str">
        <f t="shared" ca="1" si="7"/>
        <v/>
      </c>
      <c r="I215" s="8"/>
    </row>
    <row r="216" spans="1:9" ht="15.75" x14ac:dyDescent="0.25">
      <c r="A216" s="14" t="str">
        <f t="shared" si="6"/>
        <v/>
      </c>
      <c r="B216" s="8"/>
      <c r="C216" s="8"/>
      <c r="D216" s="16" t="str">
        <f>IFERROR(IF(ISBLANK(C216),"",VLOOKUP(C216,Members!$A$2:$B$101,2,FALSE)),"")</f>
        <v/>
      </c>
      <c r="E216" s="8"/>
      <c r="F216" s="14" t="str">
        <f>IF(ISBLANK(E216),"",E216+Settings!$B$7)</f>
        <v/>
      </c>
      <c r="G216" s="8"/>
      <c r="H216" s="16" t="str">
        <f t="shared" ca="1" si="7"/>
        <v/>
      </c>
      <c r="I216" s="8"/>
    </row>
    <row r="217" spans="1:9" ht="15.75" x14ac:dyDescent="0.25">
      <c r="A217" s="14" t="str">
        <f t="shared" si="6"/>
        <v/>
      </c>
      <c r="B217" s="8"/>
      <c r="C217" s="8"/>
      <c r="D217" s="16" t="str">
        <f>IFERROR(IF(ISBLANK(C217),"",VLOOKUP(C217,Members!$A$2:$B$101,2,FALSE)),"")</f>
        <v/>
      </c>
      <c r="E217" s="8"/>
      <c r="F217" s="14" t="str">
        <f>IF(ISBLANK(E217),"",E217+Settings!$B$7)</f>
        <v/>
      </c>
      <c r="G217" s="8"/>
      <c r="H217" s="16" t="str">
        <f t="shared" ca="1" si="7"/>
        <v/>
      </c>
      <c r="I217" s="8"/>
    </row>
    <row r="218" spans="1:9" ht="15.75" x14ac:dyDescent="0.25">
      <c r="A218" s="14" t="str">
        <f t="shared" si="6"/>
        <v/>
      </c>
      <c r="B218" s="8"/>
      <c r="C218" s="8"/>
      <c r="D218" s="16" t="str">
        <f>IFERROR(IF(ISBLANK(C218),"",VLOOKUP(C218,Members!$A$2:$B$101,2,FALSE)),"")</f>
        <v/>
      </c>
      <c r="E218" s="8"/>
      <c r="F218" s="14" t="str">
        <f>IF(ISBLANK(E218),"",E218+Settings!$B$7)</f>
        <v/>
      </c>
      <c r="G218" s="8"/>
      <c r="H218" s="16" t="str">
        <f t="shared" ca="1" si="7"/>
        <v/>
      </c>
      <c r="I218" s="8"/>
    </row>
    <row r="219" spans="1:9" ht="15.75" x14ac:dyDescent="0.25">
      <c r="A219" s="14" t="str">
        <f t="shared" si="6"/>
        <v/>
      </c>
      <c r="B219" s="8"/>
      <c r="C219" s="8"/>
      <c r="D219" s="16" t="str">
        <f>IFERROR(IF(ISBLANK(C219),"",VLOOKUP(C219,Members!$A$2:$B$101,2,FALSE)),"")</f>
        <v/>
      </c>
      <c r="E219" s="8"/>
      <c r="F219" s="14" t="str">
        <f>IF(ISBLANK(E219),"",E219+Settings!$B$7)</f>
        <v/>
      </c>
      <c r="G219" s="8"/>
      <c r="H219" s="16" t="str">
        <f t="shared" ca="1" si="7"/>
        <v/>
      </c>
      <c r="I219" s="8"/>
    </row>
    <row r="220" spans="1:9" ht="15.75" x14ac:dyDescent="0.25">
      <c r="A220" s="14" t="str">
        <f t="shared" si="6"/>
        <v/>
      </c>
      <c r="B220" s="8"/>
      <c r="C220" s="8"/>
      <c r="D220" s="16" t="str">
        <f>IFERROR(IF(ISBLANK(C220),"",VLOOKUP(C220,Members!$A$2:$B$101,2,FALSE)),"")</f>
        <v/>
      </c>
      <c r="E220" s="8"/>
      <c r="F220" s="14" t="str">
        <f>IF(ISBLANK(E220),"",E220+Settings!$B$7)</f>
        <v/>
      </c>
      <c r="G220" s="8"/>
      <c r="H220" s="16" t="str">
        <f t="shared" ca="1" si="7"/>
        <v/>
      </c>
      <c r="I220" s="8"/>
    </row>
    <row r="221" spans="1:9" ht="15.75" x14ac:dyDescent="0.25">
      <c r="A221" s="14" t="str">
        <f t="shared" si="6"/>
        <v/>
      </c>
      <c r="B221" s="8"/>
      <c r="C221" s="8"/>
      <c r="D221" s="16" t="str">
        <f>IFERROR(IF(ISBLANK(C221),"",VLOOKUP(C221,Members!$A$2:$B$101,2,FALSE)),"")</f>
        <v/>
      </c>
      <c r="E221" s="8"/>
      <c r="F221" s="14" t="str">
        <f>IF(ISBLANK(E221),"",E221+Settings!$B$7)</f>
        <v/>
      </c>
      <c r="G221" s="8"/>
      <c r="H221" s="16" t="str">
        <f t="shared" ca="1" si="7"/>
        <v/>
      </c>
      <c r="I221" s="8"/>
    </row>
    <row r="222" spans="1:9" ht="15.75" x14ac:dyDescent="0.25">
      <c r="A222" s="14" t="str">
        <f t="shared" si="6"/>
        <v/>
      </c>
      <c r="B222" s="8"/>
      <c r="C222" s="8"/>
      <c r="D222" s="16" t="str">
        <f>IFERROR(IF(ISBLANK(C222),"",VLOOKUP(C222,Members!$A$2:$B$101,2,FALSE)),"")</f>
        <v/>
      </c>
      <c r="E222" s="8"/>
      <c r="F222" s="14" t="str">
        <f>IF(ISBLANK(E222),"",E222+Settings!$B$7)</f>
        <v/>
      </c>
      <c r="G222" s="8"/>
      <c r="H222" s="16" t="str">
        <f t="shared" ca="1" si="7"/>
        <v/>
      </c>
      <c r="I222" s="8"/>
    </row>
    <row r="223" spans="1:9" ht="15.75" x14ac:dyDescent="0.25">
      <c r="A223" s="14" t="str">
        <f t="shared" si="6"/>
        <v/>
      </c>
      <c r="B223" s="8"/>
      <c r="C223" s="8"/>
      <c r="D223" s="16" t="str">
        <f>IFERROR(IF(ISBLANK(C223),"",VLOOKUP(C223,Members!$A$2:$B$101,2,FALSE)),"")</f>
        <v/>
      </c>
      <c r="E223" s="8"/>
      <c r="F223" s="14" t="str">
        <f>IF(ISBLANK(E223),"",E223+Settings!$B$7)</f>
        <v/>
      </c>
      <c r="G223" s="8"/>
      <c r="H223" s="16" t="str">
        <f t="shared" ca="1" si="7"/>
        <v/>
      </c>
      <c r="I223" s="8"/>
    </row>
    <row r="224" spans="1:9" ht="15.75" x14ac:dyDescent="0.25">
      <c r="A224" s="14" t="str">
        <f t="shared" si="6"/>
        <v/>
      </c>
      <c r="B224" s="8"/>
      <c r="C224" s="8"/>
      <c r="D224" s="16" t="str">
        <f>IFERROR(IF(ISBLANK(C224),"",VLOOKUP(C224,Members!$A$2:$B$101,2,FALSE)),"")</f>
        <v/>
      </c>
      <c r="E224" s="8"/>
      <c r="F224" s="14" t="str">
        <f>IF(ISBLANK(E224),"",E224+Settings!$B$7)</f>
        <v/>
      </c>
      <c r="G224" s="8"/>
      <c r="H224" s="16" t="str">
        <f t="shared" ca="1" si="7"/>
        <v/>
      </c>
      <c r="I224" s="8"/>
    </row>
    <row r="225" spans="1:9" ht="15.75" x14ac:dyDescent="0.25">
      <c r="A225" s="14" t="str">
        <f t="shared" si="6"/>
        <v/>
      </c>
      <c r="B225" s="8"/>
      <c r="C225" s="8"/>
      <c r="D225" s="16" t="str">
        <f>IFERROR(IF(ISBLANK(C225),"",VLOOKUP(C225,Members!$A$2:$B$101,2,FALSE)),"")</f>
        <v/>
      </c>
      <c r="E225" s="8"/>
      <c r="F225" s="14" t="str">
        <f>IF(ISBLANK(E225),"",E225+Settings!$B$7)</f>
        <v/>
      </c>
      <c r="G225" s="8"/>
      <c r="H225" s="16" t="str">
        <f t="shared" ca="1" si="7"/>
        <v/>
      </c>
      <c r="I225" s="8"/>
    </row>
    <row r="226" spans="1:9" ht="15.75" x14ac:dyDescent="0.25">
      <c r="A226" s="14" t="str">
        <f t="shared" si="6"/>
        <v/>
      </c>
      <c r="B226" s="8"/>
      <c r="C226" s="8"/>
      <c r="D226" s="16" t="str">
        <f>IFERROR(IF(ISBLANK(C226),"",VLOOKUP(C226,Members!$A$2:$B$101,2,FALSE)),"")</f>
        <v/>
      </c>
      <c r="E226" s="8"/>
      <c r="F226" s="14" t="str">
        <f>IF(ISBLANK(E226),"",E226+Settings!$B$7)</f>
        <v/>
      </c>
      <c r="G226" s="8"/>
      <c r="H226" s="16" t="str">
        <f t="shared" ca="1" si="7"/>
        <v/>
      </c>
      <c r="I226" s="8"/>
    </row>
    <row r="227" spans="1:9" ht="15.75" x14ac:dyDescent="0.25">
      <c r="A227" s="14" t="str">
        <f t="shared" si="6"/>
        <v/>
      </c>
      <c r="B227" s="8"/>
      <c r="C227" s="8"/>
      <c r="D227" s="16" t="str">
        <f>IFERROR(IF(ISBLANK(C227),"",VLOOKUP(C227,Members!$A$2:$B$101,2,FALSE)),"")</f>
        <v/>
      </c>
      <c r="E227" s="8"/>
      <c r="F227" s="14" t="str">
        <f>IF(ISBLANK(E227),"",E227+Settings!$B$7)</f>
        <v/>
      </c>
      <c r="G227" s="8"/>
      <c r="H227" s="16" t="str">
        <f t="shared" ca="1" si="7"/>
        <v/>
      </c>
      <c r="I227" s="8"/>
    </row>
    <row r="228" spans="1:9" ht="15.75" x14ac:dyDescent="0.25">
      <c r="A228" s="14" t="str">
        <f t="shared" si="6"/>
        <v/>
      </c>
      <c r="B228" s="8"/>
      <c r="C228" s="8"/>
      <c r="D228" s="16" t="str">
        <f>IFERROR(IF(ISBLANK(C228),"",VLOOKUP(C228,Members!$A$2:$B$101,2,FALSE)),"")</f>
        <v/>
      </c>
      <c r="E228" s="8"/>
      <c r="F228" s="14" t="str">
        <f>IF(ISBLANK(E228),"",E228+Settings!$B$7)</f>
        <v/>
      </c>
      <c r="G228" s="8"/>
      <c r="H228" s="16" t="str">
        <f t="shared" ca="1" si="7"/>
        <v/>
      </c>
      <c r="I228" s="8"/>
    </row>
    <row r="229" spans="1:9" ht="15.75" x14ac:dyDescent="0.25">
      <c r="A229" s="14" t="str">
        <f t="shared" si="6"/>
        <v/>
      </c>
      <c r="B229" s="8"/>
      <c r="C229" s="8"/>
      <c r="D229" s="16" t="str">
        <f>IFERROR(IF(ISBLANK(C229),"",VLOOKUP(C229,Members!$A$2:$B$101,2,FALSE)),"")</f>
        <v/>
      </c>
      <c r="E229" s="8"/>
      <c r="F229" s="14" t="str">
        <f>IF(ISBLANK(E229),"",E229+Settings!$B$7)</f>
        <v/>
      </c>
      <c r="G229" s="8"/>
      <c r="H229" s="16" t="str">
        <f t="shared" ca="1" si="7"/>
        <v/>
      </c>
      <c r="I229" s="8"/>
    </row>
    <row r="230" spans="1:9" ht="15.75" x14ac:dyDescent="0.25">
      <c r="A230" s="14" t="str">
        <f t="shared" si="6"/>
        <v/>
      </c>
      <c r="B230" s="8"/>
      <c r="C230" s="8"/>
      <c r="D230" s="16" t="str">
        <f>IFERROR(IF(ISBLANK(C230),"",VLOOKUP(C230,Members!$A$2:$B$101,2,FALSE)),"")</f>
        <v/>
      </c>
      <c r="E230" s="8"/>
      <c r="F230" s="14" t="str">
        <f>IF(ISBLANK(E230),"",E230+Settings!$B$7)</f>
        <v/>
      </c>
      <c r="G230" s="8"/>
      <c r="H230" s="16" t="str">
        <f t="shared" ca="1" si="7"/>
        <v/>
      </c>
      <c r="I230" s="8"/>
    </row>
    <row r="231" spans="1:9" ht="15.75" x14ac:dyDescent="0.25">
      <c r="A231" s="14" t="str">
        <f t="shared" si="6"/>
        <v/>
      </c>
      <c r="B231" s="8"/>
      <c r="C231" s="8"/>
      <c r="D231" s="16" t="str">
        <f>IFERROR(IF(ISBLANK(C231),"",VLOOKUP(C231,Members!$A$2:$B$101,2,FALSE)),"")</f>
        <v/>
      </c>
      <c r="E231" s="8"/>
      <c r="F231" s="14" t="str">
        <f>IF(ISBLANK(E231),"",E231+Settings!$B$7)</f>
        <v/>
      </c>
      <c r="G231" s="8"/>
      <c r="H231" s="16" t="str">
        <f t="shared" ca="1" si="7"/>
        <v/>
      </c>
      <c r="I231" s="8"/>
    </row>
    <row r="232" spans="1:9" ht="15.75" x14ac:dyDescent="0.25">
      <c r="A232" s="14" t="str">
        <f t="shared" si="6"/>
        <v/>
      </c>
      <c r="B232" s="8"/>
      <c r="C232" s="8"/>
      <c r="D232" s="16" t="str">
        <f>IFERROR(IF(ISBLANK(C232),"",VLOOKUP(C232,Members!$A$2:$B$101,2,FALSE)),"")</f>
        <v/>
      </c>
      <c r="E232" s="8"/>
      <c r="F232" s="14" t="str">
        <f>IF(ISBLANK(E232),"",E232+Settings!$B$7)</f>
        <v/>
      </c>
      <c r="G232" s="8"/>
      <c r="H232" s="16" t="str">
        <f t="shared" ca="1" si="7"/>
        <v/>
      </c>
      <c r="I232" s="8"/>
    </row>
    <row r="233" spans="1:9" ht="15.75" x14ac:dyDescent="0.25">
      <c r="A233" s="14" t="str">
        <f t="shared" si="6"/>
        <v/>
      </c>
      <c r="B233" s="8"/>
      <c r="C233" s="8"/>
      <c r="D233" s="16" t="str">
        <f>IFERROR(IF(ISBLANK(C233),"",VLOOKUP(C233,Members!$A$2:$B$101,2,FALSE)),"")</f>
        <v/>
      </c>
      <c r="E233" s="8"/>
      <c r="F233" s="14" t="str">
        <f>IF(ISBLANK(E233),"",E233+Settings!$B$7)</f>
        <v/>
      </c>
      <c r="G233" s="8"/>
      <c r="H233" s="16" t="str">
        <f t="shared" ca="1" si="7"/>
        <v/>
      </c>
      <c r="I233" s="8"/>
    </row>
    <row r="234" spans="1:9" ht="15.75" x14ac:dyDescent="0.25">
      <c r="A234" s="14" t="str">
        <f t="shared" si="6"/>
        <v/>
      </c>
      <c r="B234" s="8"/>
      <c r="C234" s="8"/>
      <c r="D234" s="16" t="str">
        <f>IFERROR(IF(ISBLANK(C234),"",VLOOKUP(C234,Members!$A$2:$B$101,2,FALSE)),"")</f>
        <v/>
      </c>
      <c r="E234" s="8"/>
      <c r="F234" s="14" t="str">
        <f>IF(ISBLANK(E234),"",E234+Settings!$B$7)</f>
        <v/>
      </c>
      <c r="G234" s="8"/>
      <c r="H234" s="16" t="str">
        <f t="shared" ca="1" si="7"/>
        <v/>
      </c>
      <c r="I234" s="8"/>
    </row>
    <row r="235" spans="1:9" ht="15.75" x14ac:dyDescent="0.25">
      <c r="A235" s="14" t="str">
        <f t="shared" si="6"/>
        <v/>
      </c>
      <c r="B235" s="8"/>
      <c r="C235" s="8"/>
      <c r="D235" s="16" t="str">
        <f>IFERROR(IF(ISBLANK(C235),"",VLOOKUP(C235,Members!$A$2:$B$101,2,FALSE)),"")</f>
        <v/>
      </c>
      <c r="E235" s="8"/>
      <c r="F235" s="14" t="str">
        <f>IF(ISBLANK(E235),"",E235+Settings!$B$7)</f>
        <v/>
      </c>
      <c r="G235" s="8"/>
      <c r="H235" s="16" t="str">
        <f t="shared" ca="1" si="7"/>
        <v/>
      </c>
      <c r="I235" s="8"/>
    </row>
    <row r="236" spans="1:9" ht="15.75" x14ac:dyDescent="0.25">
      <c r="A236" s="14" t="str">
        <f t="shared" si="6"/>
        <v/>
      </c>
      <c r="B236" s="8"/>
      <c r="C236" s="8"/>
      <c r="D236" s="16" t="str">
        <f>IFERROR(IF(ISBLANK(C236),"",VLOOKUP(C236,Members!$A$2:$B$101,2,FALSE)),"")</f>
        <v/>
      </c>
      <c r="E236" s="8"/>
      <c r="F236" s="14" t="str">
        <f>IF(ISBLANK(E236),"",E236+Settings!$B$7)</f>
        <v/>
      </c>
      <c r="G236" s="8"/>
      <c r="H236" s="16" t="str">
        <f t="shared" ca="1" si="7"/>
        <v/>
      </c>
      <c r="I236" s="8"/>
    </row>
    <row r="237" spans="1:9" ht="15.75" x14ac:dyDescent="0.25">
      <c r="A237" s="14" t="str">
        <f t="shared" si="6"/>
        <v/>
      </c>
      <c r="B237" s="8"/>
      <c r="C237" s="8"/>
      <c r="D237" s="16" t="str">
        <f>IFERROR(IF(ISBLANK(C237),"",VLOOKUP(C237,Members!$A$2:$B$101,2,FALSE)),"")</f>
        <v/>
      </c>
      <c r="E237" s="8"/>
      <c r="F237" s="14" t="str">
        <f>IF(ISBLANK(E237),"",E237+Settings!$B$7)</f>
        <v/>
      </c>
      <c r="G237" s="8"/>
      <c r="H237" s="16" t="str">
        <f t="shared" ca="1" si="7"/>
        <v/>
      </c>
      <c r="I237" s="8"/>
    </row>
    <row r="238" spans="1:9" ht="15.75" x14ac:dyDescent="0.25">
      <c r="A238" s="14" t="str">
        <f t="shared" si="6"/>
        <v/>
      </c>
      <c r="B238" s="8"/>
      <c r="C238" s="8"/>
      <c r="D238" s="16" t="str">
        <f>IFERROR(IF(ISBLANK(C238),"",VLOOKUP(C238,Members!$A$2:$B$101,2,FALSE)),"")</f>
        <v/>
      </c>
      <c r="E238" s="8"/>
      <c r="F238" s="14" t="str">
        <f>IF(ISBLANK(E238),"",E238+Settings!$B$7)</f>
        <v/>
      </c>
      <c r="G238" s="8"/>
      <c r="H238" s="16" t="str">
        <f t="shared" ca="1" si="7"/>
        <v/>
      </c>
      <c r="I238" s="8"/>
    </row>
    <row r="239" spans="1:9" ht="15.75" x14ac:dyDescent="0.25">
      <c r="A239" s="14" t="str">
        <f t="shared" si="6"/>
        <v/>
      </c>
      <c r="B239" s="8"/>
      <c r="C239" s="8"/>
      <c r="D239" s="16" t="str">
        <f>IFERROR(IF(ISBLANK(C239),"",VLOOKUP(C239,Members!$A$2:$B$101,2,FALSE)),"")</f>
        <v/>
      </c>
      <c r="E239" s="8"/>
      <c r="F239" s="14" t="str">
        <f>IF(ISBLANK(E239),"",E239+Settings!$B$7)</f>
        <v/>
      </c>
      <c r="G239" s="8"/>
      <c r="H239" s="16" t="str">
        <f t="shared" ca="1" si="7"/>
        <v/>
      </c>
      <c r="I239" s="8"/>
    </row>
    <row r="240" spans="1:9" ht="15.75" x14ac:dyDescent="0.25">
      <c r="A240" s="14" t="str">
        <f t="shared" si="6"/>
        <v/>
      </c>
      <c r="B240" s="8"/>
      <c r="C240" s="8"/>
      <c r="D240" s="16" t="str">
        <f>IFERROR(IF(ISBLANK(C240),"",VLOOKUP(C240,Members!$A$2:$B$101,2,FALSE)),"")</f>
        <v/>
      </c>
      <c r="E240" s="8"/>
      <c r="F240" s="14" t="str">
        <f>IF(ISBLANK(E240),"",E240+Settings!$B$7)</f>
        <v/>
      </c>
      <c r="G240" s="8"/>
      <c r="H240" s="16" t="str">
        <f t="shared" ca="1" si="7"/>
        <v/>
      </c>
      <c r="I240" s="8"/>
    </row>
    <row r="241" spans="1:9" ht="15.75" x14ac:dyDescent="0.25">
      <c r="A241" s="14" t="str">
        <f t="shared" si="6"/>
        <v/>
      </c>
      <c r="B241" s="8"/>
      <c r="C241" s="8"/>
      <c r="D241" s="16" t="str">
        <f>IFERROR(IF(ISBLANK(C241),"",VLOOKUP(C241,Members!$A$2:$B$101,2,FALSE)),"")</f>
        <v/>
      </c>
      <c r="E241" s="8"/>
      <c r="F241" s="14" t="str">
        <f>IF(ISBLANK(E241),"",E241+Settings!$B$7)</f>
        <v/>
      </c>
      <c r="G241" s="8"/>
      <c r="H241" s="16" t="str">
        <f t="shared" ca="1" si="7"/>
        <v/>
      </c>
      <c r="I241" s="8"/>
    </row>
    <row r="242" spans="1:9" ht="15.75" x14ac:dyDescent="0.25">
      <c r="A242" s="14" t="str">
        <f t="shared" si="6"/>
        <v/>
      </c>
      <c r="B242" s="8"/>
      <c r="C242" s="8"/>
      <c r="D242" s="16" t="str">
        <f>IFERROR(IF(ISBLANK(C242),"",VLOOKUP(C242,Members!$A$2:$B$101,2,FALSE)),"")</f>
        <v/>
      </c>
      <c r="E242" s="8"/>
      <c r="F242" s="14" t="str">
        <f>IF(ISBLANK(E242),"",E242+Settings!$B$7)</f>
        <v/>
      </c>
      <c r="G242" s="8"/>
      <c r="H242" s="16" t="str">
        <f t="shared" ca="1" si="7"/>
        <v/>
      </c>
      <c r="I242" s="8"/>
    </row>
    <row r="243" spans="1:9" ht="15.75" x14ac:dyDescent="0.25">
      <c r="A243" s="14" t="str">
        <f t="shared" si="6"/>
        <v/>
      </c>
      <c r="B243" s="8"/>
      <c r="C243" s="8"/>
      <c r="D243" s="16" t="str">
        <f>IFERROR(IF(ISBLANK(C243),"",VLOOKUP(C243,Members!$A$2:$B$101,2,FALSE)),"")</f>
        <v/>
      </c>
      <c r="E243" s="8"/>
      <c r="F243" s="14" t="str">
        <f>IF(ISBLANK(E243),"",E243+Settings!$B$7)</f>
        <v/>
      </c>
      <c r="G243" s="8"/>
      <c r="H243" s="16" t="str">
        <f t="shared" ca="1" si="7"/>
        <v/>
      </c>
      <c r="I243" s="8"/>
    </row>
    <row r="244" spans="1:9" ht="15.75" x14ac:dyDescent="0.25">
      <c r="A244" s="14" t="str">
        <f t="shared" si="6"/>
        <v/>
      </c>
      <c r="B244" s="8"/>
      <c r="C244" s="8"/>
      <c r="D244" s="16" t="str">
        <f>IFERROR(IF(ISBLANK(C244),"",VLOOKUP(C244,Members!$A$2:$B$101,2,FALSE)),"")</f>
        <v/>
      </c>
      <c r="E244" s="8"/>
      <c r="F244" s="14" t="str">
        <f>IF(ISBLANK(E244),"",E244+Settings!$B$7)</f>
        <v/>
      </c>
      <c r="G244" s="8"/>
      <c r="H244" s="16" t="str">
        <f t="shared" ca="1" si="7"/>
        <v/>
      </c>
      <c r="I244" s="8"/>
    </row>
    <row r="245" spans="1:9" ht="15.75" x14ac:dyDescent="0.25">
      <c r="A245" s="14" t="str">
        <f t="shared" si="6"/>
        <v/>
      </c>
      <c r="B245" s="8"/>
      <c r="C245" s="8"/>
      <c r="D245" s="16" t="str">
        <f>IFERROR(IF(ISBLANK(C245),"",VLOOKUP(C245,Members!$A$2:$B$101,2,FALSE)),"")</f>
        <v/>
      </c>
      <c r="E245" s="8"/>
      <c r="F245" s="14" t="str">
        <f>IF(ISBLANK(E245),"",E245+Settings!$B$7)</f>
        <v/>
      </c>
      <c r="G245" s="8"/>
      <c r="H245" s="16" t="str">
        <f t="shared" ca="1" si="7"/>
        <v/>
      </c>
      <c r="I245" s="8"/>
    </row>
    <row r="246" spans="1:9" ht="15.75" x14ac:dyDescent="0.25">
      <c r="A246" s="14" t="str">
        <f t="shared" si="6"/>
        <v/>
      </c>
      <c r="B246" s="8"/>
      <c r="C246" s="8"/>
      <c r="D246" s="16" t="str">
        <f>IFERROR(IF(ISBLANK(C246),"",VLOOKUP(C246,Members!$A$2:$B$101,2,FALSE)),"")</f>
        <v/>
      </c>
      <c r="E246" s="8"/>
      <c r="F246" s="14" t="str">
        <f>IF(ISBLANK(E246),"",E246+Settings!$B$7)</f>
        <v/>
      </c>
      <c r="G246" s="8"/>
      <c r="H246" s="16" t="str">
        <f t="shared" ca="1" si="7"/>
        <v/>
      </c>
      <c r="I246" s="8"/>
    </row>
    <row r="247" spans="1:9" ht="15.75" x14ac:dyDescent="0.25">
      <c r="A247" s="14" t="str">
        <f t="shared" si="6"/>
        <v/>
      </c>
      <c r="B247" s="8"/>
      <c r="C247" s="8"/>
      <c r="D247" s="16" t="str">
        <f>IFERROR(IF(ISBLANK(C247),"",VLOOKUP(C247,Members!$A$2:$B$101,2,FALSE)),"")</f>
        <v/>
      </c>
      <c r="E247" s="8"/>
      <c r="F247" s="14" t="str">
        <f>IF(ISBLANK(E247),"",E247+Settings!$B$7)</f>
        <v/>
      </c>
      <c r="G247" s="8"/>
      <c r="H247" s="16" t="str">
        <f t="shared" ca="1" si="7"/>
        <v/>
      </c>
      <c r="I247" s="8"/>
    </row>
    <row r="248" spans="1:9" ht="15.75" x14ac:dyDescent="0.25">
      <c r="A248" s="14" t="str">
        <f t="shared" si="6"/>
        <v/>
      </c>
      <c r="B248" s="8"/>
      <c r="C248" s="8"/>
      <c r="D248" s="16" t="str">
        <f>IFERROR(IF(ISBLANK(C248),"",VLOOKUP(C248,Members!$A$2:$B$101,2,FALSE)),"")</f>
        <v/>
      </c>
      <c r="E248" s="8"/>
      <c r="F248" s="14" t="str">
        <f>IF(ISBLANK(E248),"",E248+Settings!$B$7)</f>
        <v/>
      </c>
      <c r="G248" s="8"/>
      <c r="H248" s="16" t="str">
        <f t="shared" ca="1" si="7"/>
        <v/>
      </c>
      <c r="I248" s="8"/>
    </row>
    <row r="249" spans="1:9" ht="15.75" x14ac:dyDescent="0.25">
      <c r="A249" s="14" t="str">
        <f t="shared" si="6"/>
        <v/>
      </c>
      <c r="B249" s="8"/>
      <c r="C249" s="8"/>
      <c r="D249" s="16" t="str">
        <f>IFERROR(IF(ISBLANK(C249),"",VLOOKUP(C249,Members!$A$2:$B$101,2,FALSE)),"")</f>
        <v/>
      </c>
      <c r="E249" s="8"/>
      <c r="F249" s="14" t="str">
        <f>IF(ISBLANK(E249),"",E249+Settings!$B$7)</f>
        <v/>
      </c>
      <c r="G249" s="8"/>
      <c r="H249" s="16" t="str">
        <f t="shared" ca="1" si="7"/>
        <v/>
      </c>
      <c r="I249" s="8"/>
    </row>
    <row r="250" spans="1:9" ht="15.75" x14ac:dyDescent="0.25">
      <c r="A250" s="14" t="str">
        <f t="shared" si="6"/>
        <v/>
      </c>
      <c r="B250" s="8"/>
      <c r="C250" s="8"/>
      <c r="D250" s="16" t="str">
        <f>IFERROR(IF(ISBLANK(C250),"",VLOOKUP(C250,Members!$A$2:$B$101,2,FALSE)),"")</f>
        <v/>
      </c>
      <c r="E250" s="8"/>
      <c r="F250" s="14" t="str">
        <f>IF(ISBLANK(E250),"",E250+Settings!$B$7)</f>
        <v/>
      </c>
      <c r="G250" s="8"/>
      <c r="H250" s="16" t="str">
        <f t="shared" ca="1" si="7"/>
        <v/>
      </c>
      <c r="I250" s="8"/>
    </row>
    <row r="251" spans="1:9" ht="15.75" x14ac:dyDescent="0.25">
      <c r="A251" s="14" t="str">
        <f t="shared" si="6"/>
        <v/>
      </c>
      <c r="B251" s="8"/>
      <c r="C251" s="8"/>
      <c r="D251" s="16" t="str">
        <f>IFERROR(IF(ISBLANK(C251),"",VLOOKUP(C251,Members!$A$2:$B$101,2,FALSE)),"")</f>
        <v/>
      </c>
      <c r="E251" s="8"/>
      <c r="F251" s="14" t="str">
        <f>IF(ISBLANK(E251),"",E251+Settings!$B$7)</f>
        <v/>
      </c>
      <c r="G251" s="8"/>
      <c r="H251" s="16" t="str">
        <f t="shared" ca="1" si="7"/>
        <v/>
      </c>
      <c r="I251" s="8"/>
    </row>
    <row r="252" spans="1:9" ht="15.75" x14ac:dyDescent="0.25">
      <c r="A252" s="14" t="str">
        <f t="shared" si="6"/>
        <v/>
      </c>
      <c r="B252" s="8"/>
      <c r="C252" s="8"/>
      <c r="D252" s="16" t="str">
        <f>IFERROR(IF(ISBLANK(C252),"",VLOOKUP(C252,Members!$A$2:$B$101,2,FALSE)),"")</f>
        <v/>
      </c>
      <c r="E252" s="8"/>
      <c r="F252" s="14" t="str">
        <f>IF(ISBLANK(E252),"",E252+Settings!$B$7)</f>
        <v/>
      </c>
      <c r="G252" s="8"/>
      <c r="H252" s="16" t="str">
        <f t="shared" ca="1" si="7"/>
        <v/>
      </c>
      <c r="I252" s="8"/>
    </row>
    <row r="253" spans="1:9" ht="15.75" x14ac:dyDescent="0.25">
      <c r="A253" s="14" t="str">
        <f t="shared" si="6"/>
        <v/>
      </c>
      <c r="B253" s="8"/>
      <c r="C253" s="8"/>
      <c r="D253" s="16" t="str">
        <f>IFERROR(IF(ISBLANK(C253),"",VLOOKUP(C253,Members!$A$2:$B$101,2,FALSE)),"")</f>
        <v/>
      </c>
      <c r="E253" s="8"/>
      <c r="F253" s="14" t="str">
        <f>IF(ISBLANK(E253),"",E253+Settings!$B$7)</f>
        <v/>
      </c>
      <c r="G253" s="8"/>
      <c r="H253" s="16" t="str">
        <f t="shared" ca="1" si="7"/>
        <v/>
      </c>
      <c r="I253" s="8"/>
    </row>
    <row r="254" spans="1:9" ht="15.75" x14ac:dyDescent="0.25">
      <c r="A254" s="14" t="str">
        <f t="shared" si="6"/>
        <v/>
      </c>
      <c r="B254" s="8"/>
      <c r="C254" s="8"/>
      <c r="D254" s="16" t="str">
        <f>IFERROR(IF(ISBLANK(C254),"",VLOOKUP(C254,Members!$A$2:$B$101,2,FALSE)),"")</f>
        <v/>
      </c>
      <c r="E254" s="8"/>
      <c r="F254" s="14" t="str">
        <f>IF(ISBLANK(E254),"",E254+Settings!$B$7)</f>
        <v/>
      </c>
      <c r="G254" s="8"/>
      <c r="H254" s="16" t="str">
        <f t="shared" ca="1" si="7"/>
        <v/>
      </c>
      <c r="I254" s="8"/>
    </row>
    <row r="255" spans="1:9" ht="15.75" x14ac:dyDescent="0.25">
      <c r="A255" s="14" t="str">
        <f t="shared" si="6"/>
        <v/>
      </c>
      <c r="B255" s="8"/>
      <c r="C255" s="8"/>
      <c r="D255" s="16" t="str">
        <f>IFERROR(IF(ISBLANK(C255),"",VLOOKUP(C255,Members!$A$2:$B$101,2,FALSE)),"")</f>
        <v/>
      </c>
      <c r="E255" s="8"/>
      <c r="F255" s="14" t="str">
        <f>IF(ISBLANK(E255),"",E255+Settings!$B$7)</f>
        <v/>
      </c>
      <c r="G255" s="8"/>
      <c r="H255" s="16" t="str">
        <f t="shared" ca="1" si="7"/>
        <v/>
      </c>
      <c r="I255" s="8"/>
    </row>
    <row r="256" spans="1:9" ht="15.75" x14ac:dyDescent="0.25">
      <c r="A256" s="14" t="str">
        <f t="shared" si="6"/>
        <v/>
      </c>
      <c r="B256" s="8"/>
      <c r="C256" s="8"/>
      <c r="D256" s="16" t="str">
        <f>IFERROR(IF(ISBLANK(C256),"",VLOOKUP(C256,Members!$A$2:$B$101,2,FALSE)),"")</f>
        <v/>
      </c>
      <c r="E256" s="8"/>
      <c r="F256" s="14" t="str">
        <f>IF(ISBLANK(E256),"",E256+Settings!$B$7)</f>
        <v/>
      </c>
      <c r="G256" s="8"/>
      <c r="H256" s="16" t="str">
        <f t="shared" ca="1" si="7"/>
        <v/>
      </c>
      <c r="I256" s="8"/>
    </row>
    <row r="257" spans="1:9" ht="15.75" x14ac:dyDescent="0.25">
      <c r="A257" s="14" t="str">
        <f t="shared" si="6"/>
        <v/>
      </c>
      <c r="B257" s="8"/>
      <c r="C257" s="8"/>
      <c r="D257" s="16" t="str">
        <f>IFERROR(IF(ISBLANK(C257),"",VLOOKUP(C257,Members!$A$2:$B$101,2,FALSE)),"")</f>
        <v/>
      </c>
      <c r="E257" s="8"/>
      <c r="F257" s="14" t="str">
        <f>IF(ISBLANK(E257),"",E257+Settings!$B$7)</f>
        <v/>
      </c>
      <c r="G257" s="8"/>
      <c r="H257" s="16" t="str">
        <f t="shared" ca="1" si="7"/>
        <v/>
      </c>
      <c r="I257" s="8"/>
    </row>
    <row r="258" spans="1:9" ht="15.75" x14ac:dyDescent="0.25">
      <c r="A258" s="14" t="str">
        <f t="shared" ref="A258:A321" si="8">IF(ISBLANK(B258),"",ROW()-1)</f>
        <v/>
      </c>
      <c r="B258" s="8"/>
      <c r="C258" s="8"/>
      <c r="D258" s="16" t="str">
        <f>IFERROR(IF(ISBLANK(C258),"",VLOOKUP(C258,Members!$A$2:$B$101,2,FALSE)),"")</f>
        <v/>
      </c>
      <c r="E258" s="8"/>
      <c r="F258" s="14" t="str">
        <f>IF(ISBLANK(E258),"",E258+Settings!$B$7)</f>
        <v/>
      </c>
      <c r="G258" s="8"/>
      <c r="H258" s="16" t="str">
        <f t="shared" ref="H258:H321" ca="1" si="9">IF(ISBLANK(B258),"",IF(NOT(ISBLANK(G258)),"Returned",IF(TODAY()&gt;F258,"Overdue","Active")))</f>
        <v/>
      </c>
      <c r="I258" s="8"/>
    </row>
    <row r="259" spans="1:9" ht="15.75" x14ac:dyDescent="0.25">
      <c r="A259" s="14" t="str">
        <f t="shared" si="8"/>
        <v/>
      </c>
      <c r="B259" s="8"/>
      <c r="C259" s="8"/>
      <c r="D259" s="16" t="str">
        <f>IFERROR(IF(ISBLANK(C259),"",VLOOKUP(C259,Members!$A$2:$B$101,2,FALSE)),"")</f>
        <v/>
      </c>
      <c r="E259" s="8"/>
      <c r="F259" s="14" t="str">
        <f>IF(ISBLANK(E259),"",E259+Settings!$B$7)</f>
        <v/>
      </c>
      <c r="G259" s="8"/>
      <c r="H259" s="16" t="str">
        <f t="shared" ca="1" si="9"/>
        <v/>
      </c>
      <c r="I259" s="8"/>
    </row>
    <row r="260" spans="1:9" ht="15.75" x14ac:dyDescent="0.25">
      <c r="A260" s="14" t="str">
        <f t="shared" si="8"/>
        <v/>
      </c>
      <c r="B260" s="8"/>
      <c r="C260" s="8"/>
      <c r="D260" s="16" t="str">
        <f>IFERROR(IF(ISBLANK(C260),"",VLOOKUP(C260,Members!$A$2:$B$101,2,FALSE)),"")</f>
        <v/>
      </c>
      <c r="E260" s="8"/>
      <c r="F260" s="14" t="str">
        <f>IF(ISBLANK(E260),"",E260+Settings!$B$7)</f>
        <v/>
      </c>
      <c r="G260" s="8"/>
      <c r="H260" s="16" t="str">
        <f t="shared" ca="1" si="9"/>
        <v/>
      </c>
      <c r="I260" s="8"/>
    </row>
    <row r="261" spans="1:9" ht="15.75" x14ac:dyDescent="0.25">
      <c r="A261" s="14" t="str">
        <f t="shared" si="8"/>
        <v/>
      </c>
      <c r="B261" s="8"/>
      <c r="C261" s="8"/>
      <c r="D261" s="16" t="str">
        <f>IFERROR(IF(ISBLANK(C261),"",VLOOKUP(C261,Members!$A$2:$B$101,2,FALSE)),"")</f>
        <v/>
      </c>
      <c r="E261" s="8"/>
      <c r="F261" s="14" t="str">
        <f>IF(ISBLANK(E261),"",E261+Settings!$B$7)</f>
        <v/>
      </c>
      <c r="G261" s="8"/>
      <c r="H261" s="16" t="str">
        <f t="shared" ca="1" si="9"/>
        <v/>
      </c>
      <c r="I261" s="8"/>
    </row>
    <row r="262" spans="1:9" ht="15.75" x14ac:dyDescent="0.25">
      <c r="A262" s="14" t="str">
        <f t="shared" si="8"/>
        <v/>
      </c>
      <c r="B262" s="8"/>
      <c r="C262" s="8"/>
      <c r="D262" s="16" t="str">
        <f>IFERROR(IF(ISBLANK(C262),"",VLOOKUP(C262,Members!$A$2:$B$101,2,FALSE)),"")</f>
        <v/>
      </c>
      <c r="E262" s="8"/>
      <c r="F262" s="14" t="str">
        <f>IF(ISBLANK(E262),"",E262+Settings!$B$7)</f>
        <v/>
      </c>
      <c r="G262" s="8"/>
      <c r="H262" s="16" t="str">
        <f t="shared" ca="1" si="9"/>
        <v/>
      </c>
      <c r="I262" s="8"/>
    </row>
    <row r="263" spans="1:9" ht="15.75" x14ac:dyDescent="0.25">
      <c r="A263" s="14" t="str">
        <f t="shared" si="8"/>
        <v/>
      </c>
      <c r="B263" s="8"/>
      <c r="C263" s="8"/>
      <c r="D263" s="16" t="str">
        <f>IFERROR(IF(ISBLANK(C263),"",VLOOKUP(C263,Members!$A$2:$B$101,2,FALSE)),"")</f>
        <v/>
      </c>
      <c r="E263" s="8"/>
      <c r="F263" s="14" t="str">
        <f>IF(ISBLANK(E263),"",E263+Settings!$B$7)</f>
        <v/>
      </c>
      <c r="G263" s="8"/>
      <c r="H263" s="16" t="str">
        <f t="shared" ca="1" si="9"/>
        <v/>
      </c>
      <c r="I263" s="8"/>
    </row>
    <row r="264" spans="1:9" ht="15.75" x14ac:dyDescent="0.25">
      <c r="A264" s="14" t="str">
        <f t="shared" si="8"/>
        <v/>
      </c>
      <c r="B264" s="8"/>
      <c r="C264" s="8"/>
      <c r="D264" s="16" t="str">
        <f>IFERROR(IF(ISBLANK(C264),"",VLOOKUP(C264,Members!$A$2:$B$101,2,FALSE)),"")</f>
        <v/>
      </c>
      <c r="E264" s="8"/>
      <c r="F264" s="14" t="str">
        <f>IF(ISBLANK(E264),"",E264+Settings!$B$7)</f>
        <v/>
      </c>
      <c r="G264" s="8"/>
      <c r="H264" s="16" t="str">
        <f t="shared" ca="1" si="9"/>
        <v/>
      </c>
      <c r="I264" s="8"/>
    </row>
    <row r="265" spans="1:9" ht="15.75" x14ac:dyDescent="0.25">
      <c r="A265" s="14" t="str">
        <f t="shared" si="8"/>
        <v/>
      </c>
      <c r="B265" s="8"/>
      <c r="C265" s="8"/>
      <c r="D265" s="16" t="str">
        <f>IFERROR(IF(ISBLANK(C265),"",VLOOKUP(C265,Members!$A$2:$B$101,2,FALSE)),"")</f>
        <v/>
      </c>
      <c r="E265" s="8"/>
      <c r="F265" s="14" t="str">
        <f>IF(ISBLANK(E265),"",E265+Settings!$B$7)</f>
        <v/>
      </c>
      <c r="G265" s="8"/>
      <c r="H265" s="16" t="str">
        <f t="shared" ca="1" si="9"/>
        <v/>
      </c>
      <c r="I265" s="8"/>
    </row>
    <row r="266" spans="1:9" ht="15.75" x14ac:dyDescent="0.25">
      <c r="A266" s="14" t="str">
        <f t="shared" si="8"/>
        <v/>
      </c>
      <c r="B266" s="8"/>
      <c r="C266" s="8"/>
      <c r="D266" s="16" t="str">
        <f>IFERROR(IF(ISBLANK(C266),"",VLOOKUP(C266,Members!$A$2:$B$101,2,FALSE)),"")</f>
        <v/>
      </c>
      <c r="E266" s="8"/>
      <c r="F266" s="14" t="str">
        <f>IF(ISBLANK(E266),"",E266+Settings!$B$7)</f>
        <v/>
      </c>
      <c r="G266" s="8"/>
      <c r="H266" s="16" t="str">
        <f t="shared" ca="1" si="9"/>
        <v/>
      </c>
      <c r="I266" s="8"/>
    </row>
    <row r="267" spans="1:9" ht="15.75" x14ac:dyDescent="0.25">
      <c r="A267" s="14" t="str">
        <f t="shared" si="8"/>
        <v/>
      </c>
      <c r="B267" s="8"/>
      <c r="C267" s="8"/>
      <c r="D267" s="16" t="str">
        <f>IFERROR(IF(ISBLANK(C267),"",VLOOKUP(C267,Members!$A$2:$B$101,2,FALSE)),"")</f>
        <v/>
      </c>
      <c r="E267" s="8"/>
      <c r="F267" s="14" t="str">
        <f>IF(ISBLANK(E267),"",E267+Settings!$B$7)</f>
        <v/>
      </c>
      <c r="G267" s="8"/>
      <c r="H267" s="16" t="str">
        <f t="shared" ca="1" si="9"/>
        <v/>
      </c>
      <c r="I267" s="8"/>
    </row>
    <row r="268" spans="1:9" ht="15.75" x14ac:dyDescent="0.25">
      <c r="A268" s="14" t="str">
        <f t="shared" si="8"/>
        <v/>
      </c>
      <c r="B268" s="8"/>
      <c r="C268" s="8"/>
      <c r="D268" s="16" t="str">
        <f>IFERROR(IF(ISBLANK(C268),"",VLOOKUP(C268,Members!$A$2:$B$101,2,FALSE)),"")</f>
        <v/>
      </c>
      <c r="E268" s="8"/>
      <c r="F268" s="14" t="str">
        <f>IF(ISBLANK(E268),"",E268+Settings!$B$7)</f>
        <v/>
      </c>
      <c r="G268" s="8"/>
      <c r="H268" s="16" t="str">
        <f t="shared" ca="1" si="9"/>
        <v/>
      </c>
      <c r="I268" s="8"/>
    </row>
    <row r="269" spans="1:9" ht="15.75" x14ac:dyDescent="0.25">
      <c r="A269" s="14" t="str">
        <f t="shared" si="8"/>
        <v/>
      </c>
      <c r="B269" s="8"/>
      <c r="C269" s="8"/>
      <c r="D269" s="16" t="str">
        <f>IFERROR(IF(ISBLANK(C269),"",VLOOKUP(C269,Members!$A$2:$B$101,2,FALSE)),"")</f>
        <v/>
      </c>
      <c r="E269" s="8"/>
      <c r="F269" s="14" t="str">
        <f>IF(ISBLANK(E269),"",E269+Settings!$B$7)</f>
        <v/>
      </c>
      <c r="G269" s="8"/>
      <c r="H269" s="16" t="str">
        <f t="shared" ca="1" si="9"/>
        <v/>
      </c>
      <c r="I269" s="8"/>
    </row>
    <row r="270" spans="1:9" ht="15.75" x14ac:dyDescent="0.25">
      <c r="A270" s="14" t="str">
        <f t="shared" si="8"/>
        <v/>
      </c>
      <c r="B270" s="8"/>
      <c r="C270" s="8"/>
      <c r="D270" s="16" t="str">
        <f>IFERROR(IF(ISBLANK(C270),"",VLOOKUP(C270,Members!$A$2:$B$101,2,FALSE)),"")</f>
        <v/>
      </c>
      <c r="E270" s="8"/>
      <c r="F270" s="14" t="str">
        <f>IF(ISBLANK(E270),"",E270+Settings!$B$7)</f>
        <v/>
      </c>
      <c r="G270" s="8"/>
      <c r="H270" s="16" t="str">
        <f t="shared" ca="1" si="9"/>
        <v/>
      </c>
      <c r="I270" s="8"/>
    </row>
    <row r="271" spans="1:9" ht="15.75" x14ac:dyDescent="0.25">
      <c r="A271" s="14" t="str">
        <f t="shared" si="8"/>
        <v/>
      </c>
      <c r="B271" s="8"/>
      <c r="C271" s="8"/>
      <c r="D271" s="16" t="str">
        <f>IFERROR(IF(ISBLANK(C271),"",VLOOKUP(C271,Members!$A$2:$B$101,2,FALSE)),"")</f>
        <v/>
      </c>
      <c r="E271" s="8"/>
      <c r="F271" s="14" t="str">
        <f>IF(ISBLANK(E271),"",E271+Settings!$B$7)</f>
        <v/>
      </c>
      <c r="G271" s="8"/>
      <c r="H271" s="16" t="str">
        <f t="shared" ca="1" si="9"/>
        <v/>
      </c>
      <c r="I271" s="8"/>
    </row>
    <row r="272" spans="1:9" ht="15.75" x14ac:dyDescent="0.25">
      <c r="A272" s="14" t="str">
        <f t="shared" si="8"/>
        <v/>
      </c>
      <c r="B272" s="8"/>
      <c r="C272" s="8"/>
      <c r="D272" s="16" t="str">
        <f>IFERROR(IF(ISBLANK(C272),"",VLOOKUP(C272,Members!$A$2:$B$101,2,FALSE)),"")</f>
        <v/>
      </c>
      <c r="E272" s="8"/>
      <c r="F272" s="14" t="str">
        <f>IF(ISBLANK(E272),"",E272+Settings!$B$7)</f>
        <v/>
      </c>
      <c r="G272" s="8"/>
      <c r="H272" s="16" t="str">
        <f t="shared" ca="1" si="9"/>
        <v/>
      </c>
      <c r="I272" s="8"/>
    </row>
    <row r="273" spans="1:9" ht="15.75" x14ac:dyDescent="0.25">
      <c r="A273" s="14" t="str">
        <f t="shared" si="8"/>
        <v/>
      </c>
      <c r="B273" s="8"/>
      <c r="C273" s="8"/>
      <c r="D273" s="16" t="str">
        <f>IFERROR(IF(ISBLANK(C273),"",VLOOKUP(C273,Members!$A$2:$B$101,2,FALSE)),"")</f>
        <v/>
      </c>
      <c r="E273" s="8"/>
      <c r="F273" s="14" t="str">
        <f>IF(ISBLANK(E273),"",E273+Settings!$B$7)</f>
        <v/>
      </c>
      <c r="G273" s="8"/>
      <c r="H273" s="16" t="str">
        <f t="shared" ca="1" si="9"/>
        <v/>
      </c>
      <c r="I273" s="8"/>
    </row>
    <row r="274" spans="1:9" ht="15.75" x14ac:dyDescent="0.25">
      <c r="A274" s="14" t="str">
        <f t="shared" si="8"/>
        <v/>
      </c>
      <c r="B274" s="8"/>
      <c r="C274" s="8"/>
      <c r="D274" s="16" t="str">
        <f>IFERROR(IF(ISBLANK(C274),"",VLOOKUP(C274,Members!$A$2:$B$101,2,FALSE)),"")</f>
        <v/>
      </c>
      <c r="E274" s="8"/>
      <c r="F274" s="14" t="str">
        <f>IF(ISBLANK(E274),"",E274+Settings!$B$7)</f>
        <v/>
      </c>
      <c r="G274" s="8"/>
      <c r="H274" s="16" t="str">
        <f t="shared" ca="1" si="9"/>
        <v/>
      </c>
      <c r="I274" s="8"/>
    </row>
    <row r="275" spans="1:9" ht="15.75" x14ac:dyDescent="0.25">
      <c r="A275" s="14" t="str">
        <f t="shared" si="8"/>
        <v/>
      </c>
      <c r="B275" s="8"/>
      <c r="C275" s="8"/>
      <c r="D275" s="16" t="str">
        <f>IFERROR(IF(ISBLANK(C275),"",VLOOKUP(C275,Members!$A$2:$B$101,2,FALSE)),"")</f>
        <v/>
      </c>
      <c r="E275" s="8"/>
      <c r="F275" s="14" t="str">
        <f>IF(ISBLANK(E275),"",E275+Settings!$B$7)</f>
        <v/>
      </c>
      <c r="G275" s="8"/>
      <c r="H275" s="16" t="str">
        <f t="shared" ca="1" si="9"/>
        <v/>
      </c>
      <c r="I275" s="8"/>
    </row>
    <row r="276" spans="1:9" ht="15.75" x14ac:dyDescent="0.25">
      <c r="A276" s="14" t="str">
        <f t="shared" si="8"/>
        <v/>
      </c>
      <c r="B276" s="8"/>
      <c r="C276" s="8"/>
      <c r="D276" s="16" t="str">
        <f>IFERROR(IF(ISBLANK(C276),"",VLOOKUP(C276,Members!$A$2:$B$101,2,FALSE)),"")</f>
        <v/>
      </c>
      <c r="E276" s="8"/>
      <c r="F276" s="14" t="str">
        <f>IF(ISBLANK(E276),"",E276+Settings!$B$7)</f>
        <v/>
      </c>
      <c r="G276" s="8"/>
      <c r="H276" s="16" t="str">
        <f t="shared" ca="1" si="9"/>
        <v/>
      </c>
      <c r="I276" s="8"/>
    </row>
    <row r="277" spans="1:9" ht="15.75" x14ac:dyDescent="0.25">
      <c r="A277" s="14" t="str">
        <f t="shared" si="8"/>
        <v/>
      </c>
      <c r="B277" s="8"/>
      <c r="C277" s="8"/>
      <c r="D277" s="16" t="str">
        <f>IFERROR(IF(ISBLANK(C277),"",VLOOKUP(C277,Members!$A$2:$B$101,2,FALSE)),"")</f>
        <v/>
      </c>
      <c r="E277" s="8"/>
      <c r="F277" s="14" t="str">
        <f>IF(ISBLANK(E277),"",E277+Settings!$B$7)</f>
        <v/>
      </c>
      <c r="G277" s="8"/>
      <c r="H277" s="16" t="str">
        <f t="shared" ca="1" si="9"/>
        <v/>
      </c>
      <c r="I277" s="8"/>
    </row>
    <row r="278" spans="1:9" ht="15.75" x14ac:dyDescent="0.25">
      <c r="A278" s="14" t="str">
        <f t="shared" si="8"/>
        <v/>
      </c>
      <c r="B278" s="8"/>
      <c r="C278" s="8"/>
      <c r="D278" s="16" t="str">
        <f>IFERROR(IF(ISBLANK(C278),"",VLOOKUP(C278,Members!$A$2:$B$101,2,FALSE)),"")</f>
        <v/>
      </c>
      <c r="E278" s="8"/>
      <c r="F278" s="14" t="str">
        <f>IF(ISBLANK(E278),"",E278+Settings!$B$7)</f>
        <v/>
      </c>
      <c r="G278" s="8"/>
      <c r="H278" s="16" t="str">
        <f t="shared" ca="1" si="9"/>
        <v/>
      </c>
      <c r="I278" s="8"/>
    </row>
    <row r="279" spans="1:9" ht="15.75" x14ac:dyDescent="0.25">
      <c r="A279" s="14" t="str">
        <f t="shared" si="8"/>
        <v/>
      </c>
      <c r="B279" s="8"/>
      <c r="C279" s="8"/>
      <c r="D279" s="16" t="str">
        <f>IFERROR(IF(ISBLANK(C279),"",VLOOKUP(C279,Members!$A$2:$B$101,2,FALSE)),"")</f>
        <v/>
      </c>
      <c r="E279" s="8"/>
      <c r="F279" s="14" t="str">
        <f>IF(ISBLANK(E279),"",E279+Settings!$B$7)</f>
        <v/>
      </c>
      <c r="G279" s="8"/>
      <c r="H279" s="16" t="str">
        <f t="shared" ca="1" si="9"/>
        <v/>
      </c>
      <c r="I279" s="8"/>
    </row>
    <row r="280" spans="1:9" ht="15.75" x14ac:dyDescent="0.25">
      <c r="A280" s="14" t="str">
        <f t="shared" si="8"/>
        <v/>
      </c>
      <c r="B280" s="8"/>
      <c r="C280" s="8"/>
      <c r="D280" s="16" t="str">
        <f>IFERROR(IF(ISBLANK(C280),"",VLOOKUP(C280,Members!$A$2:$B$101,2,FALSE)),"")</f>
        <v/>
      </c>
      <c r="E280" s="8"/>
      <c r="F280" s="14" t="str">
        <f>IF(ISBLANK(E280),"",E280+Settings!$B$7)</f>
        <v/>
      </c>
      <c r="G280" s="8"/>
      <c r="H280" s="16" t="str">
        <f t="shared" ca="1" si="9"/>
        <v/>
      </c>
      <c r="I280" s="8"/>
    </row>
    <row r="281" spans="1:9" ht="15.75" x14ac:dyDescent="0.25">
      <c r="A281" s="14" t="str">
        <f t="shared" si="8"/>
        <v/>
      </c>
      <c r="B281" s="8"/>
      <c r="C281" s="8"/>
      <c r="D281" s="16" t="str">
        <f>IFERROR(IF(ISBLANK(C281),"",VLOOKUP(C281,Members!$A$2:$B$101,2,FALSE)),"")</f>
        <v/>
      </c>
      <c r="E281" s="8"/>
      <c r="F281" s="14" t="str">
        <f>IF(ISBLANK(E281),"",E281+Settings!$B$7)</f>
        <v/>
      </c>
      <c r="G281" s="8"/>
      <c r="H281" s="16" t="str">
        <f t="shared" ca="1" si="9"/>
        <v/>
      </c>
      <c r="I281" s="8"/>
    </row>
    <row r="282" spans="1:9" ht="15.75" x14ac:dyDescent="0.25">
      <c r="A282" s="14" t="str">
        <f t="shared" si="8"/>
        <v/>
      </c>
      <c r="B282" s="8"/>
      <c r="C282" s="8"/>
      <c r="D282" s="16" t="str">
        <f>IFERROR(IF(ISBLANK(C282),"",VLOOKUP(C282,Members!$A$2:$B$101,2,FALSE)),"")</f>
        <v/>
      </c>
      <c r="E282" s="8"/>
      <c r="F282" s="14" t="str">
        <f>IF(ISBLANK(E282),"",E282+Settings!$B$7)</f>
        <v/>
      </c>
      <c r="G282" s="8"/>
      <c r="H282" s="16" t="str">
        <f t="shared" ca="1" si="9"/>
        <v/>
      </c>
      <c r="I282" s="8"/>
    </row>
    <row r="283" spans="1:9" ht="15.75" x14ac:dyDescent="0.25">
      <c r="A283" s="14" t="str">
        <f t="shared" si="8"/>
        <v/>
      </c>
      <c r="B283" s="8"/>
      <c r="C283" s="8"/>
      <c r="D283" s="16" t="str">
        <f>IFERROR(IF(ISBLANK(C283),"",VLOOKUP(C283,Members!$A$2:$B$101,2,FALSE)),"")</f>
        <v/>
      </c>
      <c r="E283" s="8"/>
      <c r="F283" s="14" t="str">
        <f>IF(ISBLANK(E283),"",E283+Settings!$B$7)</f>
        <v/>
      </c>
      <c r="G283" s="8"/>
      <c r="H283" s="16" t="str">
        <f t="shared" ca="1" si="9"/>
        <v/>
      </c>
      <c r="I283" s="8"/>
    </row>
    <row r="284" spans="1:9" ht="15.75" x14ac:dyDescent="0.25">
      <c r="A284" s="14" t="str">
        <f t="shared" si="8"/>
        <v/>
      </c>
      <c r="B284" s="8"/>
      <c r="C284" s="8"/>
      <c r="D284" s="16" t="str">
        <f>IFERROR(IF(ISBLANK(C284),"",VLOOKUP(C284,Members!$A$2:$B$101,2,FALSE)),"")</f>
        <v/>
      </c>
      <c r="E284" s="8"/>
      <c r="F284" s="14" t="str">
        <f>IF(ISBLANK(E284),"",E284+Settings!$B$7)</f>
        <v/>
      </c>
      <c r="G284" s="8"/>
      <c r="H284" s="16" t="str">
        <f t="shared" ca="1" si="9"/>
        <v/>
      </c>
      <c r="I284" s="8"/>
    </row>
    <row r="285" spans="1:9" ht="15.75" x14ac:dyDescent="0.25">
      <c r="A285" s="14" t="str">
        <f t="shared" si="8"/>
        <v/>
      </c>
      <c r="B285" s="8"/>
      <c r="C285" s="8"/>
      <c r="D285" s="16" t="str">
        <f>IFERROR(IF(ISBLANK(C285),"",VLOOKUP(C285,Members!$A$2:$B$101,2,FALSE)),"")</f>
        <v/>
      </c>
      <c r="E285" s="8"/>
      <c r="F285" s="14" t="str">
        <f>IF(ISBLANK(E285),"",E285+Settings!$B$7)</f>
        <v/>
      </c>
      <c r="G285" s="8"/>
      <c r="H285" s="16" t="str">
        <f t="shared" ca="1" si="9"/>
        <v/>
      </c>
      <c r="I285" s="8"/>
    </row>
    <row r="286" spans="1:9" ht="15.75" x14ac:dyDescent="0.25">
      <c r="A286" s="14" t="str">
        <f t="shared" si="8"/>
        <v/>
      </c>
      <c r="B286" s="8"/>
      <c r="C286" s="8"/>
      <c r="D286" s="16" t="str">
        <f>IFERROR(IF(ISBLANK(C286),"",VLOOKUP(C286,Members!$A$2:$B$101,2,FALSE)),"")</f>
        <v/>
      </c>
      <c r="E286" s="8"/>
      <c r="F286" s="14" t="str">
        <f>IF(ISBLANK(E286),"",E286+Settings!$B$7)</f>
        <v/>
      </c>
      <c r="G286" s="8"/>
      <c r="H286" s="16" t="str">
        <f t="shared" ca="1" si="9"/>
        <v/>
      </c>
      <c r="I286" s="8"/>
    </row>
    <row r="287" spans="1:9" ht="15.75" x14ac:dyDescent="0.25">
      <c r="A287" s="14" t="str">
        <f t="shared" si="8"/>
        <v/>
      </c>
      <c r="B287" s="8"/>
      <c r="C287" s="8"/>
      <c r="D287" s="16" t="str">
        <f>IFERROR(IF(ISBLANK(C287),"",VLOOKUP(C287,Members!$A$2:$B$101,2,FALSE)),"")</f>
        <v/>
      </c>
      <c r="E287" s="8"/>
      <c r="F287" s="14" t="str">
        <f>IF(ISBLANK(E287),"",E287+Settings!$B$7)</f>
        <v/>
      </c>
      <c r="G287" s="8"/>
      <c r="H287" s="16" t="str">
        <f t="shared" ca="1" si="9"/>
        <v/>
      </c>
      <c r="I287" s="8"/>
    </row>
    <row r="288" spans="1:9" ht="15.75" x14ac:dyDescent="0.25">
      <c r="A288" s="14" t="str">
        <f t="shared" si="8"/>
        <v/>
      </c>
      <c r="B288" s="8"/>
      <c r="C288" s="8"/>
      <c r="D288" s="16" t="str">
        <f>IFERROR(IF(ISBLANK(C288),"",VLOOKUP(C288,Members!$A$2:$B$101,2,FALSE)),"")</f>
        <v/>
      </c>
      <c r="E288" s="8"/>
      <c r="F288" s="14" t="str">
        <f>IF(ISBLANK(E288),"",E288+Settings!$B$7)</f>
        <v/>
      </c>
      <c r="G288" s="8"/>
      <c r="H288" s="16" t="str">
        <f t="shared" ca="1" si="9"/>
        <v/>
      </c>
      <c r="I288" s="8"/>
    </row>
    <row r="289" spans="1:9" ht="15.75" x14ac:dyDescent="0.25">
      <c r="A289" s="14" t="str">
        <f t="shared" si="8"/>
        <v/>
      </c>
      <c r="B289" s="8"/>
      <c r="C289" s="8"/>
      <c r="D289" s="16" t="str">
        <f>IFERROR(IF(ISBLANK(C289),"",VLOOKUP(C289,Members!$A$2:$B$101,2,FALSE)),"")</f>
        <v/>
      </c>
      <c r="E289" s="8"/>
      <c r="F289" s="14" t="str">
        <f>IF(ISBLANK(E289),"",E289+Settings!$B$7)</f>
        <v/>
      </c>
      <c r="G289" s="8"/>
      <c r="H289" s="16" t="str">
        <f t="shared" ca="1" si="9"/>
        <v/>
      </c>
      <c r="I289" s="8"/>
    </row>
    <row r="290" spans="1:9" ht="15.75" x14ac:dyDescent="0.25">
      <c r="A290" s="14" t="str">
        <f t="shared" si="8"/>
        <v/>
      </c>
      <c r="B290" s="8"/>
      <c r="C290" s="8"/>
      <c r="D290" s="16" t="str">
        <f>IFERROR(IF(ISBLANK(C290),"",VLOOKUP(C290,Members!$A$2:$B$101,2,FALSE)),"")</f>
        <v/>
      </c>
      <c r="E290" s="8"/>
      <c r="F290" s="14" t="str">
        <f>IF(ISBLANK(E290),"",E290+Settings!$B$7)</f>
        <v/>
      </c>
      <c r="G290" s="8"/>
      <c r="H290" s="16" t="str">
        <f t="shared" ca="1" si="9"/>
        <v/>
      </c>
      <c r="I290" s="8"/>
    </row>
    <row r="291" spans="1:9" ht="15.75" x14ac:dyDescent="0.25">
      <c r="A291" s="14" t="str">
        <f t="shared" si="8"/>
        <v/>
      </c>
      <c r="B291" s="8"/>
      <c r="C291" s="8"/>
      <c r="D291" s="16" t="str">
        <f>IFERROR(IF(ISBLANK(C291),"",VLOOKUP(C291,Members!$A$2:$B$101,2,FALSE)),"")</f>
        <v/>
      </c>
      <c r="E291" s="8"/>
      <c r="F291" s="14" t="str">
        <f>IF(ISBLANK(E291),"",E291+Settings!$B$7)</f>
        <v/>
      </c>
      <c r="G291" s="8"/>
      <c r="H291" s="16" t="str">
        <f t="shared" ca="1" si="9"/>
        <v/>
      </c>
      <c r="I291" s="8"/>
    </row>
    <row r="292" spans="1:9" ht="15.75" x14ac:dyDescent="0.25">
      <c r="A292" s="14" t="str">
        <f t="shared" si="8"/>
        <v/>
      </c>
      <c r="B292" s="8"/>
      <c r="C292" s="8"/>
      <c r="D292" s="16" t="str">
        <f>IFERROR(IF(ISBLANK(C292),"",VLOOKUP(C292,Members!$A$2:$B$101,2,FALSE)),"")</f>
        <v/>
      </c>
      <c r="E292" s="8"/>
      <c r="F292" s="14" t="str">
        <f>IF(ISBLANK(E292),"",E292+Settings!$B$7)</f>
        <v/>
      </c>
      <c r="G292" s="8"/>
      <c r="H292" s="16" t="str">
        <f t="shared" ca="1" si="9"/>
        <v/>
      </c>
      <c r="I292" s="8"/>
    </row>
    <row r="293" spans="1:9" ht="15.75" x14ac:dyDescent="0.25">
      <c r="A293" s="14" t="str">
        <f t="shared" si="8"/>
        <v/>
      </c>
      <c r="B293" s="8"/>
      <c r="C293" s="8"/>
      <c r="D293" s="16" t="str">
        <f>IFERROR(IF(ISBLANK(C293),"",VLOOKUP(C293,Members!$A$2:$B$101,2,FALSE)),"")</f>
        <v/>
      </c>
      <c r="E293" s="8"/>
      <c r="F293" s="14" t="str">
        <f>IF(ISBLANK(E293),"",E293+Settings!$B$7)</f>
        <v/>
      </c>
      <c r="G293" s="8"/>
      <c r="H293" s="16" t="str">
        <f t="shared" ca="1" si="9"/>
        <v/>
      </c>
      <c r="I293" s="8"/>
    </row>
    <row r="294" spans="1:9" ht="15.75" x14ac:dyDescent="0.25">
      <c r="A294" s="14" t="str">
        <f t="shared" si="8"/>
        <v/>
      </c>
      <c r="B294" s="8"/>
      <c r="C294" s="8"/>
      <c r="D294" s="16" t="str">
        <f>IFERROR(IF(ISBLANK(C294),"",VLOOKUP(C294,Members!$A$2:$B$101,2,FALSE)),"")</f>
        <v/>
      </c>
      <c r="E294" s="8"/>
      <c r="F294" s="14" t="str">
        <f>IF(ISBLANK(E294),"",E294+Settings!$B$7)</f>
        <v/>
      </c>
      <c r="G294" s="8"/>
      <c r="H294" s="16" t="str">
        <f t="shared" ca="1" si="9"/>
        <v/>
      </c>
      <c r="I294" s="8"/>
    </row>
    <row r="295" spans="1:9" ht="15.75" x14ac:dyDescent="0.25">
      <c r="A295" s="14" t="str">
        <f t="shared" si="8"/>
        <v/>
      </c>
      <c r="B295" s="8"/>
      <c r="C295" s="8"/>
      <c r="D295" s="16" t="str">
        <f>IFERROR(IF(ISBLANK(C295),"",VLOOKUP(C295,Members!$A$2:$B$101,2,FALSE)),"")</f>
        <v/>
      </c>
      <c r="E295" s="8"/>
      <c r="F295" s="14" t="str">
        <f>IF(ISBLANK(E295),"",E295+Settings!$B$7)</f>
        <v/>
      </c>
      <c r="G295" s="8"/>
      <c r="H295" s="16" t="str">
        <f t="shared" ca="1" si="9"/>
        <v/>
      </c>
      <c r="I295" s="8"/>
    </row>
    <row r="296" spans="1:9" ht="15.75" x14ac:dyDescent="0.25">
      <c r="A296" s="14" t="str">
        <f t="shared" si="8"/>
        <v/>
      </c>
      <c r="B296" s="8"/>
      <c r="C296" s="8"/>
      <c r="D296" s="16" t="str">
        <f>IFERROR(IF(ISBLANK(C296),"",VLOOKUP(C296,Members!$A$2:$B$101,2,FALSE)),"")</f>
        <v/>
      </c>
      <c r="E296" s="8"/>
      <c r="F296" s="14" t="str">
        <f>IF(ISBLANK(E296),"",E296+Settings!$B$7)</f>
        <v/>
      </c>
      <c r="G296" s="8"/>
      <c r="H296" s="16" t="str">
        <f t="shared" ca="1" si="9"/>
        <v/>
      </c>
      <c r="I296" s="8"/>
    </row>
    <row r="297" spans="1:9" ht="15.75" x14ac:dyDescent="0.25">
      <c r="A297" s="14" t="str">
        <f t="shared" si="8"/>
        <v/>
      </c>
      <c r="B297" s="8"/>
      <c r="C297" s="8"/>
      <c r="D297" s="16" t="str">
        <f>IFERROR(IF(ISBLANK(C297),"",VLOOKUP(C297,Members!$A$2:$B$101,2,FALSE)),"")</f>
        <v/>
      </c>
      <c r="E297" s="8"/>
      <c r="F297" s="14" t="str">
        <f>IF(ISBLANK(E297),"",E297+Settings!$B$7)</f>
        <v/>
      </c>
      <c r="G297" s="8"/>
      <c r="H297" s="16" t="str">
        <f t="shared" ca="1" si="9"/>
        <v/>
      </c>
      <c r="I297" s="8"/>
    </row>
    <row r="298" spans="1:9" ht="15.75" x14ac:dyDescent="0.25">
      <c r="A298" s="14" t="str">
        <f t="shared" si="8"/>
        <v/>
      </c>
      <c r="B298" s="8"/>
      <c r="C298" s="8"/>
      <c r="D298" s="16" t="str">
        <f>IFERROR(IF(ISBLANK(C298),"",VLOOKUP(C298,Members!$A$2:$B$101,2,FALSE)),"")</f>
        <v/>
      </c>
      <c r="E298" s="8"/>
      <c r="F298" s="14" t="str">
        <f>IF(ISBLANK(E298),"",E298+Settings!$B$7)</f>
        <v/>
      </c>
      <c r="G298" s="8"/>
      <c r="H298" s="16" t="str">
        <f t="shared" ca="1" si="9"/>
        <v/>
      </c>
      <c r="I298" s="8"/>
    </row>
    <row r="299" spans="1:9" ht="15.75" x14ac:dyDescent="0.25">
      <c r="A299" s="14" t="str">
        <f t="shared" si="8"/>
        <v/>
      </c>
      <c r="B299" s="8"/>
      <c r="C299" s="8"/>
      <c r="D299" s="16" t="str">
        <f>IFERROR(IF(ISBLANK(C299),"",VLOOKUP(C299,Members!$A$2:$B$101,2,FALSE)),"")</f>
        <v/>
      </c>
      <c r="E299" s="8"/>
      <c r="F299" s="14" t="str">
        <f>IF(ISBLANK(E299),"",E299+Settings!$B$7)</f>
        <v/>
      </c>
      <c r="G299" s="8"/>
      <c r="H299" s="16" t="str">
        <f t="shared" ca="1" si="9"/>
        <v/>
      </c>
      <c r="I299" s="8"/>
    </row>
    <row r="300" spans="1:9" ht="15.75" x14ac:dyDescent="0.25">
      <c r="A300" s="14" t="str">
        <f t="shared" si="8"/>
        <v/>
      </c>
      <c r="B300" s="8"/>
      <c r="C300" s="8"/>
      <c r="D300" s="16" t="str">
        <f>IFERROR(IF(ISBLANK(C300),"",VLOOKUP(C300,Members!$A$2:$B$101,2,FALSE)),"")</f>
        <v/>
      </c>
      <c r="E300" s="8"/>
      <c r="F300" s="14" t="str">
        <f>IF(ISBLANK(E300),"",E300+Settings!$B$7)</f>
        <v/>
      </c>
      <c r="G300" s="8"/>
      <c r="H300" s="16" t="str">
        <f t="shared" ca="1" si="9"/>
        <v/>
      </c>
      <c r="I300" s="8"/>
    </row>
    <row r="301" spans="1:9" ht="15.75" x14ac:dyDescent="0.25">
      <c r="A301" s="14" t="str">
        <f t="shared" si="8"/>
        <v/>
      </c>
      <c r="B301" s="8"/>
      <c r="C301" s="8"/>
      <c r="D301" s="16" t="str">
        <f>IFERROR(IF(ISBLANK(C301),"",VLOOKUP(C301,Members!$A$2:$B$101,2,FALSE)),"")</f>
        <v/>
      </c>
      <c r="E301" s="8"/>
      <c r="F301" s="14" t="str">
        <f>IF(ISBLANK(E301),"",E301+Settings!$B$7)</f>
        <v/>
      </c>
      <c r="G301" s="8"/>
      <c r="H301" s="16" t="str">
        <f t="shared" ca="1" si="9"/>
        <v/>
      </c>
      <c r="I301" s="8"/>
    </row>
    <row r="302" spans="1:9" ht="15.75" x14ac:dyDescent="0.25">
      <c r="A302" s="14" t="str">
        <f t="shared" si="8"/>
        <v/>
      </c>
      <c r="B302" s="8"/>
      <c r="C302" s="8"/>
      <c r="D302" s="16" t="str">
        <f>IFERROR(IF(ISBLANK(C302),"",VLOOKUP(C302,Members!$A$2:$B$101,2,FALSE)),"")</f>
        <v/>
      </c>
      <c r="E302" s="8"/>
      <c r="F302" s="14" t="str">
        <f>IF(ISBLANK(E302),"",E302+Settings!$B$7)</f>
        <v/>
      </c>
      <c r="G302" s="8"/>
      <c r="H302" s="16" t="str">
        <f t="shared" ca="1" si="9"/>
        <v/>
      </c>
      <c r="I302" s="8"/>
    </row>
    <row r="303" spans="1:9" ht="15.75" x14ac:dyDescent="0.25">
      <c r="A303" s="14" t="str">
        <f t="shared" si="8"/>
        <v/>
      </c>
      <c r="B303" s="8"/>
      <c r="C303" s="8"/>
      <c r="D303" s="16" t="str">
        <f>IFERROR(IF(ISBLANK(C303),"",VLOOKUP(C303,Members!$A$2:$B$101,2,FALSE)),"")</f>
        <v/>
      </c>
      <c r="E303" s="8"/>
      <c r="F303" s="14" t="str">
        <f>IF(ISBLANK(E303),"",E303+Settings!$B$7)</f>
        <v/>
      </c>
      <c r="G303" s="8"/>
      <c r="H303" s="16" t="str">
        <f t="shared" ca="1" si="9"/>
        <v/>
      </c>
      <c r="I303" s="8"/>
    </row>
    <row r="304" spans="1:9" ht="15.75" x14ac:dyDescent="0.25">
      <c r="A304" s="14" t="str">
        <f t="shared" si="8"/>
        <v/>
      </c>
      <c r="B304" s="8"/>
      <c r="C304" s="8"/>
      <c r="D304" s="16" t="str">
        <f>IFERROR(IF(ISBLANK(C304),"",VLOOKUP(C304,Members!$A$2:$B$101,2,FALSE)),"")</f>
        <v/>
      </c>
      <c r="E304" s="8"/>
      <c r="F304" s="14" t="str">
        <f>IF(ISBLANK(E304),"",E304+Settings!$B$7)</f>
        <v/>
      </c>
      <c r="G304" s="8"/>
      <c r="H304" s="16" t="str">
        <f t="shared" ca="1" si="9"/>
        <v/>
      </c>
      <c r="I304" s="8"/>
    </row>
    <row r="305" spans="1:9" ht="15.75" x14ac:dyDescent="0.25">
      <c r="A305" s="14" t="str">
        <f t="shared" si="8"/>
        <v/>
      </c>
      <c r="B305" s="8"/>
      <c r="C305" s="8"/>
      <c r="D305" s="16" t="str">
        <f>IFERROR(IF(ISBLANK(C305),"",VLOOKUP(C305,Members!$A$2:$B$101,2,FALSE)),"")</f>
        <v/>
      </c>
      <c r="E305" s="8"/>
      <c r="F305" s="14" t="str">
        <f>IF(ISBLANK(E305),"",E305+Settings!$B$7)</f>
        <v/>
      </c>
      <c r="G305" s="8"/>
      <c r="H305" s="16" t="str">
        <f t="shared" ca="1" si="9"/>
        <v/>
      </c>
      <c r="I305" s="8"/>
    </row>
    <row r="306" spans="1:9" ht="15.75" x14ac:dyDescent="0.25">
      <c r="A306" s="14" t="str">
        <f t="shared" si="8"/>
        <v/>
      </c>
      <c r="B306" s="8"/>
      <c r="C306" s="8"/>
      <c r="D306" s="16" t="str">
        <f>IFERROR(IF(ISBLANK(C306),"",VLOOKUP(C306,Members!$A$2:$B$101,2,FALSE)),"")</f>
        <v/>
      </c>
      <c r="E306" s="8"/>
      <c r="F306" s="14" t="str">
        <f>IF(ISBLANK(E306),"",E306+Settings!$B$7)</f>
        <v/>
      </c>
      <c r="G306" s="8"/>
      <c r="H306" s="16" t="str">
        <f t="shared" ca="1" si="9"/>
        <v/>
      </c>
      <c r="I306" s="8"/>
    </row>
    <row r="307" spans="1:9" ht="15.75" x14ac:dyDescent="0.25">
      <c r="A307" s="14" t="str">
        <f t="shared" si="8"/>
        <v/>
      </c>
      <c r="B307" s="8"/>
      <c r="C307" s="8"/>
      <c r="D307" s="16" t="str">
        <f>IFERROR(IF(ISBLANK(C307),"",VLOOKUP(C307,Members!$A$2:$B$101,2,FALSE)),"")</f>
        <v/>
      </c>
      <c r="E307" s="8"/>
      <c r="F307" s="14" t="str">
        <f>IF(ISBLANK(E307),"",E307+Settings!$B$7)</f>
        <v/>
      </c>
      <c r="G307" s="8"/>
      <c r="H307" s="16" t="str">
        <f t="shared" ca="1" si="9"/>
        <v/>
      </c>
      <c r="I307" s="8"/>
    </row>
    <row r="308" spans="1:9" ht="15.75" x14ac:dyDescent="0.25">
      <c r="A308" s="14" t="str">
        <f t="shared" si="8"/>
        <v/>
      </c>
      <c r="B308" s="8"/>
      <c r="C308" s="8"/>
      <c r="D308" s="16" t="str">
        <f>IFERROR(IF(ISBLANK(C308),"",VLOOKUP(C308,Members!$A$2:$B$101,2,FALSE)),"")</f>
        <v/>
      </c>
      <c r="E308" s="8"/>
      <c r="F308" s="14" t="str">
        <f>IF(ISBLANK(E308),"",E308+Settings!$B$7)</f>
        <v/>
      </c>
      <c r="G308" s="8"/>
      <c r="H308" s="16" t="str">
        <f t="shared" ca="1" si="9"/>
        <v/>
      </c>
      <c r="I308" s="8"/>
    </row>
    <row r="309" spans="1:9" ht="15.75" x14ac:dyDescent="0.25">
      <c r="A309" s="14" t="str">
        <f t="shared" si="8"/>
        <v/>
      </c>
      <c r="B309" s="8"/>
      <c r="C309" s="8"/>
      <c r="D309" s="16" t="str">
        <f>IFERROR(IF(ISBLANK(C309),"",VLOOKUP(C309,Members!$A$2:$B$101,2,FALSE)),"")</f>
        <v/>
      </c>
      <c r="E309" s="8"/>
      <c r="F309" s="14" t="str">
        <f>IF(ISBLANK(E309),"",E309+Settings!$B$7)</f>
        <v/>
      </c>
      <c r="G309" s="8"/>
      <c r="H309" s="16" t="str">
        <f t="shared" ca="1" si="9"/>
        <v/>
      </c>
      <c r="I309" s="8"/>
    </row>
    <row r="310" spans="1:9" ht="15.75" x14ac:dyDescent="0.25">
      <c r="A310" s="14" t="str">
        <f t="shared" si="8"/>
        <v/>
      </c>
      <c r="B310" s="8"/>
      <c r="C310" s="8"/>
      <c r="D310" s="16" t="str">
        <f>IFERROR(IF(ISBLANK(C310),"",VLOOKUP(C310,Members!$A$2:$B$101,2,FALSE)),"")</f>
        <v/>
      </c>
      <c r="E310" s="8"/>
      <c r="F310" s="14" t="str">
        <f>IF(ISBLANK(E310),"",E310+Settings!$B$7)</f>
        <v/>
      </c>
      <c r="G310" s="8"/>
      <c r="H310" s="16" t="str">
        <f t="shared" ca="1" si="9"/>
        <v/>
      </c>
      <c r="I310" s="8"/>
    </row>
    <row r="311" spans="1:9" ht="15.75" x14ac:dyDescent="0.25">
      <c r="A311" s="14" t="str">
        <f t="shared" si="8"/>
        <v/>
      </c>
      <c r="B311" s="8"/>
      <c r="C311" s="8"/>
      <c r="D311" s="16" t="str">
        <f>IFERROR(IF(ISBLANK(C311),"",VLOOKUP(C311,Members!$A$2:$B$101,2,FALSE)),"")</f>
        <v/>
      </c>
      <c r="E311" s="8"/>
      <c r="F311" s="14" t="str">
        <f>IF(ISBLANK(E311),"",E311+Settings!$B$7)</f>
        <v/>
      </c>
      <c r="G311" s="8"/>
      <c r="H311" s="16" t="str">
        <f t="shared" ca="1" si="9"/>
        <v/>
      </c>
      <c r="I311" s="8"/>
    </row>
    <row r="312" spans="1:9" ht="15.75" x14ac:dyDescent="0.25">
      <c r="A312" s="14" t="str">
        <f t="shared" si="8"/>
        <v/>
      </c>
      <c r="B312" s="8"/>
      <c r="C312" s="8"/>
      <c r="D312" s="16" t="str">
        <f>IFERROR(IF(ISBLANK(C312),"",VLOOKUP(C312,Members!$A$2:$B$101,2,FALSE)),"")</f>
        <v/>
      </c>
      <c r="E312" s="8"/>
      <c r="F312" s="14" t="str">
        <f>IF(ISBLANK(E312),"",E312+Settings!$B$7)</f>
        <v/>
      </c>
      <c r="G312" s="8"/>
      <c r="H312" s="16" t="str">
        <f t="shared" ca="1" si="9"/>
        <v/>
      </c>
      <c r="I312" s="8"/>
    </row>
    <row r="313" spans="1:9" ht="15.75" x14ac:dyDescent="0.25">
      <c r="A313" s="14" t="str">
        <f t="shared" si="8"/>
        <v/>
      </c>
      <c r="B313" s="8"/>
      <c r="C313" s="8"/>
      <c r="D313" s="16" t="str">
        <f>IFERROR(IF(ISBLANK(C313),"",VLOOKUP(C313,Members!$A$2:$B$101,2,FALSE)),"")</f>
        <v/>
      </c>
      <c r="E313" s="8"/>
      <c r="F313" s="14" t="str">
        <f>IF(ISBLANK(E313),"",E313+Settings!$B$7)</f>
        <v/>
      </c>
      <c r="G313" s="8"/>
      <c r="H313" s="16" t="str">
        <f t="shared" ca="1" si="9"/>
        <v/>
      </c>
      <c r="I313" s="8"/>
    </row>
    <row r="314" spans="1:9" ht="15.75" x14ac:dyDescent="0.25">
      <c r="A314" s="14" t="str">
        <f t="shared" si="8"/>
        <v/>
      </c>
      <c r="B314" s="8"/>
      <c r="C314" s="8"/>
      <c r="D314" s="16" t="str">
        <f>IFERROR(IF(ISBLANK(C314),"",VLOOKUP(C314,Members!$A$2:$B$101,2,FALSE)),"")</f>
        <v/>
      </c>
      <c r="E314" s="8"/>
      <c r="F314" s="14" t="str">
        <f>IF(ISBLANK(E314),"",E314+Settings!$B$7)</f>
        <v/>
      </c>
      <c r="G314" s="8"/>
      <c r="H314" s="16" t="str">
        <f t="shared" ca="1" si="9"/>
        <v/>
      </c>
      <c r="I314" s="8"/>
    </row>
    <row r="315" spans="1:9" ht="15.75" x14ac:dyDescent="0.25">
      <c r="A315" s="14" t="str">
        <f t="shared" si="8"/>
        <v/>
      </c>
      <c r="B315" s="8"/>
      <c r="C315" s="8"/>
      <c r="D315" s="16" t="str">
        <f>IFERROR(IF(ISBLANK(C315),"",VLOOKUP(C315,Members!$A$2:$B$101,2,FALSE)),"")</f>
        <v/>
      </c>
      <c r="E315" s="8"/>
      <c r="F315" s="14" t="str">
        <f>IF(ISBLANK(E315),"",E315+Settings!$B$7)</f>
        <v/>
      </c>
      <c r="G315" s="8"/>
      <c r="H315" s="16" t="str">
        <f t="shared" ca="1" si="9"/>
        <v/>
      </c>
      <c r="I315" s="8"/>
    </row>
    <row r="316" spans="1:9" ht="15.75" x14ac:dyDescent="0.25">
      <c r="A316" s="14" t="str">
        <f t="shared" si="8"/>
        <v/>
      </c>
      <c r="B316" s="8"/>
      <c r="C316" s="8"/>
      <c r="D316" s="16" t="str">
        <f>IFERROR(IF(ISBLANK(C316),"",VLOOKUP(C316,Members!$A$2:$B$101,2,FALSE)),"")</f>
        <v/>
      </c>
      <c r="E316" s="8"/>
      <c r="F316" s="14" t="str">
        <f>IF(ISBLANK(E316),"",E316+Settings!$B$7)</f>
        <v/>
      </c>
      <c r="G316" s="8"/>
      <c r="H316" s="16" t="str">
        <f t="shared" ca="1" si="9"/>
        <v/>
      </c>
      <c r="I316" s="8"/>
    </row>
    <row r="317" spans="1:9" ht="15.75" x14ac:dyDescent="0.25">
      <c r="A317" s="14" t="str">
        <f t="shared" si="8"/>
        <v/>
      </c>
      <c r="B317" s="8"/>
      <c r="C317" s="8"/>
      <c r="D317" s="16" t="str">
        <f>IFERROR(IF(ISBLANK(C317),"",VLOOKUP(C317,Members!$A$2:$B$101,2,FALSE)),"")</f>
        <v/>
      </c>
      <c r="E317" s="8"/>
      <c r="F317" s="14" t="str">
        <f>IF(ISBLANK(E317),"",E317+Settings!$B$7)</f>
        <v/>
      </c>
      <c r="G317" s="8"/>
      <c r="H317" s="16" t="str">
        <f t="shared" ca="1" si="9"/>
        <v/>
      </c>
      <c r="I317" s="8"/>
    </row>
    <row r="318" spans="1:9" ht="15.75" x14ac:dyDescent="0.25">
      <c r="A318" s="14" t="str">
        <f t="shared" si="8"/>
        <v/>
      </c>
      <c r="B318" s="8"/>
      <c r="C318" s="8"/>
      <c r="D318" s="16" t="str">
        <f>IFERROR(IF(ISBLANK(C318),"",VLOOKUP(C318,Members!$A$2:$B$101,2,FALSE)),"")</f>
        <v/>
      </c>
      <c r="E318" s="8"/>
      <c r="F318" s="14" t="str">
        <f>IF(ISBLANK(E318),"",E318+Settings!$B$7)</f>
        <v/>
      </c>
      <c r="G318" s="8"/>
      <c r="H318" s="16" t="str">
        <f t="shared" ca="1" si="9"/>
        <v/>
      </c>
      <c r="I318" s="8"/>
    </row>
    <row r="319" spans="1:9" ht="15.75" x14ac:dyDescent="0.25">
      <c r="A319" s="14" t="str">
        <f t="shared" si="8"/>
        <v/>
      </c>
      <c r="B319" s="8"/>
      <c r="C319" s="8"/>
      <c r="D319" s="16" t="str">
        <f>IFERROR(IF(ISBLANK(C319),"",VLOOKUP(C319,Members!$A$2:$B$101,2,FALSE)),"")</f>
        <v/>
      </c>
      <c r="E319" s="8"/>
      <c r="F319" s="14" t="str">
        <f>IF(ISBLANK(E319),"",E319+Settings!$B$7)</f>
        <v/>
      </c>
      <c r="G319" s="8"/>
      <c r="H319" s="16" t="str">
        <f t="shared" ca="1" si="9"/>
        <v/>
      </c>
      <c r="I319" s="8"/>
    </row>
    <row r="320" spans="1:9" ht="15.75" x14ac:dyDescent="0.25">
      <c r="A320" s="14" t="str">
        <f t="shared" si="8"/>
        <v/>
      </c>
      <c r="B320" s="8"/>
      <c r="C320" s="8"/>
      <c r="D320" s="16" t="str">
        <f>IFERROR(IF(ISBLANK(C320),"",VLOOKUP(C320,Members!$A$2:$B$101,2,FALSE)),"")</f>
        <v/>
      </c>
      <c r="E320" s="8"/>
      <c r="F320" s="14" t="str">
        <f>IF(ISBLANK(E320),"",E320+Settings!$B$7)</f>
        <v/>
      </c>
      <c r="G320" s="8"/>
      <c r="H320" s="16" t="str">
        <f t="shared" ca="1" si="9"/>
        <v/>
      </c>
      <c r="I320" s="8"/>
    </row>
    <row r="321" spans="1:9" ht="15.75" x14ac:dyDescent="0.25">
      <c r="A321" s="14" t="str">
        <f t="shared" si="8"/>
        <v/>
      </c>
      <c r="B321" s="8"/>
      <c r="C321" s="8"/>
      <c r="D321" s="16" t="str">
        <f>IFERROR(IF(ISBLANK(C321),"",VLOOKUP(C321,Members!$A$2:$B$101,2,FALSE)),"")</f>
        <v/>
      </c>
      <c r="E321" s="8"/>
      <c r="F321" s="14" t="str">
        <f>IF(ISBLANK(E321),"",E321+Settings!$B$7)</f>
        <v/>
      </c>
      <c r="G321" s="8"/>
      <c r="H321" s="16" t="str">
        <f t="shared" ca="1" si="9"/>
        <v/>
      </c>
      <c r="I321" s="8"/>
    </row>
    <row r="322" spans="1:9" ht="15.75" x14ac:dyDescent="0.25">
      <c r="A322" s="14" t="str">
        <f t="shared" ref="A322:A385" si="10">IF(ISBLANK(B322),"",ROW()-1)</f>
        <v/>
      </c>
      <c r="B322" s="8"/>
      <c r="C322" s="8"/>
      <c r="D322" s="16" t="str">
        <f>IFERROR(IF(ISBLANK(C322),"",VLOOKUP(C322,Members!$A$2:$B$101,2,FALSE)),"")</f>
        <v/>
      </c>
      <c r="E322" s="8"/>
      <c r="F322" s="14" t="str">
        <f>IF(ISBLANK(E322),"",E322+Settings!$B$7)</f>
        <v/>
      </c>
      <c r="G322" s="8"/>
      <c r="H322" s="16" t="str">
        <f t="shared" ref="H322:H385" ca="1" si="11">IF(ISBLANK(B322),"",IF(NOT(ISBLANK(G322)),"Returned",IF(TODAY()&gt;F322,"Overdue","Active")))</f>
        <v/>
      </c>
      <c r="I322" s="8"/>
    </row>
    <row r="323" spans="1:9" ht="15.75" x14ac:dyDescent="0.25">
      <c r="A323" s="14" t="str">
        <f t="shared" si="10"/>
        <v/>
      </c>
      <c r="B323" s="8"/>
      <c r="C323" s="8"/>
      <c r="D323" s="16" t="str">
        <f>IFERROR(IF(ISBLANK(C323),"",VLOOKUP(C323,Members!$A$2:$B$101,2,FALSE)),"")</f>
        <v/>
      </c>
      <c r="E323" s="8"/>
      <c r="F323" s="14" t="str">
        <f>IF(ISBLANK(E323),"",E323+Settings!$B$7)</f>
        <v/>
      </c>
      <c r="G323" s="8"/>
      <c r="H323" s="16" t="str">
        <f t="shared" ca="1" si="11"/>
        <v/>
      </c>
      <c r="I323" s="8"/>
    </row>
    <row r="324" spans="1:9" ht="15.75" x14ac:dyDescent="0.25">
      <c r="A324" s="14" t="str">
        <f t="shared" si="10"/>
        <v/>
      </c>
      <c r="B324" s="8"/>
      <c r="C324" s="8"/>
      <c r="D324" s="16" t="str">
        <f>IFERROR(IF(ISBLANK(C324),"",VLOOKUP(C324,Members!$A$2:$B$101,2,FALSE)),"")</f>
        <v/>
      </c>
      <c r="E324" s="8"/>
      <c r="F324" s="14" t="str">
        <f>IF(ISBLANK(E324),"",E324+Settings!$B$7)</f>
        <v/>
      </c>
      <c r="G324" s="8"/>
      <c r="H324" s="16" t="str">
        <f t="shared" ca="1" si="11"/>
        <v/>
      </c>
      <c r="I324" s="8"/>
    </row>
    <row r="325" spans="1:9" ht="15.75" x14ac:dyDescent="0.25">
      <c r="A325" s="14" t="str">
        <f t="shared" si="10"/>
        <v/>
      </c>
      <c r="B325" s="8"/>
      <c r="C325" s="8"/>
      <c r="D325" s="16" t="str">
        <f>IFERROR(IF(ISBLANK(C325),"",VLOOKUP(C325,Members!$A$2:$B$101,2,FALSE)),"")</f>
        <v/>
      </c>
      <c r="E325" s="8"/>
      <c r="F325" s="14" t="str">
        <f>IF(ISBLANK(E325),"",E325+Settings!$B$7)</f>
        <v/>
      </c>
      <c r="G325" s="8"/>
      <c r="H325" s="16" t="str">
        <f t="shared" ca="1" si="11"/>
        <v/>
      </c>
      <c r="I325" s="8"/>
    </row>
    <row r="326" spans="1:9" ht="15.75" x14ac:dyDescent="0.25">
      <c r="A326" s="14" t="str">
        <f t="shared" si="10"/>
        <v/>
      </c>
      <c r="B326" s="8"/>
      <c r="C326" s="8"/>
      <c r="D326" s="16" t="str">
        <f>IFERROR(IF(ISBLANK(C326),"",VLOOKUP(C326,Members!$A$2:$B$101,2,FALSE)),"")</f>
        <v/>
      </c>
      <c r="E326" s="8"/>
      <c r="F326" s="14" t="str">
        <f>IF(ISBLANK(E326),"",E326+Settings!$B$7)</f>
        <v/>
      </c>
      <c r="G326" s="8"/>
      <c r="H326" s="16" t="str">
        <f t="shared" ca="1" si="11"/>
        <v/>
      </c>
      <c r="I326" s="8"/>
    </row>
    <row r="327" spans="1:9" ht="15.75" x14ac:dyDescent="0.25">
      <c r="A327" s="14" t="str">
        <f t="shared" si="10"/>
        <v/>
      </c>
      <c r="B327" s="8"/>
      <c r="C327" s="8"/>
      <c r="D327" s="16" t="str">
        <f>IFERROR(IF(ISBLANK(C327),"",VLOOKUP(C327,Members!$A$2:$B$101,2,FALSE)),"")</f>
        <v/>
      </c>
      <c r="E327" s="8"/>
      <c r="F327" s="14" t="str">
        <f>IF(ISBLANK(E327),"",E327+Settings!$B$7)</f>
        <v/>
      </c>
      <c r="G327" s="8"/>
      <c r="H327" s="16" t="str">
        <f t="shared" ca="1" si="11"/>
        <v/>
      </c>
      <c r="I327" s="8"/>
    </row>
    <row r="328" spans="1:9" ht="15.75" x14ac:dyDescent="0.25">
      <c r="A328" s="14" t="str">
        <f t="shared" si="10"/>
        <v/>
      </c>
      <c r="B328" s="8"/>
      <c r="C328" s="8"/>
      <c r="D328" s="16" t="str">
        <f>IFERROR(IF(ISBLANK(C328),"",VLOOKUP(C328,Members!$A$2:$B$101,2,FALSE)),"")</f>
        <v/>
      </c>
      <c r="E328" s="8"/>
      <c r="F328" s="14" t="str">
        <f>IF(ISBLANK(E328),"",E328+Settings!$B$7)</f>
        <v/>
      </c>
      <c r="G328" s="8"/>
      <c r="H328" s="16" t="str">
        <f t="shared" ca="1" si="11"/>
        <v/>
      </c>
      <c r="I328" s="8"/>
    </row>
    <row r="329" spans="1:9" ht="15.75" x14ac:dyDescent="0.25">
      <c r="A329" s="14" t="str">
        <f t="shared" si="10"/>
        <v/>
      </c>
      <c r="B329" s="8"/>
      <c r="C329" s="8"/>
      <c r="D329" s="16" t="str">
        <f>IFERROR(IF(ISBLANK(C329),"",VLOOKUP(C329,Members!$A$2:$B$101,2,FALSE)),"")</f>
        <v/>
      </c>
      <c r="E329" s="8"/>
      <c r="F329" s="14" t="str">
        <f>IF(ISBLANK(E329),"",E329+Settings!$B$7)</f>
        <v/>
      </c>
      <c r="G329" s="8"/>
      <c r="H329" s="16" t="str">
        <f t="shared" ca="1" si="11"/>
        <v/>
      </c>
      <c r="I329" s="8"/>
    </row>
    <row r="330" spans="1:9" ht="15.75" x14ac:dyDescent="0.25">
      <c r="A330" s="14" t="str">
        <f t="shared" si="10"/>
        <v/>
      </c>
      <c r="B330" s="8"/>
      <c r="C330" s="8"/>
      <c r="D330" s="16" t="str">
        <f>IFERROR(IF(ISBLANK(C330),"",VLOOKUP(C330,Members!$A$2:$B$101,2,FALSE)),"")</f>
        <v/>
      </c>
      <c r="E330" s="8"/>
      <c r="F330" s="14" t="str">
        <f>IF(ISBLANK(E330),"",E330+Settings!$B$7)</f>
        <v/>
      </c>
      <c r="G330" s="8"/>
      <c r="H330" s="16" t="str">
        <f t="shared" ca="1" si="11"/>
        <v/>
      </c>
      <c r="I330" s="8"/>
    </row>
    <row r="331" spans="1:9" ht="15.75" x14ac:dyDescent="0.25">
      <c r="A331" s="14" t="str">
        <f t="shared" si="10"/>
        <v/>
      </c>
      <c r="B331" s="8"/>
      <c r="C331" s="8"/>
      <c r="D331" s="16" t="str">
        <f>IFERROR(IF(ISBLANK(C331),"",VLOOKUP(C331,Members!$A$2:$B$101,2,FALSE)),"")</f>
        <v/>
      </c>
      <c r="E331" s="8"/>
      <c r="F331" s="14" t="str">
        <f>IF(ISBLANK(E331),"",E331+Settings!$B$7)</f>
        <v/>
      </c>
      <c r="G331" s="8"/>
      <c r="H331" s="16" t="str">
        <f t="shared" ca="1" si="11"/>
        <v/>
      </c>
      <c r="I331" s="8"/>
    </row>
    <row r="332" spans="1:9" ht="15.75" x14ac:dyDescent="0.25">
      <c r="A332" s="14" t="str">
        <f t="shared" si="10"/>
        <v/>
      </c>
      <c r="B332" s="8"/>
      <c r="C332" s="8"/>
      <c r="D332" s="16" t="str">
        <f>IFERROR(IF(ISBLANK(C332),"",VLOOKUP(C332,Members!$A$2:$B$101,2,FALSE)),"")</f>
        <v/>
      </c>
      <c r="E332" s="8"/>
      <c r="F332" s="14" t="str">
        <f>IF(ISBLANK(E332),"",E332+Settings!$B$7)</f>
        <v/>
      </c>
      <c r="G332" s="8"/>
      <c r="H332" s="16" t="str">
        <f t="shared" ca="1" si="11"/>
        <v/>
      </c>
      <c r="I332" s="8"/>
    </row>
    <row r="333" spans="1:9" ht="15.75" x14ac:dyDescent="0.25">
      <c r="A333" s="14" t="str">
        <f t="shared" si="10"/>
        <v/>
      </c>
      <c r="B333" s="8"/>
      <c r="C333" s="8"/>
      <c r="D333" s="16" t="str">
        <f>IFERROR(IF(ISBLANK(C333),"",VLOOKUP(C333,Members!$A$2:$B$101,2,FALSE)),"")</f>
        <v/>
      </c>
      <c r="E333" s="8"/>
      <c r="F333" s="14" t="str">
        <f>IF(ISBLANK(E333),"",E333+Settings!$B$7)</f>
        <v/>
      </c>
      <c r="G333" s="8"/>
      <c r="H333" s="16" t="str">
        <f t="shared" ca="1" si="11"/>
        <v/>
      </c>
      <c r="I333" s="8"/>
    </row>
    <row r="334" spans="1:9" ht="15.75" x14ac:dyDescent="0.25">
      <c r="A334" s="14" t="str">
        <f t="shared" si="10"/>
        <v/>
      </c>
      <c r="B334" s="8"/>
      <c r="C334" s="8"/>
      <c r="D334" s="16" t="str">
        <f>IFERROR(IF(ISBLANK(C334),"",VLOOKUP(C334,Members!$A$2:$B$101,2,FALSE)),"")</f>
        <v/>
      </c>
      <c r="E334" s="8"/>
      <c r="F334" s="14" t="str">
        <f>IF(ISBLANK(E334),"",E334+Settings!$B$7)</f>
        <v/>
      </c>
      <c r="G334" s="8"/>
      <c r="H334" s="16" t="str">
        <f t="shared" ca="1" si="11"/>
        <v/>
      </c>
      <c r="I334" s="8"/>
    </row>
    <row r="335" spans="1:9" ht="15.75" x14ac:dyDescent="0.25">
      <c r="A335" s="14" t="str">
        <f t="shared" si="10"/>
        <v/>
      </c>
      <c r="B335" s="8"/>
      <c r="C335" s="8"/>
      <c r="D335" s="16" t="str">
        <f>IFERROR(IF(ISBLANK(C335),"",VLOOKUP(C335,Members!$A$2:$B$101,2,FALSE)),"")</f>
        <v/>
      </c>
      <c r="E335" s="8"/>
      <c r="F335" s="14" t="str">
        <f>IF(ISBLANK(E335),"",E335+Settings!$B$7)</f>
        <v/>
      </c>
      <c r="G335" s="8"/>
      <c r="H335" s="16" t="str">
        <f t="shared" ca="1" si="11"/>
        <v/>
      </c>
      <c r="I335" s="8"/>
    </row>
    <row r="336" spans="1:9" ht="15.75" x14ac:dyDescent="0.25">
      <c r="A336" s="14" t="str">
        <f t="shared" si="10"/>
        <v/>
      </c>
      <c r="B336" s="8"/>
      <c r="C336" s="8"/>
      <c r="D336" s="16" t="str">
        <f>IFERROR(IF(ISBLANK(C336),"",VLOOKUP(C336,Members!$A$2:$B$101,2,FALSE)),"")</f>
        <v/>
      </c>
      <c r="E336" s="8"/>
      <c r="F336" s="14" t="str">
        <f>IF(ISBLANK(E336),"",E336+Settings!$B$7)</f>
        <v/>
      </c>
      <c r="G336" s="8"/>
      <c r="H336" s="16" t="str">
        <f t="shared" ca="1" si="11"/>
        <v/>
      </c>
      <c r="I336" s="8"/>
    </row>
    <row r="337" spans="1:9" ht="15.75" x14ac:dyDescent="0.25">
      <c r="A337" s="14" t="str">
        <f t="shared" si="10"/>
        <v/>
      </c>
      <c r="B337" s="8"/>
      <c r="C337" s="8"/>
      <c r="D337" s="16" t="str">
        <f>IFERROR(IF(ISBLANK(C337),"",VLOOKUP(C337,Members!$A$2:$B$101,2,FALSE)),"")</f>
        <v/>
      </c>
      <c r="E337" s="8"/>
      <c r="F337" s="14" t="str">
        <f>IF(ISBLANK(E337),"",E337+Settings!$B$7)</f>
        <v/>
      </c>
      <c r="G337" s="8"/>
      <c r="H337" s="16" t="str">
        <f t="shared" ca="1" si="11"/>
        <v/>
      </c>
      <c r="I337" s="8"/>
    </row>
    <row r="338" spans="1:9" ht="15.75" x14ac:dyDescent="0.25">
      <c r="A338" s="14" t="str">
        <f t="shared" si="10"/>
        <v/>
      </c>
      <c r="B338" s="8"/>
      <c r="C338" s="8"/>
      <c r="D338" s="16" t="str">
        <f>IFERROR(IF(ISBLANK(C338),"",VLOOKUP(C338,Members!$A$2:$B$101,2,FALSE)),"")</f>
        <v/>
      </c>
      <c r="E338" s="8"/>
      <c r="F338" s="14" t="str">
        <f>IF(ISBLANK(E338),"",E338+Settings!$B$7)</f>
        <v/>
      </c>
      <c r="G338" s="8"/>
      <c r="H338" s="16" t="str">
        <f t="shared" ca="1" si="11"/>
        <v/>
      </c>
      <c r="I338" s="8"/>
    </row>
    <row r="339" spans="1:9" ht="15.75" x14ac:dyDescent="0.25">
      <c r="A339" s="14" t="str">
        <f t="shared" si="10"/>
        <v/>
      </c>
      <c r="B339" s="8"/>
      <c r="C339" s="8"/>
      <c r="D339" s="16" t="str">
        <f>IFERROR(IF(ISBLANK(C339),"",VLOOKUP(C339,Members!$A$2:$B$101,2,FALSE)),"")</f>
        <v/>
      </c>
      <c r="E339" s="8"/>
      <c r="F339" s="14" t="str">
        <f>IF(ISBLANK(E339),"",E339+Settings!$B$7)</f>
        <v/>
      </c>
      <c r="G339" s="8"/>
      <c r="H339" s="16" t="str">
        <f t="shared" ca="1" si="11"/>
        <v/>
      </c>
      <c r="I339" s="8"/>
    </row>
    <row r="340" spans="1:9" ht="15.75" x14ac:dyDescent="0.25">
      <c r="A340" s="14" t="str">
        <f t="shared" si="10"/>
        <v/>
      </c>
      <c r="B340" s="8"/>
      <c r="C340" s="8"/>
      <c r="D340" s="16" t="str">
        <f>IFERROR(IF(ISBLANK(C340),"",VLOOKUP(C340,Members!$A$2:$B$101,2,FALSE)),"")</f>
        <v/>
      </c>
      <c r="E340" s="8"/>
      <c r="F340" s="14" t="str">
        <f>IF(ISBLANK(E340),"",E340+Settings!$B$7)</f>
        <v/>
      </c>
      <c r="G340" s="8"/>
      <c r="H340" s="16" t="str">
        <f t="shared" ca="1" si="11"/>
        <v/>
      </c>
      <c r="I340" s="8"/>
    </row>
    <row r="341" spans="1:9" ht="15.75" x14ac:dyDescent="0.25">
      <c r="A341" s="14" t="str">
        <f t="shared" si="10"/>
        <v/>
      </c>
      <c r="B341" s="8"/>
      <c r="C341" s="8"/>
      <c r="D341" s="16" t="str">
        <f>IFERROR(IF(ISBLANK(C341),"",VLOOKUP(C341,Members!$A$2:$B$101,2,FALSE)),"")</f>
        <v/>
      </c>
      <c r="E341" s="8"/>
      <c r="F341" s="14" t="str">
        <f>IF(ISBLANK(E341),"",E341+Settings!$B$7)</f>
        <v/>
      </c>
      <c r="G341" s="8"/>
      <c r="H341" s="16" t="str">
        <f t="shared" ca="1" si="11"/>
        <v/>
      </c>
      <c r="I341" s="8"/>
    </row>
    <row r="342" spans="1:9" ht="15.75" x14ac:dyDescent="0.25">
      <c r="A342" s="14" t="str">
        <f t="shared" si="10"/>
        <v/>
      </c>
      <c r="B342" s="8"/>
      <c r="C342" s="8"/>
      <c r="D342" s="16" t="str">
        <f>IFERROR(IF(ISBLANK(C342),"",VLOOKUP(C342,Members!$A$2:$B$101,2,FALSE)),"")</f>
        <v/>
      </c>
      <c r="E342" s="8"/>
      <c r="F342" s="14" t="str">
        <f>IF(ISBLANK(E342),"",E342+Settings!$B$7)</f>
        <v/>
      </c>
      <c r="G342" s="8"/>
      <c r="H342" s="16" t="str">
        <f t="shared" ca="1" si="11"/>
        <v/>
      </c>
      <c r="I342" s="8"/>
    </row>
    <row r="343" spans="1:9" ht="15.75" x14ac:dyDescent="0.25">
      <c r="A343" s="14" t="str">
        <f t="shared" si="10"/>
        <v/>
      </c>
      <c r="B343" s="8"/>
      <c r="C343" s="8"/>
      <c r="D343" s="16" t="str">
        <f>IFERROR(IF(ISBLANK(C343),"",VLOOKUP(C343,Members!$A$2:$B$101,2,FALSE)),"")</f>
        <v/>
      </c>
      <c r="E343" s="8"/>
      <c r="F343" s="14" t="str">
        <f>IF(ISBLANK(E343),"",E343+Settings!$B$7)</f>
        <v/>
      </c>
      <c r="G343" s="8"/>
      <c r="H343" s="16" t="str">
        <f t="shared" ca="1" si="11"/>
        <v/>
      </c>
      <c r="I343" s="8"/>
    </row>
    <row r="344" spans="1:9" ht="15.75" x14ac:dyDescent="0.25">
      <c r="A344" s="14" t="str">
        <f t="shared" si="10"/>
        <v/>
      </c>
      <c r="B344" s="8"/>
      <c r="C344" s="8"/>
      <c r="D344" s="16" t="str">
        <f>IFERROR(IF(ISBLANK(C344),"",VLOOKUP(C344,Members!$A$2:$B$101,2,FALSE)),"")</f>
        <v/>
      </c>
      <c r="E344" s="8"/>
      <c r="F344" s="14" t="str">
        <f>IF(ISBLANK(E344),"",E344+Settings!$B$7)</f>
        <v/>
      </c>
      <c r="G344" s="8"/>
      <c r="H344" s="16" t="str">
        <f t="shared" ca="1" si="11"/>
        <v/>
      </c>
      <c r="I344" s="8"/>
    </row>
    <row r="345" spans="1:9" ht="15.75" x14ac:dyDescent="0.25">
      <c r="A345" s="14" t="str">
        <f t="shared" si="10"/>
        <v/>
      </c>
      <c r="B345" s="8"/>
      <c r="C345" s="8"/>
      <c r="D345" s="16" t="str">
        <f>IFERROR(IF(ISBLANK(C345),"",VLOOKUP(C345,Members!$A$2:$B$101,2,FALSE)),"")</f>
        <v/>
      </c>
      <c r="E345" s="8"/>
      <c r="F345" s="14" t="str">
        <f>IF(ISBLANK(E345),"",E345+Settings!$B$7)</f>
        <v/>
      </c>
      <c r="G345" s="8"/>
      <c r="H345" s="16" t="str">
        <f t="shared" ca="1" si="11"/>
        <v/>
      </c>
      <c r="I345" s="8"/>
    </row>
    <row r="346" spans="1:9" ht="15.75" x14ac:dyDescent="0.25">
      <c r="A346" s="14" t="str">
        <f t="shared" si="10"/>
        <v/>
      </c>
      <c r="B346" s="8"/>
      <c r="C346" s="8"/>
      <c r="D346" s="16" t="str">
        <f>IFERROR(IF(ISBLANK(C346),"",VLOOKUP(C346,Members!$A$2:$B$101,2,FALSE)),"")</f>
        <v/>
      </c>
      <c r="E346" s="8"/>
      <c r="F346" s="14" t="str">
        <f>IF(ISBLANK(E346),"",E346+Settings!$B$7)</f>
        <v/>
      </c>
      <c r="G346" s="8"/>
      <c r="H346" s="16" t="str">
        <f t="shared" ca="1" si="11"/>
        <v/>
      </c>
      <c r="I346" s="8"/>
    </row>
    <row r="347" spans="1:9" ht="15.75" x14ac:dyDescent="0.25">
      <c r="A347" s="14" t="str">
        <f t="shared" si="10"/>
        <v/>
      </c>
      <c r="B347" s="8"/>
      <c r="C347" s="8"/>
      <c r="D347" s="16" t="str">
        <f>IFERROR(IF(ISBLANK(C347),"",VLOOKUP(C347,Members!$A$2:$B$101,2,FALSE)),"")</f>
        <v/>
      </c>
      <c r="E347" s="8"/>
      <c r="F347" s="14" t="str">
        <f>IF(ISBLANK(E347),"",E347+Settings!$B$7)</f>
        <v/>
      </c>
      <c r="G347" s="8"/>
      <c r="H347" s="16" t="str">
        <f t="shared" ca="1" si="11"/>
        <v/>
      </c>
      <c r="I347" s="8"/>
    </row>
    <row r="348" spans="1:9" ht="15.75" x14ac:dyDescent="0.25">
      <c r="A348" s="14" t="str">
        <f t="shared" si="10"/>
        <v/>
      </c>
      <c r="B348" s="8"/>
      <c r="C348" s="8"/>
      <c r="D348" s="16" t="str">
        <f>IFERROR(IF(ISBLANK(C348),"",VLOOKUP(C348,Members!$A$2:$B$101,2,FALSE)),"")</f>
        <v/>
      </c>
      <c r="E348" s="8"/>
      <c r="F348" s="14" t="str">
        <f>IF(ISBLANK(E348),"",E348+Settings!$B$7)</f>
        <v/>
      </c>
      <c r="G348" s="8"/>
      <c r="H348" s="16" t="str">
        <f t="shared" ca="1" si="11"/>
        <v/>
      </c>
      <c r="I348" s="8"/>
    </row>
    <row r="349" spans="1:9" ht="15.75" x14ac:dyDescent="0.25">
      <c r="A349" s="14" t="str">
        <f t="shared" si="10"/>
        <v/>
      </c>
      <c r="B349" s="8"/>
      <c r="C349" s="8"/>
      <c r="D349" s="16" t="str">
        <f>IFERROR(IF(ISBLANK(C349),"",VLOOKUP(C349,Members!$A$2:$B$101,2,FALSE)),"")</f>
        <v/>
      </c>
      <c r="E349" s="8"/>
      <c r="F349" s="14" t="str">
        <f>IF(ISBLANK(E349),"",E349+Settings!$B$7)</f>
        <v/>
      </c>
      <c r="G349" s="8"/>
      <c r="H349" s="16" t="str">
        <f t="shared" ca="1" si="11"/>
        <v/>
      </c>
      <c r="I349" s="8"/>
    </row>
    <row r="350" spans="1:9" ht="15.75" x14ac:dyDescent="0.25">
      <c r="A350" s="14" t="str">
        <f t="shared" si="10"/>
        <v/>
      </c>
      <c r="B350" s="8"/>
      <c r="C350" s="8"/>
      <c r="D350" s="16" t="str">
        <f>IFERROR(IF(ISBLANK(C350),"",VLOOKUP(C350,Members!$A$2:$B$101,2,FALSE)),"")</f>
        <v/>
      </c>
      <c r="E350" s="8"/>
      <c r="F350" s="14" t="str">
        <f>IF(ISBLANK(E350),"",E350+Settings!$B$7)</f>
        <v/>
      </c>
      <c r="G350" s="8"/>
      <c r="H350" s="16" t="str">
        <f t="shared" ca="1" si="11"/>
        <v/>
      </c>
      <c r="I350" s="8"/>
    </row>
    <row r="351" spans="1:9" ht="15.75" x14ac:dyDescent="0.25">
      <c r="A351" s="14" t="str">
        <f t="shared" si="10"/>
        <v/>
      </c>
      <c r="B351" s="8"/>
      <c r="C351" s="8"/>
      <c r="D351" s="16" t="str">
        <f>IFERROR(IF(ISBLANK(C351),"",VLOOKUP(C351,Members!$A$2:$B$101,2,FALSE)),"")</f>
        <v/>
      </c>
      <c r="E351" s="8"/>
      <c r="F351" s="14" t="str">
        <f>IF(ISBLANK(E351),"",E351+Settings!$B$7)</f>
        <v/>
      </c>
      <c r="G351" s="8"/>
      <c r="H351" s="16" t="str">
        <f t="shared" ca="1" si="11"/>
        <v/>
      </c>
      <c r="I351" s="8"/>
    </row>
    <row r="352" spans="1:9" ht="15.75" x14ac:dyDescent="0.25">
      <c r="A352" s="14" t="str">
        <f t="shared" si="10"/>
        <v/>
      </c>
      <c r="B352" s="8"/>
      <c r="C352" s="8"/>
      <c r="D352" s="16" t="str">
        <f>IFERROR(IF(ISBLANK(C352),"",VLOOKUP(C352,Members!$A$2:$B$101,2,FALSE)),"")</f>
        <v/>
      </c>
      <c r="E352" s="8"/>
      <c r="F352" s="14" t="str">
        <f>IF(ISBLANK(E352),"",E352+Settings!$B$7)</f>
        <v/>
      </c>
      <c r="G352" s="8"/>
      <c r="H352" s="16" t="str">
        <f t="shared" ca="1" si="11"/>
        <v/>
      </c>
      <c r="I352" s="8"/>
    </row>
    <row r="353" spans="1:9" ht="15.75" x14ac:dyDescent="0.25">
      <c r="A353" s="14" t="str">
        <f t="shared" si="10"/>
        <v/>
      </c>
      <c r="B353" s="8"/>
      <c r="C353" s="8"/>
      <c r="D353" s="16" t="str">
        <f>IFERROR(IF(ISBLANK(C353),"",VLOOKUP(C353,Members!$A$2:$B$101,2,FALSE)),"")</f>
        <v/>
      </c>
      <c r="E353" s="8"/>
      <c r="F353" s="14" t="str">
        <f>IF(ISBLANK(E353),"",E353+Settings!$B$7)</f>
        <v/>
      </c>
      <c r="G353" s="8"/>
      <c r="H353" s="16" t="str">
        <f t="shared" ca="1" si="11"/>
        <v/>
      </c>
      <c r="I353" s="8"/>
    </row>
    <row r="354" spans="1:9" ht="15.75" x14ac:dyDescent="0.25">
      <c r="A354" s="14" t="str">
        <f t="shared" si="10"/>
        <v/>
      </c>
      <c r="B354" s="8"/>
      <c r="C354" s="8"/>
      <c r="D354" s="16" t="str">
        <f>IFERROR(IF(ISBLANK(C354),"",VLOOKUP(C354,Members!$A$2:$B$101,2,FALSE)),"")</f>
        <v/>
      </c>
      <c r="E354" s="8"/>
      <c r="F354" s="14" t="str">
        <f>IF(ISBLANK(E354),"",E354+Settings!$B$7)</f>
        <v/>
      </c>
      <c r="G354" s="8"/>
      <c r="H354" s="16" t="str">
        <f t="shared" ca="1" si="11"/>
        <v/>
      </c>
      <c r="I354" s="8"/>
    </row>
    <row r="355" spans="1:9" ht="15.75" x14ac:dyDescent="0.25">
      <c r="A355" s="14" t="str">
        <f t="shared" si="10"/>
        <v/>
      </c>
      <c r="B355" s="8"/>
      <c r="C355" s="8"/>
      <c r="D355" s="16" t="str">
        <f>IFERROR(IF(ISBLANK(C355),"",VLOOKUP(C355,Members!$A$2:$B$101,2,FALSE)),"")</f>
        <v/>
      </c>
      <c r="E355" s="8"/>
      <c r="F355" s="14" t="str">
        <f>IF(ISBLANK(E355),"",E355+Settings!$B$7)</f>
        <v/>
      </c>
      <c r="G355" s="8"/>
      <c r="H355" s="16" t="str">
        <f t="shared" ca="1" si="11"/>
        <v/>
      </c>
      <c r="I355" s="8"/>
    </row>
    <row r="356" spans="1:9" ht="15.75" x14ac:dyDescent="0.25">
      <c r="A356" s="14" t="str">
        <f t="shared" si="10"/>
        <v/>
      </c>
      <c r="B356" s="8"/>
      <c r="C356" s="8"/>
      <c r="D356" s="16" t="str">
        <f>IFERROR(IF(ISBLANK(C356),"",VLOOKUP(C356,Members!$A$2:$B$101,2,FALSE)),"")</f>
        <v/>
      </c>
      <c r="E356" s="8"/>
      <c r="F356" s="14" t="str">
        <f>IF(ISBLANK(E356),"",E356+Settings!$B$7)</f>
        <v/>
      </c>
      <c r="G356" s="8"/>
      <c r="H356" s="16" t="str">
        <f t="shared" ca="1" si="11"/>
        <v/>
      </c>
      <c r="I356" s="8"/>
    </row>
    <row r="357" spans="1:9" ht="15.75" x14ac:dyDescent="0.25">
      <c r="A357" s="14" t="str">
        <f t="shared" si="10"/>
        <v/>
      </c>
      <c r="B357" s="8"/>
      <c r="C357" s="8"/>
      <c r="D357" s="16" t="str">
        <f>IFERROR(IF(ISBLANK(C357),"",VLOOKUP(C357,Members!$A$2:$B$101,2,FALSE)),"")</f>
        <v/>
      </c>
      <c r="E357" s="8"/>
      <c r="F357" s="14" t="str">
        <f>IF(ISBLANK(E357),"",E357+Settings!$B$7)</f>
        <v/>
      </c>
      <c r="G357" s="8"/>
      <c r="H357" s="16" t="str">
        <f t="shared" ca="1" si="11"/>
        <v/>
      </c>
      <c r="I357" s="8"/>
    </row>
    <row r="358" spans="1:9" ht="15.75" x14ac:dyDescent="0.25">
      <c r="A358" s="14" t="str">
        <f t="shared" si="10"/>
        <v/>
      </c>
      <c r="B358" s="8"/>
      <c r="C358" s="8"/>
      <c r="D358" s="16" t="str">
        <f>IFERROR(IF(ISBLANK(C358),"",VLOOKUP(C358,Members!$A$2:$B$101,2,FALSE)),"")</f>
        <v/>
      </c>
      <c r="E358" s="8"/>
      <c r="F358" s="14" t="str">
        <f>IF(ISBLANK(E358),"",E358+Settings!$B$7)</f>
        <v/>
      </c>
      <c r="G358" s="8"/>
      <c r="H358" s="16" t="str">
        <f t="shared" ca="1" si="11"/>
        <v/>
      </c>
      <c r="I358" s="8"/>
    </row>
    <row r="359" spans="1:9" ht="15.75" x14ac:dyDescent="0.25">
      <c r="A359" s="14" t="str">
        <f t="shared" si="10"/>
        <v/>
      </c>
      <c r="B359" s="8"/>
      <c r="C359" s="8"/>
      <c r="D359" s="16" t="str">
        <f>IFERROR(IF(ISBLANK(C359),"",VLOOKUP(C359,Members!$A$2:$B$101,2,FALSE)),"")</f>
        <v/>
      </c>
      <c r="E359" s="8"/>
      <c r="F359" s="14" t="str">
        <f>IF(ISBLANK(E359),"",E359+Settings!$B$7)</f>
        <v/>
      </c>
      <c r="G359" s="8"/>
      <c r="H359" s="16" t="str">
        <f t="shared" ca="1" si="11"/>
        <v/>
      </c>
      <c r="I359" s="8"/>
    </row>
    <row r="360" spans="1:9" ht="15.75" x14ac:dyDescent="0.25">
      <c r="A360" s="14" t="str">
        <f t="shared" si="10"/>
        <v/>
      </c>
      <c r="B360" s="8"/>
      <c r="C360" s="8"/>
      <c r="D360" s="16" t="str">
        <f>IFERROR(IF(ISBLANK(C360),"",VLOOKUP(C360,Members!$A$2:$B$101,2,FALSE)),"")</f>
        <v/>
      </c>
      <c r="E360" s="8"/>
      <c r="F360" s="14" t="str">
        <f>IF(ISBLANK(E360),"",E360+Settings!$B$7)</f>
        <v/>
      </c>
      <c r="G360" s="8"/>
      <c r="H360" s="16" t="str">
        <f t="shared" ca="1" si="11"/>
        <v/>
      </c>
      <c r="I360" s="8"/>
    </row>
    <row r="361" spans="1:9" ht="15.75" x14ac:dyDescent="0.25">
      <c r="A361" s="14" t="str">
        <f t="shared" si="10"/>
        <v/>
      </c>
      <c r="B361" s="8"/>
      <c r="C361" s="8"/>
      <c r="D361" s="16" t="str">
        <f>IFERROR(IF(ISBLANK(C361),"",VLOOKUP(C361,Members!$A$2:$B$101,2,FALSE)),"")</f>
        <v/>
      </c>
      <c r="E361" s="8"/>
      <c r="F361" s="14" t="str">
        <f>IF(ISBLANK(E361),"",E361+Settings!$B$7)</f>
        <v/>
      </c>
      <c r="G361" s="8"/>
      <c r="H361" s="16" t="str">
        <f t="shared" ca="1" si="11"/>
        <v/>
      </c>
      <c r="I361" s="8"/>
    </row>
    <row r="362" spans="1:9" ht="15.75" x14ac:dyDescent="0.25">
      <c r="A362" s="14" t="str">
        <f t="shared" si="10"/>
        <v/>
      </c>
      <c r="B362" s="8"/>
      <c r="C362" s="8"/>
      <c r="D362" s="16" t="str">
        <f>IFERROR(IF(ISBLANK(C362),"",VLOOKUP(C362,Members!$A$2:$B$101,2,FALSE)),"")</f>
        <v/>
      </c>
      <c r="E362" s="8"/>
      <c r="F362" s="14" t="str">
        <f>IF(ISBLANK(E362),"",E362+Settings!$B$7)</f>
        <v/>
      </c>
      <c r="G362" s="8"/>
      <c r="H362" s="16" t="str">
        <f t="shared" ca="1" si="11"/>
        <v/>
      </c>
      <c r="I362" s="8"/>
    </row>
    <row r="363" spans="1:9" ht="15.75" x14ac:dyDescent="0.25">
      <c r="A363" s="14" t="str">
        <f t="shared" si="10"/>
        <v/>
      </c>
      <c r="B363" s="8"/>
      <c r="C363" s="8"/>
      <c r="D363" s="16" t="str">
        <f>IFERROR(IF(ISBLANK(C363),"",VLOOKUP(C363,Members!$A$2:$B$101,2,FALSE)),"")</f>
        <v/>
      </c>
      <c r="E363" s="8"/>
      <c r="F363" s="14" t="str">
        <f>IF(ISBLANK(E363),"",E363+Settings!$B$7)</f>
        <v/>
      </c>
      <c r="G363" s="8"/>
      <c r="H363" s="16" t="str">
        <f t="shared" ca="1" si="11"/>
        <v/>
      </c>
      <c r="I363" s="8"/>
    </row>
    <row r="364" spans="1:9" ht="15.75" x14ac:dyDescent="0.25">
      <c r="A364" s="14" t="str">
        <f t="shared" si="10"/>
        <v/>
      </c>
      <c r="B364" s="8"/>
      <c r="C364" s="8"/>
      <c r="D364" s="16" t="str">
        <f>IFERROR(IF(ISBLANK(C364),"",VLOOKUP(C364,Members!$A$2:$B$101,2,FALSE)),"")</f>
        <v/>
      </c>
      <c r="E364" s="8"/>
      <c r="F364" s="14" t="str">
        <f>IF(ISBLANK(E364),"",E364+Settings!$B$7)</f>
        <v/>
      </c>
      <c r="G364" s="8"/>
      <c r="H364" s="16" t="str">
        <f t="shared" ca="1" si="11"/>
        <v/>
      </c>
      <c r="I364" s="8"/>
    </row>
    <row r="365" spans="1:9" ht="15.75" x14ac:dyDescent="0.25">
      <c r="A365" s="14" t="str">
        <f t="shared" si="10"/>
        <v/>
      </c>
      <c r="B365" s="8"/>
      <c r="C365" s="8"/>
      <c r="D365" s="16" t="str">
        <f>IFERROR(IF(ISBLANK(C365),"",VLOOKUP(C365,Members!$A$2:$B$101,2,FALSE)),"")</f>
        <v/>
      </c>
      <c r="E365" s="8"/>
      <c r="F365" s="14" t="str">
        <f>IF(ISBLANK(E365),"",E365+Settings!$B$7)</f>
        <v/>
      </c>
      <c r="G365" s="8"/>
      <c r="H365" s="16" t="str">
        <f t="shared" ca="1" si="11"/>
        <v/>
      </c>
      <c r="I365" s="8"/>
    </row>
    <row r="366" spans="1:9" ht="15.75" x14ac:dyDescent="0.25">
      <c r="A366" s="14" t="str">
        <f t="shared" si="10"/>
        <v/>
      </c>
      <c r="B366" s="8"/>
      <c r="C366" s="8"/>
      <c r="D366" s="16" t="str">
        <f>IFERROR(IF(ISBLANK(C366),"",VLOOKUP(C366,Members!$A$2:$B$101,2,FALSE)),"")</f>
        <v/>
      </c>
      <c r="E366" s="8"/>
      <c r="F366" s="14" t="str">
        <f>IF(ISBLANK(E366),"",E366+Settings!$B$7)</f>
        <v/>
      </c>
      <c r="G366" s="8"/>
      <c r="H366" s="16" t="str">
        <f t="shared" ca="1" si="11"/>
        <v/>
      </c>
      <c r="I366" s="8"/>
    </row>
    <row r="367" spans="1:9" ht="15.75" x14ac:dyDescent="0.25">
      <c r="A367" s="14" t="str">
        <f t="shared" si="10"/>
        <v/>
      </c>
      <c r="B367" s="8"/>
      <c r="C367" s="8"/>
      <c r="D367" s="16" t="str">
        <f>IFERROR(IF(ISBLANK(C367),"",VLOOKUP(C367,Members!$A$2:$B$101,2,FALSE)),"")</f>
        <v/>
      </c>
      <c r="E367" s="8"/>
      <c r="F367" s="14" t="str">
        <f>IF(ISBLANK(E367),"",E367+Settings!$B$7)</f>
        <v/>
      </c>
      <c r="G367" s="8"/>
      <c r="H367" s="16" t="str">
        <f t="shared" ca="1" si="11"/>
        <v/>
      </c>
      <c r="I367" s="8"/>
    </row>
    <row r="368" spans="1:9" ht="15.75" x14ac:dyDescent="0.25">
      <c r="A368" s="14" t="str">
        <f t="shared" si="10"/>
        <v/>
      </c>
      <c r="B368" s="8"/>
      <c r="C368" s="8"/>
      <c r="D368" s="16" t="str">
        <f>IFERROR(IF(ISBLANK(C368),"",VLOOKUP(C368,Members!$A$2:$B$101,2,FALSE)),"")</f>
        <v/>
      </c>
      <c r="E368" s="8"/>
      <c r="F368" s="14" t="str">
        <f>IF(ISBLANK(E368),"",E368+Settings!$B$7)</f>
        <v/>
      </c>
      <c r="G368" s="8"/>
      <c r="H368" s="16" t="str">
        <f t="shared" ca="1" si="11"/>
        <v/>
      </c>
      <c r="I368" s="8"/>
    </row>
    <row r="369" spans="1:9" ht="15.75" x14ac:dyDescent="0.25">
      <c r="A369" s="14" t="str">
        <f t="shared" si="10"/>
        <v/>
      </c>
      <c r="B369" s="8"/>
      <c r="C369" s="8"/>
      <c r="D369" s="16" t="str">
        <f>IFERROR(IF(ISBLANK(C369),"",VLOOKUP(C369,Members!$A$2:$B$101,2,FALSE)),"")</f>
        <v/>
      </c>
      <c r="E369" s="8"/>
      <c r="F369" s="14" t="str">
        <f>IF(ISBLANK(E369),"",E369+Settings!$B$7)</f>
        <v/>
      </c>
      <c r="G369" s="8"/>
      <c r="H369" s="16" t="str">
        <f t="shared" ca="1" si="11"/>
        <v/>
      </c>
      <c r="I369" s="8"/>
    </row>
    <row r="370" spans="1:9" ht="15.75" x14ac:dyDescent="0.25">
      <c r="A370" s="14" t="str">
        <f t="shared" si="10"/>
        <v/>
      </c>
      <c r="B370" s="8"/>
      <c r="C370" s="8"/>
      <c r="D370" s="16" t="str">
        <f>IFERROR(IF(ISBLANK(C370),"",VLOOKUP(C370,Members!$A$2:$B$101,2,FALSE)),"")</f>
        <v/>
      </c>
      <c r="E370" s="8"/>
      <c r="F370" s="14" t="str">
        <f>IF(ISBLANK(E370),"",E370+Settings!$B$7)</f>
        <v/>
      </c>
      <c r="G370" s="8"/>
      <c r="H370" s="16" t="str">
        <f t="shared" ca="1" si="11"/>
        <v/>
      </c>
      <c r="I370" s="8"/>
    </row>
    <row r="371" spans="1:9" ht="15.75" x14ac:dyDescent="0.25">
      <c r="A371" s="14" t="str">
        <f t="shared" si="10"/>
        <v/>
      </c>
      <c r="B371" s="8"/>
      <c r="C371" s="8"/>
      <c r="D371" s="16" t="str">
        <f>IFERROR(IF(ISBLANK(C371),"",VLOOKUP(C371,Members!$A$2:$B$101,2,FALSE)),"")</f>
        <v/>
      </c>
      <c r="E371" s="8"/>
      <c r="F371" s="14" t="str">
        <f>IF(ISBLANK(E371),"",E371+Settings!$B$7)</f>
        <v/>
      </c>
      <c r="G371" s="8"/>
      <c r="H371" s="16" t="str">
        <f t="shared" ca="1" si="11"/>
        <v/>
      </c>
      <c r="I371" s="8"/>
    </row>
    <row r="372" spans="1:9" ht="15.75" x14ac:dyDescent="0.25">
      <c r="A372" s="14" t="str">
        <f t="shared" si="10"/>
        <v/>
      </c>
      <c r="B372" s="8"/>
      <c r="C372" s="8"/>
      <c r="D372" s="16" t="str">
        <f>IFERROR(IF(ISBLANK(C372),"",VLOOKUP(C372,Members!$A$2:$B$101,2,FALSE)),"")</f>
        <v/>
      </c>
      <c r="E372" s="8"/>
      <c r="F372" s="14" t="str">
        <f>IF(ISBLANK(E372),"",E372+Settings!$B$7)</f>
        <v/>
      </c>
      <c r="G372" s="8"/>
      <c r="H372" s="16" t="str">
        <f t="shared" ca="1" si="11"/>
        <v/>
      </c>
      <c r="I372" s="8"/>
    </row>
    <row r="373" spans="1:9" ht="15.75" x14ac:dyDescent="0.25">
      <c r="A373" s="14" t="str">
        <f t="shared" si="10"/>
        <v/>
      </c>
      <c r="B373" s="8"/>
      <c r="C373" s="8"/>
      <c r="D373" s="16" t="str">
        <f>IFERROR(IF(ISBLANK(C373),"",VLOOKUP(C373,Members!$A$2:$B$101,2,FALSE)),"")</f>
        <v/>
      </c>
      <c r="E373" s="8"/>
      <c r="F373" s="14" t="str">
        <f>IF(ISBLANK(E373),"",E373+Settings!$B$7)</f>
        <v/>
      </c>
      <c r="G373" s="8"/>
      <c r="H373" s="16" t="str">
        <f t="shared" ca="1" si="11"/>
        <v/>
      </c>
      <c r="I373" s="8"/>
    </row>
    <row r="374" spans="1:9" ht="15.75" x14ac:dyDescent="0.25">
      <c r="A374" s="14" t="str">
        <f t="shared" si="10"/>
        <v/>
      </c>
      <c r="B374" s="8"/>
      <c r="C374" s="8"/>
      <c r="D374" s="16" t="str">
        <f>IFERROR(IF(ISBLANK(C374),"",VLOOKUP(C374,Members!$A$2:$B$101,2,FALSE)),"")</f>
        <v/>
      </c>
      <c r="E374" s="8"/>
      <c r="F374" s="14" t="str">
        <f>IF(ISBLANK(E374),"",E374+Settings!$B$7)</f>
        <v/>
      </c>
      <c r="G374" s="8"/>
      <c r="H374" s="16" t="str">
        <f t="shared" ca="1" si="11"/>
        <v/>
      </c>
      <c r="I374" s="8"/>
    </row>
    <row r="375" spans="1:9" ht="15.75" x14ac:dyDescent="0.25">
      <c r="A375" s="14" t="str">
        <f t="shared" si="10"/>
        <v/>
      </c>
      <c r="B375" s="8"/>
      <c r="C375" s="8"/>
      <c r="D375" s="16" t="str">
        <f>IFERROR(IF(ISBLANK(C375),"",VLOOKUP(C375,Members!$A$2:$B$101,2,FALSE)),"")</f>
        <v/>
      </c>
      <c r="E375" s="8"/>
      <c r="F375" s="14" t="str">
        <f>IF(ISBLANK(E375),"",E375+Settings!$B$7)</f>
        <v/>
      </c>
      <c r="G375" s="8"/>
      <c r="H375" s="16" t="str">
        <f t="shared" ca="1" si="11"/>
        <v/>
      </c>
      <c r="I375" s="8"/>
    </row>
    <row r="376" spans="1:9" ht="15.75" x14ac:dyDescent="0.25">
      <c r="A376" s="14" t="str">
        <f t="shared" si="10"/>
        <v/>
      </c>
      <c r="B376" s="8"/>
      <c r="C376" s="8"/>
      <c r="D376" s="16" t="str">
        <f>IFERROR(IF(ISBLANK(C376),"",VLOOKUP(C376,Members!$A$2:$B$101,2,FALSE)),"")</f>
        <v/>
      </c>
      <c r="E376" s="8"/>
      <c r="F376" s="14" t="str">
        <f>IF(ISBLANK(E376),"",E376+Settings!$B$7)</f>
        <v/>
      </c>
      <c r="G376" s="8"/>
      <c r="H376" s="16" t="str">
        <f t="shared" ca="1" si="11"/>
        <v/>
      </c>
      <c r="I376" s="8"/>
    </row>
    <row r="377" spans="1:9" ht="15.75" x14ac:dyDescent="0.25">
      <c r="A377" s="14" t="str">
        <f t="shared" si="10"/>
        <v/>
      </c>
      <c r="B377" s="8"/>
      <c r="C377" s="8"/>
      <c r="D377" s="16" t="str">
        <f>IFERROR(IF(ISBLANK(C377),"",VLOOKUP(C377,Members!$A$2:$B$101,2,FALSE)),"")</f>
        <v/>
      </c>
      <c r="E377" s="8"/>
      <c r="F377" s="14" t="str">
        <f>IF(ISBLANK(E377),"",E377+Settings!$B$7)</f>
        <v/>
      </c>
      <c r="G377" s="8"/>
      <c r="H377" s="16" t="str">
        <f t="shared" ca="1" si="11"/>
        <v/>
      </c>
      <c r="I377" s="8"/>
    </row>
    <row r="378" spans="1:9" ht="15.75" x14ac:dyDescent="0.25">
      <c r="A378" s="14" t="str">
        <f t="shared" si="10"/>
        <v/>
      </c>
      <c r="B378" s="8"/>
      <c r="C378" s="8"/>
      <c r="D378" s="16" t="str">
        <f>IFERROR(IF(ISBLANK(C378),"",VLOOKUP(C378,Members!$A$2:$B$101,2,FALSE)),"")</f>
        <v/>
      </c>
      <c r="E378" s="8"/>
      <c r="F378" s="14" t="str">
        <f>IF(ISBLANK(E378),"",E378+Settings!$B$7)</f>
        <v/>
      </c>
      <c r="G378" s="8"/>
      <c r="H378" s="16" t="str">
        <f t="shared" ca="1" si="11"/>
        <v/>
      </c>
      <c r="I378" s="8"/>
    </row>
    <row r="379" spans="1:9" ht="15.75" x14ac:dyDescent="0.25">
      <c r="A379" s="14" t="str">
        <f t="shared" si="10"/>
        <v/>
      </c>
      <c r="B379" s="8"/>
      <c r="C379" s="8"/>
      <c r="D379" s="16" t="str">
        <f>IFERROR(IF(ISBLANK(C379),"",VLOOKUP(C379,Members!$A$2:$B$101,2,FALSE)),"")</f>
        <v/>
      </c>
      <c r="E379" s="8"/>
      <c r="F379" s="14" t="str">
        <f>IF(ISBLANK(E379),"",E379+Settings!$B$7)</f>
        <v/>
      </c>
      <c r="G379" s="8"/>
      <c r="H379" s="16" t="str">
        <f t="shared" ca="1" si="11"/>
        <v/>
      </c>
      <c r="I379" s="8"/>
    </row>
    <row r="380" spans="1:9" ht="15.75" x14ac:dyDescent="0.25">
      <c r="A380" s="14" t="str">
        <f t="shared" si="10"/>
        <v/>
      </c>
      <c r="B380" s="8"/>
      <c r="C380" s="8"/>
      <c r="D380" s="16" t="str">
        <f>IFERROR(IF(ISBLANK(C380),"",VLOOKUP(C380,Members!$A$2:$B$101,2,FALSE)),"")</f>
        <v/>
      </c>
      <c r="E380" s="8"/>
      <c r="F380" s="14" t="str">
        <f>IF(ISBLANK(E380),"",E380+Settings!$B$7)</f>
        <v/>
      </c>
      <c r="G380" s="8"/>
      <c r="H380" s="16" t="str">
        <f t="shared" ca="1" si="11"/>
        <v/>
      </c>
      <c r="I380" s="8"/>
    </row>
    <row r="381" spans="1:9" ht="15.75" x14ac:dyDescent="0.25">
      <c r="A381" s="14" t="str">
        <f t="shared" si="10"/>
        <v/>
      </c>
      <c r="B381" s="8"/>
      <c r="C381" s="8"/>
      <c r="D381" s="16" t="str">
        <f>IFERROR(IF(ISBLANK(C381),"",VLOOKUP(C381,Members!$A$2:$B$101,2,FALSE)),"")</f>
        <v/>
      </c>
      <c r="E381" s="8"/>
      <c r="F381" s="14" t="str">
        <f>IF(ISBLANK(E381),"",E381+Settings!$B$7)</f>
        <v/>
      </c>
      <c r="G381" s="8"/>
      <c r="H381" s="16" t="str">
        <f t="shared" ca="1" si="11"/>
        <v/>
      </c>
      <c r="I381" s="8"/>
    </row>
    <row r="382" spans="1:9" ht="15.75" x14ac:dyDescent="0.25">
      <c r="A382" s="14" t="str">
        <f t="shared" si="10"/>
        <v/>
      </c>
      <c r="B382" s="8"/>
      <c r="C382" s="8"/>
      <c r="D382" s="16" t="str">
        <f>IFERROR(IF(ISBLANK(C382),"",VLOOKUP(C382,Members!$A$2:$B$101,2,FALSE)),"")</f>
        <v/>
      </c>
      <c r="E382" s="8"/>
      <c r="F382" s="14" t="str">
        <f>IF(ISBLANK(E382),"",E382+Settings!$B$7)</f>
        <v/>
      </c>
      <c r="G382" s="8"/>
      <c r="H382" s="16" t="str">
        <f t="shared" ca="1" si="11"/>
        <v/>
      </c>
      <c r="I382" s="8"/>
    </row>
    <row r="383" spans="1:9" ht="15.75" x14ac:dyDescent="0.25">
      <c r="A383" s="14" t="str">
        <f t="shared" si="10"/>
        <v/>
      </c>
      <c r="B383" s="8"/>
      <c r="C383" s="8"/>
      <c r="D383" s="16" t="str">
        <f>IFERROR(IF(ISBLANK(C383),"",VLOOKUP(C383,Members!$A$2:$B$101,2,FALSE)),"")</f>
        <v/>
      </c>
      <c r="E383" s="8"/>
      <c r="F383" s="14" t="str">
        <f>IF(ISBLANK(E383),"",E383+Settings!$B$7)</f>
        <v/>
      </c>
      <c r="G383" s="8"/>
      <c r="H383" s="16" t="str">
        <f t="shared" ca="1" si="11"/>
        <v/>
      </c>
      <c r="I383" s="8"/>
    </row>
    <row r="384" spans="1:9" ht="15.75" x14ac:dyDescent="0.25">
      <c r="A384" s="14" t="str">
        <f t="shared" si="10"/>
        <v/>
      </c>
      <c r="B384" s="8"/>
      <c r="C384" s="8"/>
      <c r="D384" s="16" t="str">
        <f>IFERROR(IF(ISBLANK(C384),"",VLOOKUP(C384,Members!$A$2:$B$101,2,FALSE)),"")</f>
        <v/>
      </c>
      <c r="E384" s="8"/>
      <c r="F384" s="14" t="str">
        <f>IF(ISBLANK(E384),"",E384+Settings!$B$7)</f>
        <v/>
      </c>
      <c r="G384" s="8"/>
      <c r="H384" s="16" t="str">
        <f t="shared" ca="1" si="11"/>
        <v/>
      </c>
      <c r="I384" s="8"/>
    </row>
    <row r="385" spans="1:9" ht="15.75" x14ac:dyDescent="0.25">
      <c r="A385" s="14" t="str">
        <f t="shared" si="10"/>
        <v/>
      </c>
      <c r="B385" s="8"/>
      <c r="C385" s="8"/>
      <c r="D385" s="16" t="str">
        <f>IFERROR(IF(ISBLANK(C385),"",VLOOKUP(C385,Members!$A$2:$B$101,2,FALSE)),"")</f>
        <v/>
      </c>
      <c r="E385" s="8"/>
      <c r="F385" s="14" t="str">
        <f>IF(ISBLANK(E385),"",E385+Settings!$B$7)</f>
        <v/>
      </c>
      <c r="G385" s="8"/>
      <c r="H385" s="16" t="str">
        <f t="shared" ca="1" si="11"/>
        <v/>
      </c>
      <c r="I385" s="8"/>
    </row>
    <row r="386" spans="1:9" ht="15.75" x14ac:dyDescent="0.25">
      <c r="A386" s="14" t="str">
        <f t="shared" ref="A386:A449" si="12">IF(ISBLANK(B386),"",ROW()-1)</f>
        <v/>
      </c>
      <c r="B386" s="8"/>
      <c r="C386" s="8"/>
      <c r="D386" s="16" t="str">
        <f>IFERROR(IF(ISBLANK(C386),"",VLOOKUP(C386,Members!$A$2:$B$101,2,FALSE)),"")</f>
        <v/>
      </c>
      <c r="E386" s="8"/>
      <c r="F386" s="14" t="str">
        <f>IF(ISBLANK(E386),"",E386+Settings!$B$7)</f>
        <v/>
      </c>
      <c r="G386" s="8"/>
      <c r="H386" s="16" t="str">
        <f t="shared" ref="H386:H449" ca="1" si="13">IF(ISBLANK(B386),"",IF(NOT(ISBLANK(G386)),"Returned",IF(TODAY()&gt;F386,"Overdue","Active")))</f>
        <v/>
      </c>
      <c r="I386" s="8"/>
    </row>
    <row r="387" spans="1:9" ht="15.75" x14ac:dyDescent="0.25">
      <c r="A387" s="14" t="str">
        <f t="shared" si="12"/>
        <v/>
      </c>
      <c r="B387" s="8"/>
      <c r="C387" s="8"/>
      <c r="D387" s="16" t="str">
        <f>IFERROR(IF(ISBLANK(C387),"",VLOOKUP(C387,Members!$A$2:$B$101,2,FALSE)),"")</f>
        <v/>
      </c>
      <c r="E387" s="8"/>
      <c r="F387" s="14" t="str">
        <f>IF(ISBLANK(E387),"",E387+Settings!$B$7)</f>
        <v/>
      </c>
      <c r="G387" s="8"/>
      <c r="H387" s="16" t="str">
        <f t="shared" ca="1" si="13"/>
        <v/>
      </c>
      <c r="I387" s="8"/>
    </row>
    <row r="388" spans="1:9" ht="15.75" x14ac:dyDescent="0.25">
      <c r="A388" s="14" t="str">
        <f t="shared" si="12"/>
        <v/>
      </c>
      <c r="B388" s="8"/>
      <c r="C388" s="8"/>
      <c r="D388" s="16" t="str">
        <f>IFERROR(IF(ISBLANK(C388),"",VLOOKUP(C388,Members!$A$2:$B$101,2,FALSE)),"")</f>
        <v/>
      </c>
      <c r="E388" s="8"/>
      <c r="F388" s="14" t="str">
        <f>IF(ISBLANK(E388),"",E388+Settings!$B$7)</f>
        <v/>
      </c>
      <c r="G388" s="8"/>
      <c r="H388" s="16" t="str">
        <f t="shared" ca="1" si="13"/>
        <v/>
      </c>
      <c r="I388" s="8"/>
    </row>
    <row r="389" spans="1:9" ht="15.75" x14ac:dyDescent="0.25">
      <c r="A389" s="14" t="str">
        <f t="shared" si="12"/>
        <v/>
      </c>
      <c r="B389" s="8"/>
      <c r="C389" s="8"/>
      <c r="D389" s="16" t="str">
        <f>IFERROR(IF(ISBLANK(C389),"",VLOOKUP(C389,Members!$A$2:$B$101,2,FALSE)),"")</f>
        <v/>
      </c>
      <c r="E389" s="8"/>
      <c r="F389" s="14" t="str">
        <f>IF(ISBLANK(E389),"",E389+Settings!$B$7)</f>
        <v/>
      </c>
      <c r="G389" s="8"/>
      <c r="H389" s="16" t="str">
        <f t="shared" ca="1" si="13"/>
        <v/>
      </c>
      <c r="I389" s="8"/>
    </row>
    <row r="390" spans="1:9" ht="15.75" x14ac:dyDescent="0.25">
      <c r="A390" s="14" t="str">
        <f t="shared" si="12"/>
        <v/>
      </c>
      <c r="B390" s="8"/>
      <c r="C390" s="8"/>
      <c r="D390" s="16" t="str">
        <f>IFERROR(IF(ISBLANK(C390),"",VLOOKUP(C390,Members!$A$2:$B$101,2,FALSE)),"")</f>
        <v/>
      </c>
      <c r="E390" s="8"/>
      <c r="F390" s="14" t="str">
        <f>IF(ISBLANK(E390),"",E390+Settings!$B$7)</f>
        <v/>
      </c>
      <c r="G390" s="8"/>
      <c r="H390" s="16" t="str">
        <f t="shared" ca="1" si="13"/>
        <v/>
      </c>
      <c r="I390" s="8"/>
    </row>
    <row r="391" spans="1:9" ht="15.75" x14ac:dyDescent="0.25">
      <c r="A391" s="14" t="str">
        <f t="shared" si="12"/>
        <v/>
      </c>
      <c r="B391" s="8"/>
      <c r="C391" s="8"/>
      <c r="D391" s="16" t="str">
        <f>IFERROR(IF(ISBLANK(C391),"",VLOOKUP(C391,Members!$A$2:$B$101,2,FALSE)),"")</f>
        <v/>
      </c>
      <c r="E391" s="8"/>
      <c r="F391" s="14" t="str">
        <f>IF(ISBLANK(E391),"",E391+Settings!$B$7)</f>
        <v/>
      </c>
      <c r="G391" s="8"/>
      <c r="H391" s="16" t="str">
        <f t="shared" ca="1" si="13"/>
        <v/>
      </c>
      <c r="I391" s="8"/>
    </row>
    <row r="392" spans="1:9" ht="15.75" x14ac:dyDescent="0.25">
      <c r="A392" s="14" t="str">
        <f t="shared" si="12"/>
        <v/>
      </c>
      <c r="B392" s="8"/>
      <c r="C392" s="8"/>
      <c r="D392" s="16" t="str">
        <f>IFERROR(IF(ISBLANK(C392),"",VLOOKUP(C392,Members!$A$2:$B$101,2,FALSE)),"")</f>
        <v/>
      </c>
      <c r="E392" s="8"/>
      <c r="F392" s="14" t="str">
        <f>IF(ISBLANK(E392),"",E392+Settings!$B$7)</f>
        <v/>
      </c>
      <c r="G392" s="8"/>
      <c r="H392" s="16" t="str">
        <f t="shared" ca="1" si="13"/>
        <v/>
      </c>
      <c r="I392" s="8"/>
    </row>
    <row r="393" spans="1:9" ht="15.75" x14ac:dyDescent="0.25">
      <c r="A393" s="14" t="str">
        <f t="shared" si="12"/>
        <v/>
      </c>
      <c r="B393" s="8"/>
      <c r="C393" s="8"/>
      <c r="D393" s="16" t="str">
        <f>IFERROR(IF(ISBLANK(C393),"",VLOOKUP(C393,Members!$A$2:$B$101,2,FALSE)),"")</f>
        <v/>
      </c>
      <c r="E393" s="8"/>
      <c r="F393" s="14" t="str">
        <f>IF(ISBLANK(E393),"",E393+Settings!$B$7)</f>
        <v/>
      </c>
      <c r="G393" s="8"/>
      <c r="H393" s="16" t="str">
        <f t="shared" ca="1" si="13"/>
        <v/>
      </c>
      <c r="I393" s="8"/>
    </row>
    <row r="394" spans="1:9" ht="15.75" x14ac:dyDescent="0.25">
      <c r="A394" s="14" t="str">
        <f t="shared" si="12"/>
        <v/>
      </c>
      <c r="B394" s="8"/>
      <c r="C394" s="8"/>
      <c r="D394" s="16" t="str">
        <f>IFERROR(IF(ISBLANK(C394),"",VLOOKUP(C394,Members!$A$2:$B$101,2,FALSE)),"")</f>
        <v/>
      </c>
      <c r="E394" s="8"/>
      <c r="F394" s="14" t="str">
        <f>IF(ISBLANK(E394),"",E394+Settings!$B$7)</f>
        <v/>
      </c>
      <c r="G394" s="8"/>
      <c r="H394" s="16" t="str">
        <f t="shared" ca="1" si="13"/>
        <v/>
      </c>
      <c r="I394" s="8"/>
    </row>
    <row r="395" spans="1:9" ht="15.75" x14ac:dyDescent="0.25">
      <c r="A395" s="14" t="str">
        <f t="shared" si="12"/>
        <v/>
      </c>
      <c r="B395" s="8"/>
      <c r="C395" s="8"/>
      <c r="D395" s="16" t="str">
        <f>IFERROR(IF(ISBLANK(C395),"",VLOOKUP(C395,Members!$A$2:$B$101,2,FALSE)),"")</f>
        <v/>
      </c>
      <c r="E395" s="8"/>
      <c r="F395" s="14" t="str">
        <f>IF(ISBLANK(E395),"",E395+Settings!$B$7)</f>
        <v/>
      </c>
      <c r="G395" s="8"/>
      <c r="H395" s="16" t="str">
        <f t="shared" ca="1" si="13"/>
        <v/>
      </c>
      <c r="I395" s="8"/>
    </row>
    <row r="396" spans="1:9" ht="15.75" x14ac:dyDescent="0.25">
      <c r="A396" s="14" t="str">
        <f t="shared" si="12"/>
        <v/>
      </c>
      <c r="B396" s="8"/>
      <c r="C396" s="8"/>
      <c r="D396" s="16" t="str">
        <f>IFERROR(IF(ISBLANK(C396),"",VLOOKUP(C396,Members!$A$2:$B$101,2,FALSE)),"")</f>
        <v/>
      </c>
      <c r="E396" s="8"/>
      <c r="F396" s="14" t="str">
        <f>IF(ISBLANK(E396),"",E396+Settings!$B$7)</f>
        <v/>
      </c>
      <c r="G396" s="8"/>
      <c r="H396" s="16" t="str">
        <f t="shared" ca="1" si="13"/>
        <v/>
      </c>
      <c r="I396" s="8"/>
    </row>
    <row r="397" spans="1:9" ht="15.75" x14ac:dyDescent="0.25">
      <c r="A397" s="14" t="str">
        <f t="shared" si="12"/>
        <v/>
      </c>
      <c r="B397" s="8"/>
      <c r="C397" s="8"/>
      <c r="D397" s="16" t="str">
        <f>IFERROR(IF(ISBLANK(C397),"",VLOOKUP(C397,Members!$A$2:$B$101,2,FALSE)),"")</f>
        <v/>
      </c>
      <c r="E397" s="8"/>
      <c r="F397" s="14" t="str">
        <f>IF(ISBLANK(E397),"",E397+Settings!$B$7)</f>
        <v/>
      </c>
      <c r="G397" s="8"/>
      <c r="H397" s="16" t="str">
        <f t="shared" ca="1" si="13"/>
        <v/>
      </c>
      <c r="I397" s="8"/>
    </row>
    <row r="398" spans="1:9" ht="15.75" x14ac:dyDescent="0.25">
      <c r="A398" s="14" t="str">
        <f t="shared" si="12"/>
        <v/>
      </c>
      <c r="B398" s="8"/>
      <c r="C398" s="8"/>
      <c r="D398" s="16" t="str">
        <f>IFERROR(IF(ISBLANK(C398),"",VLOOKUP(C398,Members!$A$2:$B$101,2,FALSE)),"")</f>
        <v/>
      </c>
      <c r="E398" s="8"/>
      <c r="F398" s="14" t="str">
        <f>IF(ISBLANK(E398),"",E398+Settings!$B$7)</f>
        <v/>
      </c>
      <c r="G398" s="8"/>
      <c r="H398" s="16" t="str">
        <f t="shared" ca="1" si="13"/>
        <v/>
      </c>
      <c r="I398" s="8"/>
    </row>
    <row r="399" spans="1:9" ht="15.75" x14ac:dyDescent="0.25">
      <c r="A399" s="14" t="str">
        <f t="shared" si="12"/>
        <v/>
      </c>
      <c r="B399" s="8"/>
      <c r="C399" s="8"/>
      <c r="D399" s="16" t="str">
        <f>IFERROR(IF(ISBLANK(C399),"",VLOOKUP(C399,Members!$A$2:$B$101,2,FALSE)),"")</f>
        <v/>
      </c>
      <c r="E399" s="8"/>
      <c r="F399" s="14" t="str">
        <f>IF(ISBLANK(E399),"",E399+Settings!$B$7)</f>
        <v/>
      </c>
      <c r="G399" s="8"/>
      <c r="H399" s="16" t="str">
        <f t="shared" ca="1" si="13"/>
        <v/>
      </c>
      <c r="I399" s="8"/>
    </row>
    <row r="400" spans="1:9" ht="15.75" x14ac:dyDescent="0.25">
      <c r="A400" s="14" t="str">
        <f t="shared" si="12"/>
        <v/>
      </c>
      <c r="B400" s="8"/>
      <c r="C400" s="8"/>
      <c r="D400" s="16" t="str">
        <f>IFERROR(IF(ISBLANK(C400),"",VLOOKUP(C400,Members!$A$2:$B$101,2,FALSE)),"")</f>
        <v/>
      </c>
      <c r="E400" s="8"/>
      <c r="F400" s="14" t="str">
        <f>IF(ISBLANK(E400),"",E400+Settings!$B$7)</f>
        <v/>
      </c>
      <c r="G400" s="8"/>
      <c r="H400" s="16" t="str">
        <f t="shared" ca="1" si="13"/>
        <v/>
      </c>
      <c r="I400" s="8"/>
    </row>
    <row r="401" spans="1:9" ht="15.75" x14ac:dyDescent="0.25">
      <c r="A401" s="14" t="str">
        <f t="shared" si="12"/>
        <v/>
      </c>
      <c r="B401" s="8"/>
      <c r="C401" s="8"/>
      <c r="D401" s="16" t="str">
        <f>IFERROR(IF(ISBLANK(C401),"",VLOOKUP(C401,Members!$A$2:$B$101,2,FALSE)),"")</f>
        <v/>
      </c>
      <c r="E401" s="8"/>
      <c r="F401" s="14" t="str">
        <f>IF(ISBLANK(E401),"",E401+Settings!$B$7)</f>
        <v/>
      </c>
      <c r="G401" s="8"/>
      <c r="H401" s="16" t="str">
        <f t="shared" ca="1" si="13"/>
        <v/>
      </c>
      <c r="I401" s="8"/>
    </row>
    <row r="402" spans="1:9" ht="15.75" x14ac:dyDescent="0.25">
      <c r="A402" s="14" t="str">
        <f t="shared" si="12"/>
        <v/>
      </c>
      <c r="B402" s="8"/>
      <c r="C402" s="8"/>
      <c r="D402" s="16" t="str">
        <f>IFERROR(IF(ISBLANK(C402),"",VLOOKUP(C402,Members!$A$2:$B$101,2,FALSE)),"")</f>
        <v/>
      </c>
      <c r="E402" s="8"/>
      <c r="F402" s="14" t="str">
        <f>IF(ISBLANK(E402),"",E402+Settings!$B$7)</f>
        <v/>
      </c>
      <c r="G402" s="8"/>
      <c r="H402" s="16" t="str">
        <f t="shared" ca="1" si="13"/>
        <v/>
      </c>
      <c r="I402" s="8"/>
    </row>
    <row r="403" spans="1:9" ht="15.75" x14ac:dyDescent="0.25">
      <c r="A403" s="14" t="str">
        <f t="shared" si="12"/>
        <v/>
      </c>
      <c r="B403" s="8"/>
      <c r="C403" s="8"/>
      <c r="D403" s="16" t="str">
        <f>IFERROR(IF(ISBLANK(C403),"",VLOOKUP(C403,Members!$A$2:$B$101,2,FALSE)),"")</f>
        <v/>
      </c>
      <c r="E403" s="8"/>
      <c r="F403" s="14" t="str">
        <f>IF(ISBLANK(E403),"",E403+Settings!$B$7)</f>
        <v/>
      </c>
      <c r="G403" s="8"/>
      <c r="H403" s="16" t="str">
        <f t="shared" ca="1" si="13"/>
        <v/>
      </c>
      <c r="I403" s="8"/>
    </row>
    <row r="404" spans="1:9" ht="15.75" x14ac:dyDescent="0.25">
      <c r="A404" s="14" t="str">
        <f t="shared" si="12"/>
        <v/>
      </c>
      <c r="B404" s="8"/>
      <c r="C404" s="8"/>
      <c r="D404" s="16" t="str">
        <f>IFERROR(IF(ISBLANK(C404),"",VLOOKUP(C404,Members!$A$2:$B$101,2,FALSE)),"")</f>
        <v/>
      </c>
      <c r="E404" s="8"/>
      <c r="F404" s="14" t="str">
        <f>IF(ISBLANK(E404),"",E404+Settings!$B$7)</f>
        <v/>
      </c>
      <c r="G404" s="8"/>
      <c r="H404" s="16" t="str">
        <f t="shared" ca="1" si="13"/>
        <v/>
      </c>
      <c r="I404" s="8"/>
    </row>
    <row r="405" spans="1:9" ht="15.75" x14ac:dyDescent="0.25">
      <c r="A405" s="14" t="str">
        <f t="shared" si="12"/>
        <v/>
      </c>
      <c r="B405" s="8"/>
      <c r="C405" s="8"/>
      <c r="D405" s="16" t="str">
        <f>IFERROR(IF(ISBLANK(C405),"",VLOOKUP(C405,Members!$A$2:$B$101,2,FALSE)),"")</f>
        <v/>
      </c>
      <c r="E405" s="8"/>
      <c r="F405" s="14" t="str">
        <f>IF(ISBLANK(E405),"",E405+Settings!$B$7)</f>
        <v/>
      </c>
      <c r="G405" s="8"/>
      <c r="H405" s="16" t="str">
        <f t="shared" ca="1" si="13"/>
        <v/>
      </c>
      <c r="I405" s="8"/>
    </row>
    <row r="406" spans="1:9" ht="15.75" x14ac:dyDescent="0.25">
      <c r="A406" s="14" t="str">
        <f t="shared" si="12"/>
        <v/>
      </c>
      <c r="B406" s="8"/>
      <c r="C406" s="8"/>
      <c r="D406" s="16" t="str">
        <f>IFERROR(IF(ISBLANK(C406),"",VLOOKUP(C406,Members!$A$2:$B$101,2,FALSE)),"")</f>
        <v/>
      </c>
      <c r="E406" s="8"/>
      <c r="F406" s="14" t="str">
        <f>IF(ISBLANK(E406),"",E406+Settings!$B$7)</f>
        <v/>
      </c>
      <c r="G406" s="8"/>
      <c r="H406" s="16" t="str">
        <f t="shared" ca="1" si="13"/>
        <v/>
      </c>
      <c r="I406" s="8"/>
    </row>
    <row r="407" spans="1:9" ht="15.75" x14ac:dyDescent="0.25">
      <c r="A407" s="14" t="str">
        <f t="shared" si="12"/>
        <v/>
      </c>
      <c r="B407" s="8"/>
      <c r="C407" s="8"/>
      <c r="D407" s="16" t="str">
        <f>IFERROR(IF(ISBLANK(C407),"",VLOOKUP(C407,Members!$A$2:$B$101,2,FALSE)),"")</f>
        <v/>
      </c>
      <c r="E407" s="8"/>
      <c r="F407" s="14" t="str">
        <f>IF(ISBLANK(E407),"",E407+Settings!$B$7)</f>
        <v/>
      </c>
      <c r="G407" s="8"/>
      <c r="H407" s="16" t="str">
        <f t="shared" ca="1" si="13"/>
        <v/>
      </c>
      <c r="I407" s="8"/>
    </row>
    <row r="408" spans="1:9" ht="15.75" x14ac:dyDescent="0.25">
      <c r="A408" s="14" t="str">
        <f t="shared" si="12"/>
        <v/>
      </c>
      <c r="B408" s="8"/>
      <c r="C408" s="8"/>
      <c r="D408" s="16" t="str">
        <f>IFERROR(IF(ISBLANK(C408),"",VLOOKUP(C408,Members!$A$2:$B$101,2,FALSE)),"")</f>
        <v/>
      </c>
      <c r="E408" s="8"/>
      <c r="F408" s="14" t="str">
        <f>IF(ISBLANK(E408),"",E408+Settings!$B$7)</f>
        <v/>
      </c>
      <c r="G408" s="8"/>
      <c r="H408" s="16" t="str">
        <f t="shared" ca="1" si="13"/>
        <v/>
      </c>
      <c r="I408" s="8"/>
    </row>
    <row r="409" spans="1:9" ht="15.75" x14ac:dyDescent="0.25">
      <c r="A409" s="14" t="str">
        <f t="shared" si="12"/>
        <v/>
      </c>
      <c r="B409" s="8"/>
      <c r="C409" s="8"/>
      <c r="D409" s="16" t="str">
        <f>IFERROR(IF(ISBLANK(C409),"",VLOOKUP(C409,Members!$A$2:$B$101,2,FALSE)),"")</f>
        <v/>
      </c>
      <c r="E409" s="8"/>
      <c r="F409" s="14" t="str">
        <f>IF(ISBLANK(E409),"",E409+Settings!$B$7)</f>
        <v/>
      </c>
      <c r="G409" s="8"/>
      <c r="H409" s="16" t="str">
        <f t="shared" ca="1" si="13"/>
        <v/>
      </c>
      <c r="I409" s="8"/>
    </row>
    <row r="410" spans="1:9" ht="15.75" x14ac:dyDescent="0.25">
      <c r="A410" s="14" t="str">
        <f t="shared" si="12"/>
        <v/>
      </c>
      <c r="B410" s="8"/>
      <c r="C410" s="8"/>
      <c r="D410" s="16" t="str">
        <f>IFERROR(IF(ISBLANK(C410),"",VLOOKUP(C410,Members!$A$2:$B$101,2,FALSE)),"")</f>
        <v/>
      </c>
      <c r="E410" s="8"/>
      <c r="F410" s="14" t="str">
        <f>IF(ISBLANK(E410),"",E410+Settings!$B$7)</f>
        <v/>
      </c>
      <c r="G410" s="8"/>
      <c r="H410" s="16" t="str">
        <f t="shared" ca="1" si="13"/>
        <v/>
      </c>
      <c r="I410" s="8"/>
    </row>
    <row r="411" spans="1:9" ht="15.75" x14ac:dyDescent="0.25">
      <c r="A411" s="14" t="str">
        <f t="shared" si="12"/>
        <v/>
      </c>
      <c r="B411" s="8"/>
      <c r="C411" s="8"/>
      <c r="D411" s="16" t="str">
        <f>IFERROR(IF(ISBLANK(C411),"",VLOOKUP(C411,Members!$A$2:$B$101,2,FALSE)),"")</f>
        <v/>
      </c>
      <c r="E411" s="8"/>
      <c r="F411" s="14" t="str">
        <f>IF(ISBLANK(E411),"",E411+Settings!$B$7)</f>
        <v/>
      </c>
      <c r="G411" s="8"/>
      <c r="H411" s="16" t="str">
        <f t="shared" ca="1" si="13"/>
        <v/>
      </c>
      <c r="I411" s="8"/>
    </row>
    <row r="412" spans="1:9" ht="15.75" x14ac:dyDescent="0.25">
      <c r="A412" s="14" t="str">
        <f t="shared" si="12"/>
        <v/>
      </c>
      <c r="B412" s="8"/>
      <c r="C412" s="8"/>
      <c r="D412" s="16" t="str">
        <f>IFERROR(IF(ISBLANK(C412),"",VLOOKUP(C412,Members!$A$2:$B$101,2,FALSE)),"")</f>
        <v/>
      </c>
      <c r="E412" s="8"/>
      <c r="F412" s="14" t="str">
        <f>IF(ISBLANK(E412),"",E412+Settings!$B$7)</f>
        <v/>
      </c>
      <c r="G412" s="8"/>
      <c r="H412" s="16" t="str">
        <f t="shared" ca="1" si="13"/>
        <v/>
      </c>
      <c r="I412" s="8"/>
    </row>
    <row r="413" spans="1:9" ht="15.75" x14ac:dyDescent="0.25">
      <c r="A413" s="14" t="str">
        <f t="shared" si="12"/>
        <v/>
      </c>
      <c r="B413" s="8"/>
      <c r="C413" s="8"/>
      <c r="D413" s="16" t="str">
        <f>IFERROR(IF(ISBLANK(C413),"",VLOOKUP(C413,Members!$A$2:$B$101,2,FALSE)),"")</f>
        <v/>
      </c>
      <c r="E413" s="8"/>
      <c r="F413" s="14" t="str">
        <f>IF(ISBLANK(E413),"",E413+Settings!$B$7)</f>
        <v/>
      </c>
      <c r="G413" s="8"/>
      <c r="H413" s="16" t="str">
        <f t="shared" ca="1" si="13"/>
        <v/>
      </c>
      <c r="I413" s="8"/>
    </row>
    <row r="414" spans="1:9" ht="15.75" x14ac:dyDescent="0.25">
      <c r="A414" s="14" t="str">
        <f t="shared" si="12"/>
        <v/>
      </c>
      <c r="B414" s="8"/>
      <c r="C414" s="8"/>
      <c r="D414" s="16" t="str">
        <f>IFERROR(IF(ISBLANK(C414),"",VLOOKUP(C414,Members!$A$2:$B$101,2,FALSE)),"")</f>
        <v/>
      </c>
      <c r="E414" s="8"/>
      <c r="F414" s="14" t="str">
        <f>IF(ISBLANK(E414),"",E414+Settings!$B$7)</f>
        <v/>
      </c>
      <c r="G414" s="8"/>
      <c r="H414" s="16" t="str">
        <f t="shared" ca="1" si="13"/>
        <v/>
      </c>
      <c r="I414" s="8"/>
    </row>
    <row r="415" spans="1:9" ht="15.75" x14ac:dyDescent="0.25">
      <c r="A415" s="14" t="str">
        <f t="shared" si="12"/>
        <v/>
      </c>
      <c r="B415" s="8"/>
      <c r="C415" s="8"/>
      <c r="D415" s="16" t="str">
        <f>IFERROR(IF(ISBLANK(C415),"",VLOOKUP(C415,Members!$A$2:$B$101,2,FALSE)),"")</f>
        <v/>
      </c>
      <c r="E415" s="8"/>
      <c r="F415" s="14" t="str">
        <f>IF(ISBLANK(E415),"",E415+Settings!$B$7)</f>
        <v/>
      </c>
      <c r="G415" s="8"/>
      <c r="H415" s="16" t="str">
        <f t="shared" ca="1" si="13"/>
        <v/>
      </c>
      <c r="I415" s="8"/>
    </row>
    <row r="416" spans="1:9" ht="15.75" x14ac:dyDescent="0.25">
      <c r="A416" s="14" t="str">
        <f t="shared" si="12"/>
        <v/>
      </c>
      <c r="B416" s="8"/>
      <c r="C416" s="8"/>
      <c r="D416" s="16" t="str">
        <f>IFERROR(IF(ISBLANK(C416),"",VLOOKUP(C416,Members!$A$2:$B$101,2,FALSE)),"")</f>
        <v/>
      </c>
      <c r="E416" s="8"/>
      <c r="F416" s="14" t="str">
        <f>IF(ISBLANK(E416),"",E416+Settings!$B$7)</f>
        <v/>
      </c>
      <c r="G416" s="8"/>
      <c r="H416" s="16" t="str">
        <f t="shared" ca="1" si="13"/>
        <v/>
      </c>
      <c r="I416" s="8"/>
    </row>
    <row r="417" spans="1:9" ht="15.75" x14ac:dyDescent="0.25">
      <c r="A417" s="14" t="str">
        <f t="shared" si="12"/>
        <v/>
      </c>
      <c r="B417" s="8"/>
      <c r="C417" s="8"/>
      <c r="D417" s="16" t="str">
        <f>IFERROR(IF(ISBLANK(C417),"",VLOOKUP(C417,Members!$A$2:$B$101,2,FALSE)),"")</f>
        <v/>
      </c>
      <c r="E417" s="8"/>
      <c r="F417" s="14" t="str">
        <f>IF(ISBLANK(E417),"",E417+Settings!$B$7)</f>
        <v/>
      </c>
      <c r="G417" s="8"/>
      <c r="H417" s="16" t="str">
        <f t="shared" ca="1" si="13"/>
        <v/>
      </c>
      <c r="I417" s="8"/>
    </row>
    <row r="418" spans="1:9" ht="15.75" x14ac:dyDescent="0.25">
      <c r="A418" s="14" t="str">
        <f t="shared" si="12"/>
        <v/>
      </c>
      <c r="B418" s="8"/>
      <c r="C418" s="8"/>
      <c r="D418" s="16" t="str">
        <f>IFERROR(IF(ISBLANK(C418),"",VLOOKUP(C418,Members!$A$2:$B$101,2,FALSE)),"")</f>
        <v/>
      </c>
      <c r="E418" s="8"/>
      <c r="F418" s="14" t="str">
        <f>IF(ISBLANK(E418),"",E418+Settings!$B$7)</f>
        <v/>
      </c>
      <c r="G418" s="8"/>
      <c r="H418" s="16" t="str">
        <f t="shared" ca="1" si="13"/>
        <v/>
      </c>
      <c r="I418" s="8"/>
    </row>
    <row r="419" spans="1:9" ht="15.75" x14ac:dyDescent="0.25">
      <c r="A419" s="14" t="str">
        <f t="shared" si="12"/>
        <v/>
      </c>
      <c r="B419" s="8"/>
      <c r="C419" s="8"/>
      <c r="D419" s="16" t="str">
        <f>IFERROR(IF(ISBLANK(C419),"",VLOOKUP(C419,Members!$A$2:$B$101,2,FALSE)),"")</f>
        <v/>
      </c>
      <c r="E419" s="8"/>
      <c r="F419" s="14" t="str">
        <f>IF(ISBLANK(E419),"",E419+Settings!$B$7)</f>
        <v/>
      </c>
      <c r="G419" s="8"/>
      <c r="H419" s="16" t="str">
        <f t="shared" ca="1" si="13"/>
        <v/>
      </c>
      <c r="I419" s="8"/>
    </row>
    <row r="420" spans="1:9" ht="15.75" x14ac:dyDescent="0.25">
      <c r="A420" s="14" t="str">
        <f t="shared" si="12"/>
        <v/>
      </c>
      <c r="B420" s="8"/>
      <c r="C420" s="8"/>
      <c r="D420" s="16" t="str">
        <f>IFERROR(IF(ISBLANK(C420),"",VLOOKUP(C420,Members!$A$2:$B$101,2,FALSE)),"")</f>
        <v/>
      </c>
      <c r="E420" s="8"/>
      <c r="F420" s="14" t="str">
        <f>IF(ISBLANK(E420),"",E420+Settings!$B$7)</f>
        <v/>
      </c>
      <c r="G420" s="8"/>
      <c r="H420" s="16" t="str">
        <f t="shared" ca="1" si="13"/>
        <v/>
      </c>
      <c r="I420" s="8"/>
    </row>
    <row r="421" spans="1:9" ht="15.75" x14ac:dyDescent="0.25">
      <c r="A421" s="14" t="str">
        <f t="shared" si="12"/>
        <v/>
      </c>
      <c r="B421" s="8"/>
      <c r="C421" s="8"/>
      <c r="D421" s="16" t="str">
        <f>IFERROR(IF(ISBLANK(C421),"",VLOOKUP(C421,Members!$A$2:$B$101,2,FALSE)),"")</f>
        <v/>
      </c>
      <c r="E421" s="8"/>
      <c r="F421" s="14" t="str">
        <f>IF(ISBLANK(E421),"",E421+Settings!$B$7)</f>
        <v/>
      </c>
      <c r="G421" s="8"/>
      <c r="H421" s="16" t="str">
        <f t="shared" ca="1" si="13"/>
        <v/>
      </c>
      <c r="I421" s="8"/>
    </row>
    <row r="422" spans="1:9" ht="15.75" x14ac:dyDescent="0.25">
      <c r="A422" s="14" t="str">
        <f t="shared" si="12"/>
        <v/>
      </c>
      <c r="B422" s="8"/>
      <c r="C422" s="8"/>
      <c r="D422" s="16" t="str">
        <f>IFERROR(IF(ISBLANK(C422),"",VLOOKUP(C422,Members!$A$2:$B$101,2,FALSE)),"")</f>
        <v/>
      </c>
      <c r="E422" s="8"/>
      <c r="F422" s="14" t="str">
        <f>IF(ISBLANK(E422),"",E422+Settings!$B$7)</f>
        <v/>
      </c>
      <c r="G422" s="8"/>
      <c r="H422" s="16" t="str">
        <f t="shared" ca="1" si="13"/>
        <v/>
      </c>
      <c r="I422" s="8"/>
    </row>
    <row r="423" spans="1:9" ht="15.75" x14ac:dyDescent="0.25">
      <c r="A423" s="14" t="str">
        <f t="shared" si="12"/>
        <v/>
      </c>
      <c r="B423" s="8"/>
      <c r="C423" s="8"/>
      <c r="D423" s="16" t="str">
        <f>IFERROR(IF(ISBLANK(C423),"",VLOOKUP(C423,Members!$A$2:$B$101,2,FALSE)),"")</f>
        <v/>
      </c>
      <c r="E423" s="8"/>
      <c r="F423" s="14" t="str">
        <f>IF(ISBLANK(E423),"",E423+Settings!$B$7)</f>
        <v/>
      </c>
      <c r="G423" s="8"/>
      <c r="H423" s="16" t="str">
        <f t="shared" ca="1" si="13"/>
        <v/>
      </c>
      <c r="I423" s="8"/>
    </row>
    <row r="424" spans="1:9" ht="15.75" x14ac:dyDescent="0.25">
      <c r="A424" s="14" t="str">
        <f t="shared" si="12"/>
        <v/>
      </c>
      <c r="B424" s="8"/>
      <c r="C424" s="8"/>
      <c r="D424" s="16" t="str">
        <f>IFERROR(IF(ISBLANK(C424),"",VLOOKUP(C424,Members!$A$2:$B$101,2,FALSE)),"")</f>
        <v/>
      </c>
      <c r="E424" s="8"/>
      <c r="F424" s="14" t="str">
        <f>IF(ISBLANK(E424),"",E424+Settings!$B$7)</f>
        <v/>
      </c>
      <c r="G424" s="8"/>
      <c r="H424" s="16" t="str">
        <f t="shared" ca="1" si="13"/>
        <v/>
      </c>
      <c r="I424" s="8"/>
    </row>
    <row r="425" spans="1:9" ht="15.75" x14ac:dyDescent="0.25">
      <c r="A425" s="14" t="str">
        <f t="shared" si="12"/>
        <v/>
      </c>
      <c r="B425" s="8"/>
      <c r="C425" s="8"/>
      <c r="D425" s="16" t="str">
        <f>IFERROR(IF(ISBLANK(C425),"",VLOOKUP(C425,Members!$A$2:$B$101,2,FALSE)),"")</f>
        <v/>
      </c>
      <c r="E425" s="8"/>
      <c r="F425" s="14" t="str">
        <f>IF(ISBLANK(E425),"",E425+Settings!$B$7)</f>
        <v/>
      </c>
      <c r="G425" s="8"/>
      <c r="H425" s="16" t="str">
        <f t="shared" ca="1" si="13"/>
        <v/>
      </c>
      <c r="I425" s="8"/>
    </row>
    <row r="426" spans="1:9" ht="15.75" x14ac:dyDescent="0.25">
      <c r="A426" s="14" t="str">
        <f t="shared" si="12"/>
        <v/>
      </c>
      <c r="B426" s="8"/>
      <c r="C426" s="8"/>
      <c r="D426" s="16" t="str">
        <f>IFERROR(IF(ISBLANK(C426),"",VLOOKUP(C426,Members!$A$2:$B$101,2,FALSE)),"")</f>
        <v/>
      </c>
      <c r="E426" s="8"/>
      <c r="F426" s="14" t="str">
        <f>IF(ISBLANK(E426),"",E426+Settings!$B$7)</f>
        <v/>
      </c>
      <c r="G426" s="8"/>
      <c r="H426" s="16" t="str">
        <f t="shared" ca="1" si="13"/>
        <v/>
      </c>
      <c r="I426" s="8"/>
    </row>
    <row r="427" spans="1:9" ht="15.75" x14ac:dyDescent="0.25">
      <c r="A427" s="14" t="str">
        <f t="shared" si="12"/>
        <v/>
      </c>
      <c r="B427" s="8"/>
      <c r="C427" s="8"/>
      <c r="D427" s="16" t="str">
        <f>IFERROR(IF(ISBLANK(C427),"",VLOOKUP(C427,Members!$A$2:$B$101,2,FALSE)),"")</f>
        <v/>
      </c>
      <c r="E427" s="8"/>
      <c r="F427" s="14" t="str">
        <f>IF(ISBLANK(E427),"",E427+Settings!$B$7)</f>
        <v/>
      </c>
      <c r="G427" s="8"/>
      <c r="H427" s="16" t="str">
        <f t="shared" ca="1" si="13"/>
        <v/>
      </c>
      <c r="I427" s="8"/>
    </row>
    <row r="428" spans="1:9" ht="15.75" x14ac:dyDescent="0.25">
      <c r="A428" s="14" t="str">
        <f t="shared" si="12"/>
        <v/>
      </c>
      <c r="B428" s="8"/>
      <c r="C428" s="8"/>
      <c r="D428" s="16" t="str">
        <f>IFERROR(IF(ISBLANK(C428),"",VLOOKUP(C428,Members!$A$2:$B$101,2,FALSE)),"")</f>
        <v/>
      </c>
      <c r="E428" s="8"/>
      <c r="F428" s="14" t="str">
        <f>IF(ISBLANK(E428),"",E428+Settings!$B$7)</f>
        <v/>
      </c>
      <c r="G428" s="8"/>
      <c r="H428" s="16" t="str">
        <f t="shared" ca="1" si="13"/>
        <v/>
      </c>
      <c r="I428" s="8"/>
    </row>
    <row r="429" spans="1:9" ht="15.75" x14ac:dyDescent="0.25">
      <c r="A429" s="14" t="str">
        <f t="shared" si="12"/>
        <v/>
      </c>
      <c r="B429" s="8"/>
      <c r="C429" s="8"/>
      <c r="D429" s="16" t="str">
        <f>IFERROR(IF(ISBLANK(C429),"",VLOOKUP(C429,Members!$A$2:$B$101,2,FALSE)),"")</f>
        <v/>
      </c>
      <c r="E429" s="8"/>
      <c r="F429" s="14" t="str">
        <f>IF(ISBLANK(E429),"",E429+Settings!$B$7)</f>
        <v/>
      </c>
      <c r="G429" s="8"/>
      <c r="H429" s="16" t="str">
        <f t="shared" ca="1" si="13"/>
        <v/>
      </c>
      <c r="I429" s="8"/>
    </row>
    <row r="430" spans="1:9" ht="15.75" x14ac:dyDescent="0.25">
      <c r="A430" s="14" t="str">
        <f t="shared" si="12"/>
        <v/>
      </c>
      <c r="B430" s="8"/>
      <c r="C430" s="8"/>
      <c r="D430" s="16" t="str">
        <f>IFERROR(IF(ISBLANK(C430),"",VLOOKUP(C430,Members!$A$2:$B$101,2,FALSE)),"")</f>
        <v/>
      </c>
      <c r="E430" s="8"/>
      <c r="F430" s="14" t="str">
        <f>IF(ISBLANK(E430),"",E430+Settings!$B$7)</f>
        <v/>
      </c>
      <c r="G430" s="8"/>
      <c r="H430" s="16" t="str">
        <f t="shared" ca="1" si="13"/>
        <v/>
      </c>
      <c r="I430" s="8"/>
    </row>
    <row r="431" spans="1:9" ht="15.75" x14ac:dyDescent="0.25">
      <c r="A431" s="14" t="str">
        <f t="shared" si="12"/>
        <v/>
      </c>
      <c r="B431" s="8"/>
      <c r="C431" s="8"/>
      <c r="D431" s="16" t="str">
        <f>IFERROR(IF(ISBLANK(C431),"",VLOOKUP(C431,Members!$A$2:$B$101,2,FALSE)),"")</f>
        <v/>
      </c>
      <c r="E431" s="8"/>
      <c r="F431" s="14" t="str">
        <f>IF(ISBLANK(E431),"",E431+Settings!$B$7)</f>
        <v/>
      </c>
      <c r="G431" s="8"/>
      <c r="H431" s="16" t="str">
        <f t="shared" ca="1" si="13"/>
        <v/>
      </c>
      <c r="I431" s="8"/>
    </row>
    <row r="432" spans="1:9" ht="15.75" x14ac:dyDescent="0.25">
      <c r="A432" s="14" t="str">
        <f t="shared" si="12"/>
        <v/>
      </c>
      <c r="B432" s="8"/>
      <c r="C432" s="8"/>
      <c r="D432" s="16" t="str">
        <f>IFERROR(IF(ISBLANK(C432),"",VLOOKUP(C432,Members!$A$2:$B$101,2,FALSE)),"")</f>
        <v/>
      </c>
      <c r="E432" s="8"/>
      <c r="F432" s="14" t="str">
        <f>IF(ISBLANK(E432),"",E432+Settings!$B$7)</f>
        <v/>
      </c>
      <c r="G432" s="8"/>
      <c r="H432" s="16" t="str">
        <f t="shared" ca="1" si="13"/>
        <v/>
      </c>
      <c r="I432" s="8"/>
    </row>
    <row r="433" spans="1:9" ht="15.75" x14ac:dyDescent="0.25">
      <c r="A433" s="14" t="str">
        <f t="shared" si="12"/>
        <v/>
      </c>
      <c r="B433" s="8"/>
      <c r="C433" s="8"/>
      <c r="D433" s="16" t="str">
        <f>IFERROR(IF(ISBLANK(C433),"",VLOOKUP(C433,Members!$A$2:$B$101,2,FALSE)),"")</f>
        <v/>
      </c>
      <c r="E433" s="8"/>
      <c r="F433" s="14" t="str">
        <f>IF(ISBLANK(E433),"",E433+Settings!$B$7)</f>
        <v/>
      </c>
      <c r="G433" s="8"/>
      <c r="H433" s="16" t="str">
        <f t="shared" ca="1" si="13"/>
        <v/>
      </c>
      <c r="I433" s="8"/>
    </row>
    <row r="434" spans="1:9" ht="15.75" x14ac:dyDescent="0.25">
      <c r="A434" s="14" t="str">
        <f t="shared" si="12"/>
        <v/>
      </c>
      <c r="B434" s="8"/>
      <c r="C434" s="8"/>
      <c r="D434" s="16" t="str">
        <f>IFERROR(IF(ISBLANK(C434),"",VLOOKUP(C434,Members!$A$2:$B$101,2,FALSE)),"")</f>
        <v/>
      </c>
      <c r="E434" s="8"/>
      <c r="F434" s="14" t="str">
        <f>IF(ISBLANK(E434),"",E434+Settings!$B$7)</f>
        <v/>
      </c>
      <c r="G434" s="8"/>
      <c r="H434" s="16" t="str">
        <f t="shared" ca="1" si="13"/>
        <v/>
      </c>
      <c r="I434" s="8"/>
    </row>
    <row r="435" spans="1:9" ht="15.75" x14ac:dyDescent="0.25">
      <c r="A435" s="14" t="str">
        <f t="shared" si="12"/>
        <v/>
      </c>
      <c r="B435" s="8"/>
      <c r="C435" s="8"/>
      <c r="D435" s="16" t="str">
        <f>IFERROR(IF(ISBLANK(C435),"",VLOOKUP(C435,Members!$A$2:$B$101,2,FALSE)),"")</f>
        <v/>
      </c>
      <c r="E435" s="8"/>
      <c r="F435" s="14" t="str">
        <f>IF(ISBLANK(E435),"",E435+Settings!$B$7)</f>
        <v/>
      </c>
      <c r="G435" s="8"/>
      <c r="H435" s="16" t="str">
        <f t="shared" ca="1" si="13"/>
        <v/>
      </c>
      <c r="I435" s="8"/>
    </row>
    <row r="436" spans="1:9" ht="15.75" x14ac:dyDescent="0.25">
      <c r="A436" s="14" t="str">
        <f t="shared" si="12"/>
        <v/>
      </c>
      <c r="B436" s="8"/>
      <c r="C436" s="8"/>
      <c r="D436" s="16" t="str">
        <f>IFERROR(IF(ISBLANK(C436),"",VLOOKUP(C436,Members!$A$2:$B$101,2,FALSE)),"")</f>
        <v/>
      </c>
      <c r="E436" s="8"/>
      <c r="F436" s="14" t="str">
        <f>IF(ISBLANK(E436),"",E436+Settings!$B$7)</f>
        <v/>
      </c>
      <c r="G436" s="8"/>
      <c r="H436" s="16" t="str">
        <f t="shared" ca="1" si="13"/>
        <v/>
      </c>
      <c r="I436" s="8"/>
    </row>
    <row r="437" spans="1:9" ht="15.75" x14ac:dyDescent="0.25">
      <c r="A437" s="14" t="str">
        <f t="shared" si="12"/>
        <v/>
      </c>
      <c r="B437" s="8"/>
      <c r="C437" s="8"/>
      <c r="D437" s="16" t="str">
        <f>IFERROR(IF(ISBLANK(C437),"",VLOOKUP(C437,Members!$A$2:$B$101,2,FALSE)),"")</f>
        <v/>
      </c>
      <c r="E437" s="8"/>
      <c r="F437" s="14" t="str">
        <f>IF(ISBLANK(E437),"",E437+Settings!$B$7)</f>
        <v/>
      </c>
      <c r="G437" s="8"/>
      <c r="H437" s="16" t="str">
        <f t="shared" ca="1" si="13"/>
        <v/>
      </c>
      <c r="I437" s="8"/>
    </row>
    <row r="438" spans="1:9" ht="15.75" x14ac:dyDescent="0.25">
      <c r="A438" s="14" t="str">
        <f t="shared" si="12"/>
        <v/>
      </c>
      <c r="B438" s="8"/>
      <c r="C438" s="8"/>
      <c r="D438" s="16" t="str">
        <f>IFERROR(IF(ISBLANK(C438),"",VLOOKUP(C438,Members!$A$2:$B$101,2,FALSE)),"")</f>
        <v/>
      </c>
      <c r="E438" s="8"/>
      <c r="F438" s="14" t="str">
        <f>IF(ISBLANK(E438),"",E438+Settings!$B$7)</f>
        <v/>
      </c>
      <c r="G438" s="8"/>
      <c r="H438" s="16" t="str">
        <f t="shared" ca="1" si="13"/>
        <v/>
      </c>
      <c r="I438" s="8"/>
    </row>
    <row r="439" spans="1:9" ht="15.75" x14ac:dyDescent="0.25">
      <c r="A439" s="14" t="str">
        <f t="shared" si="12"/>
        <v/>
      </c>
      <c r="B439" s="8"/>
      <c r="C439" s="8"/>
      <c r="D439" s="16" t="str">
        <f>IFERROR(IF(ISBLANK(C439),"",VLOOKUP(C439,Members!$A$2:$B$101,2,FALSE)),"")</f>
        <v/>
      </c>
      <c r="E439" s="8"/>
      <c r="F439" s="14" t="str">
        <f>IF(ISBLANK(E439),"",E439+Settings!$B$7)</f>
        <v/>
      </c>
      <c r="G439" s="8"/>
      <c r="H439" s="16" t="str">
        <f t="shared" ca="1" si="13"/>
        <v/>
      </c>
      <c r="I439" s="8"/>
    </row>
    <row r="440" spans="1:9" ht="15.75" x14ac:dyDescent="0.25">
      <c r="A440" s="14" t="str">
        <f t="shared" si="12"/>
        <v/>
      </c>
      <c r="B440" s="8"/>
      <c r="C440" s="8"/>
      <c r="D440" s="16" t="str">
        <f>IFERROR(IF(ISBLANK(C440),"",VLOOKUP(C440,Members!$A$2:$B$101,2,FALSE)),"")</f>
        <v/>
      </c>
      <c r="E440" s="8"/>
      <c r="F440" s="14" t="str">
        <f>IF(ISBLANK(E440),"",E440+Settings!$B$7)</f>
        <v/>
      </c>
      <c r="G440" s="8"/>
      <c r="H440" s="16" t="str">
        <f t="shared" ca="1" si="13"/>
        <v/>
      </c>
      <c r="I440" s="8"/>
    </row>
    <row r="441" spans="1:9" ht="15.75" x14ac:dyDescent="0.25">
      <c r="A441" s="14" t="str">
        <f t="shared" si="12"/>
        <v/>
      </c>
      <c r="B441" s="8"/>
      <c r="C441" s="8"/>
      <c r="D441" s="16" t="str">
        <f>IFERROR(IF(ISBLANK(C441),"",VLOOKUP(C441,Members!$A$2:$B$101,2,FALSE)),"")</f>
        <v/>
      </c>
      <c r="E441" s="8"/>
      <c r="F441" s="14" t="str">
        <f>IF(ISBLANK(E441),"",E441+Settings!$B$7)</f>
        <v/>
      </c>
      <c r="G441" s="8"/>
      <c r="H441" s="16" t="str">
        <f t="shared" ca="1" si="13"/>
        <v/>
      </c>
      <c r="I441" s="8"/>
    </row>
    <row r="442" spans="1:9" ht="15.75" x14ac:dyDescent="0.25">
      <c r="A442" s="14" t="str">
        <f t="shared" si="12"/>
        <v/>
      </c>
      <c r="B442" s="8"/>
      <c r="C442" s="8"/>
      <c r="D442" s="16" t="str">
        <f>IFERROR(IF(ISBLANK(C442),"",VLOOKUP(C442,Members!$A$2:$B$101,2,FALSE)),"")</f>
        <v/>
      </c>
      <c r="E442" s="8"/>
      <c r="F442" s="14" t="str">
        <f>IF(ISBLANK(E442),"",E442+Settings!$B$7)</f>
        <v/>
      </c>
      <c r="G442" s="8"/>
      <c r="H442" s="16" t="str">
        <f t="shared" ca="1" si="13"/>
        <v/>
      </c>
      <c r="I442" s="8"/>
    </row>
    <row r="443" spans="1:9" ht="15.75" x14ac:dyDescent="0.25">
      <c r="A443" s="14" t="str">
        <f t="shared" si="12"/>
        <v/>
      </c>
      <c r="B443" s="8"/>
      <c r="C443" s="8"/>
      <c r="D443" s="16" t="str">
        <f>IFERROR(IF(ISBLANK(C443),"",VLOOKUP(C443,Members!$A$2:$B$101,2,FALSE)),"")</f>
        <v/>
      </c>
      <c r="E443" s="8"/>
      <c r="F443" s="14" t="str">
        <f>IF(ISBLANK(E443),"",E443+Settings!$B$7)</f>
        <v/>
      </c>
      <c r="G443" s="8"/>
      <c r="H443" s="16" t="str">
        <f t="shared" ca="1" si="13"/>
        <v/>
      </c>
      <c r="I443" s="8"/>
    </row>
    <row r="444" spans="1:9" ht="15.75" x14ac:dyDescent="0.25">
      <c r="A444" s="14" t="str">
        <f t="shared" si="12"/>
        <v/>
      </c>
      <c r="B444" s="8"/>
      <c r="C444" s="8"/>
      <c r="D444" s="16" t="str">
        <f>IFERROR(IF(ISBLANK(C444),"",VLOOKUP(C444,Members!$A$2:$B$101,2,FALSE)),"")</f>
        <v/>
      </c>
      <c r="E444" s="8"/>
      <c r="F444" s="14" t="str">
        <f>IF(ISBLANK(E444),"",E444+Settings!$B$7)</f>
        <v/>
      </c>
      <c r="G444" s="8"/>
      <c r="H444" s="16" t="str">
        <f t="shared" ca="1" si="13"/>
        <v/>
      </c>
      <c r="I444" s="8"/>
    </row>
    <row r="445" spans="1:9" ht="15.75" x14ac:dyDescent="0.25">
      <c r="A445" s="14" t="str">
        <f t="shared" si="12"/>
        <v/>
      </c>
      <c r="B445" s="8"/>
      <c r="C445" s="8"/>
      <c r="D445" s="16" t="str">
        <f>IFERROR(IF(ISBLANK(C445),"",VLOOKUP(C445,Members!$A$2:$B$101,2,FALSE)),"")</f>
        <v/>
      </c>
      <c r="E445" s="8"/>
      <c r="F445" s="14" t="str">
        <f>IF(ISBLANK(E445),"",E445+Settings!$B$7)</f>
        <v/>
      </c>
      <c r="G445" s="8"/>
      <c r="H445" s="16" t="str">
        <f t="shared" ca="1" si="13"/>
        <v/>
      </c>
      <c r="I445" s="8"/>
    </row>
    <row r="446" spans="1:9" ht="15.75" x14ac:dyDescent="0.25">
      <c r="A446" s="14" t="str">
        <f t="shared" si="12"/>
        <v/>
      </c>
      <c r="B446" s="8"/>
      <c r="C446" s="8"/>
      <c r="D446" s="16" t="str">
        <f>IFERROR(IF(ISBLANK(C446),"",VLOOKUP(C446,Members!$A$2:$B$101,2,FALSE)),"")</f>
        <v/>
      </c>
      <c r="E446" s="8"/>
      <c r="F446" s="14" t="str">
        <f>IF(ISBLANK(E446),"",E446+Settings!$B$7)</f>
        <v/>
      </c>
      <c r="G446" s="8"/>
      <c r="H446" s="16" t="str">
        <f t="shared" ca="1" si="13"/>
        <v/>
      </c>
      <c r="I446" s="8"/>
    </row>
    <row r="447" spans="1:9" ht="15.75" x14ac:dyDescent="0.25">
      <c r="A447" s="14" t="str">
        <f t="shared" si="12"/>
        <v/>
      </c>
      <c r="B447" s="8"/>
      <c r="C447" s="8"/>
      <c r="D447" s="16" t="str">
        <f>IFERROR(IF(ISBLANK(C447),"",VLOOKUP(C447,Members!$A$2:$B$101,2,FALSE)),"")</f>
        <v/>
      </c>
      <c r="E447" s="8"/>
      <c r="F447" s="14" t="str">
        <f>IF(ISBLANK(E447),"",E447+Settings!$B$7)</f>
        <v/>
      </c>
      <c r="G447" s="8"/>
      <c r="H447" s="16" t="str">
        <f t="shared" ca="1" si="13"/>
        <v/>
      </c>
      <c r="I447" s="8"/>
    </row>
    <row r="448" spans="1:9" ht="15.75" x14ac:dyDescent="0.25">
      <c r="A448" s="14" t="str">
        <f t="shared" si="12"/>
        <v/>
      </c>
      <c r="B448" s="8"/>
      <c r="C448" s="8"/>
      <c r="D448" s="16" t="str">
        <f>IFERROR(IF(ISBLANK(C448),"",VLOOKUP(C448,Members!$A$2:$B$101,2,FALSE)),"")</f>
        <v/>
      </c>
      <c r="E448" s="8"/>
      <c r="F448" s="14" t="str">
        <f>IF(ISBLANK(E448),"",E448+Settings!$B$7)</f>
        <v/>
      </c>
      <c r="G448" s="8"/>
      <c r="H448" s="16" t="str">
        <f t="shared" ca="1" si="13"/>
        <v/>
      </c>
      <c r="I448" s="8"/>
    </row>
    <row r="449" spans="1:9" ht="15.75" x14ac:dyDescent="0.25">
      <c r="A449" s="14" t="str">
        <f t="shared" si="12"/>
        <v/>
      </c>
      <c r="B449" s="8"/>
      <c r="C449" s="8"/>
      <c r="D449" s="16" t="str">
        <f>IFERROR(IF(ISBLANK(C449),"",VLOOKUP(C449,Members!$A$2:$B$101,2,FALSE)),"")</f>
        <v/>
      </c>
      <c r="E449" s="8"/>
      <c r="F449" s="14" t="str">
        <f>IF(ISBLANK(E449),"",E449+Settings!$B$7)</f>
        <v/>
      </c>
      <c r="G449" s="8"/>
      <c r="H449" s="16" t="str">
        <f t="shared" ca="1" si="13"/>
        <v/>
      </c>
      <c r="I449" s="8"/>
    </row>
    <row r="450" spans="1:9" ht="15.75" x14ac:dyDescent="0.25">
      <c r="A450" s="14" t="str">
        <f t="shared" ref="A450:A513" si="14">IF(ISBLANK(B450),"",ROW()-1)</f>
        <v/>
      </c>
      <c r="B450" s="8"/>
      <c r="C450" s="8"/>
      <c r="D450" s="16" t="str">
        <f>IFERROR(IF(ISBLANK(C450),"",VLOOKUP(C450,Members!$A$2:$B$101,2,FALSE)),"")</f>
        <v/>
      </c>
      <c r="E450" s="8"/>
      <c r="F450" s="14" t="str">
        <f>IF(ISBLANK(E450),"",E450+Settings!$B$7)</f>
        <v/>
      </c>
      <c r="G450" s="8"/>
      <c r="H450" s="16" t="str">
        <f t="shared" ref="H450:H513" ca="1" si="15">IF(ISBLANK(B450),"",IF(NOT(ISBLANK(G450)),"Returned",IF(TODAY()&gt;F450,"Overdue","Active")))</f>
        <v/>
      </c>
      <c r="I450" s="8"/>
    </row>
    <row r="451" spans="1:9" ht="15.75" x14ac:dyDescent="0.25">
      <c r="A451" s="14" t="str">
        <f t="shared" si="14"/>
        <v/>
      </c>
      <c r="B451" s="8"/>
      <c r="C451" s="8"/>
      <c r="D451" s="16" t="str">
        <f>IFERROR(IF(ISBLANK(C451),"",VLOOKUP(C451,Members!$A$2:$B$101,2,FALSE)),"")</f>
        <v/>
      </c>
      <c r="E451" s="8"/>
      <c r="F451" s="14" t="str">
        <f>IF(ISBLANK(E451),"",E451+Settings!$B$7)</f>
        <v/>
      </c>
      <c r="G451" s="8"/>
      <c r="H451" s="16" t="str">
        <f t="shared" ca="1" si="15"/>
        <v/>
      </c>
      <c r="I451" s="8"/>
    </row>
    <row r="452" spans="1:9" ht="15.75" x14ac:dyDescent="0.25">
      <c r="A452" s="14" t="str">
        <f t="shared" si="14"/>
        <v/>
      </c>
      <c r="B452" s="8"/>
      <c r="C452" s="8"/>
      <c r="D452" s="16" t="str">
        <f>IFERROR(IF(ISBLANK(C452),"",VLOOKUP(C452,Members!$A$2:$B$101,2,FALSE)),"")</f>
        <v/>
      </c>
      <c r="E452" s="8"/>
      <c r="F452" s="14" t="str">
        <f>IF(ISBLANK(E452),"",E452+Settings!$B$7)</f>
        <v/>
      </c>
      <c r="G452" s="8"/>
      <c r="H452" s="16" t="str">
        <f t="shared" ca="1" si="15"/>
        <v/>
      </c>
      <c r="I452" s="8"/>
    </row>
    <row r="453" spans="1:9" ht="15.75" x14ac:dyDescent="0.25">
      <c r="A453" s="14" t="str">
        <f t="shared" si="14"/>
        <v/>
      </c>
      <c r="B453" s="8"/>
      <c r="C453" s="8"/>
      <c r="D453" s="16" t="str">
        <f>IFERROR(IF(ISBLANK(C453),"",VLOOKUP(C453,Members!$A$2:$B$101,2,FALSE)),"")</f>
        <v/>
      </c>
      <c r="E453" s="8"/>
      <c r="F453" s="14" t="str">
        <f>IF(ISBLANK(E453),"",E453+Settings!$B$7)</f>
        <v/>
      </c>
      <c r="G453" s="8"/>
      <c r="H453" s="16" t="str">
        <f t="shared" ca="1" si="15"/>
        <v/>
      </c>
      <c r="I453" s="8"/>
    </row>
    <row r="454" spans="1:9" ht="15.75" x14ac:dyDescent="0.25">
      <c r="A454" s="14" t="str">
        <f t="shared" si="14"/>
        <v/>
      </c>
      <c r="B454" s="8"/>
      <c r="C454" s="8"/>
      <c r="D454" s="16" t="str">
        <f>IFERROR(IF(ISBLANK(C454),"",VLOOKUP(C454,Members!$A$2:$B$101,2,FALSE)),"")</f>
        <v/>
      </c>
      <c r="E454" s="8"/>
      <c r="F454" s="14" t="str">
        <f>IF(ISBLANK(E454),"",E454+Settings!$B$7)</f>
        <v/>
      </c>
      <c r="G454" s="8"/>
      <c r="H454" s="16" t="str">
        <f t="shared" ca="1" si="15"/>
        <v/>
      </c>
      <c r="I454" s="8"/>
    </row>
    <row r="455" spans="1:9" ht="15.75" x14ac:dyDescent="0.25">
      <c r="A455" s="14" t="str">
        <f t="shared" si="14"/>
        <v/>
      </c>
      <c r="B455" s="8"/>
      <c r="C455" s="8"/>
      <c r="D455" s="16" t="str">
        <f>IFERROR(IF(ISBLANK(C455),"",VLOOKUP(C455,Members!$A$2:$B$101,2,FALSE)),"")</f>
        <v/>
      </c>
      <c r="E455" s="8"/>
      <c r="F455" s="14" t="str">
        <f>IF(ISBLANK(E455),"",E455+Settings!$B$7)</f>
        <v/>
      </c>
      <c r="G455" s="8"/>
      <c r="H455" s="16" t="str">
        <f t="shared" ca="1" si="15"/>
        <v/>
      </c>
      <c r="I455" s="8"/>
    </row>
    <row r="456" spans="1:9" ht="15.75" x14ac:dyDescent="0.25">
      <c r="A456" s="14" t="str">
        <f t="shared" si="14"/>
        <v/>
      </c>
      <c r="B456" s="8"/>
      <c r="C456" s="8"/>
      <c r="D456" s="16" t="str">
        <f>IFERROR(IF(ISBLANK(C456),"",VLOOKUP(C456,Members!$A$2:$B$101,2,FALSE)),"")</f>
        <v/>
      </c>
      <c r="E456" s="8"/>
      <c r="F456" s="14" t="str">
        <f>IF(ISBLANK(E456),"",E456+Settings!$B$7)</f>
        <v/>
      </c>
      <c r="G456" s="8"/>
      <c r="H456" s="16" t="str">
        <f t="shared" ca="1" si="15"/>
        <v/>
      </c>
      <c r="I456" s="8"/>
    </row>
    <row r="457" spans="1:9" ht="15.75" x14ac:dyDescent="0.25">
      <c r="A457" s="14" t="str">
        <f t="shared" si="14"/>
        <v/>
      </c>
      <c r="B457" s="8"/>
      <c r="C457" s="8"/>
      <c r="D457" s="16" t="str">
        <f>IFERROR(IF(ISBLANK(C457),"",VLOOKUP(C457,Members!$A$2:$B$101,2,FALSE)),"")</f>
        <v/>
      </c>
      <c r="E457" s="8"/>
      <c r="F457" s="14" t="str">
        <f>IF(ISBLANK(E457),"",E457+Settings!$B$7)</f>
        <v/>
      </c>
      <c r="G457" s="8"/>
      <c r="H457" s="16" t="str">
        <f t="shared" ca="1" si="15"/>
        <v/>
      </c>
      <c r="I457" s="8"/>
    </row>
    <row r="458" spans="1:9" ht="15.75" x14ac:dyDescent="0.25">
      <c r="A458" s="14" t="str">
        <f t="shared" si="14"/>
        <v/>
      </c>
      <c r="B458" s="8"/>
      <c r="C458" s="8"/>
      <c r="D458" s="16" t="str">
        <f>IFERROR(IF(ISBLANK(C458),"",VLOOKUP(C458,Members!$A$2:$B$101,2,FALSE)),"")</f>
        <v/>
      </c>
      <c r="E458" s="8"/>
      <c r="F458" s="14" t="str">
        <f>IF(ISBLANK(E458),"",E458+Settings!$B$7)</f>
        <v/>
      </c>
      <c r="G458" s="8"/>
      <c r="H458" s="16" t="str">
        <f t="shared" ca="1" si="15"/>
        <v/>
      </c>
      <c r="I458" s="8"/>
    </row>
    <row r="459" spans="1:9" ht="15.75" x14ac:dyDescent="0.25">
      <c r="A459" s="14" t="str">
        <f t="shared" si="14"/>
        <v/>
      </c>
      <c r="B459" s="8"/>
      <c r="C459" s="8"/>
      <c r="D459" s="16" t="str">
        <f>IFERROR(IF(ISBLANK(C459),"",VLOOKUP(C459,Members!$A$2:$B$101,2,FALSE)),"")</f>
        <v/>
      </c>
      <c r="E459" s="8"/>
      <c r="F459" s="14" t="str">
        <f>IF(ISBLANK(E459),"",E459+Settings!$B$7)</f>
        <v/>
      </c>
      <c r="G459" s="8"/>
      <c r="H459" s="16" t="str">
        <f t="shared" ca="1" si="15"/>
        <v/>
      </c>
      <c r="I459" s="8"/>
    </row>
    <row r="460" spans="1:9" ht="15.75" x14ac:dyDescent="0.25">
      <c r="A460" s="14" t="str">
        <f t="shared" si="14"/>
        <v/>
      </c>
      <c r="B460" s="8"/>
      <c r="C460" s="8"/>
      <c r="D460" s="16" t="str">
        <f>IFERROR(IF(ISBLANK(C460),"",VLOOKUP(C460,Members!$A$2:$B$101,2,FALSE)),"")</f>
        <v/>
      </c>
      <c r="E460" s="8"/>
      <c r="F460" s="14" t="str">
        <f>IF(ISBLANK(E460),"",E460+Settings!$B$7)</f>
        <v/>
      </c>
      <c r="G460" s="8"/>
      <c r="H460" s="16" t="str">
        <f t="shared" ca="1" si="15"/>
        <v/>
      </c>
      <c r="I460" s="8"/>
    </row>
    <row r="461" spans="1:9" ht="15.75" x14ac:dyDescent="0.25">
      <c r="A461" s="14" t="str">
        <f t="shared" si="14"/>
        <v/>
      </c>
      <c r="B461" s="8"/>
      <c r="C461" s="8"/>
      <c r="D461" s="16" t="str">
        <f>IFERROR(IF(ISBLANK(C461),"",VLOOKUP(C461,Members!$A$2:$B$101,2,FALSE)),"")</f>
        <v/>
      </c>
      <c r="E461" s="8"/>
      <c r="F461" s="14" t="str">
        <f>IF(ISBLANK(E461),"",E461+Settings!$B$7)</f>
        <v/>
      </c>
      <c r="G461" s="8"/>
      <c r="H461" s="16" t="str">
        <f t="shared" ca="1" si="15"/>
        <v/>
      </c>
      <c r="I461" s="8"/>
    </row>
    <row r="462" spans="1:9" ht="15.75" x14ac:dyDescent="0.25">
      <c r="A462" s="14" t="str">
        <f t="shared" si="14"/>
        <v/>
      </c>
      <c r="B462" s="8"/>
      <c r="C462" s="8"/>
      <c r="D462" s="16" t="str">
        <f>IFERROR(IF(ISBLANK(C462),"",VLOOKUP(C462,Members!$A$2:$B$101,2,FALSE)),"")</f>
        <v/>
      </c>
      <c r="E462" s="8"/>
      <c r="F462" s="14" t="str">
        <f>IF(ISBLANK(E462),"",E462+Settings!$B$7)</f>
        <v/>
      </c>
      <c r="G462" s="8"/>
      <c r="H462" s="16" t="str">
        <f t="shared" ca="1" si="15"/>
        <v/>
      </c>
      <c r="I462" s="8"/>
    </row>
    <row r="463" spans="1:9" ht="15.75" x14ac:dyDescent="0.25">
      <c r="A463" s="14" t="str">
        <f t="shared" si="14"/>
        <v/>
      </c>
      <c r="B463" s="8"/>
      <c r="C463" s="8"/>
      <c r="D463" s="16" t="str">
        <f>IFERROR(IF(ISBLANK(C463),"",VLOOKUP(C463,Members!$A$2:$B$101,2,FALSE)),"")</f>
        <v/>
      </c>
      <c r="E463" s="8"/>
      <c r="F463" s="14" t="str">
        <f>IF(ISBLANK(E463),"",E463+Settings!$B$7)</f>
        <v/>
      </c>
      <c r="G463" s="8"/>
      <c r="H463" s="16" t="str">
        <f t="shared" ca="1" si="15"/>
        <v/>
      </c>
      <c r="I463" s="8"/>
    </row>
    <row r="464" spans="1:9" ht="15.75" x14ac:dyDescent="0.25">
      <c r="A464" s="14" t="str">
        <f t="shared" si="14"/>
        <v/>
      </c>
      <c r="B464" s="8"/>
      <c r="C464" s="8"/>
      <c r="D464" s="16" t="str">
        <f>IFERROR(IF(ISBLANK(C464),"",VLOOKUP(C464,Members!$A$2:$B$101,2,FALSE)),"")</f>
        <v/>
      </c>
      <c r="E464" s="8"/>
      <c r="F464" s="14" t="str">
        <f>IF(ISBLANK(E464),"",E464+Settings!$B$7)</f>
        <v/>
      </c>
      <c r="G464" s="8"/>
      <c r="H464" s="16" t="str">
        <f t="shared" ca="1" si="15"/>
        <v/>
      </c>
      <c r="I464" s="8"/>
    </row>
    <row r="465" spans="1:9" ht="15.75" x14ac:dyDescent="0.25">
      <c r="A465" s="14" t="str">
        <f t="shared" si="14"/>
        <v/>
      </c>
      <c r="B465" s="8"/>
      <c r="C465" s="8"/>
      <c r="D465" s="16" t="str">
        <f>IFERROR(IF(ISBLANK(C465),"",VLOOKUP(C465,Members!$A$2:$B$101,2,FALSE)),"")</f>
        <v/>
      </c>
      <c r="E465" s="8"/>
      <c r="F465" s="14" t="str">
        <f>IF(ISBLANK(E465),"",E465+Settings!$B$7)</f>
        <v/>
      </c>
      <c r="G465" s="8"/>
      <c r="H465" s="16" t="str">
        <f t="shared" ca="1" si="15"/>
        <v/>
      </c>
      <c r="I465" s="8"/>
    </row>
    <row r="466" spans="1:9" ht="15.75" x14ac:dyDescent="0.25">
      <c r="A466" s="14" t="str">
        <f t="shared" si="14"/>
        <v/>
      </c>
      <c r="B466" s="8"/>
      <c r="C466" s="8"/>
      <c r="D466" s="16" t="str">
        <f>IFERROR(IF(ISBLANK(C466),"",VLOOKUP(C466,Members!$A$2:$B$101,2,FALSE)),"")</f>
        <v/>
      </c>
      <c r="E466" s="8"/>
      <c r="F466" s="14" t="str">
        <f>IF(ISBLANK(E466),"",E466+Settings!$B$7)</f>
        <v/>
      </c>
      <c r="G466" s="8"/>
      <c r="H466" s="16" t="str">
        <f t="shared" ca="1" si="15"/>
        <v/>
      </c>
      <c r="I466" s="8"/>
    </row>
    <row r="467" spans="1:9" ht="15.75" x14ac:dyDescent="0.25">
      <c r="A467" s="14" t="str">
        <f t="shared" si="14"/>
        <v/>
      </c>
      <c r="B467" s="8"/>
      <c r="C467" s="8"/>
      <c r="D467" s="16" t="str">
        <f>IFERROR(IF(ISBLANK(C467),"",VLOOKUP(C467,Members!$A$2:$B$101,2,FALSE)),"")</f>
        <v/>
      </c>
      <c r="E467" s="8"/>
      <c r="F467" s="14" t="str">
        <f>IF(ISBLANK(E467),"",E467+Settings!$B$7)</f>
        <v/>
      </c>
      <c r="G467" s="8"/>
      <c r="H467" s="16" t="str">
        <f t="shared" ca="1" si="15"/>
        <v/>
      </c>
      <c r="I467" s="8"/>
    </row>
    <row r="468" spans="1:9" ht="15.75" x14ac:dyDescent="0.25">
      <c r="A468" s="14" t="str">
        <f t="shared" si="14"/>
        <v/>
      </c>
      <c r="B468" s="8"/>
      <c r="C468" s="8"/>
      <c r="D468" s="16" t="str">
        <f>IFERROR(IF(ISBLANK(C468),"",VLOOKUP(C468,Members!$A$2:$B$101,2,FALSE)),"")</f>
        <v/>
      </c>
      <c r="E468" s="8"/>
      <c r="F468" s="14" t="str">
        <f>IF(ISBLANK(E468),"",E468+Settings!$B$7)</f>
        <v/>
      </c>
      <c r="G468" s="8"/>
      <c r="H468" s="16" t="str">
        <f t="shared" ca="1" si="15"/>
        <v/>
      </c>
      <c r="I468" s="8"/>
    </row>
    <row r="469" spans="1:9" ht="15.75" x14ac:dyDescent="0.25">
      <c r="A469" s="14" t="str">
        <f t="shared" si="14"/>
        <v/>
      </c>
      <c r="B469" s="8"/>
      <c r="C469" s="8"/>
      <c r="D469" s="16" t="str">
        <f>IFERROR(IF(ISBLANK(C469),"",VLOOKUP(C469,Members!$A$2:$B$101,2,FALSE)),"")</f>
        <v/>
      </c>
      <c r="E469" s="8"/>
      <c r="F469" s="14" t="str">
        <f>IF(ISBLANK(E469),"",E469+Settings!$B$7)</f>
        <v/>
      </c>
      <c r="G469" s="8"/>
      <c r="H469" s="16" t="str">
        <f t="shared" ca="1" si="15"/>
        <v/>
      </c>
      <c r="I469" s="8"/>
    </row>
    <row r="470" spans="1:9" ht="15.75" x14ac:dyDescent="0.25">
      <c r="A470" s="14" t="str">
        <f t="shared" si="14"/>
        <v/>
      </c>
      <c r="B470" s="8"/>
      <c r="C470" s="8"/>
      <c r="D470" s="16" t="str">
        <f>IFERROR(IF(ISBLANK(C470),"",VLOOKUP(C470,Members!$A$2:$B$101,2,FALSE)),"")</f>
        <v/>
      </c>
      <c r="E470" s="8"/>
      <c r="F470" s="14" t="str">
        <f>IF(ISBLANK(E470),"",E470+Settings!$B$7)</f>
        <v/>
      </c>
      <c r="G470" s="8"/>
      <c r="H470" s="16" t="str">
        <f t="shared" ca="1" si="15"/>
        <v/>
      </c>
      <c r="I470" s="8"/>
    </row>
    <row r="471" spans="1:9" ht="15.75" x14ac:dyDescent="0.25">
      <c r="A471" s="14" t="str">
        <f t="shared" si="14"/>
        <v/>
      </c>
      <c r="B471" s="8"/>
      <c r="C471" s="8"/>
      <c r="D471" s="16" t="str">
        <f>IFERROR(IF(ISBLANK(C471),"",VLOOKUP(C471,Members!$A$2:$B$101,2,FALSE)),"")</f>
        <v/>
      </c>
      <c r="E471" s="8"/>
      <c r="F471" s="14" t="str">
        <f>IF(ISBLANK(E471),"",E471+Settings!$B$7)</f>
        <v/>
      </c>
      <c r="G471" s="8"/>
      <c r="H471" s="16" t="str">
        <f t="shared" ca="1" si="15"/>
        <v/>
      </c>
      <c r="I471" s="8"/>
    </row>
    <row r="472" spans="1:9" ht="15.75" x14ac:dyDescent="0.25">
      <c r="A472" s="14" t="str">
        <f t="shared" si="14"/>
        <v/>
      </c>
      <c r="B472" s="8"/>
      <c r="C472" s="8"/>
      <c r="D472" s="16" t="str">
        <f>IFERROR(IF(ISBLANK(C472),"",VLOOKUP(C472,Members!$A$2:$B$101,2,FALSE)),"")</f>
        <v/>
      </c>
      <c r="E472" s="8"/>
      <c r="F472" s="14" t="str">
        <f>IF(ISBLANK(E472),"",E472+Settings!$B$7)</f>
        <v/>
      </c>
      <c r="G472" s="8"/>
      <c r="H472" s="16" t="str">
        <f t="shared" ca="1" si="15"/>
        <v/>
      </c>
      <c r="I472" s="8"/>
    </row>
    <row r="473" spans="1:9" ht="15.75" x14ac:dyDescent="0.25">
      <c r="A473" s="14" t="str">
        <f t="shared" si="14"/>
        <v/>
      </c>
      <c r="B473" s="8"/>
      <c r="C473" s="8"/>
      <c r="D473" s="16" t="str">
        <f>IFERROR(IF(ISBLANK(C473),"",VLOOKUP(C473,Members!$A$2:$B$101,2,FALSE)),"")</f>
        <v/>
      </c>
      <c r="E473" s="8"/>
      <c r="F473" s="14" t="str">
        <f>IF(ISBLANK(E473),"",E473+Settings!$B$7)</f>
        <v/>
      </c>
      <c r="G473" s="8"/>
      <c r="H473" s="16" t="str">
        <f t="shared" ca="1" si="15"/>
        <v/>
      </c>
      <c r="I473" s="8"/>
    </row>
    <row r="474" spans="1:9" ht="15.75" x14ac:dyDescent="0.25">
      <c r="A474" s="14" t="str">
        <f t="shared" si="14"/>
        <v/>
      </c>
      <c r="B474" s="8"/>
      <c r="C474" s="8"/>
      <c r="D474" s="16" t="str">
        <f>IFERROR(IF(ISBLANK(C474),"",VLOOKUP(C474,Members!$A$2:$B$101,2,FALSE)),"")</f>
        <v/>
      </c>
      <c r="E474" s="8"/>
      <c r="F474" s="14" t="str">
        <f>IF(ISBLANK(E474),"",E474+Settings!$B$7)</f>
        <v/>
      </c>
      <c r="G474" s="8"/>
      <c r="H474" s="16" t="str">
        <f t="shared" ca="1" si="15"/>
        <v/>
      </c>
      <c r="I474" s="8"/>
    </row>
    <row r="475" spans="1:9" ht="15.75" x14ac:dyDescent="0.25">
      <c r="A475" s="14" t="str">
        <f t="shared" si="14"/>
        <v/>
      </c>
      <c r="B475" s="8"/>
      <c r="C475" s="8"/>
      <c r="D475" s="16" t="str">
        <f>IFERROR(IF(ISBLANK(C475),"",VLOOKUP(C475,Members!$A$2:$B$101,2,FALSE)),"")</f>
        <v/>
      </c>
      <c r="E475" s="8"/>
      <c r="F475" s="14" t="str">
        <f>IF(ISBLANK(E475),"",E475+Settings!$B$7)</f>
        <v/>
      </c>
      <c r="G475" s="8"/>
      <c r="H475" s="16" t="str">
        <f t="shared" ca="1" si="15"/>
        <v/>
      </c>
      <c r="I475" s="8"/>
    </row>
    <row r="476" spans="1:9" ht="15.75" x14ac:dyDescent="0.25">
      <c r="A476" s="14" t="str">
        <f t="shared" si="14"/>
        <v/>
      </c>
      <c r="B476" s="8"/>
      <c r="C476" s="8"/>
      <c r="D476" s="16" t="str">
        <f>IFERROR(IF(ISBLANK(C476),"",VLOOKUP(C476,Members!$A$2:$B$101,2,FALSE)),"")</f>
        <v/>
      </c>
      <c r="E476" s="8"/>
      <c r="F476" s="14" t="str">
        <f>IF(ISBLANK(E476),"",E476+Settings!$B$7)</f>
        <v/>
      </c>
      <c r="G476" s="8"/>
      <c r="H476" s="16" t="str">
        <f t="shared" ca="1" si="15"/>
        <v/>
      </c>
      <c r="I476" s="8"/>
    </row>
    <row r="477" spans="1:9" ht="15.75" x14ac:dyDescent="0.25">
      <c r="A477" s="14" t="str">
        <f t="shared" si="14"/>
        <v/>
      </c>
      <c r="B477" s="8"/>
      <c r="C477" s="8"/>
      <c r="D477" s="16" t="str">
        <f>IFERROR(IF(ISBLANK(C477),"",VLOOKUP(C477,Members!$A$2:$B$101,2,FALSE)),"")</f>
        <v/>
      </c>
      <c r="E477" s="8"/>
      <c r="F477" s="14" t="str">
        <f>IF(ISBLANK(E477),"",E477+Settings!$B$7)</f>
        <v/>
      </c>
      <c r="G477" s="8"/>
      <c r="H477" s="16" t="str">
        <f t="shared" ca="1" si="15"/>
        <v/>
      </c>
      <c r="I477" s="8"/>
    </row>
    <row r="478" spans="1:9" ht="15.75" x14ac:dyDescent="0.25">
      <c r="A478" s="14" t="str">
        <f t="shared" si="14"/>
        <v/>
      </c>
      <c r="B478" s="8"/>
      <c r="C478" s="8"/>
      <c r="D478" s="16" t="str">
        <f>IFERROR(IF(ISBLANK(C478),"",VLOOKUP(C478,Members!$A$2:$B$101,2,FALSE)),"")</f>
        <v/>
      </c>
      <c r="E478" s="8"/>
      <c r="F478" s="14" t="str">
        <f>IF(ISBLANK(E478),"",E478+Settings!$B$7)</f>
        <v/>
      </c>
      <c r="G478" s="8"/>
      <c r="H478" s="16" t="str">
        <f t="shared" ca="1" si="15"/>
        <v/>
      </c>
      <c r="I478" s="8"/>
    </row>
    <row r="479" spans="1:9" ht="15.75" x14ac:dyDescent="0.25">
      <c r="A479" s="14" t="str">
        <f t="shared" si="14"/>
        <v/>
      </c>
      <c r="B479" s="8"/>
      <c r="C479" s="8"/>
      <c r="D479" s="16" t="str">
        <f>IFERROR(IF(ISBLANK(C479),"",VLOOKUP(C479,Members!$A$2:$B$101,2,FALSE)),"")</f>
        <v/>
      </c>
      <c r="E479" s="8"/>
      <c r="F479" s="14" t="str">
        <f>IF(ISBLANK(E479),"",E479+Settings!$B$7)</f>
        <v/>
      </c>
      <c r="G479" s="8"/>
      <c r="H479" s="16" t="str">
        <f t="shared" ca="1" si="15"/>
        <v/>
      </c>
      <c r="I479" s="8"/>
    </row>
    <row r="480" spans="1:9" ht="15.75" x14ac:dyDescent="0.25">
      <c r="A480" s="14" t="str">
        <f t="shared" si="14"/>
        <v/>
      </c>
      <c r="B480" s="8"/>
      <c r="C480" s="8"/>
      <c r="D480" s="16" t="str">
        <f>IFERROR(IF(ISBLANK(C480),"",VLOOKUP(C480,Members!$A$2:$B$101,2,FALSE)),"")</f>
        <v/>
      </c>
      <c r="E480" s="8"/>
      <c r="F480" s="14" t="str">
        <f>IF(ISBLANK(E480),"",E480+Settings!$B$7)</f>
        <v/>
      </c>
      <c r="G480" s="8"/>
      <c r="H480" s="16" t="str">
        <f t="shared" ca="1" si="15"/>
        <v/>
      </c>
      <c r="I480" s="8"/>
    </row>
    <row r="481" spans="1:9" ht="15.75" x14ac:dyDescent="0.25">
      <c r="A481" s="14" t="str">
        <f t="shared" si="14"/>
        <v/>
      </c>
      <c r="B481" s="8"/>
      <c r="C481" s="8"/>
      <c r="D481" s="16" t="str">
        <f>IFERROR(IF(ISBLANK(C481),"",VLOOKUP(C481,Members!$A$2:$B$101,2,FALSE)),"")</f>
        <v/>
      </c>
      <c r="E481" s="8"/>
      <c r="F481" s="14" t="str">
        <f>IF(ISBLANK(E481),"",E481+Settings!$B$7)</f>
        <v/>
      </c>
      <c r="G481" s="8"/>
      <c r="H481" s="16" t="str">
        <f t="shared" ca="1" si="15"/>
        <v/>
      </c>
      <c r="I481" s="8"/>
    </row>
    <row r="482" spans="1:9" ht="15.75" x14ac:dyDescent="0.25">
      <c r="A482" s="14" t="str">
        <f t="shared" si="14"/>
        <v/>
      </c>
      <c r="B482" s="8"/>
      <c r="C482" s="8"/>
      <c r="D482" s="16" t="str">
        <f>IFERROR(IF(ISBLANK(C482),"",VLOOKUP(C482,Members!$A$2:$B$101,2,FALSE)),"")</f>
        <v/>
      </c>
      <c r="E482" s="8"/>
      <c r="F482" s="14" t="str">
        <f>IF(ISBLANK(E482),"",E482+Settings!$B$7)</f>
        <v/>
      </c>
      <c r="G482" s="8"/>
      <c r="H482" s="16" t="str">
        <f t="shared" ca="1" si="15"/>
        <v/>
      </c>
      <c r="I482" s="8"/>
    </row>
    <row r="483" spans="1:9" ht="15.75" x14ac:dyDescent="0.25">
      <c r="A483" s="14" t="str">
        <f t="shared" si="14"/>
        <v/>
      </c>
      <c r="B483" s="8"/>
      <c r="C483" s="8"/>
      <c r="D483" s="16" t="str">
        <f>IFERROR(IF(ISBLANK(C483),"",VLOOKUP(C483,Members!$A$2:$B$101,2,FALSE)),"")</f>
        <v/>
      </c>
      <c r="E483" s="8"/>
      <c r="F483" s="14" t="str">
        <f>IF(ISBLANK(E483),"",E483+Settings!$B$7)</f>
        <v/>
      </c>
      <c r="G483" s="8"/>
      <c r="H483" s="16" t="str">
        <f t="shared" ca="1" si="15"/>
        <v/>
      </c>
      <c r="I483" s="8"/>
    </row>
    <row r="484" spans="1:9" ht="15.75" x14ac:dyDescent="0.25">
      <c r="A484" s="14" t="str">
        <f t="shared" si="14"/>
        <v/>
      </c>
      <c r="B484" s="8"/>
      <c r="C484" s="8"/>
      <c r="D484" s="16" t="str">
        <f>IFERROR(IF(ISBLANK(C484),"",VLOOKUP(C484,Members!$A$2:$B$101,2,FALSE)),"")</f>
        <v/>
      </c>
      <c r="E484" s="8"/>
      <c r="F484" s="14" t="str">
        <f>IF(ISBLANK(E484),"",E484+Settings!$B$7)</f>
        <v/>
      </c>
      <c r="G484" s="8"/>
      <c r="H484" s="16" t="str">
        <f t="shared" ca="1" si="15"/>
        <v/>
      </c>
      <c r="I484" s="8"/>
    </row>
    <row r="485" spans="1:9" ht="15.75" x14ac:dyDescent="0.25">
      <c r="A485" s="14" t="str">
        <f t="shared" si="14"/>
        <v/>
      </c>
      <c r="B485" s="8"/>
      <c r="C485" s="8"/>
      <c r="D485" s="16" t="str">
        <f>IFERROR(IF(ISBLANK(C485),"",VLOOKUP(C485,Members!$A$2:$B$101,2,FALSE)),"")</f>
        <v/>
      </c>
      <c r="E485" s="8"/>
      <c r="F485" s="14" t="str">
        <f>IF(ISBLANK(E485),"",E485+Settings!$B$7)</f>
        <v/>
      </c>
      <c r="G485" s="8"/>
      <c r="H485" s="16" t="str">
        <f t="shared" ca="1" si="15"/>
        <v/>
      </c>
      <c r="I485" s="8"/>
    </row>
    <row r="486" spans="1:9" ht="15.75" x14ac:dyDescent="0.25">
      <c r="A486" s="14" t="str">
        <f t="shared" si="14"/>
        <v/>
      </c>
      <c r="B486" s="8"/>
      <c r="C486" s="8"/>
      <c r="D486" s="16" t="str">
        <f>IFERROR(IF(ISBLANK(C486),"",VLOOKUP(C486,Members!$A$2:$B$101,2,FALSE)),"")</f>
        <v/>
      </c>
      <c r="E486" s="8"/>
      <c r="F486" s="14" t="str">
        <f>IF(ISBLANK(E486),"",E486+Settings!$B$7)</f>
        <v/>
      </c>
      <c r="G486" s="8"/>
      <c r="H486" s="16" t="str">
        <f t="shared" ca="1" si="15"/>
        <v/>
      </c>
      <c r="I486" s="8"/>
    </row>
    <row r="487" spans="1:9" ht="15.75" x14ac:dyDescent="0.25">
      <c r="A487" s="14" t="str">
        <f t="shared" si="14"/>
        <v/>
      </c>
      <c r="B487" s="8"/>
      <c r="C487" s="8"/>
      <c r="D487" s="16" t="str">
        <f>IFERROR(IF(ISBLANK(C487),"",VLOOKUP(C487,Members!$A$2:$B$101,2,FALSE)),"")</f>
        <v/>
      </c>
      <c r="E487" s="8"/>
      <c r="F487" s="14" t="str">
        <f>IF(ISBLANK(E487),"",E487+Settings!$B$7)</f>
        <v/>
      </c>
      <c r="G487" s="8"/>
      <c r="H487" s="16" t="str">
        <f t="shared" ca="1" si="15"/>
        <v/>
      </c>
      <c r="I487" s="8"/>
    </row>
    <row r="488" spans="1:9" ht="15.75" x14ac:dyDescent="0.25">
      <c r="A488" s="14" t="str">
        <f t="shared" si="14"/>
        <v/>
      </c>
      <c r="B488" s="8"/>
      <c r="C488" s="8"/>
      <c r="D488" s="16" t="str">
        <f>IFERROR(IF(ISBLANK(C488),"",VLOOKUP(C488,Members!$A$2:$B$101,2,FALSE)),"")</f>
        <v/>
      </c>
      <c r="E488" s="8"/>
      <c r="F488" s="14" t="str">
        <f>IF(ISBLANK(E488),"",E488+Settings!$B$7)</f>
        <v/>
      </c>
      <c r="G488" s="8"/>
      <c r="H488" s="16" t="str">
        <f t="shared" ca="1" si="15"/>
        <v/>
      </c>
      <c r="I488" s="8"/>
    </row>
    <row r="489" spans="1:9" ht="15.75" x14ac:dyDescent="0.25">
      <c r="A489" s="14" t="str">
        <f t="shared" si="14"/>
        <v/>
      </c>
      <c r="B489" s="8"/>
      <c r="C489" s="8"/>
      <c r="D489" s="16" t="str">
        <f>IFERROR(IF(ISBLANK(C489),"",VLOOKUP(C489,Members!$A$2:$B$101,2,FALSE)),"")</f>
        <v/>
      </c>
      <c r="E489" s="8"/>
      <c r="F489" s="14" t="str">
        <f>IF(ISBLANK(E489),"",E489+Settings!$B$7)</f>
        <v/>
      </c>
      <c r="G489" s="8"/>
      <c r="H489" s="16" t="str">
        <f t="shared" ca="1" si="15"/>
        <v/>
      </c>
      <c r="I489" s="8"/>
    </row>
    <row r="490" spans="1:9" ht="15.75" x14ac:dyDescent="0.25">
      <c r="A490" s="14" t="str">
        <f t="shared" si="14"/>
        <v/>
      </c>
      <c r="B490" s="8"/>
      <c r="C490" s="8"/>
      <c r="D490" s="16" t="str">
        <f>IFERROR(IF(ISBLANK(C490),"",VLOOKUP(C490,Members!$A$2:$B$101,2,FALSE)),"")</f>
        <v/>
      </c>
      <c r="E490" s="8"/>
      <c r="F490" s="14" t="str">
        <f>IF(ISBLANK(E490),"",E490+Settings!$B$7)</f>
        <v/>
      </c>
      <c r="G490" s="8"/>
      <c r="H490" s="16" t="str">
        <f t="shared" ca="1" si="15"/>
        <v/>
      </c>
      <c r="I490" s="8"/>
    </row>
    <row r="491" spans="1:9" ht="15.75" x14ac:dyDescent="0.25">
      <c r="A491" s="14" t="str">
        <f t="shared" si="14"/>
        <v/>
      </c>
      <c r="B491" s="8"/>
      <c r="C491" s="8"/>
      <c r="D491" s="16" t="str">
        <f>IFERROR(IF(ISBLANK(C491),"",VLOOKUP(C491,Members!$A$2:$B$101,2,FALSE)),"")</f>
        <v/>
      </c>
      <c r="E491" s="8"/>
      <c r="F491" s="14" t="str">
        <f>IF(ISBLANK(E491),"",E491+Settings!$B$7)</f>
        <v/>
      </c>
      <c r="G491" s="8"/>
      <c r="H491" s="16" t="str">
        <f t="shared" ca="1" si="15"/>
        <v/>
      </c>
      <c r="I491" s="8"/>
    </row>
    <row r="492" spans="1:9" ht="15.75" x14ac:dyDescent="0.25">
      <c r="A492" s="14" t="str">
        <f t="shared" si="14"/>
        <v/>
      </c>
      <c r="B492" s="8"/>
      <c r="C492" s="8"/>
      <c r="D492" s="16" t="str">
        <f>IFERROR(IF(ISBLANK(C492),"",VLOOKUP(C492,Members!$A$2:$B$101,2,FALSE)),"")</f>
        <v/>
      </c>
      <c r="E492" s="8"/>
      <c r="F492" s="14" t="str">
        <f>IF(ISBLANK(E492),"",E492+Settings!$B$7)</f>
        <v/>
      </c>
      <c r="G492" s="8"/>
      <c r="H492" s="16" t="str">
        <f t="shared" ca="1" si="15"/>
        <v/>
      </c>
      <c r="I492" s="8"/>
    </row>
    <row r="493" spans="1:9" ht="15.75" x14ac:dyDescent="0.25">
      <c r="A493" s="14" t="str">
        <f t="shared" si="14"/>
        <v/>
      </c>
      <c r="B493" s="8"/>
      <c r="C493" s="8"/>
      <c r="D493" s="16" t="str">
        <f>IFERROR(IF(ISBLANK(C493),"",VLOOKUP(C493,Members!$A$2:$B$101,2,FALSE)),"")</f>
        <v/>
      </c>
      <c r="E493" s="8"/>
      <c r="F493" s="14" t="str">
        <f>IF(ISBLANK(E493),"",E493+Settings!$B$7)</f>
        <v/>
      </c>
      <c r="G493" s="8"/>
      <c r="H493" s="16" t="str">
        <f t="shared" ca="1" si="15"/>
        <v/>
      </c>
      <c r="I493" s="8"/>
    </row>
    <row r="494" spans="1:9" ht="15.75" x14ac:dyDescent="0.25">
      <c r="A494" s="14" t="str">
        <f t="shared" si="14"/>
        <v/>
      </c>
      <c r="B494" s="8"/>
      <c r="C494" s="8"/>
      <c r="D494" s="16" t="str">
        <f>IFERROR(IF(ISBLANK(C494),"",VLOOKUP(C494,Members!$A$2:$B$101,2,FALSE)),"")</f>
        <v/>
      </c>
      <c r="E494" s="8"/>
      <c r="F494" s="14" t="str">
        <f>IF(ISBLANK(E494),"",E494+Settings!$B$7)</f>
        <v/>
      </c>
      <c r="G494" s="8"/>
      <c r="H494" s="16" t="str">
        <f t="shared" ca="1" si="15"/>
        <v/>
      </c>
      <c r="I494" s="8"/>
    </row>
    <row r="495" spans="1:9" ht="15.75" x14ac:dyDescent="0.25">
      <c r="A495" s="14" t="str">
        <f t="shared" si="14"/>
        <v/>
      </c>
      <c r="B495" s="8"/>
      <c r="C495" s="8"/>
      <c r="D495" s="16" t="str">
        <f>IFERROR(IF(ISBLANK(C495),"",VLOOKUP(C495,Members!$A$2:$B$101,2,FALSE)),"")</f>
        <v/>
      </c>
      <c r="E495" s="8"/>
      <c r="F495" s="14" t="str">
        <f>IF(ISBLANK(E495),"",E495+Settings!$B$7)</f>
        <v/>
      </c>
      <c r="G495" s="8"/>
      <c r="H495" s="16" t="str">
        <f t="shared" ca="1" si="15"/>
        <v/>
      </c>
      <c r="I495" s="8"/>
    </row>
    <row r="496" spans="1:9" ht="15.75" x14ac:dyDescent="0.25">
      <c r="A496" s="14" t="str">
        <f t="shared" si="14"/>
        <v/>
      </c>
      <c r="B496" s="8"/>
      <c r="C496" s="8"/>
      <c r="D496" s="16" t="str">
        <f>IFERROR(IF(ISBLANK(C496),"",VLOOKUP(C496,Members!$A$2:$B$101,2,FALSE)),"")</f>
        <v/>
      </c>
      <c r="E496" s="8"/>
      <c r="F496" s="14" t="str">
        <f>IF(ISBLANK(E496),"",E496+Settings!$B$7)</f>
        <v/>
      </c>
      <c r="G496" s="8"/>
      <c r="H496" s="16" t="str">
        <f t="shared" ca="1" si="15"/>
        <v/>
      </c>
      <c r="I496" s="8"/>
    </row>
    <row r="497" spans="1:9" ht="15.75" x14ac:dyDescent="0.25">
      <c r="A497" s="14" t="str">
        <f t="shared" si="14"/>
        <v/>
      </c>
      <c r="B497" s="8"/>
      <c r="C497" s="8"/>
      <c r="D497" s="16" t="str">
        <f>IFERROR(IF(ISBLANK(C497),"",VLOOKUP(C497,Members!$A$2:$B$101,2,FALSE)),"")</f>
        <v/>
      </c>
      <c r="E497" s="8"/>
      <c r="F497" s="14" t="str">
        <f>IF(ISBLANK(E497),"",E497+Settings!$B$7)</f>
        <v/>
      </c>
      <c r="G497" s="8"/>
      <c r="H497" s="16" t="str">
        <f t="shared" ca="1" si="15"/>
        <v/>
      </c>
      <c r="I497" s="8"/>
    </row>
    <row r="498" spans="1:9" ht="15.75" x14ac:dyDescent="0.25">
      <c r="A498" s="14" t="str">
        <f t="shared" si="14"/>
        <v/>
      </c>
      <c r="B498" s="8"/>
      <c r="C498" s="8"/>
      <c r="D498" s="16" t="str">
        <f>IFERROR(IF(ISBLANK(C498),"",VLOOKUP(C498,Members!$A$2:$B$101,2,FALSE)),"")</f>
        <v/>
      </c>
      <c r="E498" s="8"/>
      <c r="F498" s="14" t="str">
        <f>IF(ISBLANK(E498),"",E498+Settings!$B$7)</f>
        <v/>
      </c>
      <c r="G498" s="8"/>
      <c r="H498" s="16" t="str">
        <f t="shared" ca="1" si="15"/>
        <v/>
      </c>
      <c r="I498" s="8"/>
    </row>
    <row r="499" spans="1:9" ht="15.75" x14ac:dyDescent="0.25">
      <c r="A499" s="14" t="str">
        <f t="shared" si="14"/>
        <v/>
      </c>
      <c r="B499" s="8"/>
      <c r="C499" s="8"/>
      <c r="D499" s="16" t="str">
        <f>IFERROR(IF(ISBLANK(C499),"",VLOOKUP(C499,Members!$A$2:$B$101,2,FALSE)),"")</f>
        <v/>
      </c>
      <c r="E499" s="8"/>
      <c r="F499" s="14" t="str">
        <f>IF(ISBLANK(E499),"",E499+Settings!$B$7)</f>
        <v/>
      </c>
      <c r="G499" s="8"/>
      <c r="H499" s="16" t="str">
        <f t="shared" ca="1" si="15"/>
        <v/>
      </c>
      <c r="I499" s="8"/>
    </row>
    <row r="500" spans="1:9" ht="15.75" x14ac:dyDescent="0.25">
      <c r="A500" s="14" t="str">
        <f t="shared" si="14"/>
        <v/>
      </c>
      <c r="B500" s="8"/>
      <c r="C500" s="8"/>
      <c r="D500" s="16" t="str">
        <f>IFERROR(IF(ISBLANK(C500),"",VLOOKUP(C500,Members!$A$2:$B$101,2,FALSE)),"")</f>
        <v/>
      </c>
      <c r="E500" s="8"/>
      <c r="F500" s="14" t="str">
        <f>IF(ISBLANK(E500),"",E500+Settings!$B$7)</f>
        <v/>
      </c>
      <c r="G500" s="8"/>
      <c r="H500" s="16" t="str">
        <f t="shared" ca="1" si="15"/>
        <v/>
      </c>
      <c r="I500" s="8"/>
    </row>
    <row r="501" spans="1:9" ht="15.75" x14ac:dyDescent="0.25">
      <c r="A501" s="14" t="str">
        <f t="shared" si="14"/>
        <v/>
      </c>
      <c r="B501" s="8"/>
      <c r="C501" s="8"/>
      <c r="D501" s="16" t="str">
        <f>IFERROR(IF(ISBLANK(C501),"",VLOOKUP(C501,Members!$A$2:$B$101,2,FALSE)),"")</f>
        <v/>
      </c>
      <c r="E501" s="8"/>
      <c r="F501" s="14" t="str">
        <f>IF(ISBLANK(E501),"",E501+Settings!$B$7)</f>
        <v/>
      </c>
      <c r="G501" s="8"/>
      <c r="H501" s="16" t="str">
        <f t="shared" ca="1" si="15"/>
        <v/>
      </c>
      <c r="I501" s="8"/>
    </row>
  </sheetData>
  <sheetProtection password="E720" sheet="1"/>
  <autoFilter ref="A1:I501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3" width="26" customWidth="1"/>
    <col min="4" max="4" width="18" customWidth="1"/>
    <col min="5" max="5" width="14" customWidth="1"/>
    <col min="6" max="6" width="12" customWidth="1"/>
    <col min="7" max="7" width="30" customWidth="1"/>
  </cols>
  <sheetData>
    <row r="1" spans="1:7" ht="30" customHeight="1" x14ac:dyDescent="0.25">
      <c r="A1" s="5" t="s">
        <v>559</v>
      </c>
      <c r="B1" s="5" t="s">
        <v>565</v>
      </c>
      <c r="C1" s="5" t="s">
        <v>566</v>
      </c>
      <c r="D1" s="5" t="s">
        <v>96</v>
      </c>
      <c r="E1" s="5" t="s">
        <v>567</v>
      </c>
      <c r="F1" s="5" t="s">
        <v>564</v>
      </c>
      <c r="G1" s="5" t="s">
        <v>384</v>
      </c>
    </row>
    <row r="2" spans="1:7" ht="15.75" x14ac:dyDescent="0.25">
      <c r="A2" s="8" t="s">
        <v>568</v>
      </c>
      <c r="B2" s="8" t="s">
        <v>569</v>
      </c>
      <c r="C2" s="8"/>
      <c r="D2" s="8" t="s">
        <v>118</v>
      </c>
      <c r="E2" s="8" t="s">
        <v>570</v>
      </c>
      <c r="F2" s="8" t="s">
        <v>123</v>
      </c>
      <c r="G2" s="8"/>
    </row>
    <row r="3" spans="1:7" ht="15.75" x14ac:dyDescent="0.25">
      <c r="A3" s="8"/>
      <c r="B3" s="8"/>
      <c r="C3" s="8"/>
      <c r="D3" s="8"/>
      <c r="E3" s="8"/>
      <c r="F3" s="8"/>
      <c r="G3" s="8"/>
    </row>
    <row r="4" spans="1:7" ht="15.75" x14ac:dyDescent="0.25">
      <c r="A4" s="8"/>
      <c r="B4" s="8"/>
      <c r="C4" s="8"/>
      <c r="D4" s="8"/>
      <c r="E4" s="8"/>
      <c r="F4" s="8"/>
      <c r="G4" s="8"/>
    </row>
    <row r="5" spans="1:7" ht="15.75" x14ac:dyDescent="0.25">
      <c r="A5" s="8"/>
      <c r="B5" s="8"/>
      <c r="C5" s="8"/>
      <c r="D5" s="8"/>
      <c r="E5" s="8"/>
      <c r="F5" s="8"/>
      <c r="G5" s="8"/>
    </row>
    <row r="6" spans="1:7" ht="15.75" x14ac:dyDescent="0.25">
      <c r="A6" s="8"/>
      <c r="B6" s="8"/>
      <c r="C6" s="8"/>
      <c r="D6" s="8"/>
      <c r="E6" s="8"/>
      <c r="F6" s="8"/>
      <c r="G6" s="8"/>
    </row>
    <row r="7" spans="1:7" ht="15.75" x14ac:dyDescent="0.25">
      <c r="A7" s="8"/>
      <c r="B7" s="8"/>
      <c r="C7" s="8"/>
      <c r="D7" s="8"/>
      <c r="E7" s="8"/>
      <c r="F7" s="8"/>
      <c r="G7" s="8"/>
    </row>
    <row r="8" spans="1:7" ht="15.75" x14ac:dyDescent="0.25">
      <c r="A8" s="8"/>
      <c r="B8" s="8"/>
      <c r="C8" s="8"/>
      <c r="D8" s="8"/>
      <c r="E8" s="8"/>
      <c r="F8" s="8"/>
      <c r="G8" s="8"/>
    </row>
    <row r="9" spans="1:7" ht="15.75" x14ac:dyDescent="0.25">
      <c r="A9" s="8"/>
      <c r="B9" s="8"/>
      <c r="C9" s="8"/>
      <c r="D9" s="8"/>
      <c r="E9" s="8"/>
      <c r="F9" s="8"/>
      <c r="G9" s="8"/>
    </row>
    <row r="10" spans="1:7" ht="15.75" x14ac:dyDescent="0.25">
      <c r="A10" s="8"/>
      <c r="B10" s="8"/>
      <c r="C10" s="8"/>
      <c r="D10" s="8"/>
      <c r="E10" s="8"/>
      <c r="F10" s="8"/>
      <c r="G10" s="8"/>
    </row>
    <row r="11" spans="1:7" ht="15.75" x14ac:dyDescent="0.25">
      <c r="A11" s="8"/>
      <c r="B11" s="8"/>
      <c r="C11" s="8"/>
      <c r="D11" s="8"/>
      <c r="E11" s="8"/>
      <c r="F11" s="8"/>
      <c r="G11" s="8"/>
    </row>
    <row r="12" spans="1:7" ht="15.75" x14ac:dyDescent="0.25">
      <c r="A12" s="8"/>
      <c r="B12" s="8"/>
      <c r="C12" s="8"/>
      <c r="D12" s="8"/>
      <c r="E12" s="8"/>
      <c r="F12" s="8"/>
      <c r="G12" s="8"/>
    </row>
    <row r="13" spans="1:7" ht="15.75" x14ac:dyDescent="0.25">
      <c r="A13" s="8"/>
      <c r="B13" s="8"/>
      <c r="C13" s="8"/>
      <c r="D13" s="8"/>
      <c r="E13" s="8"/>
      <c r="F13" s="8"/>
      <c r="G13" s="8"/>
    </row>
    <row r="14" spans="1:7" ht="15.75" x14ac:dyDescent="0.25">
      <c r="A14" s="8"/>
      <c r="B14" s="8"/>
      <c r="C14" s="8"/>
      <c r="D14" s="8"/>
      <c r="E14" s="8"/>
      <c r="F14" s="8"/>
      <c r="G14" s="8"/>
    </row>
    <row r="15" spans="1:7" ht="15.75" x14ac:dyDescent="0.25">
      <c r="A15" s="8"/>
      <c r="B15" s="8"/>
      <c r="C15" s="8"/>
      <c r="D15" s="8"/>
      <c r="E15" s="8"/>
      <c r="F15" s="8"/>
      <c r="G15" s="8"/>
    </row>
    <row r="16" spans="1:7" ht="15.75" x14ac:dyDescent="0.25">
      <c r="A16" s="8"/>
      <c r="B16" s="8"/>
      <c r="C16" s="8"/>
      <c r="D16" s="8"/>
      <c r="E16" s="8"/>
      <c r="F16" s="8"/>
      <c r="G16" s="8"/>
    </row>
    <row r="17" spans="1:7" ht="15.75" x14ac:dyDescent="0.25">
      <c r="A17" s="8"/>
      <c r="B17" s="8"/>
      <c r="C17" s="8"/>
      <c r="D17" s="8"/>
      <c r="E17" s="8"/>
      <c r="F17" s="8"/>
      <c r="G17" s="8"/>
    </row>
    <row r="18" spans="1:7" ht="15.75" x14ac:dyDescent="0.25">
      <c r="A18" s="8"/>
      <c r="B18" s="8"/>
      <c r="C18" s="8"/>
      <c r="D18" s="8"/>
      <c r="E18" s="8"/>
      <c r="F18" s="8"/>
      <c r="G18" s="8"/>
    </row>
    <row r="19" spans="1:7" ht="15.75" x14ac:dyDescent="0.25">
      <c r="A19" s="8"/>
      <c r="B19" s="8"/>
      <c r="C19" s="8"/>
      <c r="D19" s="8"/>
      <c r="E19" s="8"/>
      <c r="F19" s="8"/>
      <c r="G19" s="8"/>
    </row>
    <row r="20" spans="1:7" ht="15.75" x14ac:dyDescent="0.25">
      <c r="A20" s="8"/>
      <c r="B20" s="8"/>
      <c r="C20" s="8"/>
      <c r="D20" s="8"/>
      <c r="E20" s="8"/>
      <c r="F20" s="8"/>
      <c r="G20" s="8"/>
    </row>
    <row r="21" spans="1:7" ht="15.75" x14ac:dyDescent="0.25">
      <c r="A21" s="8"/>
      <c r="B21" s="8"/>
      <c r="C21" s="8"/>
      <c r="D21" s="8"/>
      <c r="E21" s="8"/>
      <c r="F21" s="8"/>
      <c r="G21" s="8"/>
    </row>
    <row r="22" spans="1:7" ht="15.75" x14ac:dyDescent="0.25">
      <c r="A22" s="8"/>
      <c r="B22" s="8"/>
      <c r="C22" s="8"/>
      <c r="D22" s="8"/>
      <c r="E22" s="8"/>
      <c r="F22" s="8"/>
      <c r="G22" s="8"/>
    </row>
    <row r="23" spans="1:7" ht="15.75" x14ac:dyDescent="0.25">
      <c r="A23" s="8"/>
      <c r="B23" s="8"/>
      <c r="C23" s="8"/>
      <c r="D23" s="8"/>
      <c r="E23" s="8"/>
      <c r="F23" s="8"/>
      <c r="G23" s="8"/>
    </row>
    <row r="24" spans="1:7" ht="15.75" x14ac:dyDescent="0.25">
      <c r="A24" s="8"/>
      <c r="B24" s="8"/>
      <c r="C24" s="8"/>
      <c r="D24" s="8"/>
      <c r="E24" s="8"/>
      <c r="F24" s="8"/>
      <c r="G24" s="8"/>
    </row>
    <row r="25" spans="1:7" ht="15.75" x14ac:dyDescent="0.25">
      <c r="A25" s="8"/>
      <c r="B25" s="8"/>
      <c r="C25" s="8"/>
      <c r="D25" s="8"/>
      <c r="E25" s="8"/>
      <c r="F25" s="8"/>
      <c r="G25" s="8"/>
    </row>
    <row r="26" spans="1:7" ht="15.75" x14ac:dyDescent="0.25">
      <c r="A26" s="8"/>
      <c r="B26" s="8"/>
      <c r="C26" s="8"/>
      <c r="D26" s="8"/>
      <c r="E26" s="8"/>
      <c r="F26" s="8"/>
      <c r="G26" s="8"/>
    </row>
    <row r="27" spans="1:7" ht="15.75" x14ac:dyDescent="0.25">
      <c r="A27" s="8"/>
      <c r="B27" s="8"/>
      <c r="C27" s="8"/>
      <c r="D27" s="8"/>
      <c r="E27" s="8"/>
      <c r="F27" s="8"/>
      <c r="G27" s="8"/>
    </row>
    <row r="28" spans="1:7" ht="15.75" x14ac:dyDescent="0.25">
      <c r="A28" s="8"/>
      <c r="B28" s="8"/>
      <c r="C28" s="8"/>
      <c r="D28" s="8"/>
      <c r="E28" s="8"/>
      <c r="F28" s="8"/>
      <c r="G28" s="8"/>
    </row>
    <row r="29" spans="1:7" ht="15.75" x14ac:dyDescent="0.25">
      <c r="A29" s="8"/>
      <c r="B29" s="8"/>
      <c r="C29" s="8"/>
      <c r="D29" s="8"/>
      <c r="E29" s="8"/>
      <c r="F29" s="8"/>
      <c r="G29" s="8"/>
    </row>
    <row r="30" spans="1:7" ht="15.75" x14ac:dyDescent="0.25">
      <c r="A30" s="8"/>
      <c r="B30" s="8"/>
      <c r="C30" s="8"/>
      <c r="D30" s="8"/>
      <c r="E30" s="8"/>
      <c r="F30" s="8"/>
      <c r="G30" s="8"/>
    </row>
    <row r="31" spans="1:7" ht="15.75" x14ac:dyDescent="0.25">
      <c r="A31" s="8"/>
      <c r="B31" s="8"/>
      <c r="C31" s="8"/>
      <c r="D31" s="8"/>
      <c r="E31" s="8"/>
      <c r="F31" s="8"/>
      <c r="G31" s="8"/>
    </row>
    <row r="32" spans="1:7" ht="15.75" x14ac:dyDescent="0.25">
      <c r="A32" s="8"/>
      <c r="B32" s="8"/>
      <c r="C32" s="8"/>
      <c r="D32" s="8"/>
      <c r="E32" s="8"/>
      <c r="F32" s="8"/>
      <c r="G32" s="8"/>
    </row>
    <row r="33" spans="1:7" ht="15.75" x14ac:dyDescent="0.25">
      <c r="A33" s="8"/>
      <c r="B33" s="8"/>
      <c r="C33" s="8"/>
      <c r="D33" s="8"/>
      <c r="E33" s="8"/>
      <c r="F33" s="8"/>
      <c r="G33" s="8"/>
    </row>
    <row r="34" spans="1:7" ht="15.75" x14ac:dyDescent="0.25">
      <c r="A34" s="8"/>
      <c r="B34" s="8"/>
      <c r="C34" s="8"/>
      <c r="D34" s="8"/>
      <c r="E34" s="8"/>
      <c r="F34" s="8"/>
      <c r="G34" s="8"/>
    </row>
    <row r="35" spans="1:7" ht="15.75" x14ac:dyDescent="0.25">
      <c r="A35" s="8"/>
      <c r="B35" s="8"/>
      <c r="C35" s="8"/>
      <c r="D35" s="8"/>
      <c r="E35" s="8"/>
      <c r="F35" s="8"/>
      <c r="G35" s="8"/>
    </row>
    <row r="36" spans="1:7" ht="15.75" x14ac:dyDescent="0.25">
      <c r="A36" s="8"/>
      <c r="B36" s="8"/>
      <c r="C36" s="8"/>
      <c r="D36" s="8"/>
      <c r="E36" s="8"/>
      <c r="F36" s="8"/>
      <c r="G36" s="8"/>
    </row>
    <row r="37" spans="1:7" ht="15.75" x14ac:dyDescent="0.25">
      <c r="A37" s="8"/>
      <c r="B37" s="8"/>
      <c r="C37" s="8"/>
      <c r="D37" s="8"/>
      <c r="E37" s="8"/>
      <c r="F37" s="8"/>
      <c r="G37" s="8"/>
    </row>
    <row r="38" spans="1:7" ht="15.75" x14ac:dyDescent="0.25">
      <c r="A38" s="8"/>
      <c r="B38" s="8"/>
      <c r="C38" s="8"/>
      <c r="D38" s="8"/>
      <c r="E38" s="8"/>
      <c r="F38" s="8"/>
      <c r="G38" s="8"/>
    </row>
    <row r="39" spans="1:7" ht="15.75" x14ac:dyDescent="0.25">
      <c r="A39" s="8"/>
      <c r="B39" s="8"/>
      <c r="C39" s="8"/>
      <c r="D39" s="8"/>
      <c r="E39" s="8"/>
      <c r="F39" s="8"/>
      <c r="G39" s="8"/>
    </row>
    <row r="40" spans="1:7" ht="15.75" x14ac:dyDescent="0.25">
      <c r="A40" s="8"/>
      <c r="B40" s="8"/>
      <c r="C40" s="8"/>
      <c r="D40" s="8"/>
      <c r="E40" s="8"/>
      <c r="F40" s="8"/>
      <c r="G40" s="8"/>
    </row>
    <row r="41" spans="1:7" ht="15.75" x14ac:dyDescent="0.25">
      <c r="A41" s="8"/>
      <c r="B41" s="8"/>
      <c r="C41" s="8"/>
      <c r="D41" s="8"/>
      <c r="E41" s="8"/>
      <c r="F41" s="8"/>
      <c r="G41" s="8"/>
    </row>
    <row r="42" spans="1:7" ht="15.75" x14ac:dyDescent="0.25">
      <c r="A42" s="8"/>
      <c r="B42" s="8"/>
      <c r="C42" s="8"/>
      <c r="D42" s="8"/>
      <c r="E42" s="8"/>
      <c r="F42" s="8"/>
      <c r="G42" s="8"/>
    </row>
    <row r="43" spans="1:7" ht="15.75" x14ac:dyDescent="0.25">
      <c r="A43" s="8"/>
      <c r="B43" s="8"/>
      <c r="C43" s="8"/>
      <c r="D43" s="8"/>
      <c r="E43" s="8"/>
      <c r="F43" s="8"/>
      <c r="G43" s="8"/>
    </row>
    <row r="44" spans="1:7" ht="15.75" x14ac:dyDescent="0.25">
      <c r="A44" s="8"/>
      <c r="B44" s="8"/>
      <c r="C44" s="8"/>
      <c r="D44" s="8"/>
      <c r="E44" s="8"/>
      <c r="F44" s="8"/>
      <c r="G44" s="8"/>
    </row>
    <row r="45" spans="1:7" ht="15.75" x14ac:dyDescent="0.25">
      <c r="A45" s="8"/>
      <c r="B45" s="8"/>
      <c r="C45" s="8"/>
      <c r="D45" s="8"/>
      <c r="E45" s="8"/>
      <c r="F45" s="8"/>
      <c r="G45" s="8"/>
    </row>
    <row r="46" spans="1:7" ht="15.75" x14ac:dyDescent="0.25">
      <c r="A46" s="8"/>
      <c r="B46" s="8"/>
      <c r="C46" s="8"/>
      <c r="D46" s="8"/>
      <c r="E46" s="8"/>
      <c r="F46" s="8"/>
      <c r="G46" s="8"/>
    </row>
    <row r="47" spans="1:7" ht="15.75" x14ac:dyDescent="0.25">
      <c r="A47" s="8"/>
      <c r="B47" s="8"/>
      <c r="C47" s="8"/>
      <c r="D47" s="8"/>
      <c r="E47" s="8"/>
      <c r="F47" s="8"/>
      <c r="G47" s="8"/>
    </row>
    <row r="48" spans="1:7" ht="15.75" x14ac:dyDescent="0.25">
      <c r="A48" s="8"/>
      <c r="B48" s="8"/>
      <c r="C48" s="8"/>
      <c r="D48" s="8"/>
      <c r="E48" s="8"/>
      <c r="F48" s="8"/>
      <c r="G48" s="8"/>
    </row>
    <row r="49" spans="1:7" ht="15.75" x14ac:dyDescent="0.25">
      <c r="A49" s="8"/>
      <c r="B49" s="8"/>
      <c r="C49" s="8"/>
      <c r="D49" s="8"/>
      <c r="E49" s="8"/>
      <c r="F49" s="8"/>
      <c r="G49" s="8"/>
    </row>
    <row r="50" spans="1:7" ht="15.75" x14ac:dyDescent="0.25">
      <c r="A50" s="8"/>
      <c r="B50" s="8"/>
      <c r="C50" s="8"/>
      <c r="D50" s="8"/>
      <c r="E50" s="8"/>
      <c r="F50" s="8"/>
      <c r="G50" s="8"/>
    </row>
    <row r="51" spans="1:7" ht="15.75" x14ac:dyDescent="0.25">
      <c r="A51" s="8"/>
      <c r="B51" s="8"/>
      <c r="C51" s="8"/>
      <c r="D51" s="8"/>
      <c r="E51" s="8"/>
      <c r="F51" s="8"/>
      <c r="G51" s="8"/>
    </row>
    <row r="52" spans="1:7" ht="15.75" x14ac:dyDescent="0.25">
      <c r="A52" s="8"/>
      <c r="B52" s="8"/>
      <c r="C52" s="8"/>
      <c r="D52" s="8"/>
      <c r="E52" s="8"/>
      <c r="F52" s="8"/>
      <c r="G52" s="8"/>
    </row>
    <row r="53" spans="1:7" ht="15.75" x14ac:dyDescent="0.25">
      <c r="A53" s="8"/>
      <c r="B53" s="8"/>
      <c r="C53" s="8"/>
      <c r="D53" s="8"/>
      <c r="E53" s="8"/>
      <c r="F53" s="8"/>
      <c r="G53" s="8"/>
    </row>
    <row r="54" spans="1:7" ht="15.75" x14ac:dyDescent="0.25">
      <c r="A54" s="8"/>
      <c r="B54" s="8"/>
      <c r="C54" s="8"/>
      <c r="D54" s="8"/>
      <c r="E54" s="8"/>
      <c r="F54" s="8"/>
      <c r="G54" s="8"/>
    </row>
    <row r="55" spans="1:7" ht="15.75" x14ac:dyDescent="0.25">
      <c r="A55" s="8"/>
      <c r="B55" s="8"/>
      <c r="C55" s="8"/>
      <c r="D55" s="8"/>
      <c r="E55" s="8"/>
      <c r="F55" s="8"/>
      <c r="G55" s="8"/>
    </row>
    <row r="56" spans="1:7" ht="15.75" x14ac:dyDescent="0.25">
      <c r="A56" s="8"/>
      <c r="B56" s="8"/>
      <c r="C56" s="8"/>
      <c r="D56" s="8"/>
      <c r="E56" s="8"/>
      <c r="F56" s="8"/>
      <c r="G56" s="8"/>
    </row>
    <row r="57" spans="1:7" ht="15.75" x14ac:dyDescent="0.25">
      <c r="A57" s="8"/>
      <c r="B57" s="8"/>
      <c r="C57" s="8"/>
      <c r="D57" s="8"/>
      <c r="E57" s="8"/>
      <c r="F57" s="8"/>
      <c r="G57" s="8"/>
    </row>
    <row r="58" spans="1:7" ht="15.75" x14ac:dyDescent="0.25">
      <c r="A58" s="8"/>
      <c r="B58" s="8"/>
      <c r="C58" s="8"/>
      <c r="D58" s="8"/>
      <c r="E58" s="8"/>
      <c r="F58" s="8"/>
      <c r="G58" s="8"/>
    </row>
    <row r="59" spans="1:7" ht="15.75" x14ac:dyDescent="0.25">
      <c r="A59" s="8"/>
      <c r="B59" s="8"/>
      <c r="C59" s="8"/>
      <c r="D59" s="8"/>
      <c r="E59" s="8"/>
      <c r="F59" s="8"/>
      <c r="G59" s="8"/>
    </row>
    <row r="60" spans="1:7" ht="15.75" x14ac:dyDescent="0.25">
      <c r="A60" s="8"/>
      <c r="B60" s="8"/>
      <c r="C60" s="8"/>
      <c r="D60" s="8"/>
      <c r="E60" s="8"/>
      <c r="F60" s="8"/>
      <c r="G60" s="8"/>
    </row>
    <row r="61" spans="1:7" ht="15.75" x14ac:dyDescent="0.25">
      <c r="A61" s="8"/>
      <c r="B61" s="8"/>
      <c r="C61" s="8"/>
      <c r="D61" s="8"/>
      <c r="E61" s="8"/>
      <c r="F61" s="8"/>
      <c r="G61" s="8"/>
    </row>
    <row r="62" spans="1:7" ht="15.75" x14ac:dyDescent="0.25">
      <c r="A62" s="8"/>
      <c r="B62" s="8"/>
      <c r="C62" s="8"/>
      <c r="D62" s="8"/>
      <c r="E62" s="8"/>
      <c r="F62" s="8"/>
      <c r="G62" s="8"/>
    </row>
    <row r="63" spans="1:7" ht="15.75" x14ac:dyDescent="0.25">
      <c r="A63" s="8"/>
      <c r="B63" s="8"/>
      <c r="C63" s="8"/>
      <c r="D63" s="8"/>
      <c r="E63" s="8"/>
      <c r="F63" s="8"/>
      <c r="G63" s="8"/>
    </row>
    <row r="64" spans="1:7" ht="15.75" x14ac:dyDescent="0.25">
      <c r="A64" s="8"/>
      <c r="B64" s="8"/>
      <c r="C64" s="8"/>
      <c r="D64" s="8"/>
      <c r="E64" s="8"/>
      <c r="F64" s="8"/>
      <c r="G64" s="8"/>
    </row>
    <row r="65" spans="1:7" ht="15.75" x14ac:dyDescent="0.25">
      <c r="A65" s="8"/>
      <c r="B65" s="8"/>
      <c r="C65" s="8"/>
      <c r="D65" s="8"/>
      <c r="E65" s="8"/>
      <c r="F65" s="8"/>
      <c r="G65" s="8"/>
    </row>
    <row r="66" spans="1:7" ht="15.75" x14ac:dyDescent="0.25">
      <c r="A66" s="8"/>
      <c r="B66" s="8"/>
      <c r="C66" s="8"/>
      <c r="D66" s="8"/>
      <c r="E66" s="8"/>
      <c r="F66" s="8"/>
      <c r="G66" s="8"/>
    </row>
    <row r="67" spans="1:7" ht="15.75" x14ac:dyDescent="0.25">
      <c r="A67" s="8"/>
      <c r="B67" s="8"/>
      <c r="C67" s="8"/>
      <c r="D67" s="8"/>
      <c r="E67" s="8"/>
      <c r="F67" s="8"/>
      <c r="G67" s="8"/>
    </row>
    <row r="68" spans="1:7" ht="15.75" x14ac:dyDescent="0.25">
      <c r="A68" s="8"/>
      <c r="B68" s="8"/>
      <c r="C68" s="8"/>
      <c r="D68" s="8"/>
      <c r="E68" s="8"/>
      <c r="F68" s="8"/>
      <c r="G68" s="8"/>
    </row>
    <row r="69" spans="1:7" ht="15.75" x14ac:dyDescent="0.25">
      <c r="A69" s="8"/>
      <c r="B69" s="8"/>
      <c r="C69" s="8"/>
      <c r="D69" s="8"/>
      <c r="E69" s="8"/>
      <c r="F69" s="8"/>
      <c r="G69" s="8"/>
    </row>
    <row r="70" spans="1:7" ht="15.75" x14ac:dyDescent="0.25">
      <c r="A70" s="8"/>
      <c r="B70" s="8"/>
      <c r="C70" s="8"/>
      <c r="D70" s="8"/>
      <c r="E70" s="8"/>
      <c r="F70" s="8"/>
      <c r="G70" s="8"/>
    </row>
    <row r="71" spans="1:7" ht="15.75" x14ac:dyDescent="0.25">
      <c r="A71" s="8"/>
      <c r="B71" s="8"/>
      <c r="C71" s="8"/>
      <c r="D71" s="8"/>
      <c r="E71" s="8"/>
      <c r="F71" s="8"/>
      <c r="G71" s="8"/>
    </row>
    <row r="72" spans="1:7" ht="15.75" x14ac:dyDescent="0.25">
      <c r="A72" s="8"/>
      <c r="B72" s="8"/>
      <c r="C72" s="8"/>
      <c r="D72" s="8"/>
      <c r="E72" s="8"/>
      <c r="F72" s="8"/>
      <c r="G72" s="8"/>
    </row>
    <row r="73" spans="1:7" ht="15.75" x14ac:dyDescent="0.25">
      <c r="A73" s="8"/>
      <c r="B73" s="8"/>
      <c r="C73" s="8"/>
      <c r="D73" s="8"/>
      <c r="E73" s="8"/>
      <c r="F73" s="8"/>
      <c r="G73" s="8"/>
    </row>
    <row r="74" spans="1:7" ht="15.75" x14ac:dyDescent="0.25">
      <c r="A74" s="8"/>
      <c r="B74" s="8"/>
      <c r="C74" s="8"/>
      <c r="D74" s="8"/>
      <c r="E74" s="8"/>
      <c r="F74" s="8"/>
      <c r="G74" s="8"/>
    </row>
    <row r="75" spans="1:7" ht="15.75" x14ac:dyDescent="0.25">
      <c r="A75" s="8"/>
      <c r="B75" s="8"/>
      <c r="C75" s="8"/>
      <c r="D75" s="8"/>
      <c r="E75" s="8"/>
      <c r="F75" s="8"/>
      <c r="G75" s="8"/>
    </row>
    <row r="76" spans="1:7" ht="15.75" x14ac:dyDescent="0.25">
      <c r="A76" s="8"/>
      <c r="B76" s="8"/>
      <c r="C76" s="8"/>
      <c r="D76" s="8"/>
      <c r="E76" s="8"/>
      <c r="F76" s="8"/>
      <c r="G76" s="8"/>
    </row>
    <row r="77" spans="1:7" ht="15.75" x14ac:dyDescent="0.25">
      <c r="A77" s="8"/>
      <c r="B77" s="8"/>
      <c r="C77" s="8"/>
      <c r="D77" s="8"/>
      <c r="E77" s="8"/>
      <c r="F77" s="8"/>
      <c r="G77" s="8"/>
    </row>
    <row r="78" spans="1:7" ht="15.75" x14ac:dyDescent="0.25">
      <c r="A78" s="8"/>
      <c r="B78" s="8"/>
      <c r="C78" s="8"/>
      <c r="D78" s="8"/>
      <c r="E78" s="8"/>
      <c r="F78" s="8"/>
      <c r="G78" s="8"/>
    </row>
    <row r="79" spans="1:7" ht="15.75" x14ac:dyDescent="0.25">
      <c r="A79" s="8"/>
      <c r="B79" s="8"/>
      <c r="C79" s="8"/>
      <c r="D79" s="8"/>
      <c r="E79" s="8"/>
      <c r="F79" s="8"/>
      <c r="G79" s="8"/>
    </row>
    <row r="80" spans="1:7" ht="15.75" x14ac:dyDescent="0.25">
      <c r="A80" s="8"/>
      <c r="B80" s="8"/>
      <c r="C80" s="8"/>
      <c r="D80" s="8"/>
      <c r="E80" s="8"/>
      <c r="F80" s="8"/>
      <c r="G80" s="8"/>
    </row>
    <row r="81" spans="1:7" ht="15.75" x14ac:dyDescent="0.25">
      <c r="A81" s="8"/>
      <c r="B81" s="8"/>
      <c r="C81" s="8"/>
      <c r="D81" s="8"/>
      <c r="E81" s="8"/>
      <c r="F81" s="8"/>
      <c r="G81" s="8"/>
    </row>
    <row r="82" spans="1:7" ht="15.75" x14ac:dyDescent="0.25">
      <c r="A82" s="8"/>
      <c r="B82" s="8"/>
      <c r="C82" s="8"/>
      <c r="D82" s="8"/>
      <c r="E82" s="8"/>
      <c r="F82" s="8"/>
      <c r="G82" s="8"/>
    </row>
    <row r="83" spans="1:7" ht="15.75" x14ac:dyDescent="0.25">
      <c r="A83" s="8"/>
      <c r="B83" s="8"/>
      <c r="C83" s="8"/>
      <c r="D83" s="8"/>
      <c r="E83" s="8"/>
      <c r="F83" s="8"/>
      <c r="G83" s="8"/>
    </row>
    <row r="84" spans="1:7" ht="15.75" x14ac:dyDescent="0.25">
      <c r="A84" s="8"/>
      <c r="B84" s="8"/>
      <c r="C84" s="8"/>
      <c r="D84" s="8"/>
      <c r="E84" s="8"/>
      <c r="F84" s="8"/>
      <c r="G84" s="8"/>
    </row>
    <row r="85" spans="1:7" ht="15.75" x14ac:dyDescent="0.25">
      <c r="A85" s="8"/>
      <c r="B85" s="8"/>
      <c r="C85" s="8"/>
      <c r="D85" s="8"/>
      <c r="E85" s="8"/>
      <c r="F85" s="8"/>
      <c r="G85" s="8"/>
    </row>
    <row r="86" spans="1:7" ht="15.75" x14ac:dyDescent="0.25">
      <c r="A86" s="8"/>
      <c r="B86" s="8"/>
      <c r="C86" s="8"/>
      <c r="D86" s="8"/>
      <c r="E86" s="8"/>
      <c r="F86" s="8"/>
      <c r="G86" s="8"/>
    </row>
    <row r="87" spans="1:7" ht="15.75" x14ac:dyDescent="0.25">
      <c r="A87" s="8"/>
      <c r="B87" s="8"/>
      <c r="C87" s="8"/>
      <c r="D87" s="8"/>
      <c r="E87" s="8"/>
      <c r="F87" s="8"/>
      <c r="G87" s="8"/>
    </row>
    <row r="88" spans="1:7" ht="15.75" x14ac:dyDescent="0.25">
      <c r="A88" s="8"/>
      <c r="B88" s="8"/>
      <c r="C88" s="8"/>
      <c r="D88" s="8"/>
      <c r="E88" s="8"/>
      <c r="F88" s="8"/>
      <c r="G88" s="8"/>
    </row>
    <row r="89" spans="1:7" ht="15.75" x14ac:dyDescent="0.25">
      <c r="A89" s="8"/>
      <c r="B89" s="8"/>
      <c r="C89" s="8"/>
      <c r="D89" s="8"/>
      <c r="E89" s="8"/>
      <c r="F89" s="8"/>
      <c r="G89" s="8"/>
    </row>
    <row r="90" spans="1:7" ht="15.75" x14ac:dyDescent="0.25">
      <c r="A90" s="8"/>
      <c r="B90" s="8"/>
      <c r="C90" s="8"/>
      <c r="D90" s="8"/>
      <c r="E90" s="8"/>
      <c r="F90" s="8"/>
      <c r="G90" s="8"/>
    </row>
    <row r="91" spans="1:7" ht="15.75" x14ac:dyDescent="0.25">
      <c r="A91" s="8"/>
      <c r="B91" s="8"/>
      <c r="C91" s="8"/>
      <c r="D91" s="8"/>
      <c r="E91" s="8"/>
      <c r="F91" s="8"/>
      <c r="G91" s="8"/>
    </row>
    <row r="92" spans="1:7" ht="15.75" x14ac:dyDescent="0.25">
      <c r="A92" s="8"/>
      <c r="B92" s="8"/>
      <c r="C92" s="8"/>
      <c r="D92" s="8"/>
      <c r="E92" s="8"/>
      <c r="F92" s="8"/>
      <c r="G92" s="8"/>
    </row>
    <row r="93" spans="1:7" ht="15.75" x14ac:dyDescent="0.25">
      <c r="A93" s="8"/>
      <c r="B93" s="8"/>
      <c r="C93" s="8"/>
      <c r="D93" s="8"/>
      <c r="E93" s="8"/>
      <c r="F93" s="8"/>
      <c r="G93" s="8"/>
    </row>
    <row r="94" spans="1:7" ht="15.75" x14ac:dyDescent="0.25">
      <c r="A94" s="8"/>
      <c r="B94" s="8"/>
      <c r="C94" s="8"/>
      <c r="D94" s="8"/>
      <c r="E94" s="8"/>
      <c r="F94" s="8"/>
      <c r="G94" s="8"/>
    </row>
    <row r="95" spans="1:7" ht="15.75" x14ac:dyDescent="0.25">
      <c r="A95" s="8"/>
      <c r="B95" s="8"/>
      <c r="C95" s="8"/>
      <c r="D95" s="8"/>
      <c r="E95" s="8"/>
      <c r="F95" s="8"/>
      <c r="G95" s="8"/>
    </row>
    <row r="96" spans="1:7" ht="15.75" x14ac:dyDescent="0.25">
      <c r="A96" s="8"/>
      <c r="B96" s="8"/>
      <c r="C96" s="8"/>
      <c r="D96" s="8"/>
      <c r="E96" s="8"/>
      <c r="F96" s="8"/>
      <c r="G96" s="8"/>
    </row>
    <row r="97" spans="1:7" ht="15.75" x14ac:dyDescent="0.25">
      <c r="A97" s="8"/>
      <c r="B97" s="8"/>
      <c r="C97" s="8"/>
      <c r="D97" s="8"/>
      <c r="E97" s="8"/>
      <c r="F97" s="8"/>
      <c r="G97" s="8"/>
    </row>
    <row r="98" spans="1:7" ht="15.75" x14ac:dyDescent="0.25">
      <c r="A98" s="8"/>
      <c r="B98" s="8"/>
      <c r="C98" s="8"/>
      <c r="D98" s="8"/>
      <c r="E98" s="8"/>
      <c r="F98" s="8"/>
      <c r="G98" s="8"/>
    </row>
    <row r="99" spans="1:7" ht="15.75" x14ac:dyDescent="0.25">
      <c r="A99" s="8"/>
      <c r="B99" s="8"/>
      <c r="C99" s="8"/>
      <c r="D99" s="8"/>
      <c r="E99" s="8"/>
      <c r="F99" s="8"/>
      <c r="G99" s="8"/>
    </row>
    <row r="100" spans="1:7" ht="15.75" x14ac:dyDescent="0.25">
      <c r="A100" s="8"/>
      <c r="B100" s="8"/>
      <c r="C100" s="8"/>
      <c r="D100" s="8"/>
      <c r="E100" s="8"/>
      <c r="F100" s="8"/>
      <c r="G100" s="8"/>
    </row>
    <row r="101" spans="1:7" ht="15.75" x14ac:dyDescent="0.25">
      <c r="A101" s="8"/>
      <c r="B101" s="8"/>
      <c r="C101" s="8"/>
      <c r="D101" s="8"/>
      <c r="E101" s="8"/>
      <c r="F101" s="8"/>
      <c r="G101" s="8"/>
    </row>
  </sheetData>
  <sheetProtection password="E720" sheet="1"/>
  <dataValidations count="2">
    <dataValidation type="list" allowBlank="1" sqref="D2:D101" xr:uid="{00000000-0002-0000-0700-000000000000}">
      <formula1>MembershipList</formula1>
    </dataValidation>
    <dataValidation type="list" allowBlank="1" sqref="F2:F101" xr:uid="{00000000-0002-0000-0700-000001000000}">
      <formula1>MemberStatusList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50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28" customWidth="1"/>
    <col min="3" max="3" width="34" customWidth="1"/>
    <col min="4" max="4" width="12" customWidth="1"/>
    <col min="5" max="5" width="24" customWidth="1"/>
    <col min="6" max="6" width="20" customWidth="1"/>
    <col min="7" max="7" width="18" customWidth="1"/>
  </cols>
  <sheetData>
    <row r="1" spans="1:7" ht="30" customHeight="1" x14ac:dyDescent="0.25">
      <c r="A1" s="5" t="s">
        <v>358</v>
      </c>
      <c r="B1" s="5" t="s">
        <v>360</v>
      </c>
      <c r="C1" s="5" t="s">
        <v>361</v>
      </c>
      <c r="D1" s="5" t="s">
        <v>571</v>
      </c>
      <c r="E1" s="5" t="s">
        <v>363</v>
      </c>
      <c r="F1" s="5" t="s">
        <v>572</v>
      </c>
      <c r="G1" s="5" t="s">
        <v>573</v>
      </c>
    </row>
    <row r="2" spans="1:7" ht="15.75" x14ac:dyDescent="0.25">
      <c r="A2" s="14">
        <f>Catalog!A2</f>
        <v>1</v>
      </c>
      <c r="B2" s="14" t="str">
        <f>Catalog!C2</f>
        <v>BK-LIT-COL-TAG-001-Vol1</v>
      </c>
      <c r="C2" s="16" t="str">
        <f>Catalog!D2</f>
        <v>Rabindra Rachanabali</v>
      </c>
      <c r="D2" s="16" t="str">
        <f>Catalog!O2</f>
        <v>Vol 1</v>
      </c>
      <c r="E2" s="16" t="str">
        <f>Catalog!F2</f>
        <v>Rabindranath Tagore</v>
      </c>
      <c r="F2" s="16" t="str">
        <f>IF(Catalog!X2="","",Catalog!X2&amp;" "&amp;Catalog!Y2)</f>
        <v>Shelf A2</v>
      </c>
      <c r="G2" s="8"/>
    </row>
    <row r="3" spans="1:7" ht="15.75" x14ac:dyDescent="0.25">
      <c r="A3" s="14">
        <f>Catalog!A3</f>
        <v>2</v>
      </c>
      <c r="B3" s="14" t="str">
        <f>Catalog!C3</f>
        <v>BK-LIT-COL-TAG-002-Vol2</v>
      </c>
      <c r="C3" s="16" t="str">
        <f>Catalog!D3</f>
        <v>Rabindra Rachanabali</v>
      </c>
      <c r="D3" s="16" t="str">
        <f>Catalog!O3</f>
        <v>Vol 2</v>
      </c>
      <c r="E3" s="16" t="str">
        <f>Catalog!F3</f>
        <v>Rabindranath Tagore</v>
      </c>
      <c r="F3" s="16" t="str">
        <f>IF(Catalog!X3="","",Catalog!X3&amp;" "&amp;Catalog!Y3)</f>
        <v>Shelf A2</v>
      </c>
      <c r="G3" s="8"/>
    </row>
    <row r="4" spans="1:7" ht="15.75" x14ac:dyDescent="0.25">
      <c r="A4" s="14">
        <f>Catalog!A4</f>
        <v>3</v>
      </c>
      <c r="B4" s="14" t="str">
        <f>Catalog!C4</f>
        <v>BK-LIT-COL-TAG-003-Vol3</v>
      </c>
      <c r="C4" s="16" t="str">
        <f>Catalog!D4</f>
        <v>Rabindra Rachanabali</v>
      </c>
      <c r="D4" s="16" t="str">
        <f>Catalog!O4</f>
        <v>Vol 3</v>
      </c>
      <c r="E4" s="16" t="str">
        <f>Catalog!F4</f>
        <v>Rabindranath Tagore</v>
      </c>
      <c r="F4" s="16" t="str">
        <f>IF(Catalog!X4="","",Catalog!X4&amp;" "&amp;Catalog!Y4)</f>
        <v>Shelf A2</v>
      </c>
      <c r="G4" s="8"/>
    </row>
    <row r="5" spans="1:7" ht="15.75" x14ac:dyDescent="0.25">
      <c r="A5" s="14">
        <f>Catalog!A5</f>
        <v>4</v>
      </c>
      <c r="B5" s="14" t="str">
        <f>Catalog!C5</f>
        <v>BK-LIT-COL-TAG-004-Vol4</v>
      </c>
      <c r="C5" s="16" t="str">
        <f>Catalog!D5</f>
        <v>Rabindra Rachanabali</v>
      </c>
      <c r="D5" s="16" t="str">
        <f>Catalog!O5</f>
        <v>Vol 4</v>
      </c>
      <c r="E5" s="16" t="str">
        <f>Catalog!F5</f>
        <v>Rabindranath Tagore</v>
      </c>
      <c r="F5" s="16" t="str">
        <f>IF(Catalog!X5="","",Catalog!X5&amp;" "&amp;Catalog!Y5)</f>
        <v>Shelf A2</v>
      </c>
      <c r="G5" s="8"/>
    </row>
    <row r="6" spans="1:7" ht="15.75" x14ac:dyDescent="0.25">
      <c r="A6" s="14">
        <f>Catalog!A6</f>
        <v>5</v>
      </c>
      <c r="B6" s="14" t="str">
        <f>Catalog!C6</f>
        <v>BK-LIT-COL-TAG-005-Vol5</v>
      </c>
      <c r="C6" s="16" t="str">
        <f>Catalog!D6</f>
        <v>Rabindra Rachanabali</v>
      </c>
      <c r="D6" s="16" t="str">
        <f>Catalog!O6</f>
        <v>Vol 5</v>
      </c>
      <c r="E6" s="16" t="str">
        <f>Catalog!F6</f>
        <v>Rabindranath Tagore</v>
      </c>
      <c r="F6" s="16" t="str">
        <f>IF(Catalog!X6="","",Catalog!X6&amp;" "&amp;Catalog!Y6)</f>
        <v>Shelf A2</v>
      </c>
      <c r="G6" s="8"/>
    </row>
    <row r="7" spans="1:7" ht="15.75" x14ac:dyDescent="0.25">
      <c r="A7" s="14">
        <f>Catalog!A7</f>
        <v>6</v>
      </c>
      <c r="B7" s="14" t="str">
        <f>Catalog!C7</f>
        <v>BK-LIT-COL-TAG-006-Vol6</v>
      </c>
      <c r="C7" s="16" t="str">
        <f>Catalog!D7</f>
        <v>Rabindra Rachanabali</v>
      </c>
      <c r="D7" s="16" t="str">
        <f>Catalog!O7</f>
        <v>Vol 6</v>
      </c>
      <c r="E7" s="16" t="str">
        <f>Catalog!F7</f>
        <v>Rabindranath Tagore</v>
      </c>
      <c r="F7" s="16" t="str">
        <f>IF(Catalog!X7="","",Catalog!X7&amp;" "&amp;Catalog!Y7)</f>
        <v>Shelf A2</v>
      </c>
      <c r="G7" s="8"/>
    </row>
    <row r="8" spans="1:7" ht="15.75" x14ac:dyDescent="0.25">
      <c r="A8" s="14">
        <f>Catalog!A8</f>
        <v>7</v>
      </c>
      <c r="B8" s="14" t="str">
        <f>Catalog!C8</f>
        <v>BK-LIT-COL-TAG-007-Vol7</v>
      </c>
      <c r="C8" s="16" t="str">
        <f>Catalog!D8</f>
        <v>Rabindra Rachanabali</v>
      </c>
      <c r="D8" s="16" t="str">
        <f>Catalog!O8</f>
        <v>Vol 7</v>
      </c>
      <c r="E8" s="16" t="str">
        <f>Catalog!F8</f>
        <v>Rabindranath Tagore</v>
      </c>
      <c r="F8" s="16" t="str">
        <f>IF(Catalog!X8="","",Catalog!X8&amp;" "&amp;Catalog!Y8)</f>
        <v>Shelf A2</v>
      </c>
      <c r="G8" s="8"/>
    </row>
    <row r="9" spans="1:7" ht="15.75" x14ac:dyDescent="0.25">
      <c r="A9" s="14">
        <f>Catalog!A9</f>
        <v>8</v>
      </c>
      <c r="B9" s="14" t="str">
        <f>Catalog!C9</f>
        <v>BK-LIT-COL-TAG-008-Vol8</v>
      </c>
      <c r="C9" s="16" t="str">
        <f>Catalog!D9</f>
        <v>Rabindra Rachanabali</v>
      </c>
      <c r="D9" s="16" t="str">
        <f>Catalog!O9</f>
        <v>Vol 8</v>
      </c>
      <c r="E9" s="16" t="str">
        <f>Catalog!F9</f>
        <v>Rabindranath Tagore</v>
      </c>
      <c r="F9" s="16" t="str">
        <f>IF(Catalog!X9="","",Catalog!X9&amp;" "&amp;Catalog!Y9)</f>
        <v>Shelf A2</v>
      </c>
      <c r="G9" s="8"/>
    </row>
    <row r="10" spans="1:7" ht="15.75" x14ac:dyDescent="0.25">
      <c r="A10" s="14">
        <f>Catalog!A10</f>
        <v>9</v>
      </c>
      <c r="B10" s="14" t="str">
        <f>Catalog!C10</f>
        <v>BK-LIT-COL-TAG-009-Vol9</v>
      </c>
      <c r="C10" s="16" t="str">
        <f>Catalog!D10</f>
        <v>Rabindra Rachanabali</v>
      </c>
      <c r="D10" s="16" t="str">
        <f>Catalog!O10</f>
        <v>Vol 9</v>
      </c>
      <c r="E10" s="16" t="str">
        <f>Catalog!F10</f>
        <v>Rabindranath Tagore</v>
      </c>
      <c r="F10" s="16" t="str">
        <f>IF(Catalog!X10="","",Catalog!X10&amp;" "&amp;Catalog!Y10)</f>
        <v>Shelf A1</v>
      </c>
      <c r="G10" s="8"/>
    </row>
    <row r="11" spans="1:7" ht="15.75" x14ac:dyDescent="0.25">
      <c r="A11" s="14">
        <f>Catalog!A11</f>
        <v>10</v>
      </c>
      <c r="B11" s="14" t="str">
        <f>Catalog!C11</f>
        <v>BK-LIT-COL-TAG-010-Vol10</v>
      </c>
      <c r="C11" s="16" t="str">
        <f>Catalog!D11</f>
        <v>Rabindra Rachanabali</v>
      </c>
      <c r="D11" s="16" t="str">
        <f>Catalog!O11</f>
        <v>Vol 10</v>
      </c>
      <c r="E11" s="16" t="str">
        <f>Catalog!F11</f>
        <v>Rabindranath Tagore</v>
      </c>
      <c r="F11" s="16" t="str">
        <f>IF(Catalog!X11="","",Catalog!X11&amp;" "&amp;Catalog!Y11)</f>
        <v>Shelf A1</v>
      </c>
      <c r="G11" s="8"/>
    </row>
    <row r="12" spans="1:7" ht="15.75" x14ac:dyDescent="0.25">
      <c r="A12" s="14">
        <f>Catalog!A12</f>
        <v>11</v>
      </c>
      <c r="B12" s="14" t="str">
        <f>Catalog!C12</f>
        <v>BK-LIT-COL-TAG-011-Vol11</v>
      </c>
      <c r="C12" s="16" t="str">
        <f>Catalog!D12</f>
        <v>Rabindra Rachanabali</v>
      </c>
      <c r="D12" s="16" t="str">
        <f>Catalog!O12</f>
        <v>Vol 11</v>
      </c>
      <c r="E12" s="16" t="str">
        <f>Catalog!F12</f>
        <v>Rabindranath Tagore</v>
      </c>
      <c r="F12" s="16" t="str">
        <f>IF(Catalog!X12="","",Catalog!X12&amp;" "&amp;Catalog!Y12)</f>
        <v>Shelf A1</v>
      </c>
      <c r="G12" s="8"/>
    </row>
    <row r="13" spans="1:7" ht="15.75" x14ac:dyDescent="0.25">
      <c r="A13" s="14">
        <f>Catalog!A13</f>
        <v>12</v>
      </c>
      <c r="B13" s="14" t="str">
        <f>Catalog!C13</f>
        <v>BK-LIT-COL-TAG-012-Vol12</v>
      </c>
      <c r="C13" s="16" t="str">
        <f>Catalog!D13</f>
        <v>Rabindra Rachanabali</v>
      </c>
      <c r="D13" s="16" t="str">
        <f>Catalog!O13</f>
        <v>Vol 12</v>
      </c>
      <c r="E13" s="16" t="str">
        <f>Catalog!F13</f>
        <v>Rabindranath Tagore</v>
      </c>
      <c r="F13" s="16" t="str">
        <f>IF(Catalog!X13="","",Catalog!X13&amp;" "&amp;Catalog!Y13)</f>
        <v>Shelf A1</v>
      </c>
      <c r="G13" s="8"/>
    </row>
    <row r="14" spans="1:7" ht="15.75" x14ac:dyDescent="0.25">
      <c r="A14" s="14">
        <f>Catalog!A14</f>
        <v>13</v>
      </c>
      <c r="B14" s="14" t="str">
        <f>Catalog!C14</f>
        <v>BK-LIT-COL-TAG-013-Vol13</v>
      </c>
      <c r="C14" s="16" t="str">
        <f>Catalog!D14</f>
        <v>Rabindra Rachanabali</v>
      </c>
      <c r="D14" s="16" t="str">
        <f>Catalog!O14</f>
        <v>Vol 13</v>
      </c>
      <c r="E14" s="16" t="str">
        <f>Catalog!F14</f>
        <v>Rabindranath Tagore</v>
      </c>
      <c r="F14" s="16" t="str">
        <f>IF(Catalog!X14="","",Catalog!X14&amp;" "&amp;Catalog!Y14)</f>
        <v>Shelf A1</v>
      </c>
      <c r="G14" s="8"/>
    </row>
    <row r="15" spans="1:7" ht="15.75" x14ac:dyDescent="0.25">
      <c r="A15" s="14">
        <f>Catalog!A15</f>
        <v>14</v>
      </c>
      <c r="B15" s="14" t="str">
        <f>Catalog!C15</f>
        <v>BK-LIT-COL-TAG-014-Vol14</v>
      </c>
      <c r="C15" s="16" t="str">
        <f>Catalog!D15</f>
        <v>Rabindra Rachanabali</v>
      </c>
      <c r="D15" s="16" t="str">
        <f>Catalog!O15</f>
        <v>Vol 14</v>
      </c>
      <c r="E15" s="16" t="str">
        <f>Catalog!F15</f>
        <v>Rabindranath Tagore</v>
      </c>
      <c r="F15" s="16" t="str">
        <f>IF(Catalog!X15="","",Catalog!X15&amp;" "&amp;Catalog!Y15)</f>
        <v>Shelf A1</v>
      </c>
      <c r="G15" s="8"/>
    </row>
    <row r="16" spans="1:7" ht="15.75" x14ac:dyDescent="0.25">
      <c r="A16" s="14">
        <f>Catalog!A16</f>
        <v>15</v>
      </c>
      <c r="B16" s="14" t="str">
        <f>Catalog!C16</f>
        <v>BK-LIT-COL-TAG-015-Vol15</v>
      </c>
      <c r="C16" s="16" t="str">
        <f>Catalog!D16</f>
        <v>Rabindra Rachanabali</v>
      </c>
      <c r="D16" s="16" t="str">
        <f>Catalog!O16</f>
        <v>Vol 15</v>
      </c>
      <c r="E16" s="16" t="str">
        <f>Catalog!F16</f>
        <v>Rabindranath Tagore</v>
      </c>
      <c r="F16" s="16" t="str">
        <f>IF(Catalog!X16="","",Catalog!X16&amp;" "&amp;Catalog!Y16)</f>
        <v>Shelf A1</v>
      </c>
      <c r="G16" s="8"/>
    </row>
    <row r="17" spans="1:7" ht="15.75" x14ac:dyDescent="0.25">
      <c r="A17" s="14">
        <f>Catalog!A17</f>
        <v>16</v>
      </c>
      <c r="B17" s="14" t="str">
        <f>Catalog!C17</f>
        <v>BK-LIT-COL-TAG-016-Vol16</v>
      </c>
      <c r="C17" s="16" t="str">
        <f>Catalog!D17</f>
        <v>Rabindra Rachanabali</v>
      </c>
      <c r="D17" s="16" t="str">
        <f>Catalog!O17</f>
        <v>Vol 16</v>
      </c>
      <c r="E17" s="16" t="str">
        <f>Catalog!F17</f>
        <v>Rabindranath Tagore</v>
      </c>
      <c r="F17" s="16" t="str">
        <f>IF(Catalog!X17="","",Catalog!X17&amp;" "&amp;Catalog!Y17)</f>
        <v>Shelf A1</v>
      </c>
      <c r="G17" s="8"/>
    </row>
    <row r="18" spans="1:7" ht="15.75" x14ac:dyDescent="0.25">
      <c r="A18" s="14">
        <f>Catalog!A18</f>
        <v>17</v>
      </c>
      <c r="B18" s="14" t="str">
        <f>Catalog!C18</f>
        <v>BK-LIT-COL-TAG-017-Vol17</v>
      </c>
      <c r="C18" s="16" t="str">
        <f>Catalog!D18</f>
        <v>Rabindra Rachanabali</v>
      </c>
      <c r="D18" s="16" t="str">
        <f>Catalog!O18</f>
        <v>Vol 17</v>
      </c>
      <c r="E18" s="16" t="str">
        <f>Catalog!F18</f>
        <v>Rabindranath Tagore</v>
      </c>
      <c r="F18" s="16" t="str">
        <f>IF(Catalog!X18="","",Catalog!X18&amp;" "&amp;Catalog!Y18)</f>
        <v>Shelf A1</v>
      </c>
      <c r="G18" s="8"/>
    </row>
    <row r="19" spans="1:7" ht="15.75" x14ac:dyDescent="0.25">
      <c r="A19" s="14">
        <f>Catalog!A19</f>
        <v>18</v>
      </c>
      <c r="B19" s="14" t="str">
        <f>Catalog!C19</f>
        <v>BK-LIT-COL-TAG-018-Vol18</v>
      </c>
      <c r="C19" s="16" t="str">
        <f>Catalog!D19</f>
        <v>Rabindra Rachanabali</v>
      </c>
      <c r="D19" s="16" t="str">
        <f>Catalog!O19</f>
        <v>Vol 18</v>
      </c>
      <c r="E19" s="16" t="str">
        <f>Catalog!F19</f>
        <v>Rabindranath Tagore</v>
      </c>
      <c r="F19" s="16" t="str">
        <f>IF(Catalog!X19="","",Catalog!X19&amp;" "&amp;Catalog!Y19)</f>
        <v>Shelf A1</v>
      </c>
      <c r="G19" s="8"/>
    </row>
    <row r="20" spans="1:7" ht="15.75" x14ac:dyDescent="0.25">
      <c r="A20" s="14">
        <f>Catalog!A20</f>
        <v>19</v>
      </c>
      <c r="B20" s="14" t="str">
        <f>Catalog!C20</f>
        <v>BK-LIT-NOV-বন্-019-Vol1</v>
      </c>
      <c r="C20" s="16" t="str">
        <f>Catalog!D20</f>
        <v>নীলকণ্ঠ পাখির খোঁজে</v>
      </c>
      <c r="D20" s="16" t="str">
        <f>Catalog!O20</f>
        <v>Vol 1</v>
      </c>
      <c r="E20" s="16" t="str">
        <f>Catalog!F20</f>
        <v>অতীন বন্দ্যোপাধ্যায়</v>
      </c>
      <c r="F20" s="16" t="str">
        <f>IF(Catalog!X20="","",Catalog!X20&amp;" "&amp;Catalog!Y20)</f>
        <v>Shelf B1</v>
      </c>
      <c r="G20" s="8"/>
    </row>
    <row r="21" spans="1:7" ht="15.75" x14ac:dyDescent="0.25">
      <c r="A21" s="14">
        <f>Catalog!A21</f>
        <v>20</v>
      </c>
      <c r="B21" s="14" t="str">
        <f>Catalog!C21</f>
        <v>MG-LIT-OTH-NOC-020</v>
      </c>
      <c r="C21" s="16" t="str">
        <f>Catalog!D21</f>
        <v>Desh</v>
      </c>
      <c r="D21" s="16">
        <f>Catalog!O21</f>
        <v>0</v>
      </c>
      <c r="E21" s="16">
        <f>Catalog!F21</f>
        <v>0</v>
      </c>
      <c r="F21" s="16" t="str">
        <f>IF(Catalog!X21="","",Catalog!X21&amp;" "&amp;Catalog!Y21)</f>
        <v>Magazine Rack MR1</v>
      </c>
      <c r="G21" s="8"/>
    </row>
    <row r="22" spans="1:7" ht="15.75" x14ac:dyDescent="0.25">
      <c r="A22" s="14" t="str">
        <f>Catalog!A22</f>
        <v/>
      </c>
      <c r="B22" s="14" t="str">
        <f>Catalog!C22</f>
        <v/>
      </c>
      <c r="C22" s="16">
        <f>Catalog!D22</f>
        <v>0</v>
      </c>
      <c r="D22" s="16">
        <f>Catalog!O22</f>
        <v>0</v>
      </c>
      <c r="E22" s="16">
        <f>Catalog!F22</f>
        <v>0</v>
      </c>
      <c r="F22" s="16" t="str">
        <f>IF(Catalog!X22="","",Catalog!X22&amp;" "&amp;Catalog!Y22)</f>
        <v/>
      </c>
      <c r="G22" s="8"/>
    </row>
    <row r="23" spans="1:7" ht="15.75" x14ac:dyDescent="0.25">
      <c r="A23" s="14" t="str">
        <f>Catalog!A23</f>
        <v/>
      </c>
      <c r="B23" s="14" t="str">
        <f>Catalog!C23</f>
        <v/>
      </c>
      <c r="C23" s="16">
        <f>Catalog!D23</f>
        <v>0</v>
      </c>
      <c r="D23" s="16">
        <f>Catalog!O23</f>
        <v>0</v>
      </c>
      <c r="E23" s="16">
        <f>Catalog!F23</f>
        <v>0</v>
      </c>
      <c r="F23" s="16" t="str">
        <f>IF(Catalog!X23="","",Catalog!X23&amp;" "&amp;Catalog!Y23)</f>
        <v/>
      </c>
      <c r="G23" s="8"/>
    </row>
    <row r="24" spans="1:7" ht="15.75" x14ac:dyDescent="0.25">
      <c r="A24" s="14" t="str">
        <f>Catalog!A24</f>
        <v/>
      </c>
      <c r="B24" s="14" t="str">
        <f>Catalog!C24</f>
        <v/>
      </c>
      <c r="C24" s="16">
        <f>Catalog!D24</f>
        <v>0</v>
      </c>
      <c r="D24" s="16">
        <f>Catalog!O24</f>
        <v>0</v>
      </c>
      <c r="E24" s="16">
        <f>Catalog!F24</f>
        <v>0</v>
      </c>
      <c r="F24" s="16" t="str">
        <f>IF(Catalog!X24="","",Catalog!X24&amp;" "&amp;Catalog!Y24)</f>
        <v/>
      </c>
      <c r="G24" s="8"/>
    </row>
    <row r="25" spans="1:7" ht="15.75" x14ac:dyDescent="0.25">
      <c r="A25" s="14" t="str">
        <f>Catalog!A25</f>
        <v/>
      </c>
      <c r="B25" s="14" t="str">
        <f>Catalog!C25</f>
        <v/>
      </c>
      <c r="C25" s="16">
        <f>Catalog!D25</f>
        <v>0</v>
      </c>
      <c r="D25" s="16">
        <f>Catalog!O25</f>
        <v>0</v>
      </c>
      <c r="E25" s="16">
        <f>Catalog!F25</f>
        <v>0</v>
      </c>
      <c r="F25" s="16" t="str">
        <f>IF(Catalog!X25="","",Catalog!X25&amp;" "&amp;Catalog!Y25)</f>
        <v/>
      </c>
      <c r="G25" s="8"/>
    </row>
    <row r="26" spans="1:7" ht="15.75" x14ac:dyDescent="0.25">
      <c r="A26" s="14" t="str">
        <f>Catalog!A26</f>
        <v/>
      </c>
      <c r="B26" s="14" t="str">
        <f>Catalog!C26</f>
        <v/>
      </c>
      <c r="C26" s="16">
        <f>Catalog!D26</f>
        <v>0</v>
      </c>
      <c r="D26" s="16">
        <f>Catalog!O26</f>
        <v>0</v>
      </c>
      <c r="E26" s="16">
        <f>Catalog!F26</f>
        <v>0</v>
      </c>
      <c r="F26" s="16" t="str">
        <f>IF(Catalog!X26="","",Catalog!X26&amp;" "&amp;Catalog!Y26)</f>
        <v/>
      </c>
      <c r="G26" s="8"/>
    </row>
    <row r="27" spans="1:7" ht="15.75" x14ac:dyDescent="0.25">
      <c r="A27" s="14" t="str">
        <f>Catalog!A27</f>
        <v/>
      </c>
      <c r="B27" s="14" t="str">
        <f>Catalog!C27</f>
        <v/>
      </c>
      <c r="C27" s="16">
        <f>Catalog!D27</f>
        <v>0</v>
      </c>
      <c r="D27" s="16">
        <f>Catalog!O27</f>
        <v>0</v>
      </c>
      <c r="E27" s="16">
        <f>Catalog!F27</f>
        <v>0</v>
      </c>
      <c r="F27" s="16" t="str">
        <f>IF(Catalog!X27="","",Catalog!X27&amp;" "&amp;Catalog!Y27)</f>
        <v/>
      </c>
      <c r="G27" s="8"/>
    </row>
    <row r="28" spans="1:7" ht="15.75" x14ac:dyDescent="0.25">
      <c r="A28" s="14" t="str">
        <f>Catalog!A28</f>
        <v/>
      </c>
      <c r="B28" s="14" t="str">
        <f>Catalog!C28</f>
        <v/>
      </c>
      <c r="C28" s="16">
        <f>Catalog!D28</f>
        <v>0</v>
      </c>
      <c r="D28" s="16">
        <f>Catalog!O28</f>
        <v>0</v>
      </c>
      <c r="E28" s="16">
        <f>Catalog!F28</f>
        <v>0</v>
      </c>
      <c r="F28" s="16" t="str">
        <f>IF(Catalog!X28="","",Catalog!X28&amp;" "&amp;Catalog!Y28)</f>
        <v/>
      </c>
      <c r="G28" s="8"/>
    </row>
    <row r="29" spans="1:7" ht="15.75" x14ac:dyDescent="0.25">
      <c r="A29" s="14" t="str">
        <f>Catalog!A29</f>
        <v/>
      </c>
      <c r="B29" s="14" t="str">
        <f>Catalog!C29</f>
        <v/>
      </c>
      <c r="C29" s="16">
        <f>Catalog!D29</f>
        <v>0</v>
      </c>
      <c r="D29" s="16">
        <f>Catalog!O29</f>
        <v>0</v>
      </c>
      <c r="E29" s="16">
        <f>Catalog!F29</f>
        <v>0</v>
      </c>
      <c r="F29" s="16" t="str">
        <f>IF(Catalog!X29="","",Catalog!X29&amp;" "&amp;Catalog!Y29)</f>
        <v/>
      </c>
      <c r="G29" s="8"/>
    </row>
    <row r="30" spans="1:7" ht="15.75" x14ac:dyDescent="0.25">
      <c r="A30" s="14" t="str">
        <f>Catalog!A30</f>
        <v/>
      </c>
      <c r="B30" s="14" t="str">
        <f>Catalog!C30</f>
        <v/>
      </c>
      <c r="C30" s="16">
        <f>Catalog!D30</f>
        <v>0</v>
      </c>
      <c r="D30" s="16">
        <f>Catalog!O30</f>
        <v>0</v>
      </c>
      <c r="E30" s="16">
        <f>Catalog!F30</f>
        <v>0</v>
      </c>
      <c r="F30" s="16" t="str">
        <f>IF(Catalog!X30="","",Catalog!X30&amp;" "&amp;Catalog!Y30)</f>
        <v/>
      </c>
      <c r="G30" s="8"/>
    </row>
    <row r="31" spans="1:7" ht="15.75" x14ac:dyDescent="0.25">
      <c r="A31" s="14" t="str">
        <f>Catalog!A31</f>
        <v/>
      </c>
      <c r="B31" s="14" t="str">
        <f>Catalog!C31</f>
        <v/>
      </c>
      <c r="C31" s="16">
        <f>Catalog!D31</f>
        <v>0</v>
      </c>
      <c r="D31" s="16">
        <f>Catalog!O31</f>
        <v>0</v>
      </c>
      <c r="E31" s="16">
        <f>Catalog!F31</f>
        <v>0</v>
      </c>
      <c r="F31" s="16" t="str">
        <f>IF(Catalog!X31="","",Catalog!X31&amp;" "&amp;Catalog!Y31)</f>
        <v/>
      </c>
      <c r="G31" s="8"/>
    </row>
    <row r="32" spans="1:7" ht="15.75" x14ac:dyDescent="0.25">
      <c r="A32" s="14" t="str">
        <f>Catalog!A32</f>
        <v/>
      </c>
      <c r="B32" s="14" t="str">
        <f>Catalog!C32</f>
        <v/>
      </c>
      <c r="C32" s="16">
        <f>Catalog!D32</f>
        <v>0</v>
      </c>
      <c r="D32" s="16">
        <f>Catalog!O32</f>
        <v>0</v>
      </c>
      <c r="E32" s="16">
        <f>Catalog!F32</f>
        <v>0</v>
      </c>
      <c r="F32" s="16" t="str">
        <f>IF(Catalog!X32="","",Catalog!X32&amp;" "&amp;Catalog!Y32)</f>
        <v/>
      </c>
      <c r="G32" s="8"/>
    </row>
    <row r="33" spans="1:7" ht="15.75" x14ac:dyDescent="0.25">
      <c r="A33" s="14" t="str">
        <f>Catalog!A33</f>
        <v/>
      </c>
      <c r="B33" s="14" t="str">
        <f>Catalog!C33</f>
        <v/>
      </c>
      <c r="C33" s="16">
        <f>Catalog!D33</f>
        <v>0</v>
      </c>
      <c r="D33" s="16">
        <f>Catalog!O33</f>
        <v>0</v>
      </c>
      <c r="E33" s="16">
        <f>Catalog!F33</f>
        <v>0</v>
      </c>
      <c r="F33" s="16" t="str">
        <f>IF(Catalog!X33="","",Catalog!X33&amp;" "&amp;Catalog!Y33)</f>
        <v/>
      </c>
      <c r="G33" s="8"/>
    </row>
    <row r="34" spans="1:7" ht="15.75" x14ac:dyDescent="0.25">
      <c r="A34" s="14" t="str">
        <f>Catalog!A34</f>
        <v/>
      </c>
      <c r="B34" s="14" t="str">
        <f>Catalog!C34</f>
        <v/>
      </c>
      <c r="C34" s="16">
        <f>Catalog!D34</f>
        <v>0</v>
      </c>
      <c r="D34" s="16">
        <f>Catalog!O34</f>
        <v>0</v>
      </c>
      <c r="E34" s="16">
        <f>Catalog!F34</f>
        <v>0</v>
      </c>
      <c r="F34" s="16" t="str">
        <f>IF(Catalog!X34="","",Catalog!X34&amp;" "&amp;Catalog!Y34)</f>
        <v/>
      </c>
      <c r="G34" s="8"/>
    </row>
    <row r="35" spans="1:7" ht="15.75" x14ac:dyDescent="0.25">
      <c r="A35" s="14" t="str">
        <f>Catalog!A35</f>
        <v/>
      </c>
      <c r="B35" s="14" t="str">
        <f>Catalog!C35</f>
        <v/>
      </c>
      <c r="C35" s="16">
        <f>Catalog!D35</f>
        <v>0</v>
      </c>
      <c r="D35" s="16">
        <f>Catalog!O35</f>
        <v>0</v>
      </c>
      <c r="E35" s="16">
        <f>Catalog!F35</f>
        <v>0</v>
      </c>
      <c r="F35" s="16" t="str">
        <f>IF(Catalog!X35="","",Catalog!X35&amp;" "&amp;Catalog!Y35)</f>
        <v/>
      </c>
      <c r="G35" s="8"/>
    </row>
    <row r="36" spans="1:7" ht="15.75" x14ac:dyDescent="0.25">
      <c r="A36" s="14" t="str">
        <f>Catalog!A36</f>
        <v/>
      </c>
      <c r="B36" s="14" t="str">
        <f>Catalog!C36</f>
        <v/>
      </c>
      <c r="C36" s="16">
        <f>Catalog!D36</f>
        <v>0</v>
      </c>
      <c r="D36" s="16">
        <f>Catalog!O36</f>
        <v>0</v>
      </c>
      <c r="E36" s="16">
        <f>Catalog!F36</f>
        <v>0</v>
      </c>
      <c r="F36" s="16" t="str">
        <f>IF(Catalog!X36="","",Catalog!X36&amp;" "&amp;Catalog!Y36)</f>
        <v/>
      </c>
      <c r="G36" s="8"/>
    </row>
    <row r="37" spans="1:7" ht="15.75" x14ac:dyDescent="0.25">
      <c r="A37" s="14" t="str">
        <f>Catalog!A37</f>
        <v/>
      </c>
      <c r="B37" s="14" t="str">
        <f>Catalog!C37</f>
        <v/>
      </c>
      <c r="C37" s="16">
        <f>Catalog!D37</f>
        <v>0</v>
      </c>
      <c r="D37" s="16">
        <f>Catalog!O37</f>
        <v>0</v>
      </c>
      <c r="E37" s="16">
        <f>Catalog!F37</f>
        <v>0</v>
      </c>
      <c r="F37" s="16" t="str">
        <f>IF(Catalog!X37="","",Catalog!X37&amp;" "&amp;Catalog!Y37)</f>
        <v/>
      </c>
      <c r="G37" s="8"/>
    </row>
    <row r="38" spans="1:7" ht="15.75" x14ac:dyDescent="0.25">
      <c r="A38" s="14" t="str">
        <f>Catalog!A38</f>
        <v/>
      </c>
      <c r="B38" s="14" t="str">
        <f>Catalog!C38</f>
        <v/>
      </c>
      <c r="C38" s="16">
        <f>Catalog!D38</f>
        <v>0</v>
      </c>
      <c r="D38" s="16">
        <f>Catalog!O38</f>
        <v>0</v>
      </c>
      <c r="E38" s="16">
        <f>Catalog!F38</f>
        <v>0</v>
      </c>
      <c r="F38" s="16" t="str">
        <f>IF(Catalog!X38="","",Catalog!X38&amp;" "&amp;Catalog!Y38)</f>
        <v/>
      </c>
      <c r="G38" s="8"/>
    </row>
    <row r="39" spans="1:7" ht="15.75" x14ac:dyDescent="0.25">
      <c r="A39" s="14" t="str">
        <f>Catalog!A39</f>
        <v/>
      </c>
      <c r="B39" s="14" t="str">
        <f>Catalog!C39</f>
        <v/>
      </c>
      <c r="C39" s="16">
        <f>Catalog!D39</f>
        <v>0</v>
      </c>
      <c r="D39" s="16">
        <f>Catalog!O39</f>
        <v>0</v>
      </c>
      <c r="E39" s="16">
        <f>Catalog!F39</f>
        <v>0</v>
      </c>
      <c r="F39" s="16" t="str">
        <f>IF(Catalog!X39="","",Catalog!X39&amp;" "&amp;Catalog!Y39)</f>
        <v/>
      </c>
      <c r="G39" s="8"/>
    </row>
    <row r="40" spans="1:7" ht="15.75" x14ac:dyDescent="0.25">
      <c r="A40" s="14" t="str">
        <f>Catalog!A40</f>
        <v/>
      </c>
      <c r="B40" s="14" t="str">
        <f>Catalog!C40</f>
        <v/>
      </c>
      <c r="C40" s="16">
        <f>Catalog!D40</f>
        <v>0</v>
      </c>
      <c r="D40" s="16">
        <f>Catalog!O40</f>
        <v>0</v>
      </c>
      <c r="E40" s="16">
        <f>Catalog!F40</f>
        <v>0</v>
      </c>
      <c r="F40" s="16" t="str">
        <f>IF(Catalog!X40="","",Catalog!X40&amp;" "&amp;Catalog!Y40)</f>
        <v/>
      </c>
      <c r="G40" s="8"/>
    </row>
    <row r="41" spans="1:7" ht="15.75" x14ac:dyDescent="0.25">
      <c r="A41" s="14" t="str">
        <f>Catalog!A41</f>
        <v/>
      </c>
      <c r="B41" s="14" t="str">
        <f>Catalog!C41</f>
        <v/>
      </c>
      <c r="C41" s="16">
        <f>Catalog!D41</f>
        <v>0</v>
      </c>
      <c r="D41" s="16">
        <f>Catalog!O41</f>
        <v>0</v>
      </c>
      <c r="E41" s="16">
        <f>Catalog!F41</f>
        <v>0</v>
      </c>
      <c r="F41" s="16" t="str">
        <f>IF(Catalog!X41="","",Catalog!X41&amp;" "&amp;Catalog!Y41)</f>
        <v/>
      </c>
      <c r="G41" s="8"/>
    </row>
    <row r="42" spans="1:7" ht="15.75" x14ac:dyDescent="0.25">
      <c r="A42" s="14" t="str">
        <f>Catalog!A42</f>
        <v/>
      </c>
      <c r="B42" s="14" t="str">
        <f>Catalog!C42</f>
        <v/>
      </c>
      <c r="C42" s="16">
        <f>Catalog!D42</f>
        <v>0</v>
      </c>
      <c r="D42" s="16">
        <f>Catalog!O42</f>
        <v>0</v>
      </c>
      <c r="E42" s="16">
        <f>Catalog!F42</f>
        <v>0</v>
      </c>
      <c r="F42" s="16" t="str">
        <f>IF(Catalog!X42="","",Catalog!X42&amp;" "&amp;Catalog!Y42)</f>
        <v/>
      </c>
      <c r="G42" s="8"/>
    </row>
    <row r="43" spans="1:7" ht="15.75" x14ac:dyDescent="0.25">
      <c r="A43" s="14" t="str">
        <f>Catalog!A43</f>
        <v/>
      </c>
      <c r="B43" s="14" t="str">
        <f>Catalog!C43</f>
        <v/>
      </c>
      <c r="C43" s="16">
        <f>Catalog!D43</f>
        <v>0</v>
      </c>
      <c r="D43" s="16">
        <f>Catalog!O43</f>
        <v>0</v>
      </c>
      <c r="E43" s="16">
        <f>Catalog!F43</f>
        <v>0</v>
      </c>
      <c r="F43" s="16" t="str">
        <f>IF(Catalog!X43="","",Catalog!X43&amp;" "&amp;Catalog!Y43)</f>
        <v/>
      </c>
      <c r="G43" s="8"/>
    </row>
    <row r="44" spans="1:7" ht="15.75" x14ac:dyDescent="0.25">
      <c r="A44" s="14" t="str">
        <f>Catalog!A44</f>
        <v/>
      </c>
      <c r="B44" s="14" t="str">
        <f>Catalog!C44</f>
        <v/>
      </c>
      <c r="C44" s="16">
        <f>Catalog!D44</f>
        <v>0</v>
      </c>
      <c r="D44" s="16">
        <f>Catalog!O44</f>
        <v>0</v>
      </c>
      <c r="E44" s="16">
        <f>Catalog!F44</f>
        <v>0</v>
      </c>
      <c r="F44" s="16" t="str">
        <f>IF(Catalog!X44="","",Catalog!X44&amp;" "&amp;Catalog!Y44)</f>
        <v/>
      </c>
      <c r="G44" s="8"/>
    </row>
    <row r="45" spans="1:7" ht="15.75" x14ac:dyDescent="0.25">
      <c r="A45" s="14" t="str">
        <f>Catalog!A45</f>
        <v/>
      </c>
      <c r="B45" s="14" t="str">
        <f>Catalog!C45</f>
        <v/>
      </c>
      <c r="C45" s="16">
        <f>Catalog!D45</f>
        <v>0</v>
      </c>
      <c r="D45" s="16">
        <f>Catalog!O45</f>
        <v>0</v>
      </c>
      <c r="E45" s="16">
        <f>Catalog!F45</f>
        <v>0</v>
      </c>
      <c r="F45" s="16" t="str">
        <f>IF(Catalog!X45="","",Catalog!X45&amp;" "&amp;Catalog!Y45)</f>
        <v/>
      </c>
      <c r="G45" s="8"/>
    </row>
    <row r="46" spans="1:7" ht="15.75" x14ac:dyDescent="0.25">
      <c r="A46" s="14" t="str">
        <f>Catalog!A46</f>
        <v/>
      </c>
      <c r="B46" s="14" t="str">
        <f>Catalog!C46</f>
        <v/>
      </c>
      <c r="C46" s="16">
        <f>Catalog!D46</f>
        <v>0</v>
      </c>
      <c r="D46" s="16">
        <f>Catalog!O46</f>
        <v>0</v>
      </c>
      <c r="E46" s="16">
        <f>Catalog!F46</f>
        <v>0</v>
      </c>
      <c r="F46" s="16" t="str">
        <f>IF(Catalog!X46="","",Catalog!X46&amp;" "&amp;Catalog!Y46)</f>
        <v/>
      </c>
      <c r="G46" s="8"/>
    </row>
    <row r="47" spans="1:7" ht="15.75" x14ac:dyDescent="0.25">
      <c r="A47" s="14" t="str">
        <f>Catalog!A47</f>
        <v/>
      </c>
      <c r="B47" s="14" t="str">
        <f>Catalog!C47</f>
        <v/>
      </c>
      <c r="C47" s="16">
        <f>Catalog!D47</f>
        <v>0</v>
      </c>
      <c r="D47" s="16">
        <f>Catalog!O47</f>
        <v>0</v>
      </c>
      <c r="E47" s="16">
        <f>Catalog!F47</f>
        <v>0</v>
      </c>
      <c r="F47" s="16" t="str">
        <f>IF(Catalog!X47="","",Catalog!X47&amp;" "&amp;Catalog!Y47)</f>
        <v/>
      </c>
      <c r="G47" s="8"/>
    </row>
    <row r="48" spans="1:7" ht="15.75" x14ac:dyDescent="0.25">
      <c r="A48" s="14" t="str">
        <f>Catalog!A48</f>
        <v/>
      </c>
      <c r="B48" s="14" t="str">
        <f>Catalog!C48</f>
        <v/>
      </c>
      <c r="C48" s="16">
        <f>Catalog!D48</f>
        <v>0</v>
      </c>
      <c r="D48" s="16">
        <f>Catalog!O48</f>
        <v>0</v>
      </c>
      <c r="E48" s="16">
        <f>Catalog!F48</f>
        <v>0</v>
      </c>
      <c r="F48" s="16" t="str">
        <f>IF(Catalog!X48="","",Catalog!X48&amp;" "&amp;Catalog!Y48)</f>
        <v/>
      </c>
      <c r="G48" s="8"/>
    </row>
    <row r="49" spans="1:7" ht="15.75" x14ac:dyDescent="0.25">
      <c r="A49" s="14" t="str">
        <f>Catalog!A49</f>
        <v/>
      </c>
      <c r="B49" s="14" t="str">
        <f>Catalog!C49</f>
        <v/>
      </c>
      <c r="C49" s="16">
        <f>Catalog!D49</f>
        <v>0</v>
      </c>
      <c r="D49" s="16">
        <f>Catalog!O49</f>
        <v>0</v>
      </c>
      <c r="E49" s="16">
        <f>Catalog!F49</f>
        <v>0</v>
      </c>
      <c r="F49" s="16" t="str">
        <f>IF(Catalog!X49="","",Catalog!X49&amp;" "&amp;Catalog!Y49)</f>
        <v/>
      </c>
      <c r="G49" s="8"/>
    </row>
    <row r="50" spans="1:7" ht="15.75" x14ac:dyDescent="0.25">
      <c r="A50" s="14" t="str">
        <f>Catalog!A50</f>
        <v/>
      </c>
      <c r="B50" s="14" t="str">
        <f>Catalog!C50</f>
        <v/>
      </c>
      <c r="C50" s="16">
        <f>Catalog!D50</f>
        <v>0</v>
      </c>
      <c r="D50" s="16">
        <f>Catalog!O50</f>
        <v>0</v>
      </c>
      <c r="E50" s="16">
        <f>Catalog!F50</f>
        <v>0</v>
      </c>
      <c r="F50" s="16" t="str">
        <f>IF(Catalog!X50="","",Catalog!X50&amp;" "&amp;Catalog!Y50)</f>
        <v/>
      </c>
      <c r="G50" s="8"/>
    </row>
    <row r="51" spans="1:7" ht="15.75" x14ac:dyDescent="0.25">
      <c r="A51" s="14" t="str">
        <f>Catalog!A51</f>
        <v/>
      </c>
      <c r="B51" s="14" t="str">
        <f>Catalog!C51</f>
        <v/>
      </c>
      <c r="C51" s="16">
        <f>Catalog!D51</f>
        <v>0</v>
      </c>
      <c r="D51" s="16">
        <f>Catalog!O51</f>
        <v>0</v>
      </c>
      <c r="E51" s="16">
        <f>Catalog!F51</f>
        <v>0</v>
      </c>
      <c r="F51" s="16" t="str">
        <f>IF(Catalog!X51="","",Catalog!X51&amp;" "&amp;Catalog!Y51)</f>
        <v/>
      </c>
      <c r="G51" s="8"/>
    </row>
    <row r="52" spans="1:7" ht="15.75" x14ac:dyDescent="0.25">
      <c r="A52" s="14" t="str">
        <f>Catalog!A52</f>
        <v/>
      </c>
      <c r="B52" s="14" t="str">
        <f>Catalog!C52</f>
        <v/>
      </c>
      <c r="C52" s="16">
        <f>Catalog!D52</f>
        <v>0</v>
      </c>
      <c r="D52" s="16">
        <f>Catalog!O52</f>
        <v>0</v>
      </c>
      <c r="E52" s="16">
        <f>Catalog!F52</f>
        <v>0</v>
      </c>
      <c r="F52" s="16" t="str">
        <f>IF(Catalog!X52="","",Catalog!X52&amp;" "&amp;Catalog!Y52)</f>
        <v/>
      </c>
      <c r="G52" s="8"/>
    </row>
    <row r="53" spans="1:7" ht="15.75" x14ac:dyDescent="0.25">
      <c r="A53" s="14" t="str">
        <f>Catalog!A53</f>
        <v/>
      </c>
      <c r="B53" s="14" t="str">
        <f>Catalog!C53</f>
        <v/>
      </c>
      <c r="C53" s="16">
        <f>Catalog!D53</f>
        <v>0</v>
      </c>
      <c r="D53" s="16">
        <f>Catalog!O53</f>
        <v>0</v>
      </c>
      <c r="E53" s="16">
        <f>Catalog!F53</f>
        <v>0</v>
      </c>
      <c r="F53" s="16" t="str">
        <f>IF(Catalog!X53="","",Catalog!X53&amp;" "&amp;Catalog!Y53)</f>
        <v/>
      </c>
      <c r="G53" s="8"/>
    </row>
    <row r="54" spans="1:7" ht="15.75" x14ac:dyDescent="0.25">
      <c r="A54" s="14" t="str">
        <f>Catalog!A54</f>
        <v/>
      </c>
      <c r="B54" s="14" t="str">
        <f>Catalog!C54</f>
        <v/>
      </c>
      <c r="C54" s="16">
        <f>Catalog!D54</f>
        <v>0</v>
      </c>
      <c r="D54" s="16">
        <f>Catalog!O54</f>
        <v>0</v>
      </c>
      <c r="E54" s="16">
        <f>Catalog!F54</f>
        <v>0</v>
      </c>
      <c r="F54" s="16" t="str">
        <f>IF(Catalog!X54="","",Catalog!X54&amp;" "&amp;Catalog!Y54)</f>
        <v/>
      </c>
      <c r="G54" s="8"/>
    </row>
    <row r="55" spans="1:7" ht="15.75" x14ac:dyDescent="0.25">
      <c r="A55" s="14" t="str">
        <f>Catalog!A55</f>
        <v/>
      </c>
      <c r="B55" s="14" t="str">
        <f>Catalog!C55</f>
        <v/>
      </c>
      <c r="C55" s="16">
        <f>Catalog!D55</f>
        <v>0</v>
      </c>
      <c r="D55" s="16">
        <f>Catalog!O55</f>
        <v>0</v>
      </c>
      <c r="E55" s="16">
        <f>Catalog!F55</f>
        <v>0</v>
      </c>
      <c r="F55" s="16" t="str">
        <f>IF(Catalog!X55="","",Catalog!X55&amp;" "&amp;Catalog!Y55)</f>
        <v/>
      </c>
      <c r="G55" s="8"/>
    </row>
    <row r="56" spans="1:7" ht="15.75" x14ac:dyDescent="0.25">
      <c r="A56" s="14" t="str">
        <f>Catalog!A56</f>
        <v/>
      </c>
      <c r="B56" s="14" t="str">
        <f>Catalog!C56</f>
        <v/>
      </c>
      <c r="C56" s="16">
        <f>Catalog!D56</f>
        <v>0</v>
      </c>
      <c r="D56" s="16">
        <f>Catalog!O56</f>
        <v>0</v>
      </c>
      <c r="E56" s="16">
        <f>Catalog!F56</f>
        <v>0</v>
      </c>
      <c r="F56" s="16" t="str">
        <f>IF(Catalog!X56="","",Catalog!X56&amp;" "&amp;Catalog!Y56)</f>
        <v/>
      </c>
      <c r="G56" s="8"/>
    </row>
    <row r="57" spans="1:7" ht="15.75" x14ac:dyDescent="0.25">
      <c r="A57" s="14" t="str">
        <f>Catalog!A57</f>
        <v/>
      </c>
      <c r="B57" s="14" t="str">
        <f>Catalog!C57</f>
        <v/>
      </c>
      <c r="C57" s="16">
        <f>Catalog!D57</f>
        <v>0</v>
      </c>
      <c r="D57" s="16">
        <f>Catalog!O57</f>
        <v>0</v>
      </c>
      <c r="E57" s="16">
        <f>Catalog!F57</f>
        <v>0</v>
      </c>
      <c r="F57" s="16" t="str">
        <f>IF(Catalog!X57="","",Catalog!X57&amp;" "&amp;Catalog!Y57)</f>
        <v/>
      </c>
      <c r="G57" s="8"/>
    </row>
    <row r="58" spans="1:7" ht="15.75" x14ac:dyDescent="0.25">
      <c r="A58" s="14" t="str">
        <f>Catalog!A58</f>
        <v/>
      </c>
      <c r="B58" s="14" t="str">
        <f>Catalog!C58</f>
        <v/>
      </c>
      <c r="C58" s="16">
        <f>Catalog!D58</f>
        <v>0</v>
      </c>
      <c r="D58" s="16">
        <f>Catalog!O58</f>
        <v>0</v>
      </c>
      <c r="E58" s="16">
        <f>Catalog!F58</f>
        <v>0</v>
      </c>
      <c r="F58" s="16" t="str">
        <f>IF(Catalog!X58="","",Catalog!X58&amp;" "&amp;Catalog!Y58)</f>
        <v/>
      </c>
      <c r="G58" s="8"/>
    </row>
    <row r="59" spans="1:7" ht="15.75" x14ac:dyDescent="0.25">
      <c r="A59" s="14" t="str">
        <f>Catalog!A59</f>
        <v/>
      </c>
      <c r="B59" s="14" t="str">
        <f>Catalog!C59</f>
        <v/>
      </c>
      <c r="C59" s="16">
        <f>Catalog!D59</f>
        <v>0</v>
      </c>
      <c r="D59" s="16">
        <f>Catalog!O59</f>
        <v>0</v>
      </c>
      <c r="E59" s="16">
        <f>Catalog!F59</f>
        <v>0</v>
      </c>
      <c r="F59" s="16" t="str">
        <f>IF(Catalog!X59="","",Catalog!X59&amp;" "&amp;Catalog!Y59)</f>
        <v/>
      </c>
      <c r="G59" s="8"/>
    </row>
    <row r="60" spans="1:7" ht="15.75" x14ac:dyDescent="0.25">
      <c r="A60" s="14" t="str">
        <f>Catalog!A60</f>
        <v/>
      </c>
      <c r="B60" s="14" t="str">
        <f>Catalog!C60</f>
        <v/>
      </c>
      <c r="C60" s="16">
        <f>Catalog!D60</f>
        <v>0</v>
      </c>
      <c r="D60" s="16">
        <f>Catalog!O60</f>
        <v>0</v>
      </c>
      <c r="E60" s="16">
        <f>Catalog!F60</f>
        <v>0</v>
      </c>
      <c r="F60" s="16" t="str">
        <f>IF(Catalog!X60="","",Catalog!X60&amp;" "&amp;Catalog!Y60)</f>
        <v/>
      </c>
      <c r="G60" s="8"/>
    </row>
    <row r="61" spans="1:7" ht="15.75" x14ac:dyDescent="0.25">
      <c r="A61" s="14" t="str">
        <f>Catalog!A61</f>
        <v/>
      </c>
      <c r="B61" s="14" t="str">
        <f>Catalog!C61</f>
        <v/>
      </c>
      <c r="C61" s="16">
        <f>Catalog!D61</f>
        <v>0</v>
      </c>
      <c r="D61" s="16">
        <f>Catalog!O61</f>
        <v>0</v>
      </c>
      <c r="E61" s="16">
        <f>Catalog!F61</f>
        <v>0</v>
      </c>
      <c r="F61" s="16" t="str">
        <f>IF(Catalog!X61="","",Catalog!X61&amp;" "&amp;Catalog!Y61)</f>
        <v/>
      </c>
      <c r="G61" s="8"/>
    </row>
    <row r="62" spans="1:7" ht="15.75" x14ac:dyDescent="0.25">
      <c r="A62" s="14" t="str">
        <f>Catalog!A62</f>
        <v/>
      </c>
      <c r="B62" s="14" t="str">
        <f>Catalog!C62</f>
        <v/>
      </c>
      <c r="C62" s="16">
        <f>Catalog!D62</f>
        <v>0</v>
      </c>
      <c r="D62" s="16">
        <f>Catalog!O62</f>
        <v>0</v>
      </c>
      <c r="E62" s="16">
        <f>Catalog!F62</f>
        <v>0</v>
      </c>
      <c r="F62" s="16" t="str">
        <f>IF(Catalog!X62="","",Catalog!X62&amp;" "&amp;Catalog!Y62)</f>
        <v/>
      </c>
      <c r="G62" s="8"/>
    </row>
    <row r="63" spans="1:7" ht="15.75" x14ac:dyDescent="0.25">
      <c r="A63" s="14" t="str">
        <f>Catalog!A63</f>
        <v/>
      </c>
      <c r="B63" s="14" t="str">
        <f>Catalog!C63</f>
        <v/>
      </c>
      <c r="C63" s="16">
        <f>Catalog!D63</f>
        <v>0</v>
      </c>
      <c r="D63" s="16">
        <f>Catalog!O63</f>
        <v>0</v>
      </c>
      <c r="E63" s="16">
        <f>Catalog!F63</f>
        <v>0</v>
      </c>
      <c r="F63" s="16" t="str">
        <f>IF(Catalog!X63="","",Catalog!X63&amp;" "&amp;Catalog!Y63)</f>
        <v/>
      </c>
      <c r="G63" s="8"/>
    </row>
    <row r="64" spans="1:7" ht="15.75" x14ac:dyDescent="0.25">
      <c r="A64" s="14" t="str">
        <f>Catalog!A64</f>
        <v/>
      </c>
      <c r="B64" s="14" t="str">
        <f>Catalog!C64</f>
        <v/>
      </c>
      <c r="C64" s="16">
        <f>Catalog!D64</f>
        <v>0</v>
      </c>
      <c r="D64" s="16">
        <f>Catalog!O64</f>
        <v>0</v>
      </c>
      <c r="E64" s="16">
        <f>Catalog!F64</f>
        <v>0</v>
      </c>
      <c r="F64" s="16" t="str">
        <f>IF(Catalog!X64="","",Catalog!X64&amp;" "&amp;Catalog!Y64)</f>
        <v/>
      </c>
      <c r="G64" s="8"/>
    </row>
    <row r="65" spans="1:7" ht="15.75" x14ac:dyDescent="0.25">
      <c r="A65" s="14" t="str">
        <f>Catalog!A65</f>
        <v/>
      </c>
      <c r="B65" s="14" t="str">
        <f>Catalog!C65</f>
        <v/>
      </c>
      <c r="C65" s="16">
        <f>Catalog!D65</f>
        <v>0</v>
      </c>
      <c r="D65" s="16">
        <f>Catalog!O65</f>
        <v>0</v>
      </c>
      <c r="E65" s="16">
        <f>Catalog!F65</f>
        <v>0</v>
      </c>
      <c r="F65" s="16" t="str">
        <f>IF(Catalog!X65="","",Catalog!X65&amp;" "&amp;Catalog!Y65)</f>
        <v/>
      </c>
      <c r="G65" s="8"/>
    </row>
    <row r="66" spans="1:7" ht="15.75" x14ac:dyDescent="0.25">
      <c r="A66" s="14" t="str">
        <f>Catalog!A66</f>
        <v/>
      </c>
      <c r="B66" s="14" t="str">
        <f>Catalog!C66</f>
        <v/>
      </c>
      <c r="C66" s="16">
        <f>Catalog!D66</f>
        <v>0</v>
      </c>
      <c r="D66" s="16">
        <f>Catalog!O66</f>
        <v>0</v>
      </c>
      <c r="E66" s="16">
        <f>Catalog!F66</f>
        <v>0</v>
      </c>
      <c r="F66" s="16" t="str">
        <f>IF(Catalog!X66="","",Catalog!X66&amp;" "&amp;Catalog!Y66)</f>
        <v/>
      </c>
      <c r="G66" s="8"/>
    </row>
    <row r="67" spans="1:7" ht="15.75" x14ac:dyDescent="0.25">
      <c r="A67" s="14" t="str">
        <f>Catalog!A67</f>
        <v/>
      </c>
      <c r="B67" s="14" t="str">
        <f>Catalog!C67</f>
        <v/>
      </c>
      <c r="C67" s="16">
        <f>Catalog!D67</f>
        <v>0</v>
      </c>
      <c r="D67" s="16">
        <f>Catalog!O67</f>
        <v>0</v>
      </c>
      <c r="E67" s="16">
        <f>Catalog!F67</f>
        <v>0</v>
      </c>
      <c r="F67" s="16" t="str">
        <f>IF(Catalog!X67="","",Catalog!X67&amp;" "&amp;Catalog!Y67)</f>
        <v/>
      </c>
      <c r="G67" s="8"/>
    </row>
    <row r="68" spans="1:7" ht="15.75" x14ac:dyDescent="0.25">
      <c r="A68" s="14" t="str">
        <f>Catalog!A68</f>
        <v/>
      </c>
      <c r="B68" s="14" t="str">
        <f>Catalog!C68</f>
        <v/>
      </c>
      <c r="C68" s="16">
        <f>Catalog!D68</f>
        <v>0</v>
      </c>
      <c r="D68" s="16">
        <f>Catalog!O68</f>
        <v>0</v>
      </c>
      <c r="E68" s="16">
        <f>Catalog!F68</f>
        <v>0</v>
      </c>
      <c r="F68" s="16" t="str">
        <f>IF(Catalog!X68="","",Catalog!X68&amp;" "&amp;Catalog!Y68)</f>
        <v/>
      </c>
      <c r="G68" s="8"/>
    </row>
    <row r="69" spans="1:7" ht="15.75" x14ac:dyDescent="0.25">
      <c r="A69" s="14" t="str">
        <f>Catalog!A69</f>
        <v/>
      </c>
      <c r="B69" s="14" t="str">
        <f>Catalog!C69</f>
        <v/>
      </c>
      <c r="C69" s="16">
        <f>Catalog!D69</f>
        <v>0</v>
      </c>
      <c r="D69" s="16">
        <f>Catalog!O69</f>
        <v>0</v>
      </c>
      <c r="E69" s="16">
        <f>Catalog!F69</f>
        <v>0</v>
      </c>
      <c r="F69" s="16" t="str">
        <f>IF(Catalog!X69="","",Catalog!X69&amp;" "&amp;Catalog!Y69)</f>
        <v/>
      </c>
      <c r="G69" s="8"/>
    </row>
    <row r="70" spans="1:7" ht="15.75" x14ac:dyDescent="0.25">
      <c r="A70" s="14" t="str">
        <f>Catalog!A70</f>
        <v/>
      </c>
      <c r="B70" s="14" t="str">
        <f>Catalog!C70</f>
        <v/>
      </c>
      <c r="C70" s="16">
        <f>Catalog!D70</f>
        <v>0</v>
      </c>
      <c r="D70" s="16">
        <f>Catalog!O70</f>
        <v>0</v>
      </c>
      <c r="E70" s="16">
        <f>Catalog!F70</f>
        <v>0</v>
      </c>
      <c r="F70" s="16" t="str">
        <f>IF(Catalog!X70="","",Catalog!X70&amp;" "&amp;Catalog!Y70)</f>
        <v/>
      </c>
      <c r="G70" s="8"/>
    </row>
    <row r="71" spans="1:7" ht="15.75" x14ac:dyDescent="0.25">
      <c r="A71" s="14" t="str">
        <f>Catalog!A71</f>
        <v/>
      </c>
      <c r="B71" s="14" t="str">
        <f>Catalog!C71</f>
        <v/>
      </c>
      <c r="C71" s="16">
        <f>Catalog!D71</f>
        <v>0</v>
      </c>
      <c r="D71" s="16">
        <f>Catalog!O71</f>
        <v>0</v>
      </c>
      <c r="E71" s="16">
        <f>Catalog!F71</f>
        <v>0</v>
      </c>
      <c r="F71" s="16" t="str">
        <f>IF(Catalog!X71="","",Catalog!X71&amp;" "&amp;Catalog!Y71)</f>
        <v/>
      </c>
      <c r="G71" s="8"/>
    </row>
    <row r="72" spans="1:7" ht="15.75" x14ac:dyDescent="0.25">
      <c r="A72" s="14" t="str">
        <f>Catalog!A72</f>
        <v/>
      </c>
      <c r="B72" s="14" t="str">
        <f>Catalog!C72</f>
        <v/>
      </c>
      <c r="C72" s="16">
        <f>Catalog!D72</f>
        <v>0</v>
      </c>
      <c r="D72" s="16">
        <f>Catalog!O72</f>
        <v>0</v>
      </c>
      <c r="E72" s="16">
        <f>Catalog!F72</f>
        <v>0</v>
      </c>
      <c r="F72" s="16" t="str">
        <f>IF(Catalog!X72="","",Catalog!X72&amp;" "&amp;Catalog!Y72)</f>
        <v/>
      </c>
      <c r="G72" s="8"/>
    </row>
    <row r="73" spans="1:7" ht="15.75" x14ac:dyDescent="0.25">
      <c r="A73" s="14" t="str">
        <f>Catalog!A73</f>
        <v/>
      </c>
      <c r="B73" s="14" t="str">
        <f>Catalog!C73</f>
        <v/>
      </c>
      <c r="C73" s="16">
        <f>Catalog!D73</f>
        <v>0</v>
      </c>
      <c r="D73" s="16">
        <f>Catalog!O73</f>
        <v>0</v>
      </c>
      <c r="E73" s="16">
        <f>Catalog!F73</f>
        <v>0</v>
      </c>
      <c r="F73" s="16" t="str">
        <f>IF(Catalog!X73="","",Catalog!X73&amp;" "&amp;Catalog!Y73)</f>
        <v/>
      </c>
      <c r="G73" s="8"/>
    </row>
    <row r="74" spans="1:7" ht="15.75" x14ac:dyDescent="0.25">
      <c r="A74" s="14" t="str">
        <f>Catalog!A74</f>
        <v/>
      </c>
      <c r="B74" s="14" t="str">
        <f>Catalog!C74</f>
        <v/>
      </c>
      <c r="C74" s="16">
        <f>Catalog!D74</f>
        <v>0</v>
      </c>
      <c r="D74" s="16">
        <f>Catalog!O74</f>
        <v>0</v>
      </c>
      <c r="E74" s="16">
        <f>Catalog!F74</f>
        <v>0</v>
      </c>
      <c r="F74" s="16" t="str">
        <f>IF(Catalog!X74="","",Catalog!X74&amp;" "&amp;Catalog!Y74)</f>
        <v/>
      </c>
      <c r="G74" s="8"/>
    </row>
    <row r="75" spans="1:7" ht="15.75" x14ac:dyDescent="0.25">
      <c r="A75" s="14" t="str">
        <f>Catalog!A75</f>
        <v/>
      </c>
      <c r="B75" s="14" t="str">
        <f>Catalog!C75</f>
        <v/>
      </c>
      <c r="C75" s="16">
        <f>Catalog!D75</f>
        <v>0</v>
      </c>
      <c r="D75" s="16">
        <f>Catalog!O75</f>
        <v>0</v>
      </c>
      <c r="E75" s="16">
        <f>Catalog!F75</f>
        <v>0</v>
      </c>
      <c r="F75" s="16" t="str">
        <f>IF(Catalog!X75="","",Catalog!X75&amp;" "&amp;Catalog!Y75)</f>
        <v/>
      </c>
      <c r="G75" s="8"/>
    </row>
    <row r="76" spans="1:7" ht="15.75" x14ac:dyDescent="0.25">
      <c r="A76" s="14" t="str">
        <f>Catalog!A76</f>
        <v/>
      </c>
      <c r="B76" s="14" t="str">
        <f>Catalog!C76</f>
        <v/>
      </c>
      <c r="C76" s="16">
        <f>Catalog!D76</f>
        <v>0</v>
      </c>
      <c r="D76" s="16">
        <f>Catalog!O76</f>
        <v>0</v>
      </c>
      <c r="E76" s="16">
        <f>Catalog!F76</f>
        <v>0</v>
      </c>
      <c r="F76" s="16" t="str">
        <f>IF(Catalog!X76="","",Catalog!X76&amp;" "&amp;Catalog!Y76)</f>
        <v/>
      </c>
      <c r="G76" s="8"/>
    </row>
    <row r="77" spans="1:7" ht="15.75" x14ac:dyDescent="0.25">
      <c r="A77" s="14" t="str">
        <f>Catalog!A77</f>
        <v/>
      </c>
      <c r="B77" s="14" t="str">
        <f>Catalog!C77</f>
        <v/>
      </c>
      <c r="C77" s="16">
        <f>Catalog!D77</f>
        <v>0</v>
      </c>
      <c r="D77" s="16">
        <f>Catalog!O77</f>
        <v>0</v>
      </c>
      <c r="E77" s="16">
        <f>Catalog!F77</f>
        <v>0</v>
      </c>
      <c r="F77" s="16" t="str">
        <f>IF(Catalog!X77="","",Catalog!X77&amp;" "&amp;Catalog!Y77)</f>
        <v/>
      </c>
      <c r="G77" s="8"/>
    </row>
    <row r="78" spans="1:7" ht="15.75" x14ac:dyDescent="0.25">
      <c r="A78" s="14" t="str">
        <f>Catalog!A78</f>
        <v/>
      </c>
      <c r="B78" s="14" t="str">
        <f>Catalog!C78</f>
        <v/>
      </c>
      <c r="C78" s="16">
        <f>Catalog!D78</f>
        <v>0</v>
      </c>
      <c r="D78" s="16">
        <f>Catalog!O78</f>
        <v>0</v>
      </c>
      <c r="E78" s="16">
        <f>Catalog!F78</f>
        <v>0</v>
      </c>
      <c r="F78" s="16" t="str">
        <f>IF(Catalog!X78="","",Catalog!X78&amp;" "&amp;Catalog!Y78)</f>
        <v/>
      </c>
      <c r="G78" s="8"/>
    </row>
    <row r="79" spans="1:7" ht="15.75" x14ac:dyDescent="0.25">
      <c r="A79" s="14" t="str">
        <f>Catalog!A79</f>
        <v/>
      </c>
      <c r="B79" s="14" t="str">
        <f>Catalog!C79</f>
        <v/>
      </c>
      <c r="C79" s="16">
        <f>Catalog!D79</f>
        <v>0</v>
      </c>
      <c r="D79" s="16">
        <f>Catalog!O79</f>
        <v>0</v>
      </c>
      <c r="E79" s="16">
        <f>Catalog!F79</f>
        <v>0</v>
      </c>
      <c r="F79" s="16" t="str">
        <f>IF(Catalog!X79="","",Catalog!X79&amp;" "&amp;Catalog!Y79)</f>
        <v/>
      </c>
      <c r="G79" s="8"/>
    </row>
    <row r="80" spans="1:7" ht="15.75" x14ac:dyDescent="0.25">
      <c r="A80" s="14" t="str">
        <f>Catalog!A80</f>
        <v/>
      </c>
      <c r="B80" s="14" t="str">
        <f>Catalog!C80</f>
        <v/>
      </c>
      <c r="C80" s="16">
        <f>Catalog!D80</f>
        <v>0</v>
      </c>
      <c r="D80" s="16">
        <f>Catalog!O80</f>
        <v>0</v>
      </c>
      <c r="E80" s="16">
        <f>Catalog!F80</f>
        <v>0</v>
      </c>
      <c r="F80" s="16" t="str">
        <f>IF(Catalog!X80="","",Catalog!X80&amp;" "&amp;Catalog!Y80)</f>
        <v/>
      </c>
      <c r="G80" s="8"/>
    </row>
    <row r="81" spans="1:7" ht="15.75" x14ac:dyDescent="0.25">
      <c r="A81" s="14" t="str">
        <f>Catalog!A81</f>
        <v/>
      </c>
      <c r="B81" s="14" t="str">
        <f>Catalog!C81</f>
        <v/>
      </c>
      <c r="C81" s="16">
        <f>Catalog!D81</f>
        <v>0</v>
      </c>
      <c r="D81" s="16">
        <f>Catalog!O81</f>
        <v>0</v>
      </c>
      <c r="E81" s="16">
        <f>Catalog!F81</f>
        <v>0</v>
      </c>
      <c r="F81" s="16" t="str">
        <f>IF(Catalog!X81="","",Catalog!X81&amp;" "&amp;Catalog!Y81)</f>
        <v/>
      </c>
      <c r="G81" s="8"/>
    </row>
    <row r="82" spans="1:7" ht="15.75" x14ac:dyDescent="0.25">
      <c r="A82" s="14" t="str">
        <f>Catalog!A82</f>
        <v/>
      </c>
      <c r="B82" s="14" t="str">
        <f>Catalog!C82</f>
        <v/>
      </c>
      <c r="C82" s="16">
        <f>Catalog!D82</f>
        <v>0</v>
      </c>
      <c r="D82" s="16">
        <f>Catalog!O82</f>
        <v>0</v>
      </c>
      <c r="E82" s="16">
        <f>Catalog!F82</f>
        <v>0</v>
      </c>
      <c r="F82" s="16" t="str">
        <f>IF(Catalog!X82="","",Catalog!X82&amp;" "&amp;Catalog!Y82)</f>
        <v/>
      </c>
      <c r="G82" s="8"/>
    </row>
    <row r="83" spans="1:7" ht="15.75" x14ac:dyDescent="0.25">
      <c r="A83" s="14" t="str">
        <f>Catalog!A83</f>
        <v/>
      </c>
      <c r="B83" s="14" t="str">
        <f>Catalog!C83</f>
        <v/>
      </c>
      <c r="C83" s="16">
        <f>Catalog!D83</f>
        <v>0</v>
      </c>
      <c r="D83" s="16">
        <f>Catalog!O83</f>
        <v>0</v>
      </c>
      <c r="E83" s="16">
        <f>Catalog!F83</f>
        <v>0</v>
      </c>
      <c r="F83" s="16" t="str">
        <f>IF(Catalog!X83="","",Catalog!X83&amp;" "&amp;Catalog!Y83)</f>
        <v/>
      </c>
      <c r="G83" s="8"/>
    </row>
    <row r="84" spans="1:7" ht="15.75" x14ac:dyDescent="0.25">
      <c r="A84" s="14" t="str">
        <f>Catalog!A84</f>
        <v/>
      </c>
      <c r="B84" s="14" t="str">
        <f>Catalog!C84</f>
        <v/>
      </c>
      <c r="C84" s="16">
        <f>Catalog!D84</f>
        <v>0</v>
      </c>
      <c r="D84" s="16">
        <f>Catalog!O84</f>
        <v>0</v>
      </c>
      <c r="E84" s="16">
        <f>Catalog!F84</f>
        <v>0</v>
      </c>
      <c r="F84" s="16" t="str">
        <f>IF(Catalog!X84="","",Catalog!X84&amp;" "&amp;Catalog!Y84)</f>
        <v/>
      </c>
      <c r="G84" s="8"/>
    </row>
    <row r="85" spans="1:7" ht="15.75" x14ac:dyDescent="0.25">
      <c r="A85" s="14" t="str">
        <f>Catalog!A85</f>
        <v/>
      </c>
      <c r="B85" s="14" t="str">
        <f>Catalog!C85</f>
        <v/>
      </c>
      <c r="C85" s="16">
        <f>Catalog!D85</f>
        <v>0</v>
      </c>
      <c r="D85" s="16">
        <f>Catalog!O85</f>
        <v>0</v>
      </c>
      <c r="E85" s="16">
        <f>Catalog!F85</f>
        <v>0</v>
      </c>
      <c r="F85" s="16" t="str">
        <f>IF(Catalog!X85="","",Catalog!X85&amp;" "&amp;Catalog!Y85)</f>
        <v/>
      </c>
      <c r="G85" s="8"/>
    </row>
    <row r="86" spans="1:7" ht="15.75" x14ac:dyDescent="0.25">
      <c r="A86" s="14" t="str">
        <f>Catalog!A86</f>
        <v/>
      </c>
      <c r="B86" s="14" t="str">
        <f>Catalog!C86</f>
        <v/>
      </c>
      <c r="C86" s="16">
        <f>Catalog!D86</f>
        <v>0</v>
      </c>
      <c r="D86" s="16">
        <f>Catalog!O86</f>
        <v>0</v>
      </c>
      <c r="E86" s="16">
        <f>Catalog!F86</f>
        <v>0</v>
      </c>
      <c r="F86" s="16" t="str">
        <f>IF(Catalog!X86="","",Catalog!X86&amp;" "&amp;Catalog!Y86)</f>
        <v/>
      </c>
      <c r="G86" s="8"/>
    </row>
    <row r="87" spans="1:7" ht="15.75" x14ac:dyDescent="0.25">
      <c r="A87" s="14" t="str">
        <f>Catalog!A87</f>
        <v/>
      </c>
      <c r="B87" s="14" t="str">
        <f>Catalog!C87</f>
        <v/>
      </c>
      <c r="C87" s="16">
        <f>Catalog!D87</f>
        <v>0</v>
      </c>
      <c r="D87" s="16">
        <f>Catalog!O87</f>
        <v>0</v>
      </c>
      <c r="E87" s="16">
        <f>Catalog!F87</f>
        <v>0</v>
      </c>
      <c r="F87" s="16" t="str">
        <f>IF(Catalog!X87="","",Catalog!X87&amp;" "&amp;Catalog!Y87)</f>
        <v/>
      </c>
      <c r="G87" s="8"/>
    </row>
    <row r="88" spans="1:7" ht="15.75" x14ac:dyDescent="0.25">
      <c r="A88" s="14" t="str">
        <f>Catalog!A88</f>
        <v/>
      </c>
      <c r="B88" s="14" t="str">
        <f>Catalog!C88</f>
        <v/>
      </c>
      <c r="C88" s="16">
        <f>Catalog!D88</f>
        <v>0</v>
      </c>
      <c r="D88" s="16">
        <f>Catalog!O88</f>
        <v>0</v>
      </c>
      <c r="E88" s="16">
        <f>Catalog!F88</f>
        <v>0</v>
      </c>
      <c r="F88" s="16" t="str">
        <f>IF(Catalog!X88="","",Catalog!X88&amp;" "&amp;Catalog!Y88)</f>
        <v/>
      </c>
      <c r="G88" s="8"/>
    </row>
    <row r="89" spans="1:7" ht="15.75" x14ac:dyDescent="0.25">
      <c r="A89" s="14" t="str">
        <f>Catalog!A89</f>
        <v/>
      </c>
      <c r="B89" s="14" t="str">
        <f>Catalog!C89</f>
        <v/>
      </c>
      <c r="C89" s="16">
        <f>Catalog!D89</f>
        <v>0</v>
      </c>
      <c r="D89" s="16">
        <f>Catalog!O89</f>
        <v>0</v>
      </c>
      <c r="E89" s="16">
        <f>Catalog!F89</f>
        <v>0</v>
      </c>
      <c r="F89" s="16" t="str">
        <f>IF(Catalog!X89="","",Catalog!X89&amp;" "&amp;Catalog!Y89)</f>
        <v/>
      </c>
      <c r="G89" s="8"/>
    </row>
    <row r="90" spans="1:7" ht="15.75" x14ac:dyDescent="0.25">
      <c r="A90" s="14" t="str">
        <f>Catalog!A90</f>
        <v/>
      </c>
      <c r="B90" s="14" t="str">
        <f>Catalog!C90</f>
        <v/>
      </c>
      <c r="C90" s="16">
        <f>Catalog!D90</f>
        <v>0</v>
      </c>
      <c r="D90" s="16">
        <f>Catalog!O90</f>
        <v>0</v>
      </c>
      <c r="E90" s="16">
        <f>Catalog!F90</f>
        <v>0</v>
      </c>
      <c r="F90" s="16" t="str">
        <f>IF(Catalog!X90="","",Catalog!X90&amp;" "&amp;Catalog!Y90)</f>
        <v/>
      </c>
      <c r="G90" s="8"/>
    </row>
    <row r="91" spans="1:7" ht="15.75" x14ac:dyDescent="0.25">
      <c r="A91" s="14" t="str">
        <f>Catalog!A91</f>
        <v/>
      </c>
      <c r="B91" s="14" t="str">
        <f>Catalog!C91</f>
        <v/>
      </c>
      <c r="C91" s="16">
        <f>Catalog!D91</f>
        <v>0</v>
      </c>
      <c r="D91" s="16">
        <f>Catalog!O91</f>
        <v>0</v>
      </c>
      <c r="E91" s="16">
        <f>Catalog!F91</f>
        <v>0</v>
      </c>
      <c r="F91" s="16" t="str">
        <f>IF(Catalog!X91="","",Catalog!X91&amp;" "&amp;Catalog!Y91)</f>
        <v/>
      </c>
      <c r="G91" s="8"/>
    </row>
    <row r="92" spans="1:7" ht="15.75" x14ac:dyDescent="0.25">
      <c r="A92" s="14" t="str">
        <f>Catalog!A92</f>
        <v/>
      </c>
      <c r="B92" s="14" t="str">
        <f>Catalog!C92</f>
        <v/>
      </c>
      <c r="C92" s="16">
        <f>Catalog!D92</f>
        <v>0</v>
      </c>
      <c r="D92" s="16">
        <f>Catalog!O92</f>
        <v>0</v>
      </c>
      <c r="E92" s="16">
        <f>Catalog!F92</f>
        <v>0</v>
      </c>
      <c r="F92" s="16" t="str">
        <f>IF(Catalog!X92="","",Catalog!X92&amp;" "&amp;Catalog!Y92)</f>
        <v/>
      </c>
      <c r="G92" s="8"/>
    </row>
    <row r="93" spans="1:7" ht="15.75" x14ac:dyDescent="0.25">
      <c r="A93" s="14" t="str">
        <f>Catalog!A93</f>
        <v/>
      </c>
      <c r="B93" s="14" t="str">
        <f>Catalog!C93</f>
        <v/>
      </c>
      <c r="C93" s="16">
        <f>Catalog!D93</f>
        <v>0</v>
      </c>
      <c r="D93" s="16">
        <f>Catalog!O93</f>
        <v>0</v>
      </c>
      <c r="E93" s="16">
        <f>Catalog!F93</f>
        <v>0</v>
      </c>
      <c r="F93" s="16" t="str">
        <f>IF(Catalog!X93="","",Catalog!X93&amp;" "&amp;Catalog!Y93)</f>
        <v/>
      </c>
      <c r="G93" s="8"/>
    </row>
    <row r="94" spans="1:7" ht="15.75" x14ac:dyDescent="0.25">
      <c r="A94" s="14" t="str">
        <f>Catalog!A94</f>
        <v/>
      </c>
      <c r="B94" s="14" t="str">
        <f>Catalog!C94</f>
        <v/>
      </c>
      <c r="C94" s="16">
        <f>Catalog!D94</f>
        <v>0</v>
      </c>
      <c r="D94" s="16">
        <f>Catalog!O94</f>
        <v>0</v>
      </c>
      <c r="E94" s="16">
        <f>Catalog!F94</f>
        <v>0</v>
      </c>
      <c r="F94" s="16" t="str">
        <f>IF(Catalog!X94="","",Catalog!X94&amp;" "&amp;Catalog!Y94)</f>
        <v/>
      </c>
      <c r="G94" s="8"/>
    </row>
    <row r="95" spans="1:7" ht="15.75" x14ac:dyDescent="0.25">
      <c r="A95" s="14" t="str">
        <f>Catalog!A95</f>
        <v/>
      </c>
      <c r="B95" s="14" t="str">
        <f>Catalog!C95</f>
        <v/>
      </c>
      <c r="C95" s="16">
        <f>Catalog!D95</f>
        <v>0</v>
      </c>
      <c r="D95" s="16">
        <f>Catalog!O95</f>
        <v>0</v>
      </c>
      <c r="E95" s="16">
        <f>Catalog!F95</f>
        <v>0</v>
      </c>
      <c r="F95" s="16" t="str">
        <f>IF(Catalog!X95="","",Catalog!X95&amp;" "&amp;Catalog!Y95)</f>
        <v/>
      </c>
      <c r="G95" s="8"/>
    </row>
    <row r="96" spans="1:7" ht="15.75" x14ac:dyDescent="0.25">
      <c r="A96" s="14" t="str">
        <f>Catalog!A96</f>
        <v/>
      </c>
      <c r="B96" s="14" t="str">
        <f>Catalog!C96</f>
        <v/>
      </c>
      <c r="C96" s="16">
        <f>Catalog!D96</f>
        <v>0</v>
      </c>
      <c r="D96" s="16">
        <f>Catalog!O96</f>
        <v>0</v>
      </c>
      <c r="E96" s="16">
        <f>Catalog!F96</f>
        <v>0</v>
      </c>
      <c r="F96" s="16" t="str">
        <f>IF(Catalog!X96="","",Catalog!X96&amp;" "&amp;Catalog!Y96)</f>
        <v/>
      </c>
      <c r="G96" s="8"/>
    </row>
    <row r="97" spans="1:7" ht="15.75" x14ac:dyDescent="0.25">
      <c r="A97" s="14" t="str">
        <f>Catalog!A97</f>
        <v/>
      </c>
      <c r="B97" s="14" t="str">
        <f>Catalog!C97</f>
        <v/>
      </c>
      <c r="C97" s="16">
        <f>Catalog!D97</f>
        <v>0</v>
      </c>
      <c r="D97" s="16">
        <f>Catalog!O97</f>
        <v>0</v>
      </c>
      <c r="E97" s="16">
        <f>Catalog!F97</f>
        <v>0</v>
      </c>
      <c r="F97" s="16" t="str">
        <f>IF(Catalog!X97="","",Catalog!X97&amp;" "&amp;Catalog!Y97)</f>
        <v/>
      </c>
      <c r="G97" s="8"/>
    </row>
    <row r="98" spans="1:7" ht="15.75" x14ac:dyDescent="0.25">
      <c r="A98" s="14" t="str">
        <f>Catalog!A98</f>
        <v/>
      </c>
      <c r="B98" s="14" t="str">
        <f>Catalog!C98</f>
        <v/>
      </c>
      <c r="C98" s="16">
        <f>Catalog!D98</f>
        <v>0</v>
      </c>
      <c r="D98" s="16">
        <f>Catalog!O98</f>
        <v>0</v>
      </c>
      <c r="E98" s="16">
        <f>Catalog!F98</f>
        <v>0</v>
      </c>
      <c r="F98" s="16" t="str">
        <f>IF(Catalog!X98="","",Catalog!X98&amp;" "&amp;Catalog!Y98)</f>
        <v/>
      </c>
      <c r="G98" s="8"/>
    </row>
    <row r="99" spans="1:7" ht="15.75" x14ac:dyDescent="0.25">
      <c r="A99" s="14" t="str">
        <f>Catalog!A99</f>
        <v/>
      </c>
      <c r="B99" s="14" t="str">
        <f>Catalog!C99</f>
        <v/>
      </c>
      <c r="C99" s="16">
        <f>Catalog!D99</f>
        <v>0</v>
      </c>
      <c r="D99" s="16">
        <f>Catalog!O99</f>
        <v>0</v>
      </c>
      <c r="E99" s="16">
        <f>Catalog!F99</f>
        <v>0</v>
      </c>
      <c r="F99" s="16" t="str">
        <f>IF(Catalog!X99="","",Catalog!X99&amp;" "&amp;Catalog!Y99)</f>
        <v/>
      </c>
      <c r="G99" s="8"/>
    </row>
    <row r="100" spans="1:7" ht="15.75" x14ac:dyDescent="0.25">
      <c r="A100" s="14" t="str">
        <f>Catalog!A100</f>
        <v/>
      </c>
      <c r="B100" s="14" t="str">
        <f>Catalog!C100</f>
        <v/>
      </c>
      <c r="C100" s="16">
        <f>Catalog!D100</f>
        <v>0</v>
      </c>
      <c r="D100" s="16">
        <f>Catalog!O100</f>
        <v>0</v>
      </c>
      <c r="E100" s="16">
        <f>Catalog!F100</f>
        <v>0</v>
      </c>
      <c r="F100" s="16" t="str">
        <f>IF(Catalog!X100="","",Catalog!X100&amp;" "&amp;Catalog!Y100)</f>
        <v/>
      </c>
      <c r="G100" s="8"/>
    </row>
    <row r="101" spans="1:7" ht="15.75" x14ac:dyDescent="0.25">
      <c r="A101" s="14" t="str">
        <f>Catalog!A101</f>
        <v/>
      </c>
      <c r="B101" s="14" t="str">
        <f>Catalog!C101</f>
        <v/>
      </c>
      <c r="C101" s="16">
        <f>Catalog!D101</f>
        <v>0</v>
      </c>
      <c r="D101" s="16">
        <f>Catalog!O101</f>
        <v>0</v>
      </c>
      <c r="E101" s="16">
        <f>Catalog!F101</f>
        <v>0</v>
      </c>
      <c r="F101" s="16" t="str">
        <f>IF(Catalog!X101="","",Catalog!X101&amp;" "&amp;Catalog!Y101)</f>
        <v/>
      </c>
      <c r="G101" s="8"/>
    </row>
    <row r="102" spans="1:7" ht="15.75" x14ac:dyDescent="0.25">
      <c r="A102" s="14" t="str">
        <f>Catalog!A102</f>
        <v/>
      </c>
      <c r="B102" s="14" t="str">
        <f>Catalog!C102</f>
        <v/>
      </c>
      <c r="C102" s="16">
        <f>Catalog!D102</f>
        <v>0</v>
      </c>
      <c r="D102" s="16">
        <f>Catalog!O102</f>
        <v>0</v>
      </c>
      <c r="E102" s="16">
        <f>Catalog!F102</f>
        <v>0</v>
      </c>
      <c r="F102" s="16" t="str">
        <f>IF(Catalog!X102="","",Catalog!X102&amp;" "&amp;Catalog!Y102)</f>
        <v/>
      </c>
      <c r="G102" s="8"/>
    </row>
    <row r="103" spans="1:7" ht="15.75" x14ac:dyDescent="0.25">
      <c r="A103" s="14" t="str">
        <f>Catalog!A103</f>
        <v/>
      </c>
      <c r="B103" s="14" t="str">
        <f>Catalog!C103</f>
        <v/>
      </c>
      <c r="C103" s="16">
        <f>Catalog!D103</f>
        <v>0</v>
      </c>
      <c r="D103" s="16">
        <f>Catalog!O103</f>
        <v>0</v>
      </c>
      <c r="E103" s="16">
        <f>Catalog!F103</f>
        <v>0</v>
      </c>
      <c r="F103" s="16" t="str">
        <f>IF(Catalog!X103="","",Catalog!X103&amp;" "&amp;Catalog!Y103)</f>
        <v/>
      </c>
      <c r="G103" s="8"/>
    </row>
    <row r="104" spans="1:7" ht="15.75" x14ac:dyDescent="0.25">
      <c r="A104" s="14" t="str">
        <f>Catalog!A104</f>
        <v/>
      </c>
      <c r="B104" s="14" t="str">
        <f>Catalog!C104</f>
        <v/>
      </c>
      <c r="C104" s="16">
        <f>Catalog!D104</f>
        <v>0</v>
      </c>
      <c r="D104" s="16">
        <f>Catalog!O104</f>
        <v>0</v>
      </c>
      <c r="E104" s="16">
        <f>Catalog!F104</f>
        <v>0</v>
      </c>
      <c r="F104" s="16" t="str">
        <f>IF(Catalog!X104="","",Catalog!X104&amp;" "&amp;Catalog!Y104)</f>
        <v/>
      </c>
      <c r="G104" s="8"/>
    </row>
    <row r="105" spans="1:7" ht="15.75" x14ac:dyDescent="0.25">
      <c r="A105" s="14" t="str">
        <f>Catalog!A105</f>
        <v/>
      </c>
      <c r="B105" s="14" t="str">
        <f>Catalog!C105</f>
        <v/>
      </c>
      <c r="C105" s="16">
        <f>Catalog!D105</f>
        <v>0</v>
      </c>
      <c r="D105" s="16">
        <f>Catalog!O105</f>
        <v>0</v>
      </c>
      <c r="E105" s="16">
        <f>Catalog!F105</f>
        <v>0</v>
      </c>
      <c r="F105" s="16" t="str">
        <f>IF(Catalog!X105="","",Catalog!X105&amp;" "&amp;Catalog!Y105)</f>
        <v/>
      </c>
      <c r="G105" s="8"/>
    </row>
    <row r="106" spans="1:7" ht="15.75" x14ac:dyDescent="0.25">
      <c r="A106" s="14" t="str">
        <f>Catalog!A106</f>
        <v/>
      </c>
      <c r="B106" s="14" t="str">
        <f>Catalog!C106</f>
        <v/>
      </c>
      <c r="C106" s="16">
        <f>Catalog!D106</f>
        <v>0</v>
      </c>
      <c r="D106" s="16">
        <f>Catalog!O106</f>
        <v>0</v>
      </c>
      <c r="E106" s="16">
        <f>Catalog!F106</f>
        <v>0</v>
      </c>
      <c r="F106" s="16" t="str">
        <f>IF(Catalog!X106="","",Catalog!X106&amp;" "&amp;Catalog!Y106)</f>
        <v/>
      </c>
      <c r="G106" s="8"/>
    </row>
    <row r="107" spans="1:7" ht="15.75" x14ac:dyDescent="0.25">
      <c r="A107" s="14" t="str">
        <f>Catalog!A107</f>
        <v/>
      </c>
      <c r="B107" s="14" t="str">
        <f>Catalog!C107</f>
        <v/>
      </c>
      <c r="C107" s="16">
        <f>Catalog!D107</f>
        <v>0</v>
      </c>
      <c r="D107" s="16">
        <f>Catalog!O107</f>
        <v>0</v>
      </c>
      <c r="E107" s="16">
        <f>Catalog!F107</f>
        <v>0</v>
      </c>
      <c r="F107" s="16" t="str">
        <f>IF(Catalog!X107="","",Catalog!X107&amp;" "&amp;Catalog!Y107)</f>
        <v/>
      </c>
      <c r="G107" s="8"/>
    </row>
    <row r="108" spans="1:7" ht="15.75" x14ac:dyDescent="0.25">
      <c r="A108" s="14" t="str">
        <f>Catalog!A108</f>
        <v/>
      </c>
      <c r="B108" s="14" t="str">
        <f>Catalog!C108</f>
        <v/>
      </c>
      <c r="C108" s="16">
        <f>Catalog!D108</f>
        <v>0</v>
      </c>
      <c r="D108" s="16">
        <f>Catalog!O108</f>
        <v>0</v>
      </c>
      <c r="E108" s="16">
        <f>Catalog!F108</f>
        <v>0</v>
      </c>
      <c r="F108" s="16" t="str">
        <f>IF(Catalog!X108="","",Catalog!X108&amp;" "&amp;Catalog!Y108)</f>
        <v/>
      </c>
      <c r="G108" s="8"/>
    </row>
    <row r="109" spans="1:7" ht="15.75" x14ac:dyDescent="0.25">
      <c r="A109" s="14" t="str">
        <f>Catalog!A109</f>
        <v/>
      </c>
      <c r="B109" s="14" t="str">
        <f>Catalog!C109</f>
        <v/>
      </c>
      <c r="C109" s="16">
        <f>Catalog!D109</f>
        <v>0</v>
      </c>
      <c r="D109" s="16">
        <f>Catalog!O109</f>
        <v>0</v>
      </c>
      <c r="E109" s="16">
        <f>Catalog!F109</f>
        <v>0</v>
      </c>
      <c r="F109" s="16" t="str">
        <f>IF(Catalog!X109="","",Catalog!X109&amp;" "&amp;Catalog!Y109)</f>
        <v/>
      </c>
      <c r="G109" s="8"/>
    </row>
    <row r="110" spans="1:7" ht="15.75" x14ac:dyDescent="0.25">
      <c r="A110" s="14" t="str">
        <f>Catalog!A110</f>
        <v/>
      </c>
      <c r="B110" s="14" t="str">
        <f>Catalog!C110</f>
        <v/>
      </c>
      <c r="C110" s="16">
        <f>Catalog!D110</f>
        <v>0</v>
      </c>
      <c r="D110" s="16">
        <f>Catalog!O110</f>
        <v>0</v>
      </c>
      <c r="E110" s="16">
        <f>Catalog!F110</f>
        <v>0</v>
      </c>
      <c r="F110" s="16" t="str">
        <f>IF(Catalog!X110="","",Catalog!X110&amp;" "&amp;Catalog!Y110)</f>
        <v/>
      </c>
      <c r="G110" s="8"/>
    </row>
    <row r="111" spans="1:7" ht="15.75" x14ac:dyDescent="0.25">
      <c r="A111" s="14" t="str">
        <f>Catalog!A111</f>
        <v/>
      </c>
      <c r="B111" s="14" t="str">
        <f>Catalog!C111</f>
        <v/>
      </c>
      <c r="C111" s="16">
        <f>Catalog!D111</f>
        <v>0</v>
      </c>
      <c r="D111" s="16">
        <f>Catalog!O111</f>
        <v>0</v>
      </c>
      <c r="E111" s="16">
        <f>Catalog!F111</f>
        <v>0</v>
      </c>
      <c r="F111" s="16" t="str">
        <f>IF(Catalog!X111="","",Catalog!X111&amp;" "&amp;Catalog!Y111)</f>
        <v/>
      </c>
      <c r="G111" s="8"/>
    </row>
    <row r="112" spans="1:7" ht="15.75" x14ac:dyDescent="0.25">
      <c r="A112" s="14" t="str">
        <f>Catalog!A112</f>
        <v/>
      </c>
      <c r="B112" s="14" t="str">
        <f>Catalog!C112</f>
        <v/>
      </c>
      <c r="C112" s="16">
        <f>Catalog!D112</f>
        <v>0</v>
      </c>
      <c r="D112" s="16">
        <f>Catalog!O112</f>
        <v>0</v>
      </c>
      <c r="E112" s="16">
        <f>Catalog!F112</f>
        <v>0</v>
      </c>
      <c r="F112" s="16" t="str">
        <f>IF(Catalog!X112="","",Catalog!X112&amp;" "&amp;Catalog!Y112)</f>
        <v/>
      </c>
      <c r="G112" s="8"/>
    </row>
    <row r="113" spans="1:7" ht="15.75" x14ac:dyDescent="0.25">
      <c r="A113" s="14" t="str">
        <f>Catalog!A113</f>
        <v/>
      </c>
      <c r="B113" s="14" t="str">
        <f>Catalog!C113</f>
        <v/>
      </c>
      <c r="C113" s="16">
        <f>Catalog!D113</f>
        <v>0</v>
      </c>
      <c r="D113" s="16">
        <f>Catalog!O113</f>
        <v>0</v>
      </c>
      <c r="E113" s="16">
        <f>Catalog!F113</f>
        <v>0</v>
      </c>
      <c r="F113" s="16" t="str">
        <f>IF(Catalog!X113="","",Catalog!X113&amp;" "&amp;Catalog!Y113)</f>
        <v/>
      </c>
      <c r="G113" s="8"/>
    </row>
    <row r="114" spans="1:7" ht="15.75" x14ac:dyDescent="0.25">
      <c r="A114" s="14" t="str">
        <f>Catalog!A114</f>
        <v/>
      </c>
      <c r="B114" s="14" t="str">
        <f>Catalog!C114</f>
        <v/>
      </c>
      <c r="C114" s="16">
        <f>Catalog!D114</f>
        <v>0</v>
      </c>
      <c r="D114" s="16">
        <f>Catalog!O114</f>
        <v>0</v>
      </c>
      <c r="E114" s="16">
        <f>Catalog!F114</f>
        <v>0</v>
      </c>
      <c r="F114" s="16" t="str">
        <f>IF(Catalog!X114="","",Catalog!X114&amp;" "&amp;Catalog!Y114)</f>
        <v/>
      </c>
      <c r="G114" s="8"/>
    </row>
    <row r="115" spans="1:7" ht="15.75" x14ac:dyDescent="0.25">
      <c r="A115" s="14" t="str">
        <f>Catalog!A115</f>
        <v/>
      </c>
      <c r="B115" s="14" t="str">
        <f>Catalog!C115</f>
        <v/>
      </c>
      <c r="C115" s="16">
        <f>Catalog!D115</f>
        <v>0</v>
      </c>
      <c r="D115" s="16">
        <f>Catalog!O115</f>
        <v>0</v>
      </c>
      <c r="E115" s="16">
        <f>Catalog!F115</f>
        <v>0</v>
      </c>
      <c r="F115" s="16" t="str">
        <f>IF(Catalog!X115="","",Catalog!X115&amp;" "&amp;Catalog!Y115)</f>
        <v/>
      </c>
      <c r="G115" s="8"/>
    </row>
    <row r="116" spans="1:7" ht="15.75" x14ac:dyDescent="0.25">
      <c r="A116" s="14" t="str">
        <f>Catalog!A116</f>
        <v/>
      </c>
      <c r="B116" s="14" t="str">
        <f>Catalog!C116</f>
        <v/>
      </c>
      <c r="C116" s="16">
        <f>Catalog!D116</f>
        <v>0</v>
      </c>
      <c r="D116" s="16">
        <f>Catalog!O116</f>
        <v>0</v>
      </c>
      <c r="E116" s="16">
        <f>Catalog!F116</f>
        <v>0</v>
      </c>
      <c r="F116" s="16" t="str">
        <f>IF(Catalog!X116="","",Catalog!X116&amp;" "&amp;Catalog!Y116)</f>
        <v/>
      </c>
      <c r="G116" s="8"/>
    </row>
    <row r="117" spans="1:7" ht="15.75" x14ac:dyDescent="0.25">
      <c r="A117" s="14" t="str">
        <f>Catalog!A117</f>
        <v/>
      </c>
      <c r="B117" s="14" t="str">
        <f>Catalog!C117</f>
        <v/>
      </c>
      <c r="C117" s="16">
        <f>Catalog!D117</f>
        <v>0</v>
      </c>
      <c r="D117" s="16">
        <f>Catalog!O117</f>
        <v>0</v>
      </c>
      <c r="E117" s="16">
        <f>Catalog!F117</f>
        <v>0</v>
      </c>
      <c r="F117" s="16" t="str">
        <f>IF(Catalog!X117="","",Catalog!X117&amp;" "&amp;Catalog!Y117)</f>
        <v/>
      </c>
      <c r="G117" s="8"/>
    </row>
    <row r="118" spans="1:7" ht="15.75" x14ac:dyDescent="0.25">
      <c r="A118" s="14" t="str">
        <f>Catalog!A118</f>
        <v/>
      </c>
      <c r="B118" s="14" t="str">
        <f>Catalog!C118</f>
        <v/>
      </c>
      <c r="C118" s="16">
        <f>Catalog!D118</f>
        <v>0</v>
      </c>
      <c r="D118" s="16">
        <f>Catalog!O118</f>
        <v>0</v>
      </c>
      <c r="E118" s="16">
        <f>Catalog!F118</f>
        <v>0</v>
      </c>
      <c r="F118" s="16" t="str">
        <f>IF(Catalog!X118="","",Catalog!X118&amp;" "&amp;Catalog!Y118)</f>
        <v/>
      </c>
      <c r="G118" s="8"/>
    </row>
    <row r="119" spans="1:7" ht="15.75" x14ac:dyDescent="0.25">
      <c r="A119" s="14" t="str">
        <f>Catalog!A119</f>
        <v/>
      </c>
      <c r="B119" s="14" t="str">
        <f>Catalog!C119</f>
        <v/>
      </c>
      <c r="C119" s="16">
        <f>Catalog!D119</f>
        <v>0</v>
      </c>
      <c r="D119" s="16">
        <f>Catalog!O119</f>
        <v>0</v>
      </c>
      <c r="E119" s="16">
        <f>Catalog!F119</f>
        <v>0</v>
      </c>
      <c r="F119" s="16" t="str">
        <f>IF(Catalog!X119="","",Catalog!X119&amp;" "&amp;Catalog!Y119)</f>
        <v/>
      </c>
      <c r="G119" s="8"/>
    </row>
    <row r="120" spans="1:7" ht="15.75" x14ac:dyDescent="0.25">
      <c r="A120" s="14" t="str">
        <f>Catalog!A120</f>
        <v/>
      </c>
      <c r="B120" s="14" t="str">
        <f>Catalog!C120</f>
        <v/>
      </c>
      <c r="C120" s="16">
        <f>Catalog!D120</f>
        <v>0</v>
      </c>
      <c r="D120" s="16">
        <f>Catalog!O120</f>
        <v>0</v>
      </c>
      <c r="E120" s="16">
        <f>Catalog!F120</f>
        <v>0</v>
      </c>
      <c r="F120" s="16" t="str">
        <f>IF(Catalog!X120="","",Catalog!X120&amp;" "&amp;Catalog!Y120)</f>
        <v/>
      </c>
      <c r="G120" s="8"/>
    </row>
    <row r="121" spans="1:7" ht="15.75" x14ac:dyDescent="0.25">
      <c r="A121" s="14" t="str">
        <f>Catalog!A121</f>
        <v/>
      </c>
      <c r="B121" s="14" t="str">
        <f>Catalog!C121</f>
        <v/>
      </c>
      <c r="C121" s="16">
        <f>Catalog!D121</f>
        <v>0</v>
      </c>
      <c r="D121" s="16">
        <f>Catalog!O121</f>
        <v>0</v>
      </c>
      <c r="E121" s="16">
        <f>Catalog!F121</f>
        <v>0</v>
      </c>
      <c r="F121" s="16" t="str">
        <f>IF(Catalog!X121="","",Catalog!X121&amp;" "&amp;Catalog!Y121)</f>
        <v/>
      </c>
      <c r="G121" s="8"/>
    </row>
    <row r="122" spans="1:7" ht="15.75" x14ac:dyDescent="0.25">
      <c r="A122" s="14" t="str">
        <f>Catalog!A122</f>
        <v/>
      </c>
      <c r="B122" s="14" t="str">
        <f>Catalog!C122</f>
        <v/>
      </c>
      <c r="C122" s="16">
        <f>Catalog!D122</f>
        <v>0</v>
      </c>
      <c r="D122" s="16">
        <f>Catalog!O122</f>
        <v>0</v>
      </c>
      <c r="E122" s="16">
        <f>Catalog!F122</f>
        <v>0</v>
      </c>
      <c r="F122" s="16" t="str">
        <f>IF(Catalog!X122="","",Catalog!X122&amp;" "&amp;Catalog!Y122)</f>
        <v/>
      </c>
      <c r="G122" s="8"/>
    </row>
    <row r="123" spans="1:7" ht="15.75" x14ac:dyDescent="0.25">
      <c r="A123" s="14" t="str">
        <f>Catalog!A123</f>
        <v/>
      </c>
      <c r="B123" s="14" t="str">
        <f>Catalog!C123</f>
        <v/>
      </c>
      <c r="C123" s="16">
        <f>Catalog!D123</f>
        <v>0</v>
      </c>
      <c r="D123" s="16">
        <f>Catalog!O123</f>
        <v>0</v>
      </c>
      <c r="E123" s="16">
        <f>Catalog!F123</f>
        <v>0</v>
      </c>
      <c r="F123" s="16" t="str">
        <f>IF(Catalog!X123="","",Catalog!X123&amp;" "&amp;Catalog!Y123)</f>
        <v/>
      </c>
      <c r="G123" s="8"/>
    </row>
    <row r="124" spans="1:7" ht="15.75" x14ac:dyDescent="0.25">
      <c r="A124" s="14" t="str">
        <f>Catalog!A124</f>
        <v/>
      </c>
      <c r="B124" s="14" t="str">
        <f>Catalog!C124</f>
        <v/>
      </c>
      <c r="C124" s="16">
        <f>Catalog!D124</f>
        <v>0</v>
      </c>
      <c r="D124" s="16">
        <f>Catalog!O124</f>
        <v>0</v>
      </c>
      <c r="E124" s="16">
        <f>Catalog!F124</f>
        <v>0</v>
      </c>
      <c r="F124" s="16" t="str">
        <f>IF(Catalog!X124="","",Catalog!X124&amp;" "&amp;Catalog!Y124)</f>
        <v/>
      </c>
      <c r="G124" s="8"/>
    </row>
    <row r="125" spans="1:7" ht="15.75" x14ac:dyDescent="0.25">
      <c r="A125" s="14" t="str">
        <f>Catalog!A125</f>
        <v/>
      </c>
      <c r="B125" s="14" t="str">
        <f>Catalog!C125</f>
        <v/>
      </c>
      <c r="C125" s="16">
        <f>Catalog!D125</f>
        <v>0</v>
      </c>
      <c r="D125" s="16">
        <f>Catalog!O125</f>
        <v>0</v>
      </c>
      <c r="E125" s="16">
        <f>Catalog!F125</f>
        <v>0</v>
      </c>
      <c r="F125" s="16" t="str">
        <f>IF(Catalog!X125="","",Catalog!X125&amp;" "&amp;Catalog!Y125)</f>
        <v/>
      </c>
      <c r="G125" s="8"/>
    </row>
    <row r="126" spans="1:7" ht="15.75" x14ac:dyDescent="0.25">
      <c r="A126" s="14" t="str">
        <f>Catalog!A126</f>
        <v/>
      </c>
      <c r="B126" s="14" t="str">
        <f>Catalog!C126</f>
        <v/>
      </c>
      <c r="C126" s="16">
        <f>Catalog!D126</f>
        <v>0</v>
      </c>
      <c r="D126" s="16">
        <f>Catalog!O126</f>
        <v>0</v>
      </c>
      <c r="E126" s="16">
        <f>Catalog!F126</f>
        <v>0</v>
      </c>
      <c r="F126" s="16" t="str">
        <f>IF(Catalog!X126="","",Catalog!X126&amp;" "&amp;Catalog!Y126)</f>
        <v/>
      </c>
      <c r="G126" s="8"/>
    </row>
    <row r="127" spans="1:7" ht="15.75" x14ac:dyDescent="0.25">
      <c r="A127" s="14" t="str">
        <f>Catalog!A127</f>
        <v/>
      </c>
      <c r="B127" s="14" t="str">
        <f>Catalog!C127</f>
        <v/>
      </c>
      <c r="C127" s="16">
        <f>Catalog!D127</f>
        <v>0</v>
      </c>
      <c r="D127" s="16">
        <f>Catalog!O127</f>
        <v>0</v>
      </c>
      <c r="E127" s="16">
        <f>Catalog!F127</f>
        <v>0</v>
      </c>
      <c r="F127" s="16" t="str">
        <f>IF(Catalog!X127="","",Catalog!X127&amp;" "&amp;Catalog!Y127)</f>
        <v/>
      </c>
      <c r="G127" s="8"/>
    </row>
    <row r="128" spans="1:7" ht="15.75" x14ac:dyDescent="0.25">
      <c r="A128" s="14" t="str">
        <f>Catalog!A128</f>
        <v/>
      </c>
      <c r="B128" s="14" t="str">
        <f>Catalog!C128</f>
        <v/>
      </c>
      <c r="C128" s="16">
        <f>Catalog!D128</f>
        <v>0</v>
      </c>
      <c r="D128" s="16">
        <f>Catalog!O128</f>
        <v>0</v>
      </c>
      <c r="E128" s="16">
        <f>Catalog!F128</f>
        <v>0</v>
      </c>
      <c r="F128" s="16" t="str">
        <f>IF(Catalog!X128="","",Catalog!X128&amp;" "&amp;Catalog!Y128)</f>
        <v/>
      </c>
      <c r="G128" s="8"/>
    </row>
    <row r="129" spans="1:7" ht="15.75" x14ac:dyDescent="0.25">
      <c r="A129" s="14" t="str">
        <f>Catalog!A129</f>
        <v/>
      </c>
      <c r="B129" s="14" t="str">
        <f>Catalog!C129</f>
        <v/>
      </c>
      <c r="C129" s="16">
        <f>Catalog!D129</f>
        <v>0</v>
      </c>
      <c r="D129" s="16">
        <f>Catalog!O129</f>
        <v>0</v>
      </c>
      <c r="E129" s="16">
        <f>Catalog!F129</f>
        <v>0</v>
      </c>
      <c r="F129" s="16" t="str">
        <f>IF(Catalog!X129="","",Catalog!X129&amp;" "&amp;Catalog!Y129)</f>
        <v/>
      </c>
      <c r="G129" s="8"/>
    </row>
    <row r="130" spans="1:7" ht="15.75" x14ac:dyDescent="0.25">
      <c r="A130" s="14" t="str">
        <f>Catalog!A130</f>
        <v/>
      </c>
      <c r="B130" s="14" t="str">
        <f>Catalog!C130</f>
        <v/>
      </c>
      <c r="C130" s="16">
        <f>Catalog!D130</f>
        <v>0</v>
      </c>
      <c r="D130" s="16">
        <f>Catalog!O130</f>
        <v>0</v>
      </c>
      <c r="E130" s="16">
        <f>Catalog!F130</f>
        <v>0</v>
      </c>
      <c r="F130" s="16" t="str">
        <f>IF(Catalog!X130="","",Catalog!X130&amp;" "&amp;Catalog!Y130)</f>
        <v/>
      </c>
      <c r="G130" s="8"/>
    </row>
    <row r="131" spans="1:7" ht="15.75" x14ac:dyDescent="0.25">
      <c r="A131" s="14" t="str">
        <f>Catalog!A131</f>
        <v/>
      </c>
      <c r="B131" s="14" t="str">
        <f>Catalog!C131</f>
        <v/>
      </c>
      <c r="C131" s="16">
        <f>Catalog!D131</f>
        <v>0</v>
      </c>
      <c r="D131" s="16">
        <f>Catalog!O131</f>
        <v>0</v>
      </c>
      <c r="E131" s="16">
        <f>Catalog!F131</f>
        <v>0</v>
      </c>
      <c r="F131" s="16" t="str">
        <f>IF(Catalog!X131="","",Catalog!X131&amp;" "&amp;Catalog!Y131)</f>
        <v/>
      </c>
      <c r="G131" s="8"/>
    </row>
    <row r="132" spans="1:7" ht="15.75" x14ac:dyDescent="0.25">
      <c r="A132" s="14" t="str">
        <f>Catalog!A132</f>
        <v/>
      </c>
      <c r="B132" s="14" t="str">
        <f>Catalog!C132</f>
        <v/>
      </c>
      <c r="C132" s="16">
        <f>Catalog!D132</f>
        <v>0</v>
      </c>
      <c r="D132" s="16">
        <f>Catalog!O132</f>
        <v>0</v>
      </c>
      <c r="E132" s="16">
        <f>Catalog!F132</f>
        <v>0</v>
      </c>
      <c r="F132" s="16" t="str">
        <f>IF(Catalog!X132="","",Catalog!X132&amp;" "&amp;Catalog!Y132)</f>
        <v/>
      </c>
      <c r="G132" s="8"/>
    </row>
    <row r="133" spans="1:7" ht="15.75" x14ac:dyDescent="0.25">
      <c r="A133" s="14" t="str">
        <f>Catalog!A133</f>
        <v/>
      </c>
      <c r="B133" s="14" t="str">
        <f>Catalog!C133</f>
        <v/>
      </c>
      <c r="C133" s="16">
        <f>Catalog!D133</f>
        <v>0</v>
      </c>
      <c r="D133" s="16">
        <f>Catalog!O133</f>
        <v>0</v>
      </c>
      <c r="E133" s="16">
        <f>Catalog!F133</f>
        <v>0</v>
      </c>
      <c r="F133" s="16" t="str">
        <f>IF(Catalog!X133="","",Catalog!X133&amp;" "&amp;Catalog!Y133)</f>
        <v/>
      </c>
      <c r="G133" s="8"/>
    </row>
    <row r="134" spans="1:7" ht="15.75" x14ac:dyDescent="0.25">
      <c r="A134" s="14" t="str">
        <f>Catalog!A134</f>
        <v/>
      </c>
      <c r="B134" s="14" t="str">
        <f>Catalog!C134</f>
        <v/>
      </c>
      <c r="C134" s="16">
        <f>Catalog!D134</f>
        <v>0</v>
      </c>
      <c r="D134" s="16">
        <f>Catalog!O134</f>
        <v>0</v>
      </c>
      <c r="E134" s="16">
        <f>Catalog!F134</f>
        <v>0</v>
      </c>
      <c r="F134" s="16" t="str">
        <f>IF(Catalog!X134="","",Catalog!X134&amp;" "&amp;Catalog!Y134)</f>
        <v/>
      </c>
      <c r="G134" s="8"/>
    </row>
    <row r="135" spans="1:7" ht="15.75" x14ac:dyDescent="0.25">
      <c r="A135" s="14" t="str">
        <f>Catalog!A135</f>
        <v/>
      </c>
      <c r="B135" s="14" t="str">
        <f>Catalog!C135</f>
        <v/>
      </c>
      <c r="C135" s="16">
        <f>Catalog!D135</f>
        <v>0</v>
      </c>
      <c r="D135" s="16">
        <f>Catalog!O135</f>
        <v>0</v>
      </c>
      <c r="E135" s="16">
        <f>Catalog!F135</f>
        <v>0</v>
      </c>
      <c r="F135" s="16" t="str">
        <f>IF(Catalog!X135="","",Catalog!X135&amp;" "&amp;Catalog!Y135)</f>
        <v/>
      </c>
      <c r="G135" s="8"/>
    </row>
    <row r="136" spans="1:7" ht="15.75" x14ac:dyDescent="0.25">
      <c r="A136" s="14" t="str">
        <f>Catalog!A136</f>
        <v/>
      </c>
      <c r="B136" s="14" t="str">
        <f>Catalog!C136</f>
        <v/>
      </c>
      <c r="C136" s="16">
        <f>Catalog!D136</f>
        <v>0</v>
      </c>
      <c r="D136" s="16">
        <f>Catalog!O136</f>
        <v>0</v>
      </c>
      <c r="E136" s="16">
        <f>Catalog!F136</f>
        <v>0</v>
      </c>
      <c r="F136" s="16" t="str">
        <f>IF(Catalog!X136="","",Catalog!X136&amp;" "&amp;Catalog!Y136)</f>
        <v/>
      </c>
      <c r="G136" s="8"/>
    </row>
    <row r="137" spans="1:7" ht="15.75" x14ac:dyDescent="0.25">
      <c r="A137" s="14" t="str">
        <f>Catalog!A137</f>
        <v/>
      </c>
      <c r="B137" s="14" t="str">
        <f>Catalog!C137</f>
        <v/>
      </c>
      <c r="C137" s="16">
        <f>Catalog!D137</f>
        <v>0</v>
      </c>
      <c r="D137" s="16">
        <f>Catalog!O137</f>
        <v>0</v>
      </c>
      <c r="E137" s="16">
        <f>Catalog!F137</f>
        <v>0</v>
      </c>
      <c r="F137" s="16" t="str">
        <f>IF(Catalog!X137="","",Catalog!X137&amp;" "&amp;Catalog!Y137)</f>
        <v/>
      </c>
      <c r="G137" s="8"/>
    </row>
    <row r="138" spans="1:7" ht="15.75" x14ac:dyDescent="0.25">
      <c r="A138" s="14" t="str">
        <f>Catalog!A138</f>
        <v/>
      </c>
      <c r="B138" s="14" t="str">
        <f>Catalog!C138</f>
        <v/>
      </c>
      <c r="C138" s="16">
        <f>Catalog!D138</f>
        <v>0</v>
      </c>
      <c r="D138" s="16">
        <f>Catalog!O138</f>
        <v>0</v>
      </c>
      <c r="E138" s="16">
        <f>Catalog!F138</f>
        <v>0</v>
      </c>
      <c r="F138" s="16" t="str">
        <f>IF(Catalog!X138="","",Catalog!X138&amp;" "&amp;Catalog!Y138)</f>
        <v/>
      </c>
      <c r="G138" s="8"/>
    </row>
    <row r="139" spans="1:7" ht="15.75" x14ac:dyDescent="0.25">
      <c r="A139" s="14" t="str">
        <f>Catalog!A139</f>
        <v/>
      </c>
      <c r="B139" s="14" t="str">
        <f>Catalog!C139</f>
        <v/>
      </c>
      <c r="C139" s="16">
        <f>Catalog!D139</f>
        <v>0</v>
      </c>
      <c r="D139" s="16">
        <f>Catalog!O139</f>
        <v>0</v>
      </c>
      <c r="E139" s="16">
        <f>Catalog!F139</f>
        <v>0</v>
      </c>
      <c r="F139" s="16" t="str">
        <f>IF(Catalog!X139="","",Catalog!X139&amp;" "&amp;Catalog!Y139)</f>
        <v/>
      </c>
      <c r="G139" s="8"/>
    </row>
    <row r="140" spans="1:7" ht="15.75" x14ac:dyDescent="0.25">
      <c r="A140" s="14" t="str">
        <f>Catalog!A140</f>
        <v/>
      </c>
      <c r="B140" s="14" t="str">
        <f>Catalog!C140</f>
        <v/>
      </c>
      <c r="C140" s="16">
        <f>Catalog!D140</f>
        <v>0</v>
      </c>
      <c r="D140" s="16">
        <f>Catalog!O140</f>
        <v>0</v>
      </c>
      <c r="E140" s="16">
        <f>Catalog!F140</f>
        <v>0</v>
      </c>
      <c r="F140" s="16" t="str">
        <f>IF(Catalog!X140="","",Catalog!X140&amp;" "&amp;Catalog!Y140)</f>
        <v/>
      </c>
      <c r="G140" s="8"/>
    </row>
    <row r="141" spans="1:7" ht="15.75" x14ac:dyDescent="0.25">
      <c r="A141" s="14" t="str">
        <f>Catalog!A141</f>
        <v/>
      </c>
      <c r="B141" s="14" t="str">
        <f>Catalog!C141</f>
        <v/>
      </c>
      <c r="C141" s="16">
        <f>Catalog!D141</f>
        <v>0</v>
      </c>
      <c r="D141" s="16">
        <f>Catalog!O141</f>
        <v>0</v>
      </c>
      <c r="E141" s="16">
        <f>Catalog!F141</f>
        <v>0</v>
      </c>
      <c r="F141" s="16" t="str">
        <f>IF(Catalog!X141="","",Catalog!X141&amp;" "&amp;Catalog!Y141)</f>
        <v/>
      </c>
      <c r="G141" s="8"/>
    </row>
    <row r="142" spans="1:7" ht="15.75" x14ac:dyDescent="0.25">
      <c r="A142" s="14" t="str">
        <f>Catalog!A142</f>
        <v/>
      </c>
      <c r="B142" s="14" t="str">
        <f>Catalog!C142</f>
        <v/>
      </c>
      <c r="C142" s="16">
        <f>Catalog!D142</f>
        <v>0</v>
      </c>
      <c r="D142" s="16">
        <f>Catalog!O142</f>
        <v>0</v>
      </c>
      <c r="E142" s="16">
        <f>Catalog!F142</f>
        <v>0</v>
      </c>
      <c r="F142" s="16" t="str">
        <f>IF(Catalog!X142="","",Catalog!X142&amp;" "&amp;Catalog!Y142)</f>
        <v/>
      </c>
      <c r="G142" s="8"/>
    </row>
    <row r="143" spans="1:7" ht="15.75" x14ac:dyDescent="0.25">
      <c r="A143" s="14" t="str">
        <f>Catalog!A143</f>
        <v/>
      </c>
      <c r="B143" s="14" t="str">
        <f>Catalog!C143</f>
        <v/>
      </c>
      <c r="C143" s="16">
        <f>Catalog!D143</f>
        <v>0</v>
      </c>
      <c r="D143" s="16">
        <f>Catalog!O143</f>
        <v>0</v>
      </c>
      <c r="E143" s="16">
        <f>Catalog!F143</f>
        <v>0</v>
      </c>
      <c r="F143" s="16" t="str">
        <f>IF(Catalog!X143="","",Catalog!X143&amp;" "&amp;Catalog!Y143)</f>
        <v/>
      </c>
      <c r="G143" s="8"/>
    </row>
    <row r="144" spans="1:7" ht="15.75" x14ac:dyDescent="0.25">
      <c r="A144" s="14" t="str">
        <f>Catalog!A144</f>
        <v/>
      </c>
      <c r="B144" s="14" t="str">
        <f>Catalog!C144</f>
        <v/>
      </c>
      <c r="C144" s="16">
        <f>Catalog!D144</f>
        <v>0</v>
      </c>
      <c r="D144" s="16">
        <f>Catalog!O144</f>
        <v>0</v>
      </c>
      <c r="E144" s="16">
        <f>Catalog!F144</f>
        <v>0</v>
      </c>
      <c r="F144" s="16" t="str">
        <f>IF(Catalog!X144="","",Catalog!X144&amp;" "&amp;Catalog!Y144)</f>
        <v/>
      </c>
      <c r="G144" s="8"/>
    </row>
    <row r="145" spans="1:7" ht="15.75" x14ac:dyDescent="0.25">
      <c r="A145" s="14" t="str">
        <f>Catalog!A145</f>
        <v/>
      </c>
      <c r="B145" s="14" t="str">
        <f>Catalog!C145</f>
        <v/>
      </c>
      <c r="C145" s="16">
        <f>Catalog!D145</f>
        <v>0</v>
      </c>
      <c r="D145" s="16">
        <f>Catalog!O145</f>
        <v>0</v>
      </c>
      <c r="E145" s="16">
        <f>Catalog!F145</f>
        <v>0</v>
      </c>
      <c r="F145" s="16" t="str">
        <f>IF(Catalog!X145="","",Catalog!X145&amp;" "&amp;Catalog!Y145)</f>
        <v/>
      </c>
      <c r="G145" s="8"/>
    </row>
    <row r="146" spans="1:7" ht="15.75" x14ac:dyDescent="0.25">
      <c r="A146" s="14" t="str">
        <f>Catalog!A146</f>
        <v/>
      </c>
      <c r="B146" s="14" t="str">
        <f>Catalog!C146</f>
        <v/>
      </c>
      <c r="C146" s="16">
        <f>Catalog!D146</f>
        <v>0</v>
      </c>
      <c r="D146" s="16">
        <f>Catalog!O146</f>
        <v>0</v>
      </c>
      <c r="E146" s="16">
        <f>Catalog!F146</f>
        <v>0</v>
      </c>
      <c r="F146" s="16" t="str">
        <f>IF(Catalog!X146="","",Catalog!X146&amp;" "&amp;Catalog!Y146)</f>
        <v/>
      </c>
      <c r="G146" s="8"/>
    </row>
    <row r="147" spans="1:7" ht="15.75" x14ac:dyDescent="0.25">
      <c r="A147" s="14" t="str">
        <f>Catalog!A147</f>
        <v/>
      </c>
      <c r="B147" s="14" t="str">
        <f>Catalog!C147</f>
        <v/>
      </c>
      <c r="C147" s="16">
        <f>Catalog!D147</f>
        <v>0</v>
      </c>
      <c r="D147" s="16">
        <f>Catalog!O147</f>
        <v>0</v>
      </c>
      <c r="E147" s="16">
        <f>Catalog!F147</f>
        <v>0</v>
      </c>
      <c r="F147" s="16" t="str">
        <f>IF(Catalog!X147="","",Catalog!X147&amp;" "&amp;Catalog!Y147)</f>
        <v/>
      </c>
      <c r="G147" s="8"/>
    </row>
    <row r="148" spans="1:7" ht="15.75" x14ac:dyDescent="0.25">
      <c r="A148" s="14" t="str">
        <f>Catalog!A148</f>
        <v/>
      </c>
      <c r="B148" s="14" t="str">
        <f>Catalog!C148</f>
        <v/>
      </c>
      <c r="C148" s="16">
        <f>Catalog!D148</f>
        <v>0</v>
      </c>
      <c r="D148" s="16">
        <f>Catalog!O148</f>
        <v>0</v>
      </c>
      <c r="E148" s="16">
        <f>Catalog!F148</f>
        <v>0</v>
      </c>
      <c r="F148" s="16" t="str">
        <f>IF(Catalog!X148="","",Catalog!X148&amp;" "&amp;Catalog!Y148)</f>
        <v/>
      </c>
      <c r="G148" s="8"/>
    </row>
    <row r="149" spans="1:7" ht="15.75" x14ac:dyDescent="0.25">
      <c r="A149" s="14" t="str">
        <f>Catalog!A149</f>
        <v/>
      </c>
      <c r="B149" s="14" t="str">
        <f>Catalog!C149</f>
        <v/>
      </c>
      <c r="C149" s="16">
        <f>Catalog!D149</f>
        <v>0</v>
      </c>
      <c r="D149" s="16">
        <f>Catalog!O149</f>
        <v>0</v>
      </c>
      <c r="E149" s="16">
        <f>Catalog!F149</f>
        <v>0</v>
      </c>
      <c r="F149" s="16" t="str">
        <f>IF(Catalog!X149="","",Catalog!X149&amp;" "&amp;Catalog!Y149)</f>
        <v/>
      </c>
      <c r="G149" s="8"/>
    </row>
    <row r="150" spans="1:7" ht="15.75" x14ac:dyDescent="0.25">
      <c r="A150" s="14" t="str">
        <f>Catalog!A150</f>
        <v/>
      </c>
      <c r="B150" s="14" t="str">
        <f>Catalog!C150</f>
        <v/>
      </c>
      <c r="C150" s="16">
        <f>Catalog!D150</f>
        <v>0</v>
      </c>
      <c r="D150" s="16">
        <f>Catalog!O150</f>
        <v>0</v>
      </c>
      <c r="E150" s="16">
        <f>Catalog!F150</f>
        <v>0</v>
      </c>
      <c r="F150" s="16" t="str">
        <f>IF(Catalog!X150="","",Catalog!X150&amp;" "&amp;Catalog!Y150)</f>
        <v/>
      </c>
      <c r="G150" s="8"/>
    </row>
    <row r="151" spans="1:7" ht="15.75" x14ac:dyDescent="0.25">
      <c r="A151" s="14" t="str">
        <f>Catalog!A151</f>
        <v/>
      </c>
      <c r="B151" s="14" t="str">
        <f>Catalog!C151</f>
        <v/>
      </c>
      <c r="C151" s="16">
        <f>Catalog!D151</f>
        <v>0</v>
      </c>
      <c r="D151" s="16">
        <f>Catalog!O151</f>
        <v>0</v>
      </c>
      <c r="E151" s="16">
        <f>Catalog!F151</f>
        <v>0</v>
      </c>
      <c r="F151" s="16" t="str">
        <f>IF(Catalog!X151="","",Catalog!X151&amp;" "&amp;Catalog!Y151)</f>
        <v/>
      </c>
      <c r="G151" s="8"/>
    </row>
    <row r="152" spans="1:7" ht="15.75" x14ac:dyDescent="0.25">
      <c r="A152" s="14" t="str">
        <f>Catalog!A152</f>
        <v/>
      </c>
      <c r="B152" s="14" t="str">
        <f>Catalog!C152</f>
        <v/>
      </c>
      <c r="C152" s="16">
        <f>Catalog!D152</f>
        <v>0</v>
      </c>
      <c r="D152" s="16">
        <f>Catalog!O152</f>
        <v>0</v>
      </c>
      <c r="E152" s="16">
        <f>Catalog!F152</f>
        <v>0</v>
      </c>
      <c r="F152" s="16" t="str">
        <f>IF(Catalog!X152="","",Catalog!X152&amp;" "&amp;Catalog!Y152)</f>
        <v/>
      </c>
      <c r="G152" s="8"/>
    </row>
    <row r="153" spans="1:7" ht="15.75" x14ac:dyDescent="0.25">
      <c r="A153" s="14" t="str">
        <f>Catalog!A153</f>
        <v/>
      </c>
      <c r="B153" s="14" t="str">
        <f>Catalog!C153</f>
        <v/>
      </c>
      <c r="C153" s="16">
        <f>Catalog!D153</f>
        <v>0</v>
      </c>
      <c r="D153" s="16">
        <f>Catalog!O153</f>
        <v>0</v>
      </c>
      <c r="E153" s="16">
        <f>Catalog!F153</f>
        <v>0</v>
      </c>
      <c r="F153" s="16" t="str">
        <f>IF(Catalog!X153="","",Catalog!X153&amp;" "&amp;Catalog!Y153)</f>
        <v/>
      </c>
      <c r="G153" s="8"/>
    </row>
    <row r="154" spans="1:7" ht="15.75" x14ac:dyDescent="0.25">
      <c r="A154" s="14" t="str">
        <f>Catalog!A154</f>
        <v/>
      </c>
      <c r="B154" s="14" t="str">
        <f>Catalog!C154</f>
        <v/>
      </c>
      <c r="C154" s="16">
        <f>Catalog!D154</f>
        <v>0</v>
      </c>
      <c r="D154" s="16">
        <f>Catalog!O154</f>
        <v>0</v>
      </c>
      <c r="E154" s="16">
        <f>Catalog!F154</f>
        <v>0</v>
      </c>
      <c r="F154" s="16" t="str">
        <f>IF(Catalog!X154="","",Catalog!X154&amp;" "&amp;Catalog!Y154)</f>
        <v/>
      </c>
      <c r="G154" s="8"/>
    </row>
    <row r="155" spans="1:7" ht="15.75" x14ac:dyDescent="0.25">
      <c r="A155" s="14" t="str">
        <f>Catalog!A155</f>
        <v/>
      </c>
      <c r="B155" s="14" t="str">
        <f>Catalog!C155</f>
        <v/>
      </c>
      <c r="C155" s="16">
        <f>Catalog!D155</f>
        <v>0</v>
      </c>
      <c r="D155" s="16">
        <f>Catalog!O155</f>
        <v>0</v>
      </c>
      <c r="E155" s="16">
        <f>Catalog!F155</f>
        <v>0</v>
      </c>
      <c r="F155" s="16" t="str">
        <f>IF(Catalog!X155="","",Catalog!X155&amp;" "&amp;Catalog!Y155)</f>
        <v/>
      </c>
      <c r="G155" s="8"/>
    </row>
    <row r="156" spans="1:7" ht="15.75" x14ac:dyDescent="0.25">
      <c r="A156" s="14" t="str">
        <f>Catalog!A156</f>
        <v/>
      </c>
      <c r="B156" s="14" t="str">
        <f>Catalog!C156</f>
        <v/>
      </c>
      <c r="C156" s="16">
        <f>Catalog!D156</f>
        <v>0</v>
      </c>
      <c r="D156" s="16">
        <f>Catalog!O156</f>
        <v>0</v>
      </c>
      <c r="E156" s="16">
        <f>Catalog!F156</f>
        <v>0</v>
      </c>
      <c r="F156" s="16" t="str">
        <f>IF(Catalog!X156="","",Catalog!X156&amp;" "&amp;Catalog!Y156)</f>
        <v/>
      </c>
      <c r="G156" s="8"/>
    </row>
    <row r="157" spans="1:7" ht="15.75" x14ac:dyDescent="0.25">
      <c r="A157" s="14" t="str">
        <f>Catalog!A157</f>
        <v/>
      </c>
      <c r="B157" s="14" t="str">
        <f>Catalog!C157</f>
        <v/>
      </c>
      <c r="C157" s="16">
        <f>Catalog!D157</f>
        <v>0</v>
      </c>
      <c r="D157" s="16">
        <f>Catalog!O157</f>
        <v>0</v>
      </c>
      <c r="E157" s="16">
        <f>Catalog!F157</f>
        <v>0</v>
      </c>
      <c r="F157" s="16" t="str">
        <f>IF(Catalog!X157="","",Catalog!X157&amp;" "&amp;Catalog!Y157)</f>
        <v/>
      </c>
      <c r="G157" s="8"/>
    </row>
    <row r="158" spans="1:7" ht="15.75" x14ac:dyDescent="0.25">
      <c r="A158" s="14" t="str">
        <f>Catalog!A158</f>
        <v/>
      </c>
      <c r="B158" s="14" t="str">
        <f>Catalog!C158</f>
        <v/>
      </c>
      <c r="C158" s="16">
        <f>Catalog!D158</f>
        <v>0</v>
      </c>
      <c r="D158" s="16">
        <f>Catalog!O158</f>
        <v>0</v>
      </c>
      <c r="E158" s="16">
        <f>Catalog!F158</f>
        <v>0</v>
      </c>
      <c r="F158" s="16" t="str">
        <f>IF(Catalog!X158="","",Catalog!X158&amp;" "&amp;Catalog!Y158)</f>
        <v/>
      </c>
      <c r="G158" s="8"/>
    </row>
    <row r="159" spans="1:7" ht="15.75" x14ac:dyDescent="0.25">
      <c r="A159" s="14" t="str">
        <f>Catalog!A159</f>
        <v/>
      </c>
      <c r="B159" s="14" t="str">
        <f>Catalog!C159</f>
        <v/>
      </c>
      <c r="C159" s="16">
        <f>Catalog!D159</f>
        <v>0</v>
      </c>
      <c r="D159" s="16">
        <f>Catalog!O159</f>
        <v>0</v>
      </c>
      <c r="E159" s="16">
        <f>Catalog!F159</f>
        <v>0</v>
      </c>
      <c r="F159" s="16" t="str">
        <f>IF(Catalog!X159="","",Catalog!X159&amp;" "&amp;Catalog!Y159)</f>
        <v/>
      </c>
      <c r="G159" s="8"/>
    </row>
    <row r="160" spans="1:7" ht="15.75" x14ac:dyDescent="0.25">
      <c r="A160" s="14" t="str">
        <f>Catalog!A160</f>
        <v/>
      </c>
      <c r="B160" s="14" t="str">
        <f>Catalog!C160</f>
        <v/>
      </c>
      <c r="C160" s="16">
        <f>Catalog!D160</f>
        <v>0</v>
      </c>
      <c r="D160" s="16">
        <f>Catalog!O160</f>
        <v>0</v>
      </c>
      <c r="E160" s="16">
        <f>Catalog!F160</f>
        <v>0</v>
      </c>
      <c r="F160" s="16" t="str">
        <f>IF(Catalog!X160="","",Catalog!X160&amp;" "&amp;Catalog!Y160)</f>
        <v/>
      </c>
      <c r="G160" s="8"/>
    </row>
    <row r="161" spans="1:7" ht="15.75" x14ac:dyDescent="0.25">
      <c r="A161" s="14" t="str">
        <f>Catalog!A161</f>
        <v/>
      </c>
      <c r="B161" s="14" t="str">
        <f>Catalog!C161</f>
        <v/>
      </c>
      <c r="C161" s="16">
        <f>Catalog!D161</f>
        <v>0</v>
      </c>
      <c r="D161" s="16">
        <f>Catalog!O161</f>
        <v>0</v>
      </c>
      <c r="E161" s="16">
        <f>Catalog!F161</f>
        <v>0</v>
      </c>
      <c r="F161" s="16" t="str">
        <f>IF(Catalog!X161="","",Catalog!X161&amp;" "&amp;Catalog!Y161)</f>
        <v/>
      </c>
      <c r="G161" s="8"/>
    </row>
    <row r="162" spans="1:7" ht="15.75" x14ac:dyDescent="0.25">
      <c r="A162" s="14" t="str">
        <f>Catalog!A162</f>
        <v/>
      </c>
      <c r="B162" s="14" t="str">
        <f>Catalog!C162</f>
        <v/>
      </c>
      <c r="C162" s="16">
        <f>Catalog!D162</f>
        <v>0</v>
      </c>
      <c r="D162" s="16">
        <f>Catalog!O162</f>
        <v>0</v>
      </c>
      <c r="E162" s="16">
        <f>Catalog!F162</f>
        <v>0</v>
      </c>
      <c r="F162" s="16" t="str">
        <f>IF(Catalog!X162="","",Catalog!X162&amp;" "&amp;Catalog!Y162)</f>
        <v/>
      </c>
      <c r="G162" s="8"/>
    </row>
    <row r="163" spans="1:7" ht="15.75" x14ac:dyDescent="0.25">
      <c r="A163" s="14" t="str">
        <f>Catalog!A163</f>
        <v/>
      </c>
      <c r="B163" s="14" t="str">
        <f>Catalog!C163</f>
        <v/>
      </c>
      <c r="C163" s="16">
        <f>Catalog!D163</f>
        <v>0</v>
      </c>
      <c r="D163" s="16">
        <f>Catalog!O163</f>
        <v>0</v>
      </c>
      <c r="E163" s="16">
        <f>Catalog!F163</f>
        <v>0</v>
      </c>
      <c r="F163" s="16" t="str">
        <f>IF(Catalog!X163="","",Catalog!X163&amp;" "&amp;Catalog!Y163)</f>
        <v/>
      </c>
      <c r="G163" s="8"/>
    </row>
    <row r="164" spans="1:7" ht="15.75" x14ac:dyDescent="0.25">
      <c r="A164" s="14" t="str">
        <f>Catalog!A164</f>
        <v/>
      </c>
      <c r="B164" s="14" t="str">
        <f>Catalog!C164</f>
        <v/>
      </c>
      <c r="C164" s="16">
        <f>Catalog!D164</f>
        <v>0</v>
      </c>
      <c r="D164" s="16">
        <f>Catalog!O164</f>
        <v>0</v>
      </c>
      <c r="E164" s="16">
        <f>Catalog!F164</f>
        <v>0</v>
      </c>
      <c r="F164" s="16" t="str">
        <f>IF(Catalog!X164="","",Catalog!X164&amp;" "&amp;Catalog!Y164)</f>
        <v/>
      </c>
      <c r="G164" s="8"/>
    </row>
    <row r="165" spans="1:7" ht="15.75" x14ac:dyDescent="0.25">
      <c r="A165" s="14" t="str">
        <f>Catalog!A165</f>
        <v/>
      </c>
      <c r="B165" s="14" t="str">
        <f>Catalog!C165</f>
        <v/>
      </c>
      <c r="C165" s="16">
        <f>Catalog!D165</f>
        <v>0</v>
      </c>
      <c r="D165" s="16">
        <f>Catalog!O165</f>
        <v>0</v>
      </c>
      <c r="E165" s="16">
        <f>Catalog!F165</f>
        <v>0</v>
      </c>
      <c r="F165" s="16" t="str">
        <f>IF(Catalog!X165="","",Catalog!X165&amp;" "&amp;Catalog!Y165)</f>
        <v/>
      </c>
      <c r="G165" s="8"/>
    </row>
    <row r="166" spans="1:7" ht="15.75" x14ac:dyDescent="0.25">
      <c r="A166" s="14" t="str">
        <f>Catalog!A166</f>
        <v/>
      </c>
      <c r="B166" s="14" t="str">
        <f>Catalog!C166</f>
        <v/>
      </c>
      <c r="C166" s="16">
        <f>Catalog!D166</f>
        <v>0</v>
      </c>
      <c r="D166" s="16">
        <f>Catalog!O166</f>
        <v>0</v>
      </c>
      <c r="E166" s="16">
        <f>Catalog!F166</f>
        <v>0</v>
      </c>
      <c r="F166" s="16" t="str">
        <f>IF(Catalog!X166="","",Catalog!X166&amp;" "&amp;Catalog!Y166)</f>
        <v/>
      </c>
      <c r="G166" s="8"/>
    </row>
    <row r="167" spans="1:7" ht="15.75" x14ac:dyDescent="0.25">
      <c r="A167" s="14" t="str">
        <f>Catalog!A167</f>
        <v/>
      </c>
      <c r="B167" s="14" t="str">
        <f>Catalog!C167</f>
        <v/>
      </c>
      <c r="C167" s="16">
        <f>Catalog!D167</f>
        <v>0</v>
      </c>
      <c r="D167" s="16">
        <f>Catalog!O167</f>
        <v>0</v>
      </c>
      <c r="E167" s="16">
        <f>Catalog!F167</f>
        <v>0</v>
      </c>
      <c r="F167" s="16" t="str">
        <f>IF(Catalog!X167="","",Catalog!X167&amp;" "&amp;Catalog!Y167)</f>
        <v/>
      </c>
      <c r="G167" s="8"/>
    </row>
    <row r="168" spans="1:7" ht="15.75" x14ac:dyDescent="0.25">
      <c r="A168" s="14" t="str">
        <f>Catalog!A168</f>
        <v/>
      </c>
      <c r="B168" s="14" t="str">
        <f>Catalog!C168</f>
        <v/>
      </c>
      <c r="C168" s="16">
        <f>Catalog!D168</f>
        <v>0</v>
      </c>
      <c r="D168" s="16">
        <f>Catalog!O168</f>
        <v>0</v>
      </c>
      <c r="E168" s="16">
        <f>Catalog!F168</f>
        <v>0</v>
      </c>
      <c r="F168" s="16" t="str">
        <f>IF(Catalog!X168="","",Catalog!X168&amp;" "&amp;Catalog!Y168)</f>
        <v/>
      </c>
      <c r="G168" s="8"/>
    </row>
    <row r="169" spans="1:7" ht="15.75" x14ac:dyDescent="0.25">
      <c r="A169" s="14" t="str">
        <f>Catalog!A169</f>
        <v/>
      </c>
      <c r="B169" s="14" t="str">
        <f>Catalog!C169</f>
        <v/>
      </c>
      <c r="C169" s="16">
        <f>Catalog!D169</f>
        <v>0</v>
      </c>
      <c r="D169" s="16">
        <f>Catalog!O169</f>
        <v>0</v>
      </c>
      <c r="E169" s="16">
        <f>Catalog!F169</f>
        <v>0</v>
      </c>
      <c r="F169" s="16" t="str">
        <f>IF(Catalog!X169="","",Catalog!X169&amp;" "&amp;Catalog!Y169)</f>
        <v/>
      </c>
      <c r="G169" s="8"/>
    </row>
    <row r="170" spans="1:7" ht="15.75" x14ac:dyDescent="0.25">
      <c r="A170" s="14" t="str">
        <f>Catalog!A170</f>
        <v/>
      </c>
      <c r="B170" s="14" t="str">
        <f>Catalog!C170</f>
        <v/>
      </c>
      <c r="C170" s="16">
        <f>Catalog!D170</f>
        <v>0</v>
      </c>
      <c r="D170" s="16">
        <f>Catalog!O170</f>
        <v>0</v>
      </c>
      <c r="E170" s="16">
        <f>Catalog!F170</f>
        <v>0</v>
      </c>
      <c r="F170" s="16" t="str">
        <f>IF(Catalog!X170="","",Catalog!X170&amp;" "&amp;Catalog!Y170)</f>
        <v/>
      </c>
      <c r="G170" s="8"/>
    </row>
    <row r="171" spans="1:7" ht="15.75" x14ac:dyDescent="0.25">
      <c r="A171" s="14" t="str">
        <f>Catalog!A171</f>
        <v/>
      </c>
      <c r="B171" s="14" t="str">
        <f>Catalog!C171</f>
        <v/>
      </c>
      <c r="C171" s="16">
        <f>Catalog!D171</f>
        <v>0</v>
      </c>
      <c r="D171" s="16">
        <f>Catalog!O171</f>
        <v>0</v>
      </c>
      <c r="E171" s="16">
        <f>Catalog!F171</f>
        <v>0</v>
      </c>
      <c r="F171" s="16" t="str">
        <f>IF(Catalog!X171="","",Catalog!X171&amp;" "&amp;Catalog!Y171)</f>
        <v/>
      </c>
      <c r="G171" s="8"/>
    </row>
    <row r="172" spans="1:7" ht="15.75" x14ac:dyDescent="0.25">
      <c r="A172" s="14" t="str">
        <f>Catalog!A172</f>
        <v/>
      </c>
      <c r="B172" s="14" t="str">
        <f>Catalog!C172</f>
        <v/>
      </c>
      <c r="C172" s="16">
        <f>Catalog!D172</f>
        <v>0</v>
      </c>
      <c r="D172" s="16">
        <f>Catalog!O172</f>
        <v>0</v>
      </c>
      <c r="E172" s="16">
        <f>Catalog!F172</f>
        <v>0</v>
      </c>
      <c r="F172" s="16" t="str">
        <f>IF(Catalog!X172="","",Catalog!X172&amp;" "&amp;Catalog!Y172)</f>
        <v/>
      </c>
      <c r="G172" s="8"/>
    </row>
    <row r="173" spans="1:7" ht="15.75" x14ac:dyDescent="0.25">
      <c r="A173" s="14" t="str">
        <f>Catalog!A173</f>
        <v/>
      </c>
      <c r="B173" s="14" t="str">
        <f>Catalog!C173</f>
        <v/>
      </c>
      <c r="C173" s="16">
        <f>Catalog!D173</f>
        <v>0</v>
      </c>
      <c r="D173" s="16">
        <f>Catalog!O173</f>
        <v>0</v>
      </c>
      <c r="E173" s="16">
        <f>Catalog!F173</f>
        <v>0</v>
      </c>
      <c r="F173" s="16" t="str">
        <f>IF(Catalog!X173="","",Catalog!X173&amp;" "&amp;Catalog!Y173)</f>
        <v/>
      </c>
      <c r="G173" s="8"/>
    </row>
    <row r="174" spans="1:7" ht="15.75" x14ac:dyDescent="0.25">
      <c r="A174" s="14" t="str">
        <f>Catalog!A174</f>
        <v/>
      </c>
      <c r="B174" s="14" t="str">
        <f>Catalog!C174</f>
        <v/>
      </c>
      <c r="C174" s="16">
        <f>Catalog!D174</f>
        <v>0</v>
      </c>
      <c r="D174" s="16">
        <f>Catalog!O174</f>
        <v>0</v>
      </c>
      <c r="E174" s="16">
        <f>Catalog!F174</f>
        <v>0</v>
      </c>
      <c r="F174" s="16" t="str">
        <f>IF(Catalog!X174="","",Catalog!X174&amp;" "&amp;Catalog!Y174)</f>
        <v/>
      </c>
      <c r="G174" s="8"/>
    </row>
    <row r="175" spans="1:7" ht="15.75" x14ac:dyDescent="0.25">
      <c r="A175" s="14" t="str">
        <f>Catalog!A175</f>
        <v/>
      </c>
      <c r="B175" s="14" t="str">
        <f>Catalog!C175</f>
        <v/>
      </c>
      <c r="C175" s="16">
        <f>Catalog!D175</f>
        <v>0</v>
      </c>
      <c r="D175" s="16">
        <f>Catalog!O175</f>
        <v>0</v>
      </c>
      <c r="E175" s="16">
        <f>Catalog!F175</f>
        <v>0</v>
      </c>
      <c r="F175" s="16" t="str">
        <f>IF(Catalog!X175="","",Catalog!X175&amp;" "&amp;Catalog!Y175)</f>
        <v/>
      </c>
      <c r="G175" s="8"/>
    </row>
    <row r="176" spans="1:7" ht="15.75" x14ac:dyDescent="0.25">
      <c r="A176" s="14" t="str">
        <f>Catalog!A176</f>
        <v/>
      </c>
      <c r="B176" s="14" t="str">
        <f>Catalog!C176</f>
        <v/>
      </c>
      <c r="C176" s="16">
        <f>Catalog!D176</f>
        <v>0</v>
      </c>
      <c r="D176" s="16">
        <f>Catalog!O176</f>
        <v>0</v>
      </c>
      <c r="E176" s="16">
        <f>Catalog!F176</f>
        <v>0</v>
      </c>
      <c r="F176" s="16" t="str">
        <f>IF(Catalog!X176="","",Catalog!X176&amp;" "&amp;Catalog!Y176)</f>
        <v/>
      </c>
      <c r="G176" s="8"/>
    </row>
    <row r="177" spans="1:7" ht="15.75" x14ac:dyDescent="0.25">
      <c r="A177" s="14" t="str">
        <f>Catalog!A177</f>
        <v/>
      </c>
      <c r="B177" s="14" t="str">
        <f>Catalog!C177</f>
        <v/>
      </c>
      <c r="C177" s="16">
        <f>Catalog!D177</f>
        <v>0</v>
      </c>
      <c r="D177" s="16">
        <f>Catalog!O177</f>
        <v>0</v>
      </c>
      <c r="E177" s="16">
        <f>Catalog!F177</f>
        <v>0</v>
      </c>
      <c r="F177" s="16" t="str">
        <f>IF(Catalog!X177="","",Catalog!X177&amp;" "&amp;Catalog!Y177)</f>
        <v/>
      </c>
      <c r="G177" s="8"/>
    </row>
    <row r="178" spans="1:7" ht="15.75" x14ac:dyDescent="0.25">
      <c r="A178" s="14" t="str">
        <f>Catalog!A178</f>
        <v/>
      </c>
      <c r="B178" s="14" t="str">
        <f>Catalog!C178</f>
        <v/>
      </c>
      <c r="C178" s="16">
        <f>Catalog!D178</f>
        <v>0</v>
      </c>
      <c r="D178" s="16">
        <f>Catalog!O178</f>
        <v>0</v>
      </c>
      <c r="E178" s="16">
        <f>Catalog!F178</f>
        <v>0</v>
      </c>
      <c r="F178" s="16" t="str">
        <f>IF(Catalog!X178="","",Catalog!X178&amp;" "&amp;Catalog!Y178)</f>
        <v/>
      </c>
      <c r="G178" s="8"/>
    </row>
    <row r="179" spans="1:7" ht="15.75" x14ac:dyDescent="0.25">
      <c r="A179" s="14" t="str">
        <f>Catalog!A179</f>
        <v/>
      </c>
      <c r="B179" s="14" t="str">
        <f>Catalog!C179</f>
        <v/>
      </c>
      <c r="C179" s="16">
        <f>Catalog!D179</f>
        <v>0</v>
      </c>
      <c r="D179" s="16">
        <f>Catalog!O179</f>
        <v>0</v>
      </c>
      <c r="E179" s="16">
        <f>Catalog!F179</f>
        <v>0</v>
      </c>
      <c r="F179" s="16" t="str">
        <f>IF(Catalog!X179="","",Catalog!X179&amp;" "&amp;Catalog!Y179)</f>
        <v/>
      </c>
      <c r="G179" s="8"/>
    </row>
    <row r="180" spans="1:7" ht="15.75" x14ac:dyDescent="0.25">
      <c r="A180" s="14" t="str">
        <f>Catalog!A180</f>
        <v/>
      </c>
      <c r="B180" s="14" t="str">
        <f>Catalog!C180</f>
        <v/>
      </c>
      <c r="C180" s="16">
        <f>Catalog!D180</f>
        <v>0</v>
      </c>
      <c r="D180" s="16">
        <f>Catalog!O180</f>
        <v>0</v>
      </c>
      <c r="E180" s="16">
        <f>Catalog!F180</f>
        <v>0</v>
      </c>
      <c r="F180" s="16" t="str">
        <f>IF(Catalog!X180="","",Catalog!X180&amp;" "&amp;Catalog!Y180)</f>
        <v/>
      </c>
      <c r="G180" s="8"/>
    </row>
    <row r="181" spans="1:7" ht="15.75" x14ac:dyDescent="0.25">
      <c r="A181" s="14" t="str">
        <f>Catalog!A181</f>
        <v/>
      </c>
      <c r="B181" s="14" t="str">
        <f>Catalog!C181</f>
        <v/>
      </c>
      <c r="C181" s="16">
        <f>Catalog!D181</f>
        <v>0</v>
      </c>
      <c r="D181" s="16">
        <f>Catalog!O181</f>
        <v>0</v>
      </c>
      <c r="E181" s="16">
        <f>Catalog!F181</f>
        <v>0</v>
      </c>
      <c r="F181" s="16" t="str">
        <f>IF(Catalog!X181="","",Catalog!X181&amp;" "&amp;Catalog!Y181)</f>
        <v/>
      </c>
      <c r="G181" s="8"/>
    </row>
    <row r="182" spans="1:7" ht="15.75" x14ac:dyDescent="0.25">
      <c r="A182" s="14" t="str">
        <f>Catalog!A182</f>
        <v/>
      </c>
      <c r="B182" s="14" t="str">
        <f>Catalog!C182</f>
        <v/>
      </c>
      <c r="C182" s="16">
        <f>Catalog!D182</f>
        <v>0</v>
      </c>
      <c r="D182" s="16">
        <f>Catalog!O182</f>
        <v>0</v>
      </c>
      <c r="E182" s="16">
        <f>Catalog!F182</f>
        <v>0</v>
      </c>
      <c r="F182" s="16" t="str">
        <f>IF(Catalog!X182="","",Catalog!X182&amp;" "&amp;Catalog!Y182)</f>
        <v/>
      </c>
      <c r="G182" s="8"/>
    </row>
    <row r="183" spans="1:7" ht="15.75" x14ac:dyDescent="0.25">
      <c r="A183" s="14" t="str">
        <f>Catalog!A183</f>
        <v/>
      </c>
      <c r="B183" s="14" t="str">
        <f>Catalog!C183</f>
        <v/>
      </c>
      <c r="C183" s="16">
        <f>Catalog!D183</f>
        <v>0</v>
      </c>
      <c r="D183" s="16">
        <f>Catalog!O183</f>
        <v>0</v>
      </c>
      <c r="E183" s="16">
        <f>Catalog!F183</f>
        <v>0</v>
      </c>
      <c r="F183" s="16" t="str">
        <f>IF(Catalog!X183="","",Catalog!X183&amp;" "&amp;Catalog!Y183)</f>
        <v/>
      </c>
      <c r="G183" s="8"/>
    </row>
    <row r="184" spans="1:7" ht="15.75" x14ac:dyDescent="0.25">
      <c r="A184" s="14" t="str">
        <f>Catalog!A184</f>
        <v/>
      </c>
      <c r="B184" s="14" t="str">
        <f>Catalog!C184</f>
        <v/>
      </c>
      <c r="C184" s="16">
        <f>Catalog!D184</f>
        <v>0</v>
      </c>
      <c r="D184" s="16">
        <f>Catalog!O184</f>
        <v>0</v>
      </c>
      <c r="E184" s="16">
        <f>Catalog!F184</f>
        <v>0</v>
      </c>
      <c r="F184" s="16" t="str">
        <f>IF(Catalog!X184="","",Catalog!X184&amp;" "&amp;Catalog!Y184)</f>
        <v/>
      </c>
      <c r="G184" s="8"/>
    </row>
    <row r="185" spans="1:7" ht="15.75" x14ac:dyDescent="0.25">
      <c r="A185" s="14" t="str">
        <f>Catalog!A185</f>
        <v/>
      </c>
      <c r="B185" s="14" t="str">
        <f>Catalog!C185</f>
        <v/>
      </c>
      <c r="C185" s="16">
        <f>Catalog!D185</f>
        <v>0</v>
      </c>
      <c r="D185" s="16">
        <f>Catalog!O185</f>
        <v>0</v>
      </c>
      <c r="E185" s="16">
        <f>Catalog!F185</f>
        <v>0</v>
      </c>
      <c r="F185" s="16" t="str">
        <f>IF(Catalog!X185="","",Catalog!X185&amp;" "&amp;Catalog!Y185)</f>
        <v/>
      </c>
      <c r="G185" s="8"/>
    </row>
    <row r="186" spans="1:7" ht="15.75" x14ac:dyDescent="0.25">
      <c r="A186" s="14" t="str">
        <f>Catalog!A186</f>
        <v/>
      </c>
      <c r="B186" s="14" t="str">
        <f>Catalog!C186</f>
        <v/>
      </c>
      <c r="C186" s="16">
        <f>Catalog!D186</f>
        <v>0</v>
      </c>
      <c r="D186" s="16">
        <f>Catalog!O186</f>
        <v>0</v>
      </c>
      <c r="E186" s="16">
        <f>Catalog!F186</f>
        <v>0</v>
      </c>
      <c r="F186" s="16" t="str">
        <f>IF(Catalog!X186="","",Catalog!X186&amp;" "&amp;Catalog!Y186)</f>
        <v/>
      </c>
      <c r="G186" s="8"/>
    </row>
    <row r="187" spans="1:7" ht="15.75" x14ac:dyDescent="0.25">
      <c r="A187" s="14" t="str">
        <f>Catalog!A187</f>
        <v/>
      </c>
      <c r="B187" s="14" t="str">
        <f>Catalog!C187</f>
        <v/>
      </c>
      <c r="C187" s="16">
        <f>Catalog!D187</f>
        <v>0</v>
      </c>
      <c r="D187" s="16">
        <f>Catalog!O187</f>
        <v>0</v>
      </c>
      <c r="E187" s="16">
        <f>Catalog!F187</f>
        <v>0</v>
      </c>
      <c r="F187" s="16" t="str">
        <f>IF(Catalog!X187="","",Catalog!X187&amp;" "&amp;Catalog!Y187)</f>
        <v/>
      </c>
      <c r="G187" s="8"/>
    </row>
    <row r="188" spans="1:7" ht="15.75" x14ac:dyDescent="0.25">
      <c r="A188" s="14" t="str">
        <f>Catalog!A188</f>
        <v/>
      </c>
      <c r="B188" s="14" t="str">
        <f>Catalog!C188</f>
        <v/>
      </c>
      <c r="C188" s="16">
        <f>Catalog!D188</f>
        <v>0</v>
      </c>
      <c r="D188" s="16">
        <f>Catalog!O188</f>
        <v>0</v>
      </c>
      <c r="E188" s="16">
        <f>Catalog!F188</f>
        <v>0</v>
      </c>
      <c r="F188" s="16" t="str">
        <f>IF(Catalog!X188="","",Catalog!X188&amp;" "&amp;Catalog!Y188)</f>
        <v/>
      </c>
      <c r="G188" s="8"/>
    </row>
    <row r="189" spans="1:7" ht="15.75" x14ac:dyDescent="0.25">
      <c r="A189" s="14" t="str">
        <f>Catalog!A189</f>
        <v/>
      </c>
      <c r="B189" s="14" t="str">
        <f>Catalog!C189</f>
        <v/>
      </c>
      <c r="C189" s="16">
        <f>Catalog!D189</f>
        <v>0</v>
      </c>
      <c r="D189" s="16">
        <f>Catalog!O189</f>
        <v>0</v>
      </c>
      <c r="E189" s="16">
        <f>Catalog!F189</f>
        <v>0</v>
      </c>
      <c r="F189" s="16" t="str">
        <f>IF(Catalog!X189="","",Catalog!X189&amp;" "&amp;Catalog!Y189)</f>
        <v/>
      </c>
      <c r="G189" s="8"/>
    </row>
    <row r="190" spans="1:7" ht="15.75" x14ac:dyDescent="0.25">
      <c r="A190" s="14" t="str">
        <f>Catalog!A190</f>
        <v/>
      </c>
      <c r="B190" s="14" t="str">
        <f>Catalog!C190</f>
        <v/>
      </c>
      <c r="C190" s="16">
        <f>Catalog!D190</f>
        <v>0</v>
      </c>
      <c r="D190" s="16">
        <f>Catalog!O190</f>
        <v>0</v>
      </c>
      <c r="E190" s="16">
        <f>Catalog!F190</f>
        <v>0</v>
      </c>
      <c r="F190" s="16" t="str">
        <f>IF(Catalog!X190="","",Catalog!X190&amp;" "&amp;Catalog!Y190)</f>
        <v/>
      </c>
      <c r="G190" s="8"/>
    </row>
    <row r="191" spans="1:7" ht="15.75" x14ac:dyDescent="0.25">
      <c r="A191" s="14" t="str">
        <f>Catalog!A191</f>
        <v/>
      </c>
      <c r="B191" s="14" t="str">
        <f>Catalog!C191</f>
        <v/>
      </c>
      <c r="C191" s="16">
        <f>Catalog!D191</f>
        <v>0</v>
      </c>
      <c r="D191" s="16">
        <f>Catalog!O191</f>
        <v>0</v>
      </c>
      <c r="E191" s="16">
        <f>Catalog!F191</f>
        <v>0</v>
      </c>
      <c r="F191" s="16" t="str">
        <f>IF(Catalog!X191="","",Catalog!X191&amp;" "&amp;Catalog!Y191)</f>
        <v/>
      </c>
      <c r="G191" s="8"/>
    </row>
    <row r="192" spans="1:7" ht="15.75" x14ac:dyDescent="0.25">
      <c r="A192" s="14" t="str">
        <f>Catalog!A192</f>
        <v/>
      </c>
      <c r="B192" s="14" t="str">
        <f>Catalog!C192</f>
        <v/>
      </c>
      <c r="C192" s="16">
        <f>Catalog!D192</f>
        <v>0</v>
      </c>
      <c r="D192" s="16">
        <f>Catalog!O192</f>
        <v>0</v>
      </c>
      <c r="E192" s="16">
        <f>Catalog!F192</f>
        <v>0</v>
      </c>
      <c r="F192" s="16" t="str">
        <f>IF(Catalog!X192="","",Catalog!X192&amp;" "&amp;Catalog!Y192)</f>
        <v/>
      </c>
      <c r="G192" s="8"/>
    </row>
    <row r="193" spans="1:7" ht="15.75" x14ac:dyDescent="0.25">
      <c r="A193" s="14" t="str">
        <f>Catalog!A193</f>
        <v/>
      </c>
      <c r="B193" s="14" t="str">
        <f>Catalog!C193</f>
        <v/>
      </c>
      <c r="C193" s="16">
        <f>Catalog!D193</f>
        <v>0</v>
      </c>
      <c r="D193" s="16">
        <f>Catalog!O193</f>
        <v>0</v>
      </c>
      <c r="E193" s="16">
        <f>Catalog!F193</f>
        <v>0</v>
      </c>
      <c r="F193" s="16" t="str">
        <f>IF(Catalog!X193="","",Catalog!X193&amp;" "&amp;Catalog!Y193)</f>
        <v/>
      </c>
      <c r="G193" s="8"/>
    </row>
    <row r="194" spans="1:7" ht="15.75" x14ac:dyDescent="0.25">
      <c r="A194" s="14" t="str">
        <f>Catalog!A194</f>
        <v/>
      </c>
      <c r="B194" s="14" t="str">
        <f>Catalog!C194</f>
        <v/>
      </c>
      <c r="C194" s="16">
        <f>Catalog!D194</f>
        <v>0</v>
      </c>
      <c r="D194" s="16">
        <f>Catalog!O194</f>
        <v>0</v>
      </c>
      <c r="E194" s="16">
        <f>Catalog!F194</f>
        <v>0</v>
      </c>
      <c r="F194" s="16" t="str">
        <f>IF(Catalog!X194="","",Catalog!X194&amp;" "&amp;Catalog!Y194)</f>
        <v/>
      </c>
      <c r="G194" s="8"/>
    </row>
    <row r="195" spans="1:7" ht="15.75" x14ac:dyDescent="0.25">
      <c r="A195" s="14" t="str">
        <f>Catalog!A195</f>
        <v/>
      </c>
      <c r="B195" s="14" t="str">
        <f>Catalog!C195</f>
        <v/>
      </c>
      <c r="C195" s="16">
        <f>Catalog!D195</f>
        <v>0</v>
      </c>
      <c r="D195" s="16">
        <f>Catalog!O195</f>
        <v>0</v>
      </c>
      <c r="E195" s="16">
        <f>Catalog!F195</f>
        <v>0</v>
      </c>
      <c r="F195" s="16" t="str">
        <f>IF(Catalog!X195="","",Catalog!X195&amp;" "&amp;Catalog!Y195)</f>
        <v/>
      </c>
      <c r="G195" s="8"/>
    </row>
    <row r="196" spans="1:7" ht="15.75" x14ac:dyDescent="0.25">
      <c r="A196" s="14" t="str">
        <f>Catalog!A196</f>
        <v/>
      </c>
      <c r="B196" s="14" t="str">
        <f>Catalog!C196</f>
        <v/>
      </c>
      <c r="C196" s="16">
        <f>Catalog!D196</f>
        <v>0</v>
      </c>
      <c r="D196" s="16">
        <f>Catalog!O196</f>
        <v>0</v>
      </c>
      <c r="E196" s="16">
        <f>Catalog!F196</f>
        <v>0</v>
      </c>
      <c r="F196" s="16" t="str">
        <f>IF(Catalog!X196="","",Catalog!X196&amp;" "&amp;Catalog!Y196)</f>
        <v/>
      </c>
      <c r="G196" s="8"/>
    </row>
    <row r="197" spans="1:7" ht="15.75" x14ac:dyDescent="0.25">
      <c r="A197" s="14" t="str">
        <f>Catalog!A197</f>
        <v/>
      </c>
      <c r="B197" s="14" t="str">
        <f>Catalog!C197</f>
        <v/>
      </c>
      <c r="C197" s="16">
        <f>Catalog!D197</f>
        <v>0</v>
      </c>
      <c r="D197" s="16">
        <f>Catalog!O197</f>
        <v>0</v>
      </c>
      <c r="E197" s="16">
        <f>Catalog!F197</f>
        <v>0</v>
      </c>
      <c r="F197" s="16" t="str">
        <f>IF(Catalog!X197="","",Catalog!X197&amp;" "&amp;Catalog!Y197)</f>
        <v/>
      </c>
      <c r="G197" s="8"/>
    </row>
    <row r="198" spans="1:7" ht="15.75" x14ac:dyDescent="0.25">
      <c r="A198" s="14" t="str">
        <f>Catalog!A198</f>
        <v/>
      </c>
      <c r="B198" s="14" t="str">
        <f>Catalog!C198</f>
        <v/>
      </c>
      <c r="C198" s="16">
        <f>Catalog!D198</f>
        <v>0</v>
      </c>
      <c r="D198" s="16">
        <f>Catalog!O198</f>
        <v>0</v>
      </c>
      <c r="E198" s="16">
        <f>Catalog!F198</f>
        <v>0</v>
      </c>
      <c r="F198" s="16" t="str">
        <f>IF(Catalog!X198="","",Catalog!X198&amp;" "&amp;Catalog!Y198)</f>
        <v/>
      </c>
      <c r="G198" s="8"/>
    </row>
    <row r="199" spans="1:7" ht="15.75" x14ac:dyDescent="0.25">
      <c r="A199" s="14" t="str">
        <f>Catalog!A199</f>
        <v/>
      </c>
      <c r="B199" s="14" t="str">
        <f>Catalog!C199</f>
        <v/>
      </c>
      <c r="C199" s="16">
        <f>Catalog!D199</f>
        <v>0</v>
      </c>
      <c r="D199" s="16">
        <f>Catalog!O199</f>
        <v>0</v>
      </c>
      <c r="E199" s="16">
        <f>Catalog!F199</f>
        <v>0</v>
      </c>
      <c r="F199" s="16" t="str">
        <f>IF(Catalog!X199="","",Catalog!X199&amp;" "&amp;Catalog!Y199)</f>
        <v/>
      </c>
      <c r="G199" s="8"/>
    </row>
    <row r="200" spans="1:7" ht="15.75" x14ac:dyDescent="0.25">
      <c r="A200" s="14" t="str">
        <f>Catalog!A200</f>
        <v/>
      </c>
      <c r="B200" s="14" t="str">
        <f>Catalog!C200</f>
        <v/>
      </c>
      <c r="C200" s="16">
        <f>Catalog!D200</f>
        <v>0</v>
      </c>
      <c r="D200" s="16">
        <f>Catalog!O200</f>
        <v>0</v>
      </c>
      <c r="E200" s="16">
        <f>Catalog!F200</f>
        <v>0</v>
      </c>
      <c r="F200" s="16" t="str">
        <f>IF(Catalog!X200="","",Catalog!X200&amp;" "&amp;Catalog!Y200)</f>
        <v/>
      </c>
      <c r="G200" s="8"/>
    </row>
    <row r="201" spans="1:7" ht="15.75" x14ac:dyDescent="0.25">
      <c r="A201" s="14" t="str">
        <f>Catalog!A201</f>
        <v/>
      </c>
      <c r="B201" s="14" t="str">
        <f>Catalog!C201</f>
        <v/>
      </c>
      <c r="C201" s="16">
        <f>Catalog!D201</f>
        <v>0</v>
      </c>
      <c r="D201" s="16">
        <f>Catalog!O201</f>
        <v>0</v>
      </c>
      <c r="E201" s="16">
        <f>Catalog!F201</f>
        <v>0</v>
      </c>
      <c r="F201" s="16" t="str">
        <f>IF(Catalog!X201="","",Catalog!X201&amp;" "&amp;Catalog!Y201)</f>
        <v/>
      </c>
      <c r="G201" s="8"/>
    </row>
    <row r="202" spans="1:7" ht="15.75" x14ac:dyDescent="0.25">
      <c r="A202" s="14" t="str">
        <f>Catalog!A202</f>
        <v/>
      </c>
      <c r="B202" s="14" t="str">
        <f>Catalog!C202</f>
        <v/>
      </c>
      <c r="C202" s="16">
        <f>Catalog!D202</f>
        <v>0</v>
      </c>
      <c r="D202" s="16">
        <f>Catalog!O202</f>
        <v>0</v>
      </c>
      <c r="E202" s="16">
        <f>Catalog!F202</f>
        <v>0</v>
      </c>
      <c r="F202" s="16" t="str">
        <f>IF(Catalog!X202="","",Catalog!X202&amp;" "&amp;Catalog!Y202)</f>
        <v/>
      </c>
      <c r="G202" s="8"/>
    </row>
    <row r="203" spans="1:7" ht="15.75" x14ac:dyDescent="0.25">
      <c r="A203" s="14" t="str">
        <f>Catalog!A203</f>
        <v/>
      </c>
      <c r="B203" s="14" t="str">
        <f>Catalog!C203</f>
        <v/>
      </c>
      <c r="C203" s="16">
        <f>Catalog!D203</f>
        <v>0</v>
      </c>
      <c r="D203" s="16">
        <f>Catalog!O203</f>
        <v>0</v>
      </c>
      <c r="E203" s="16">
        <f>Catalog!F203</f>
        <v>0</v>
      </c>
      <c r="F203" s="16" t="str">
        <f>IF(Catalog!X203="","",Catalog!X203&amp;" "&amp;Catalog!Y203)</f>
        <v/>
      </c>
      <c r="G203" s="8"/>
    </row>
    <row r="204" spans="1:7" ht="15.75" x14ac:dyDescent="0.25">
      <c r="A204" s="14" t="str">
        <f>Catalog!A204</f>
        <v/>
      </c>
      <c r="B204" s="14" t="str">
        <f>Catalog!C204</f>
        <v/>
      </c>
      <c r="C204" s="16">
        <f>Catalog!D204</f>
        <v>0</v>
      </c>
      <c r="D204" s="16">
        <f>Catalog!O204</f>
        <v>0</v>
      </c>
      <c r="E204" s="16">
        <f>Catalog!F204</f>
        <v>0</v>
      </c>
      <c r="F204" s="16" t="str">
        <f>IF(Catalog!X204="","",Catalog!X204&amp;" "&amp;Catalog!Y204)</f>
        <v/>
      </c>
      <c r="G204" s="8"/>
    </row>
    <row r="205" spans="1:7" ht="15.75" x14ac:dyDescent="0.25">
      <c r="A205" s="14" t="str">
        <f>Catalog!A205</f>
        <v/>
      </c>
      <c r="B205" s="14" t="str">
        <f>Catalog!C205</f>
        <v/>
      </c>
      <c r="C205" s="16">
        <f>Catalog!D205</f>
        <v>0</v>
      </c>
      <c r="D205" s="16">
        <f>Catalog!O205</f>
        <v>0</v>
      </c>
      <c r="E205" s="16">
        <f>Catalog!F205</f>
        <v>0</v>
      </c>
      <c r="F205" s="16" t="str">
        <f>IF(Catalog!X205="","",Catalog!X205&amp;" "&amp;Catalog!Y205)</f>
        <v/>
      </c>
      <c r="G205" s="8"/>
    </row>
    <row r="206" spans="1:7" ht="15.75" x14ac:dyDescent="0.25">
      <c r="A206" s="14" t="str">
        <f>Catalog!A206</f>
        <v/>
      </c>
      <c r="B206" s="14" t="str">
        <f>Catalog!C206</f>
        <v/>
      </c>
      <c r="C206" s="16">
        <f>Catalog!D206</f>
        <v>0</v>
      </c>
      <c r="D206" s="16">
        <f>Catalog!O206</f>
        <v>0</v>
      </c>
      <c r="E206" s="16">
        <f>Catalog!F206</f>
        <v>0</v>
      </c>
      <c r="F206" s="16" t="str">
        <f>IF(Catalog!X206="","",Catalog!X206&amp;" "&amp;Catalog!Y206)</f>
        <v/>
      </c>
      <c r="G206" s="8"/>
    </row>
    <row r="207" spans="1:7" ht="15.75" x14ac:dyDescent="0.25">
      <c r="A207" s="14" t="str">
        <f>Catalog!A207</f>
        <v/>
      </c>
      <c r="B207" s="14" t="str">
        <f>Catalog!C207</f>
        <v/>
      </c>
      <c r="C207" s="16">
        <f>Catalog!D207</f>
        <v>0</v>
      </c>
      <c r="D207" s="16">
        <f>Catalog!O207</f>
        <v>0</v>
      </c>
      <c r="E207" s="16">
        <f>Catalog!F207</f>
        <v>0</v>
      </c>
      <c r="F207" s="16" t="str">
        <f>IF(Catalog!X207="","",Catalog!X207&amp;" "&amp;Catalog!Y207)</f>
        <v/>
      </c>
      <c r="G207" s="8"/>
    </row>
    <row r="208" spans="1:7" ht="15.75" x14ac:dyDescent="0.25">
      <c r="A208" s="14" t="str">
        <f>Catalog!A208</f>
        <v/>
      </c>
      <c r="B208" s="14" t="str">
        <f>Catalog!C208</f>
        <v/>
      </c>
      <c r="C208" s="16">
        <f>Catalog!D208</f>
        <v>0</v>
      </c>
      <c r="D208" s="16">
        <f>Catalog!O208</f>
        <v>0</v>
      </c>
      <c r="E208" s="16">
        <f>Catalog!F208</f>
        <v>0</v>
      </c>
      <c r="F208" s="16" t="str">
        <f>IF(Catalog!X208="","",Catalog!X208&amp;" "&amp;Catalog!Y208)</f>
        <v/>
      </c>
      <c r="G208" s="8"/>
    </row>
    <row r="209" spans="1:7" ht="15.75" x14ac:dyDescent="0.25">
      <c r="A209" s="14" t="str">
        <f>Catalog!A209</f>
        <v/>
      </c>
      <c r="B209" s="14" t="str">
        <f>Catalog!C209</f>
        <v/>
      </c>
      <c r="C209" s="16">
        <f>Catalog!D209</f>
        <v>0</v>
      </c>
      <c r="D209" s="16">
        <f>Catalog!O209</f>
        <v>0</v>
      </c>
      <c r="E209" s="16">
        <f>Catalog!F209</f>
        <v>0</v>
      </c>
      <c r="F209" s="16" t="str">
        <f>IF(Catalog!X209="","",Catalog!X209&amp;" "&amp;Catalog!Y209)</f>
        <v/>
      </c>
      <c r="G209" s="8"/>
    </row>
    <row r="210" spans="1:7" ht="15.75" x14ac:dyDescent="0.25">
      <c r="A210" s="14" t="str">
        <f>Catalog!A210</f>
        <v/>
      </c>
      <c r="B210" s="14" t="str">
        <f>Catalog!C210</f>
        <v/>
      </c>
      <c r="C210" s="16">
        <f>Catalog!D210</f>
        <v>0</v>
      </c>
      <c r="D210" s="16">
        <f>Catalog!O210</f>
        <v>0</v>
      </c>
      <c r="E210" s="16">
        <f>Catalog!F210</f>
        <v>0</v>
      </c>
      <c r="F210" s="16" t="str">
        <f>IF(Catalog!X210="","",Catalog!X210&amp;" "&amp;Catalog!Y210)</f>
        <v/>
      </c>
      <c r="G210" s="8"/>
    </row>
    <row r="211" spans="1:7" ht="15.75" x14ac:dyDescent="0.25">
      <c r="A211" s="14" t="str">
        <f>Catalog!A211</f>
        <v/>
      </c>
      <c r="B211" s="14" t="str">
        <f>Catalog!C211</f>
        <v/>
      </c>
      <c r="C211" s="16">
        <f>Catalog!D211</f>
        <v>0</v>
      </c>
      <c r="D211" s="16">
        <f>Catalog!O211</f>
        <v>0</v>
      </c>
      <c r="E211" s="16">
        <f>Catalog!F211</f>
        <v>0</v>
      </c>
      <c r="F211" s="16" t="str">
        <f>IF(Catalog!X211="","",Catalog!X211&amp;" "&amp;Catalog!Y211)</f>
        <v/>
      </c>
      <c r="G211" s="8"/>
    </row>
    <row r="212" spans="1:7" ht="15.75" x14ac:dyDescent="0.25">
      <c r="A212" s="14" t="str">
        <f>Catalog!A212</f>
        <v/>
      </c>
      <c r="B212" s="14" t="str">
        <f>Catalog!C212</f>
        <v/>
      </c>
      <c r="C212" s="16">
        <f>Catalog!D212</f>
        <v>0</v>
      </c>
      <c r="D212" s="16">
        <f>Catalog!O212</f>
        <v>0</v>
      </c>
      <c r="E212" s="16">
        <f>Catalog!F212</f>
        <v>0</v>
      </c>
      <c r="F212" s="16" t="str">
        <f>IF(Catalog!X212="","",Catalog!X212&amp;" "&amp;Catalog!Y212)</f>
        <v/>
      </c>
      <c r="G212" s="8"/>
    </row>
    <row r="213" spans="1:7" ht="15.75" x14ac:dyDescent="0.25">
      <c r="A213" s="14" t="str">
        <f>Catalog!A213</f>
        <v/>
      </c>
      <c r="B213" s="14" t="str">
        <f>Catalog!C213</f>
        <v/>
      </c>
      <c r="C213" s="16">
        <f>Catalog!D213</f>
        <v>0</v>
      </c>
      <c r="D213" s="16">
        <f>Catalog!O213</f>
        <v>0</v>
      </c>
      <c r="E213" s="16">
        <f>Catalog!F213</f>
        <v>0</v>
      </c>
      <c r="F213" s="16" t="str">
        <f>IF(Catalog!X213="","",Catalog!X213&amp;" "&amp;Catalog!Y213)</f>
        <v/>
      </c>
      <c r="G213" s="8"/>
    </row>
    <row r="214" spans="1:7" ht="15.75" x14ac:dyDescent="0.25">
      <c r="A214" s="14" t="str">
        <f>Catalog!A214</f>
        <v/>
      </c>
      <c r="B214" s="14" t="str">
        <f>Catalog!C214</f>
        <v/>
      </c>
      <c r="C214" s="16">
        <f>Catalog!D214</f>
        <v>0</v>
      </c>
      <c r="D214" s="16">
        <f>Catalog!O214</f>
        <v>0</v>
      </c>
      <c r="E214" s="16">
        <f>Catalog!F214</f>
        <v>0</v>
      </c>
      <c r="F214" s="16" t="str">
        <f>IF(Catalog!X214="","",Catalog!X214&amp;" "&amp;Catalog!Y214)</f>
        <v/>
      </c>
      <c r="G214" s="8"/>
    </row>
    <row r="215" spans="1:7" ht="15.75" x14ac:dyDescent="0.25">
      <c r="A215" s="14" t="str">
        <f>Catalog!A215</f>
        <v/>
      </c>
      <c r="B215" s="14" t="str">
        <f>Catalog!C215</f>
        <v/>
      </c>
      <c r="C215" s="16">
        <f>Catalog!D215</f>
        <v>0</v>
      </c>
      <c r="D215" s="16">
        <f>Catalog!O215</f>
        <v>0</v>
      </c>
      <c r="E215" s="16">
        <f>Catalog!F215</f>
        <v>0</v>
      </c>
      <c r="F215" s="16" t="str">
        <f>IF(Catalog!X215="","",Catalog!X215&amp;" "&amp;Catalog!Y215)</f>
        <v/>
      </c>
      <c r="G215" s="8"/>
    </row>
    <row r="216" spans="1:7" ht="15.75" x14ac:dyDescent="0.25">
      <c r="A216" s="14" t="str">
        <f>Catalog!A216</f>
        <v/>
      </c>
      <c r="B216" s="14" t="str">
        <f>Catalog!C216</f>
        <v/>
      </c>
      <c r="C216" s="16">
        <f>Catalog!D216</f>
        <v>0</v>
      </c>
      <c r="D216" s="16">
        <f>Catalog!O216</f>
        <v>0</v>
      </c>
      <c r="E216" s="16">
        <f>Catalog!F216</f>
        <v>0</v>
      </c>
      <c r="F216" s="16" t="str">
        <f>IF(Catalog!X216="","",Catalog!X216&amp;" "&amp;Catalog!Y216)</f>
        <v/>
      </c>
      <c r="G216" s="8"/>
    </row>
    <row r="217" spans="1:7" ht="15.75" x14ac:dyDescent="0.25">
      <c r="A217" s="14" t="str">
        <f>Catalog!A217</f>
        <v/>
      </c>
      <c r="B217" s="14" t="str">
        <f>Catalog!C217</f>
        <v/>
      </c>
      <c r="C217" s="16">
        <f>Catalog!D217</f>
        <v>0</v>
      </c>
      <c r="D217" s="16">
        <f>Catalog!O217</f>
        <v>0</v>
      </c>
      <c r="E217" s="16">
        <f>Catalog!F217</f>
        <v>0</v>
      </c>
      <c r="F217" s="16" t="str">
        <f>IF(Catalog!X217="","",Catalog!X217&amp;" "&amp;Catalog!Y217)</f>
        <v/>
      </c>
      <c r="G217" s="8"/>
    </row>
    <row r="218" spans="1:7" ht="15.75" x14ac:dyDescent="0.25">
      <c r="A218" s="14" t="str">
        <f>Catalog!A218</f>
        <v/>
      </c>
      <c r="B218" s="14" t="str">
        <f>Catalog!C218</f>
        <v/>
      </c>
      <c r="C218" s="16">
        <f>Catalog!D218</f>
        <v>0</v>
      </c>
      <c r="D218" s="16">
        <f>Catalog!O218</f>
        <v>0</v>
      </c>
      <c r="E218" s="16">
        <f>Catalog!F218</f>
        <v>0</v>
      </c>
      <c r="F218" s="16" t="str">
        <f>IF(Catalog!X218="","",Catalog!X218&amp;" "&amp;Catalog!Y218)</f>
        <v/>
      </c>
      <c r="G218" s="8"/>
    </row>
    <row r="219" spans="1:7" ht="15.75" x14ac:dyDescent="0.25">
      <c r="A219" s="14" t="str">
        <f>Catalog!A219</f>
        <v/>
      </c>
      <c r="B219" s="14" t="str">
        <f>Catalog!C219</f>
        <v/>
      </c>
      <c r="C219" s="16">
        <f>Catalog!D219</f>
        <v>0</v>
      </c>
      <c r="D219" s="16">
        <f>Catalog!O219</f>
        <v>0</v>
      </c>
      <c r="E219" s="16">
        <f>Catalog!F219</f>
        <v>0</v>
      </c>
      <c r="F219" s="16" t="str">
        <f>IF(Catalog!X219="","",Catalog!X219&amp;" "&amp;Catalog!Y219)</f>
        <v/>
      </c>
      <c r="G219" s="8"/>
    </row>
    <row r="220" spans="1:7" ht="15.75" x14ac:dyDescent="0.25">
      <c r="A220" s="14" t="str">
        <f>Catalog!A220</f>
        <v/>
      </c>
      <c r="B220" s="14" t="str">
        <f>Catalog!C220</f>
        <v/>
      </c>
      <c r="C220" s="16">
        <f>Catalog!D220</f>
        <v>0</v>
      </c>
      <c r="D220" s="16">
        <f>Catalog!O220</f>
        <v>0</v>
      </c>
      <c r="E220" s="16">
        <f>Catalog!F220</f>
        <v>0</v>
      </c>
      <c r="F220" s="16" t="str">
        <f>IF(Catalog!X220="","",Catalog!X220&amp;" "&amp;Catalog!Y220)</f>
        <v/>
      </c>
      <c r="G220" s="8"/>
    </row>
    <row r="221" spans="1:7" ht="15.75" x14ac:dyDescent="0.25">
      <c r="A221" s="14" t="str">
        <f>Catalog!A221</f>
        <v/>
      </c>
      <c r="B221" s="14" t="str">
        <f>Catalog!C221</f>
        <v/>
      </c>
      <c r="C221" s="16">
        <f>Catalog!D221</f>
        <v>0</v>
      </c>
      <c r="D221" s="16">
        <f>Catalog!O221</f>
        <v>0</v>
      </c>
      <c r="E221" s="16">
        <f>Catalog!F221</f>
        <v>0</v>
      </c>
      <c r="F221" s="16" t="str">
        <f>IF(Catalog!X221="","",Catalog!X221&amp;" "&amp;Catalog!Y221)</f>
        <v/>
      </c>
      <c r="G221" s="8"/>
    </row>
    <row r="222" spans="1:7" ht="15.75" x14ac:dyDescent="0.25">
      <c r="A222" s="14" t="str">
        <f>Catalog!A222</f>
        <v/>
      </c>
      <c r="B222" s="14" t="str">
        <f>Catalog!C222</f>
        <v/>
      </c>
      <c r="C222" s="16">
        <f>Catalog!D222</f>
        <v>0</v>
      </c>
      <c r="D222" s="16">
        <f>Catalog!O222</f>
        <v>0</v>
      </c>
      <c r="E222" s="16">
        <f>Catalog!F222</f>
        <v>0</v>
      </c>
      <c r="F222" s="16" t="str">
        <f>IF(Catalog!X222="","",Catalog!X222&amp;" "&amp;Catalog!Y222)</f>
        <v/>
      </c>
      <c r="G222" s="8"/>
    </row>
    <row r="223" spans="1:7" ht="15.75" x14ac:dyDescent="0.25">
      <c r="A223" s="14" t="str">
        <f>Catalog!A223</f>
        <v/>
      </c>
      <c r="B223" s="14" t="str">
        <f>Catalog!C223</f>
        <v/>
      </c>
      <c r="C223" s="16">
        <f>Catalog!D223</f>
        <v>0</v>
      </c>
      <c r="D223" s="16">
        <f>Catalog!O223</f>
        <v>0</v>
      </c>
      <c r="E223" s="16">
        <f>Catalog!F223</f>
        <v>0</v>
      </c>
      <c r="F223" s="16" t="str">
        <f>IF(Catalog!X223="","",Catalog!X223&amp;" "&amp;Catalog!Y223)</f>
        <v/>
      </c>
      <c r="G223" s="8"/>
    </row>
    <row r="224" spans="1:7" ht="15.75" x14ac:dyDescent="0.25">
      <c r="A224" s="14" t="str">
        <f>Catalog!A224</f>
        <v/>
      </c>
      <c r="B224" s="14" t="str">
        <f>Catalog!C224</f>
        <v/>
      </c>
      <c r="C224" s="16">
        <f>Catalog!D224</f>
        <v>0</v>
      </c>
      <c r="D224" s="16">
        <f>Catalog!O224</f>
        <v>0</v>
      </c>
      <c r="E224" s="16">
        <f>Catalog!F224</f>
        <v>0</v>
      </c>
      <c r="F224" s="16" t="str">
        <f>IF(Catalog!X224="","",Catalog!X224&amp;" "&amp;Catalog!Y224)</f>
        <v/>
      </c>
      <c r="G224" s="8"/>
    </row>
    <row r="225" spans="1:7" ht="15.75" x14ac:dyDescent="0.25">
      <c r="A225" s="14" t="str">
        <f>Catalog!A225</f>
        <v/>
      </c>
      <c r="B225" s="14" t="str">
        <f>Catalog!C225</f>
        <v/>
      </c>
      <c r="C225" s="16">
        <f>Catalog!D225</f>
        <v>0</v>
      </c>
      <c r="D225" s="16">
        <f>Catalog!O225</f>
        <v>0</v>
      </c>
      <c r="E225" s="16">
        <f>Catalog!F225</f>
        <v>0</v>
      </c>
      <c r="F225" s="16" t="str">
        <f>IF(Catalog!X225="","",Catalog!X225&amp;" "&amp;Catalog!Y225)</f>
        <v/>
      </c>
      <c r="G225" s="8"/>
    </row>
    <row r="226" spans="1:7" ht="15.75" x14ac:dyDescent="0.25">
      <c r="A226" s="14" t="str">
        <f>Catalog!A226</f>
        <v/>
      </c>
      <c r="B226" s="14" t="str">
        <f>Catalog!C226</f>
        <v/>
      </c>
      <c r="C226" s="16">
        <f>Catalog!D226</f>
        <v>0</v>
      </c>
      <c r="D226" s="16">
        <f>Catalog!O226</f>
        <v>0</v>
      </c>
      <c r="E226" s="16">
        <f>Catalog!F226</f>
        <v>0</v>
      </c>
      <c r="F226" s="16" t="str">
        <f>IF(Catalog!X226="","",Catalog!X226&amp;" "&amp;Catalog!Y226)</f>
        <v/>
      </c>
      <c r="G226" s="8"/>
    </row>
    <row r="227" spans="1:7" ht="15.75" x14ac:dyDescent="0.25">
      <c r="A227" s="14" t="str">
        <f>Catalog!A227</f>
        <v/>
      </c>
      <c r="B227" s="14" t="str">
        <f>Catalog!C227</f>
        <v/>
      </c>
      <c r="C227" s="16">
        <f>Catalog!D227</f>
        <v>0</v>
      </c>
      <c r="D227" s="16">
        <f>Catalog!O227</f>
        <v>0</v>
      </c>
      <c r="E227" s="16">
        <f>Catalog!F227</f>
        <v>0</v>
      </c>
      <c r="F227" s="16" t="str">
        <f>IF(Catalog!X227="","",Catalog!X227&amp;" "&amp;Catalog!Y227)</f>
        <v/>
      </c>
      <c r="G227" s="8"/>
    </row>
    <row r="228" spans="1:7" ht="15.75" x14ac:dyDescent="0.25">
      <c r="A228" s="14" t="str">
        <f>Catalog!A228</f>
        <v/>
      </c>
      <c r="B228" s="14" t="str">
        <f>Catalog!C228</f>
        <v/>
      </c>
      <c r="C228" s="16">
        <f>Catalog!D228</f>
        <v>0</v>
      </c>
      <c r="D228" s="16">
        <f>Catalog!O228</f>
        <v>0</v>
      </c>
      <c r="E228" s="16">
        <f>Catalog!F228</f>
        <v>0</v>
      </c>
      <c r="F228" s="16" t="str">
        <f>IF(Catalog!X228="","",Catalog!X228&amp;" "&amp;Catalog!Y228)</f>
        <v/>
      </c>
      <c r="G228" s="8"/>
    </row>
    <row r="229" spans="1:7" ht="15.75" x14ac:dyDescent="0.25">
      <c r="A229" s="14" t="str">
        <f>Catalog!A229</f>
        <v/>
      </c>
      <c r="B229" s="14" t="str">
        <f>Catalog!C229</f>
        <v/>
      </c>
      <c r="C229" s="16">
        <f>Catalog!D229</f>
        <v>0</v>
      </c>
      <c r="D229" s="16">
        <f>Catalog!O229</f>
        <v>0</v>
      </c>
      <c r="E229" s="16">
        <f>Catalog!F229</f>
        <v>0</v>
      </c>
      <c r="F229" s="16" t="str">
        <f>IF(Catalog!X229="","",Catalog!X229&amp;" "&amp;Catalog!Y229)</f>
        <v/>
      </c>
      <c r="G229" s="8"/>
    </row>
    <row r="230" spans="1:7" ht="15.75" x14ac:dyDescent="0.25">
      <c r="A230" s="14" t="str">
        <f>Catalog!A230</f>
        <v/>
      </c>
      <c r="B230" s="14" t="str">
        <f>Catalog!C230</f>
        <v/>
      </c>
      <c r="C230" s="16">
        <f>Catalog!D230</f>
        <v>0</v>
      </c>
      <c r="D230" s="16">
        <f>Catalog!O230</f>
        <v>0</v>
      </c>
      <c r="E230" s="16">
        <f>Catalog!F230</f>
        <v>0</v>
      </c>
      <c r="F230" s="16" t="str">
        <f>IF(Catalog!X230="","",Catalog!X230&amp;" "&amp;Catalog!Y230)</f>
        <v/>
      </c>
      <c r="G230" s="8"/>
    </row>
    <row r="231" spans="1:7" ht="15.75" x14ac:dyDescent="0.25">
      <c r="A231" s="14" t="str">
        <f>Catalog!A231</f>
        <v/>
      </c>
      <c r="B231" s="14" t="str">
        <f>Catalog!C231</f>
        <v/>
      </c>
      <c r="C231" s="16">
        <f>Catalog!D231</f>
        <v>0</v>
      </c>
      <c r="D231" s="16">
        <f>Catalog!O231</f>
        <v>0</v>
      </c>
      <c r="E231" s="16">
        <f>Catalog!F231</f>
        <v>0</v>
      </c>
      <c r="F231" s="16" t="str">
        <f>IF(Catalog!X231="","",Catalog!X231&amp;" "&amp;Catalog!Y231)</f>
        <v/>
      </c>
      <c r="G231" s="8"/>
    </row>
    <row r="232" spans="1:7" ht="15.75" x14ac:dyDescent="0.25">
      <c r="A232" s="14" t="str">
        <f>Catalog!A232</f>
        <v/>
      </c>
      <c r="B232" s="14" t="str">
        <f>Catalog!C232</f>
        <v/>
      </c>
      <c r="C232" s="16">
        <f>Catalog!D232</f>
        <v>0</v>
      </c>
      <c r="D232" s="16">
        <f>Catalog!O232</f>
        <v>0</v>
      </c>
      <c r="E232" s="16">
        <f>Catalog!F232</f>
        <v>0</v>
      </c>
      <c r="F232" s="16" t="str">
        <f>IF(Catalog!X232="","",Catalog!X232&amp;" "&amp;Catalog!Y232)</f>
        <v/>
      </c>
      <c r="G232" s="8"/>
    </row>
    <row r="233" spans="1:7" ht="15.75" x14ac:dyDescent="0.25">
      <c r="A233" s="14" t="str">
        <f>Catalog!A233</f>
        <v/>
      </c>
      <c r="B233" s="14" t="str">
        <f>Catalog!C233</f>
        <v/>
      </c>
      <c r="C233" s="16">
        <f>Catalog!D233</f>
        <v>0</v>
      </c>
      <c r="D233" s="16">
        <f>Catalog!O233</f>
        <v>0</v>
      </c>
      <c r="E233" s="16">
        <f>Catalog!F233</f>
        <v>0</v>
      </c>
      <c r="F233" s="16" t="str">
        <f>IF(Catalog!X233="","",Catalog!X233&amp;" "&amp;Catalog!Y233)</f>
        <v/>
      </c>
      <c r="G233" s="8"/>
    </row>
    <row r="234" spans="1:7" ht="15.75" x14ac:dyDescent="0.25">
      <c r="A234" s="14" t="str">
        <f>Catalog!A234</f>
        <v/>
      </c>
      <c r="B234" s="14" t="str">
        <f>Catalog!C234</f>
        <v/>
      </c>
      <c r="C234" s="16">
        <f>Catalog!D234</f>
        <v>0</v>
      </c>
      <c r="D234" s="16">
        <f>Catalog!O234</f>
        <v>0</v>
      </c>
      <c r="E234" s="16">
        <f>Catalog!F234</f>
        <v>0</v>
      </c>
      <c r="F234" s="16" t="str">
        <f>IF(Catalog!X234="","",Catalog!X234&amp;" "&amp;Catalog!Y234)</f>
        <v/>
      </c>
      <c r="G234" s="8"/>
    </row>
    <row r="235" spans="1:7" ht="15.75" x14ac:dyDescent="0.25">
      <c r="A235" s="14" t="str">
        <f>Catalog!A235</f>
        <v/>
      </c>
      <c r="B235" s="14" t="str">
        <f>Catalog!C235</f>
        <v/>
      </c>
      <c r="C235" s="16">
        <f>Catalog!D235</f>
        <v>0</v>
      </c>
      <c r="D235" s="16">
        <f>Catalog!O235</f>
        <v>0</v>
      </c>
      <c r="E235" s="16">
        <f>Catalog!F235</f>
        <v>0</v>
      </c>
      <c r="F235" s="16" t="str">
        <f>IF(Catalog!X235="","",Catalog!X235&amp;" "&amp;Catalog!Y235)</f>
        <v/>
      </c>
      <c r="G235" s="8"/>
    </row>
    <row r="236" spans="1:7" ht="15.75" x14ac:dyDescent="0.25">
      <c r="A236" s="14" t="str">
        <f>Catalog!A236</f>
        <v/>
      </c>
      <c r="B236" s="14" t="str">
        <f>Catalog!C236</f>
        <v/>
      </c>
      <c r="C236" s="16">
        <f>Catalog!D236</f>
        <v>0</v>
      </c>
      <c r="D236" s="16">
        <f>Catalog!O236</f>
        <v>0</v>
      </c>
      <c r="E236" s="16">
        <f>Catalog!F236</f>
        <v>0</v>
      </c>
      <c r="F236" s="16" t="str">
        <f>IF(Catalog!X236="","",Catalog!X236&amp;" "&amp;Catalog!Y236)</f>
        <v/>
      </c>
      <c r="G236" s="8"/>
    </row>
    <row r="237" spans="1:7" ht="15.75" x14ac:dyDescent="0.25">
      <c r="A237" s="14" t="str">
        <f>Catalog!A237</f>
        <v/>
      </c>
      <c r="B237" s="14" t="str">
        <f>Catalog!C237</f>
        <v/>
      </c>
      <c r="C237" s="16">
        <f>Catalog!D237</f>
        <v>0</v>
      </c>
      <c r="D237" s="16">
        <f>Catalog!O237</f>
        <v>0</v>
      </c>
      <c r="E237" s="16">
        <f>Catalog!F237</f>
        <v>0</v>
      </c>
      <c r="F237" s="16" t="str">
        <f>IF(Catalog!X237="","",Catalog!X237&amp;" "&amp;Catalog!Y237)</f>
        <v/>
      </c>
      <c r="G237" s="8"/>
    </row>
    <row r="238" spans="1:7" ht="15.75" x14ac:dyDescent="0.25">
      <c r="A238" s="14" t="str">
        <f>Catalog!A238</f>
        <v/>
      </c>
      <c r="B238" s="14" t="str">
        <f>Catalog!C238</f>
        <v/>
      </c>
      <c r="C238" s="16">
        <f>Catalog!D238</f>
        <v>0</v>
      </c>
      <c r="D238" s="16">
        <f>Catalog!O238</f>
        <v>0</v>
      </c>
      <c r="E238" s="16">
        <f>Catalog!F238</f>
        <v>0</v>
      </c>
      <c r="F238" s="16" t="str">
        <f>IF(Catalog!X238="","",Catalog!X238&amp;" "&amp;Catalog!Y238)</f>
        <v/>
      </c>
      <c r="G238" s="8"/>
    </row>
    <row r="239" spans="1:7" ht="15.75" x14ac:dyDescent="0.25">
      <c r="A239" s="14" t="str">
        <f>Catalog!A239</f>
        <v/>
      </c>
      <c r="B239" s="14" t="str">
        <f>Catalog!C239</f>
        <v/>
      </c>
      <c r="C239" s="16">
        <f>Catalog!D239</f>
        <v>0</v>
      </c>
      <c r="D239" s="16">
        <f>Catalog!O239</f>
        <v>0</v>
      </c>
      <c r="E239" s="16">
        <f>Catalog!F239</f>
        <v>0</v>
      </c>
      <c r="F239" s="16" t="str">
        <f>IF(Catalog!X239="","",Catalog!X239&amp;" "&amp;Catalog!Y239)</f>
        <v/>
      </c>
      <c r="G239" s="8"/>
    </row>
    <row r="240" spans="1:7" ht="15.75" x14ac:dyDescent="0.25">
      <c r="A240" s="14" t="str">
        <f>Catalog!A240</f>
        <v/>
      </c>
      <c r="B240" s="14" t="str">
        <f>Catalog!C240</f>
        <v/>
      </c>
      <c r="C240" s="16">
        <f>Catalog!D240</f>
        <v>0</v>
      </c>
      <c r="D240" s="16">
        <f>Catalog!O240</f>
        <v>0</v>
      </c>
      <c r="E240" s="16">
        <f>Catalog!F240</f>
        <v>0</v>
      </c>
      <c r="F240" s="16" t="str">
        <f>IF(Catalog!X240="","",Catalog!X240&amp;" "&amp;Catalog!Y240)</f>
        <v/>
      </c>
      <c r="G240" s="8"/>
    </row>
    <row r="241" spans="1:7" ht="15.75" x14ac:dyDescent="0.25">
      <c r="A241" s="14" t="str">
        <f>Catalog!A241</f>
        <v/>
      </c>
      <c r="B241" s="14" t="str">
        <f>Catalog!C241</f>
        <v/>
      </c>
      <c r="C241" s="16">
        <f>Catalog!D241</f>
        <v>0</v>
      </c>
      <c r="D241" s="16">
        <f>Catalog!O241</f>
        <v>0</v>
      </c>
      <c r="E241" s="16">
        <f>Catalog!F241</f>
        <v>0</v>
      </c>
      <c r="F241" s="16" t="str">
        <f>IF(Catalog!X241="","",Catalog!X241&amp;" "&amp;Catalog!Y241)</f>
        <v/>
      </c>
      <c r="G241" s="8"/>
    </row>
    <row r="242" spans="1:7" ht="15.75" x14ac:dyDescent="0.25">
      <c r="A242" s="14" t="str">
        <f>Catalog!A242</f>
        <v/>
      </c>
      <c r="B242" s="14" t="str">
        <f>Catalog!C242</f>
        <v/>
      </c>
      <c r="C242" s="16">
        <f>Catalog!D242</f>
        <v>0</v>
      </c>
      <c r="D242" s="16">
        <f>Catalog!O242</f>
        <v>0</v>
      </c>
      <c r="E242" s="16">
        <f>Catalog!F242</f>
        <v>0</v>
      </c>
      <c r="F242" s="16" t="str">
        <f>IF(Catalog!X242="","",Catalog!X242&amp;" "&amp;Catalog!Y242)</f>
        <v/>
      </c>
      <c r="G242" s="8"/>
    </row>
    <row r="243" spans="1:7" ht="15.75" x14ac:dyDescent="0.25">
      <c r="A243" s="14" t="str">
        <f>Catalog!A243</f>
        <v/>
      </c>
      <c r="B243" s="14" t="str">
        <f>Catalog!C243</f>
        <v/>
      </c>
      <c r="C243" s="16">
        <f>Catalog!D243</f>
        <v>0</v>
      </c>
      <c r="D243" s="16">
        <f>Catalog!O243</f>
        <v>0</v>
      </c>
      <c r="E243" s="16">
        <f>Catalog!F243</f>
        <v>0</v>
      </c>
      <c r="F243" s="16" t="str">
        <f>IF(Catalog!X243="","",Catalog!X243&amp;" "&amp;Catalog!Y243)</f>
        <v/>
      </c>
      <c r="G243" s="8"/>
    </row>
    <row r="244" spans="1:7" ht="15.75" x14ac:dyDescent="0.25">
      <c r="A244" s="14" t="str">
        <f>Catalog!A244</f>
        <v/>
      </c>
      <c r="B244" s="14" t="str">
        <f>Catalog!C244</f>
        <v/>
      </c>
      <c r="C244" s="16">
        <f>Catalog!D244</f>
        <v>0</v>
      </c>
      <c r="D244" s="16">
        <f>Catalog!O244</f>
        <v>0</v>
      </c>
      <c r="E244" s="16">
        <f>Catalog!F244</f>
        <v>0</v>
      </c>
      <c r="F244" s="16" t="str">
        <f>IF(Catalog!X244="","",Catalog!X244&amp;" "&amp;Catalog!Y244)</f>
        <v/>
      </c>
      <c r="G244" s="8"/>
    </row>
    <row r="245" spans="1:7" ht="15.75" x14ac:dyDescent="0.25">
      <c r="A245" s="14" t="str">
        <f>Catalog!A245</f>
        <v/>
      </c>
      <c r="B245" s="14" t="str">
        <f>Catalog!C245</f>
        <v/>
      </c>
      <c r="C245" s="16">
        <f>Catalog!D245</f>
        <v>0</v>
      </c>
      <c r="D245" s="16">
        <f>Catalog!O245</f>
        <v>0</v>
      </c>
      <c r="E245" s="16">
        <f>Catalog!F245</f>
        <v>0</v>
      </c>
      <c r="F245" s="16" t="str">
        <f>IF(Catalog!X245="","",Catalog!X245&amp;" "&amp;Catalog!Y245)</f>
        <v/>
      </c>
      <c r="G245" s="8"/>
    </row>
    <row r="246" spans="1:7" ht="15.75" x14ac:dyDescent="0.25">
      <c r="A246" s="14" t="str">
        <f>Catalog!A246</f>
        <v/>
      </c>
      <c r="B246" s="14" t="str">
        <f>Catalog!C246</f>
        <v/>
      </c>
      <c r="C246" s="16">
        <f>Catalog!D246</f>
        <v>0</v>
      </c>
      <c r="D246" s="16">
        <f>Catalog!O246</f>
        <v>0</v>
      </c>
      <c r="E246" s="16">
        <f>Catalog!F246</f>
        <v>0</v>
      </c>
      <c r="F246" s="16" t="str">
        <f>IF(Catalog!X246="","",Catalog!X246&amp;" "&amp;Catalog!Y246)</f>
        <v/>
      </c>
      <c r="G246" s="8"/>
    </row>
    <row r="247" spans="1:7" ht="15.75" x14ac:dyDescent="0.25">
      <c r="A247" s="14" t="str">
        <f>Catalog!A247</f>
        <v/>
      </c>
      <c r="B247" s="14" t="str">
        <f>Catalog!C247</f>
        <v/>
      </c>
      <c r="C247" s="16">
        <f>Catalog!D247</f>
        <v>0</v>
      </c>
      <c r="D247" s="16">
        <f>Catalog!O247</f>
        <v>0</v>
      </c>
      <c r="E247" s="16">
        <f>Catalog!F247</f>
        <v>0</v>
      </c>
      <c r="F247" s="16" t="str">
        <f>IF(Catalog!X247="","",Catalog!X247&amp;" "&amp;Catalog!Y247)</f>
        <v/>
      </c>
      <c r="G247" s="8"/>
    </row>
    <row r="248" spans="1:7" ht="15.75" x14ac:dyDescent="0.25">
      <c r="A248" s="14" t="str">
        <f>Catalog!A248</f>
        <v/>
      </c>
      <c r="B248" s="14" t="str">
        <f>Catalog!C248</f>
        <v/>
      </c>
      <c r="C248" s="16">
        <f>Catalog!D248</f>
        <v>0</v>
      </c>
      <c r="D248" s="16">
        <f>Catalog!O248</f>
        <v>0</v>
      </c>
      <c r="E248" s="16">
        <f>Catalog!F248</f>
        <v>0</v>
      </c>
      <c r="F248" s="16" t="str">
        <f>IF(Catalog!X248="","",Catalog!X248&amp;" "&amp;Catalog!Y248)</f>
        <v/>
      </c>
      <c r="G248" s="8"/>
    </row>
    <row r="249" spans="1:7" ht="15.75" x14ac:dyDescent="0.25">
      <c r="A249" s="14" t="str">
        <f>Catalog!A249</f>
        <v/>
      </c>
      <c r="B249" s="14" t="str">
        <f>Catalog!C249</f>
        <v/>
      </c>
      <c r="C249" s="16">
        <f>Catalog!D249</f>
        <v>0</v>
      </c>
      <c r="D249" s="16">
        <f>Catalog!O249</f>
        <v>0</v>
      </c>
      <c r="E249" s="16">
        <f>Catalog!F249</f>
        <v>0</v>
      </c>
      <c r="F249" s="16" t="str">
        <f>IF(Catalog!X249="","",Catalog!X249&amp;" "&amp;Catalog!Y249)</f>
        <v/>
      </c>
      <c r="G249" s="8"/>
    </row>
    <row r="250" spans="1:7" ht="15.75" x14ac:dyDescent="0.25">
      <c r="A250" s="14" t="str">
        <f>Catalog!A250</f>
        <v/>
      </c>
      <c r="B250" s="14" t="str">
        <f>Catalog!C250</f>
        <v/>
      </c>
      <c r="C250" s="16">
        <f>Catalog!D250</f>
        <v>0</v>
      </c>
      <c r="D250" s="16">
        <f>Catalog!O250</f>
        <v>0</v>
      </c>
      <c r="E250" s="16">
        <f>Catalog!F250</f>
        <v>0</v>
      </c>
      <c r="F250" s="16" t="str">
        <f>IF(Catalog!X250="","",Catalog!X250&amp;" "&amp;Catalog!Y250)</f>
        <v/>
      </c>
      <c r="G250" s="8"/>
    </row>
    <row r="251" spans="1:7" ht="15.75" x14ac:dyDescent="0.25">
      <c r="A251" s="14" t="str">
        <f>Catalog!A251</f>
        <v/>
      </c>
      <c r="B251" s="14" t="str">
        <f>Catalog!C251</f>
        <v/>
      </c>
      <c r="C251" s="16">
        <f>Catalog!D251</f>
        <v>0</v>
      </c>
      <c r="D251" s="16">
        <f>Catalog!O251</f>
        <v>0</v>
      </c>
      <c r="E251" s="16">
        <f>Catalog!F251</f>
        <v>0</v>
      </c>
      <c r="F251" s="16" t="str">
        <f>IF(Catalog!X251="","",Catalog!X251&amp;" "&amp;Catalog!Y251)</f>
        <v/>
      </c>
      <c r="G251" s="8"/>
    </row>
    <row r="252" spans="1:7" ht="15.75" x14ac:dyDescent="0.25">
      <c r="A252" s="14" t="str">
        <f>Catalog!A252</f>
        <v/>
      </c>
      <c r="B252" s="14" t="str">
        <f>Catalog!C252</f>
        <v/>
      </c>
      <c r="C252" s="16">
        <f>Catalog!D252</f>
        <v>0</v>
      </c>
      <c r="D252" s="16">
        <f>Catalog!O252</f>
        <v>0</v>
      </c>
      <c r="E252" s="16">
        <f>Catalog!F252</f>
        <v>0</v>
      </c>
      <c r="F252" s="16" t="str">
        <f>IF(Catalog!X252="","",Catalog!X252&amp;" "&amp;Catalog!Y252)</f>
        <v/>
      </c>
      <c r="G252" s="8"/>
    </row>
    <row r="253" spans="1:7" ht="15.75" x14ac:dyDescent="0.25">
      <c r="A253" s="14" t="str">
        <f>Catalog!A253</f>
        <v/>
      </c>
      <c r="B253" s="14" t="str">
        <f>Catalog!C253</f>
        <v/>
      </c>
      <c r="C253" s="16">
        <f>Catalog!D253</f>
        <v>0</v>
      </c>
      <c r="D253" s="16">
        <f>Catalog!O253</f>
        <v>0</v>
      </c>
      <c r="E253" s="16">
        <f>Catalog!F253</f>
        <v>0</v>
      </c>
      <c r="F253" s="16" t="str">
        <f>IF(Catalog!X253="","",Catalog!X253&amp;" "&amp;Catalog!Y253)</f>
        <v/>
      </c>
      <c r="G253" s="8"/>
    </row>
    <row r="254" spans="1:7" ht="15.75" x14ac:dyDescent="0.25">
      <c r="A254" s="14" t="str">
        <f>Catalog!A254</f>
        <v/>
      </c>
      <c r="B254" s="14" t="str">
        <f>Catalog!C254</f>
        <v/>
      </c>
      <c r="C254" s="16">
        <f>Catalog!D254</f>
        <v>0</v>
      </c>
      <c r="D254" s="16">
        <f>Catalog!O254</f>
        <v>0</v>
      </c>
      <c r="E254" s="16">
        <f>Catalog!F254</f>
        <v>0</v>
      </c>
      <c r="F254" s="16" t="str">
        <f>IF(Catalog!X254="","",Catalog!X254&amp;" "&amp;Catalog!Y254)</f>
        <v/>
      </c>
      <c r="G254" s="8"/>
    </row>
    <row r="255" spans="1:7" ht="15.75" x14ac:dyDescent="0.25">
      <c r="A255" s="14" t="str">
        <f>Catalog!A255</f>
        <v/>
      </c>
      <c r="B255" s="14" t="str">
        <f>Catalog!C255</f>
        <v/>
      </c>
      <c r="C255" s="16">
        <f>Catalog!D255</f>
        <v>0</v>
      </c>
      <c r="D255" s="16">
        <f>Catalog!O255</f>
        <v>0</v>
      </c>
      <c r="E255" s="16">
        <f>Catalog!F255</f>
        <v>0</v>
      </c>
      <c r="F255" s="16" t="str">
        <f>IF(Catalog!X255="","",Catalog!X255&amp;" "&amp;Catalog!Y255)</f>
        <v/>
      </c>
      <c r="G255" s="8"/>
    </row>
    <row r="256" spans="1:7" ht="15.75" x14ac:dyDescent="0.25">
      <c r="A256" s="14" t="str">
        <f>Catalog!A256</f>
        <v/>
      </c>
      <c r="B256" s="14" t="str">
        <f>Catalog!C256</f>
        <v/>
      </c>
      <c r="C256" s="16">
        <f>Catalog!D256</f>
        <v>0</v>
      </c>
      <c r="D256" s="16">
        <f>Catalog!O256</f>
        <v>0</v>
      </c>
      <c r="E256" s="16">
        <f>Catalog!F256</f>
        <v>0</v>
      </c>
      <c r="F256" s="16" t="str">
        <f>IF(Catalog!X256="","",Catalog!X256&amp;" "&amp;Catalog!Y256)</f>
        <v/>
      </c>
      <c r="G256" s="8"/>
    </row>
    <row r="257" spans="1:7" ht="15.75" x14ac:dyDescent="0.25">
      <c r="A257" s="14" t="str">
        <f>Catalog!A257</f>
        <v/>
      </c>
      <c r="B257" s="14" t="str">
        <f>Catalog!C257</f>
        <v/>
      </c>
      <c r="C257" s="16">
        <f>Catalog!D257</f>
        <v>0</v>
      </c>
      <c r="D257" s="16">
        <f>Catalog!O257</f>
        <v>0</v>
      </c>
      <c r="E257" s="16">
        <f>Catalog!F257</f>
        <v>0</v>
      </c>
      <c r="F257" s="16" t="str">
        <f>IF(Catalog!X257="","",Catalog!X257&amp;" "&amp;Catalog!Y257)</f>
        <v/>
      </c>
      <c r="G257" s="8"/>
    </row>
    <row r="258" spans="1:7" ht="15.75" x14ac:dyDescent="0.25">
      <c r="A258" s="14" t="str">
        <f>Catalog!A258</f>
        <v/>
      </c>
      <c r="B258" s="14" t="str">
        <f>Catalog!C258</f>
        <v/>
      </c>
      <c r="C258" s="16">
        <f>Catalog!D258</f>
        <v>0</v>
      </c>
      <c r="D258" s="16">
        <f>Catalog!O258</f>
        <v>0</v>
      </c>
      <c r="E258" s="16">
        <f>Catalog!F258</f>
        <v>0</v>
      </c>
      <c r="F258" s="16" t="str">
        <f>IF(Catalog!X258="","",Catalog!X258&amp;" "&amp;Catalog!Y258)</f>
        <v/>
      </c>
      <c r="G258" s="8"/>
    </row>
    <row r="259" spans="1:7" ht="15.75" x14ac:dyDescent="0.25">
      <c r="A259" s="14" t="str">
        <f>Catalog!A259</f>
        <v/>
      </c>
      <c r="B259" s="14" t="str">
        <f>Catalog!C259</f>
        <v/>
      </c>
      <c r="C259" s="16">
        <f>Catalog!D259</f>
        <v>0</v>
      </c>
      <c r="D259" s="16">
        <f>Catalog!O259</f>
        <v>0</v>
      </c>
      <c r="E259" s="16">
        <f>Catalog!F259</f>
        <v>0</v>
      </c>
      <c r="F259" s="16" t="str">
        <f>IF(Catalog!X259="","",Catalog!X259&amp;" "&amp;Catalog!Y259)</f>
        <v/>
      </c>
      <c r="G259" s="8"/>
    </row>
    <row r="260" spans="1:7" ht="15.75" x14ac:dyDescent="0.25">
      <c r="A260" s="14" t="str">
        <f>Catalog!A260</f>
        <v/>
      </c>
      <c r="B260" s="14" t="str">
        <f>Catalog!C260</f>
        <v/>
      </c>
      <c r="C260" s="16">
        <f>Catalog!D260</f>
        <v>0</v>
      </c>
      <c r="D260" s="16">
        <f>Catalog!O260</f>
        <v>0</v>
      </c>
      <c r="E260" s="16">
        <f>Catalog!F260</f>
        <v>0</v>
      </c>
      <c r="F260" s="16" t="str">
        <f>IF(Catalog!X260="","",Catalog!X260&amp;" "&amp;Catalog!Y260)</f>
        <v/>
      </c>
      <c r="G260" s="8"/>
    </row>
    <row r="261" spans="1:7" ht="15.75" x14ac:dyDescent="0.25">
      <c r="A261" s="14" t="str">
        <f>Catalog!A261</f>
        <v/>
      </c>
      <c r="B261" s="14" t="str">
        <f>Catalog!C261</f>
        <v/>
      </c>
      <c r="C261" s="16">
        <f>Catalog!D261</f>
        <v>0</v>
      </c>
      <c r="D261" s="16">
        <f>Catalog!O261</f>
        <v>0</v>
      </c>
      <c r="E261" s="16">
        <f>Catalog!F261</f>
        <v>0</v>
      </c>
      <c r="F261" s="16" t="str">
        <f>IF(Catalog!X261="","",Catalog!X261&amp;" "&amp;Catalog!Y261)</f>
        <v/>
      </c>
      <c r="G261" s="8"/>
    </row>
    <row r="262" spans="1:7" ht="15.75" x14ac:dyDescent="0.25">
      <c r="A262" s="14" t="str">
        <f>Catalog!A262</f>
        <v/>
      </c>
      <c r="B262" s="14" t="str">
        <f>Catalog!C262</f>
        <v/>
      </c>
      <c r="C262" s="16">
        <f>Catalog!D262</f>
        <v>0</v>
      </c>
      <c r="D262" s="16">
        <f>Catalog!O262</f>
        <v>0</v>
      </c>
      <c r="E262" s="16">
        <f>Catalog!F262</f>
        <v>0</v>
      </c>
      <c r="F262" s="16" t="str">
        <f>IF(Catalog!X262="","",Catalog!X262&amp;" "&amp;Catalog!Y262)</f>
        <v/>
      </c>
      <c r="G262" s="8"/>
    </row>
    <row r="263" spans="1:7" ht="15.75" x14ac:dyDescent="0.25">
      <c r="A263" s="14" t="str">
        <f>Catalog!A263</f>
        <v/>
      </c>
      <c r="B263" s="14" t="str">
        <f>Catalog!C263</f>
        <v/>
      </c>
      <c r="C263" s="16">
        <f>Catalog!D263</f>
        <v>0</v>
      </c>
      <c r="D263" s="16">
        <f>Catalog!O263</f>
        <v>0</v>
      </c>
      <c r="E263" s="16">
        <f>Catalog!F263</f>
        <v>0</v>
      </c>
      <c r="F263" s="16" t="str">
        <f>IF(Catalog!X263="","",Catalog!X263&amp;" "&amp;Catalog!Y263)</f>
        <v/>
      </c>
      <c r="G263" s="8"/>
    </row>
    <row r="264" spans="1:7" ht="15.75" x14ac:dyDescent="0.25">
      <c r="A264" s="14" t="str">
        <f>Catalog!A264</f>
        <v/>
      </c>
      <c r="B264" s="14" t="str">
        <f>Catalog!C264</f>
        <v/>
      </c>
      <c r="C264" s="16">
        <f>Catalog!D264</f>
        <v>0</v>
      </c>
      <c r="D264" s="16">
        <f>Catalog!O264</f>
        <v>0</v>
      </c>
      <c r="E264" s="16">
        <f>Catalog!F264</f>
        <v>0</v>
      </c>
      <c r="F264" s="16" t="str">
        <f>IF(Catalog!X264="","",Catalog!X264&amp;" "&amp;Catalog!Y264)</f>
        <v/>
      </c>
      <c r="G264" s="8"/>
    </row>
    <row r="265" spans="1:7" ht="15.75" x14ac:dyDescent="0.25">
      <c r="A265" s="14" t="str">
        <f>Catalog!A265</f>
        <v/>
      </c>
      <c r="B265" s="14" t="str">
        <f>Catalog!C265</f>
        <v/>
      </c>
      <c r="C265" s="16">
        <f>Catalog!D265</f>
        <v>0</v>
      </c>
      <c r="D265" s="16">
        <f>Catalog!O265</f>
        <v>0</v>
      </c>
      <c r="E265" s="16">
        <f>Catalog!F265</f>
        <v>0</v>
      </c>
      <c r="F265" s="16" t="str">
        <f>IF(Catalog!X265="","",Catalog!X265&amp;" "&amp;Catalog!Y265)</f>
        <v/>
      </c>
      <c r="G265" s="8"/>
    </row>
    <row r="266" spans="1:7" ht="15.75" x14ac:dyDescent="0.25">
      <c r="A266" s="14" t="str">
        <f>Catalog!A266</f>
        <v/>
      </c>
      <c r="B266" s="14" t="str">
        <f>Catalog!C266</f>
        <v/>
      </c>
      <c r="C266" s="16">
        <f>Catalog!D266</f>
        <v>0</v>
      </c>
      <c r="D266" s="16">
        <f>Catalog!O266</f>
        <v>0</v>
      </c>
      <c r="E266" s="16">
        <f>Catalog!F266</f>
        <v>0</v>
      </c>
      <c r="F266" s="16" t="str">
        <f>IF(Catalog!X266="","",Catalog!X266&amp;" "&amp;Catalog!Y266)</f>
        <v/>
      </c>
      <c r="G266" s="8"/>
    </row>
    <row r="267" spans="1:7" ht="15.75" x14ac:dyDescent="0.25">
      <c r="A267" s="14" t="str">
        <f>Catalog!A267</f>
        <v/>
      </c>
      <c r="B267" s="14" t="str">
        <f>Catalog!C267</f>
        <v/>
      </c>
      <c r="C267" s="16">
        <f>Catalog!D267</f>
        <v>0</v>
      </c>
      <c r="D267" s="16">
        <f>Catalog!O267</f>
        <v>0</v>
      </c>
      <c r="E267" s="16">
        <f>Catalog!F267</f>
        <v>0</v>
      </c>
      <c r="F267" s="16" t="str">
        <f>IF(Catalog!X267="","",Catalog!X267&amp;" "&amp;Catalog!Y267)</f>
        <v/>
      </c>
      <c r="G267" s="8"/>
    </row>
    <row r="268" spans="1:7" ht="15.75" x14ac:dyDescent="0.25">
      <c r="A268" s="14" t="str">
        <f>Catalog!A268</f>
        <v/>
      </c>
      <c r="B268" s="14" t="str">
        <f>Catalog!C268</f>
        <v/>
      </c>
      <c r="C268" s="16">
        <f>Catalog!D268</f>
        <v>0</v>
      </c>
      <c r="D268" s="16">
        <f>Catalog!O268</f>
        <v>0</v>
      </c>
      <c r="E268" s="16">
        <f>Catalog!F268</f>
        <v>0</v>
      </c>
      <c r="F268" s="16" t="str">
        <f>IF(Catalog!X268="","",Catalog!X268&amp;" "&amp;Catalog!Y268)</f>
        <v/>
      </c>
      <c r="G268" s="8"/>
    </row>
    <row r="269" spans="1:7" ht="15.75" x14ac:dyDescent="0.25">
      <c r="A269" s="14" t="str">
        <f>Catalog!A269</f>
        <v/>
      </c>
      <c r="B269" s="14" t="str">
        <f>Catalog!C269</f>
        <v/>
      </c>
      <c r="C269" s="16">
        <f>Catalog!D269</f>
        <v>0</v>
      </c>
      <c r="D269" s="16">
        <f>Catalog!O269</f>
        <v>0</v>
      </c>
      <c r="E269" s="16">
        <f>Catalog!F269</f>
        <v>0</v>
      </c>
      <c r="F269" s="16" t="str">
        <f>IF(Catalog!X269="","",Catalog!X269&amp;" "&amp;Catalog!Y269)</f>
        <v/>
      </c>
      <c r="G269" s="8"/>
    </row>
    <row r="270" spans="1:7" ht="15.75" x14ac:dyDescent="0.25">
      <c r="A270" s="14" t="str">
        <f>Catalog!A270</f>
        <v/>
      </c>
      <c r="B270" s="14" t="str">
        <f>Catalog!C270</f>
        <v/>
      </c>
      <c r="C270" s="16">
        <f>Catalog!D270</f>
        <v>0</v>
      </c>
      <c r="D270" s="16">
        <f>Catalog!O270</f>
        <v>0</v>
      </c>
      <c r="E270" s="16">
        <f>Catalog!F270</f>
        <v>0</v>
      </c>
      <c r="F270" s="16" t="str">
        <f>IF(Catalog!X270="","",Catalog!X270&amp;" "&amp;Catalog!Y270)</f>
        <v/>
      </c>
      <c r="G270" s="8"/>
    </row>
    <row r="271" spans="1:7" ht="15.75" x14ac:dyDescent="0.25">
      <c r="A271" s="14" t="str">
        <f>Catalog!A271</f>
        <v/>
      </c>
      <c r="B271" s="14" t="str">
        <f>Catalog!C271</f>
        <v/>
      </c>
      <c r="C271" s="16">
        <f>Catalog!D271</f>
        <v>0</v>
      </c>
      <c r="D271" s="16">
        <f>Catalog!O271</f>
        <v>0</v>
      </c>
      <c r="E271" s="16">
        <f>Catalog!F271</f>
        <v>0</v>
      </c>
      <c r="F271" s="16" t="str">
        <f>IF(Catalog!X271="","",Catalog!X271&amp;" "&amp;Catalog!Y271)</f>
        <v/>
      </c>
      <c r="G271" s="8"/>
    </row>
    <row r="272" spans="1:7" ht="15.75" x14ac:dyDescent="0.25">
      <c r="A272" s="14" t="str">
        <f>Catalog!A272</f>
        <v/>
      </c>
      <c r="B272" s="14" t="str">
        <f>Catalog!C272</f>
        <v/>
      </c>
      <c r="C272" s="16">
        <f>Catalog!D272</f>
        <v>0</v>
      </c>
      <c r="D272" s="16">
        <f>Catalog!O272</f>
        <v>0</v>
      </c>
      <c r="E272" s="16">
        <f>Catalog!F272</f>
        <v>0</v>
      </c>
      <c r="F272" s="16" t="str">
        <f>IF(Catalog!X272="","",Catalog!X272&amp;" "&amp;Catalog!Y272)</f>
        <v/>
      </c>
      <c r="G272" s="8"/>
    </row>
    <row r="273" spans="1:7" ht="15.75" x14ac:dyDescent="0.25">
      <c r="A273" s="14" t="str">
        <f>Catalog!A273</f>
        <v/>
      </c>
      <c r="B273" s="14" t="str">
        <f>Catalog!C273</f>
        <v/>
      </c>
      <c r="C273" s="16">
        <f>Catalog!D273</f>
        <v>0</v>
      </c>
      <c r="D273" s="16">
        <f>Catalog!O273</f>
        <v>0</v>
      </c>
      <c r="E273" s="16">
        <f>Catalog!F273</f>
        <v>0</v>
      </c>
      <c r="F273" s="16" t="str">
        <f>IF(Catalog!X273="","",Catalog!X273&amp;" "&amp;Catalog!Y273)</f>
        <v/>
      </c>
      <c r="G273" s="8"/>
    </row>
    <row r="274" spans="1:7" ht="15.75" x14ac:dyDescent="0.25">
      <c r="A274" s="14" t="str">
        <f>Catalog!A274</f>
        <v/>
      </c>
      <c r="B274" s="14" t="str">
        <f>Catalog!C274</f>
        <v/>
      </c>
      <c r="C274" s="16">
        <f>Catalog!D274</f>
        <v>0</v>
      </c>
      <c r="D274" s="16">
        <f>Catalog!O274</f>
        <v>0</v>
      </c>
      <c r="E274" s="16">
        <f>Catalog!F274</f>
        <v>0</v>
      </c>
      <c r="F274" s="16" t="str">
        <f>IF(Catalog!X274="","",Catalog!X274&amp;" "&amp;Catalog!Y274)</f>
        <v/>
      </c>
      <c r="G274" s="8"/>
    </row>
    <row r="275" spans="1:7" ht="15.75" x14ac:dyDescent="0.25">
      <c r="A275" s="14" t="str">
        <f>Catalog!A275</f>
        <v/>
      </c>
      <c r="B275" s="14" t="str">
        <f>Catalog!C275</f>
        <v/>
      </c>
      <c r="C275" s="16">
        <f>Catalog!D275</f>
        <v>0</v>
      </c>
      <c r="D275" s="16">
        <f>Catalog!O275</f>
        <v>0</v>
      </c>
      <c r="E275" s="16">
        <f>Catalog!F275</f>
        <v>0</v>
      </c>
      <c r="F275" s="16" t="str">
        <f>IF(Catalog!X275="","",Catalog!X275&amp;" "&amp;Catalog!Y275)</f>
        <v/>
      </c>
      <c r="G275" s="8"/>
    </row>
    <row r="276" spans="1:7" ht="15.75" x14ac:dyDescent="0.25">
      <c r="A276" s="14" t="str">
        <f>Catalog!A276</f>
        <v/>
      </c>
      <c r="B276" s="14" t="str">
        <f>Catalog!C276</f>
        <v/>
      </c>
      <c r="C276" s="16">
        <f>Catalog!D276</f>
        <v>0</v>
      </c>
      <c r="D276" s="16">
        <f>Catalog!O276</f>
        <v>0</v>
      </c>
      <c r="E276" s="16">
        <f>Catalog!F276</f>
        <v>0</v>
      </c>
      <c r="F276" s="16" t="str">
        <f>IF(Catalog!X276="","",Catalog!X276&amp;" "&amp;Catalog!Y276)</f>
        <v/>
      </c>
      <c r="G276" s="8"/>
    </row>
    <row r="277" spans="1:7" ht="15.75" x14ac:dyDescent="0.25">
      <c r="A277" s="14" t="str">
        <f>Catalog!A277</f>
        <v/>
      </c>
      <c r="B277" s="14" t="str">
        <f>Catalog!C277</f>
        <v/>
      </c>
      <c r="C277" s="16">
        <f>Catalog!D277</f>
        <v>0</v>
      </c>
      <c r="D277" s="16">
        <f>Catalog!O277</f>
        <v>0</v>
      </c>
      <c r="E277" s="16">
        <f>Catalog!F277</f>
        <v>0</v>
      </c>
      <c r="F277" s="16" t="str">
        <f>IF(Catalog!X277="","",Catalog!X277&amp;" "&amp;Catalog!Y277)</f>
        <v/>
      </c>
      <c r="G277" s="8"/>
    </row>
    <row r="278" spans="1:7" ht="15.75" x14ac:dyDescent="0.25">
      <c r="A278" s="14" t="str">
        <f>Catalog!A278</f>
        <v/>
      </c>
      <c r="B278" s="14" t="str">
        <f>Catalog!C278</f>
        <v/>
      </c>
      <c r="C278" s="16">
        <f>Catalog!D278</f>
        <v>0</v>
      </c>
      <c r="D278" s="16">
        <f>Catalog!O278</f>
        <v>0</v>
      </c>
      <c r="E278" s="16">
        <f>Catalog!F278</f>
        <v>0</v>
      </c>
      <c r="F278" s="16" t="str">
        <f>IF(Catalog!X278="","",Catalog!X278&amp;" "&amp;Catalog!Y278)</f>
        <v/>
      </c>
      <c r="G278" s="8"/>
    </row>
    <row r="279" spans="1:7" ht="15.75" x14ac:dyDescent="0.25">
      <c r="A279" s="14" t="str">
        <f>Catalog!A279</f>
        <v/>
      </c>
      <c r="B279" s="14" t="str">
        <f>Catalog!C279</f>
        <v/>
      </c>
      <c r="C279" s="16">
        <f>Catalog!D279</f>
        <v>0</v>
      </c>
      <c r="D279" s="16">
        <f>Catalog!O279</f>
        <v>0</v>
      </c>
      <c r="E279" s="16">
        <f>Catalog!F279</f>
        <v>0</v>
      </c>
      <c r="F279" s="16" t="str">
        <f>IF(Catalog!X279="","",Catalog!X279&amp;" "&amp;Catalog!Y279)</f>
        <v/>
      </c>
      <c r="G279" s="8"/>
    </row>
    <row r="280" spans="1:7" ht="15.75" x14ac:dyDescent="0.25">
      <c r="A280" s="14" t="str">
        <f>Catalog!A280</f>
        <v/>
      </c>
      <c r="B280" s="14" t="str">
        <f>Catalog!C280</f>
        <v/>
      </c>
      <c r="C280" s="16">
        <f>Catalog!D280</f>
        <v>0</v>
      </c>
      <c r="D280" s="16">
        <f>Catalog!O280</f>
        <v>0</v>
      </c>
      <c r="E280" s="16">
        <f>Catalog!F280</f>
        <v>0</v>
      </c>
      <c r="F280" s="16" t="str">
        <f>IF(Catalog!X280="","",Catalog!X280&amp;" "&amp;Catalog!Y280)</f>
        <v/>
      </c>
      <c r="G280" s="8"/>
    </row>
    <row r="281" spans="1:7" ht="15.75" x14ac:dyDescent="0.25">
      <c r="A281" s="14" t="str">
        <f>Catalog!A281</f>
        <v/>
      </c>
      <c r="B281" s="14" t="str">
        <f>Catalog!C281</f>
        <v/>
      </c>
      <c r="C281" s="16">
        <f>Catalog!D281</f>
        <v>0</v>
      </c>
      <c r="D281" s="16">
        <f>Catalog!O281</f>
        <v>0</v>
      </c>
      <c r="E281" s="16">
        <f>Catalog!F281</f>
        <v>0</v>
      </c>
      <c r="F281" s="16" t="str">
        <f>IF(Catalog!X281="","",Catalog!X281&amp;" "&amp;Catalog!Y281)</f>
        <v/>
      </c>
      <c r="G281" s="8"/>
    </row>
    <row r="282" spans="1:7" ht="15.75" x14ac:dyDescent="0.25">
      <c r="A282" s="14" t="str">
        <f>Catalog!A282</f>
        <v/>
      </c>
      <c r="B282" s="14" t="str">
        <f>Catalog!C282</f>
        <v/>
      </c>
      <c r="C282" s="16">
        <f>Catalog!D282</f>
        <v>0</v>
      </c>
      <c r="D282" s="16">
        <f>Catalog!O282</f>
        <v>0</v>
      </c>
      <c r="E282" s="16">
        <f>Catalog!F282</f>
        <v>0</v>
      </c>
      <c r="F282" s="16" t="str">
        <f>IF(Catalog!X282="","",Catalog!X282&amp;" "&amp;Catalog!Y282)</f>
        <v/>
      </c>
      <c r="G282" s="8"/>
    </row>
    <row r="283" spans="1:7" ht="15.75" x14ac:dyDescent="0.25">
      <c r="A283" s="14" t="str">
        <f>Catalog!A283</f>
        <v/>
      </c>
      <c r="B283" s="14" t="str">
        <f>Catalog!C283</f>
        <v/>
      </c>
      <c r="C283" s="16">
        <f>Catalog!D283</f>
        <v>0</v>
      </c>
      <c r="D283" s="16">
        <f>Catalog!O283</f>
        <v>0</v>
      </c>
      <c r="E283" s="16">
        <f>Catalog!F283</f>
        <v>0</v>
      </c>
      <c r="F283" s="16" t="str">
        <f>IF(Catalog!X283="","",Catalog!X283&amp;" "&amp;Catalog!Y283)</f>
        <v/>
      </c>
      <c r="G283" s="8"/>
    </row>
    <row r="284" spans="1:7" ht="15.75" x14ac:dyDescent="0.25">
      <c r="A284" s="14" t="str">
        <f>Catalog!A284</f>
        <v/>
      </c>
      <c r="B284" s="14" t="str">
        <f>Catalog!C284</f>
        <v/>
      </c>
      <c r="C284" s="16">
        <f>Catalog!D284</f>
        <v>0</v>
      </c>
      <c r="D284" s="16">
        <f>Catalog!O284</f>
        <v>0</v>
      </c>
      <c r="E284" s="16">
        <f>Catalog!F284</f>
        <v>0</v>
      </c>
      <c r="F284" s="16" t="str">
        <f>IF(Catalog!X284="","",Catalog!X284&amp;" "&amp;Catalog!Y284)</f>
        <v/>
      </c>
      <c r="G284" s="8"/>
    </row>
    <row r="285" spans="1:7" ht="15.75" x14ac:dyDescent="0.25">
      <c r="A285" s="14" t="str">
        <f>Catalog!A285</f>
        <v/>
      </c>
      <c r="B285" s="14" t="str">
        <f>Catalog!C285</f>
        <v/>
      </c>
      <c r="C285" s="16">
        <f>Catalog!D285</f>
        <v>0</v>
      </c>
      <c r="D285" s="16">
        <f>Catalog!O285</f>
        <v>0</v>
      </c>
      <c r="E285" s="16">
        <f>Catalog!F285</f>
        <v>0</v>
      </c>
      <c r="F285" s="16" t="str">
        <f>IF(Catalog!X285="","",Catalog!X285&amp;" "&amp;Catalog!Y285)</f>
        <v/>
      </c>
      <c r="G285" s="8"/>
    </row>
    <row r="286" spans="1:7" ht="15.75" x14ac:dyDescent="0.25">
      <c r="A286" s="14" t="str">
        <f>Catalog!A286</f>
        <v/>
      </c>
      <c r="B286" s="14" t="str">
        <f>Catalog!C286</f>
        <v/>
      </c>
      <c r="C286" s="16">
        <f>Catalog!D286</f>
        <v>0</v>
      </c>
      <c r="D286" s="16">
        <f>Catalog!O286</f>
        <v>0</v>
      </c>
      <c r="E286" s="16">
        <f>Catalog!F286</f>
        <v>0</v>
      </c>
      <c r="F286" s="16" t="str">
        <f>IF(Catalog!X286="","",Catalog!X286&amp;" "&amp;Catalog!Y286)</f>
        <v/>
      </c>
      <c r="G286" s="8"/>
    </row>
    <row r="287" spans="1:7" ht="15.75" x14ac:dyDescent="0.25">
      <c r="A287" s="14" t="str">
        <f>Catalog!A287</f>
        <v/>
      </c>
      <c r="B287" s="14" t="str">
        <f>Catalog!C287</f>
        <v/>
      </c>
      <c r="C287" s="16">
        <f>Catalog!D287</f>
        <v>0</v>
      </c>
      <c r="D287" s="16">
        <f>Catalog!O287</f>
        <v>0</v>
      </c>
      <c r="E287" s="16">
        <f>Catalog!F287</f>
        <v>0</v>
      </c>
      <c r="F287" s="16" t="str">
        <f>IF(Catalog!X287="","",Catalog!X287&amp;" "&amp;Catalog!Y287)</f>
        <v/>
      </c>
      <c r="G287" s="8"/>
    </row>
    <row r="288" spans="1:7" ht="15.75" x14ac:dyDescent="0.25">
      <c r="A288" s="14" t="str">
        <f>Catalog!A288</f>
        <v/>
      </c>
      <c r="B288" s="14" t="str">
        <f>Catalog!C288</f>
        <v/>
      </c>
      <c r="C288" s="16">
        <f>Catalog!D288</f>
        <v>0</v>
      </c>
      <c r="D288" s="16">
        <f>Catalog!O288</f>
        <v>0</v>
      </c>
      <c r="E288" s="16">
        <f>Catalog!F288</f>
        <v>0</v>
      </c>
      <c r="F288" s="16" t="str">
        <f>IF(Catalog!X288="","",Catalog!X288&amp;" "&amp;Catalog!Y288)</f>
        <v/>
      </c>
      <c r="G288" s="8"/>
    </row>
    <row r="289" spans="1:7" ht="15.75" x14ac:dyDescent="0.25">
      <c r="A289" s="14" t="str">
        <f>Catalog!A289</f>
        <v/>
      </c>
      <c r="B289" s="14" t="str">
        <f>Catalog!C289</f>
        <v/>
      </c>
      <c r="C289" s="16">
        <f>Catalog!D289</f>
        <v>0</v>
      </c>
      <c r="D289" s="16">
        <f>Catalog!O289</f>
        <v>0</v>
      </c>
      <c r="E289" s="16">
        <f>Catalog!F289</f>
        <v>0</v>
      </c>
      <c r="F289" s="16" t="str">
        <f>IF(Catalog!X289="","",Catalog!X289&amp;" "&amp;Catalog!Y289)</f>
        <v/>
      </c>
      <c r="G289" s="8"/>
    </row>
    <row r="290" spans="1:7" ht="15.75" x14ac:dyDescent="0.25">
      <c r="A290" s="14" t="str">
        <f>Catalog!A290</f>
        <v/>
      </c>
      <c r="B290" s="14" t="str">
        <f>Catalog!C290</f>
        <v/>
      </c>
      <c r="C290" s="16">
        <f>Catalog!D290</f>
        <v>0</v>
      </c>
      <c r="D290" s="16">
        <f>Catalog!O290</f>
        <v>0</v>
      </c>
      <c r="E290" s="16">
        <f>Catalog!F290</f>
        <v>0</v>
      </c>
      <c r="F290" s="16" t="str">
        <f>IF(Catalog!X290="","",Catalog!X290&amp;" "&amp;Catalog!Y290)</f>
        <v/>
      </c>
      <c r="G290" s="8"/>
    </row>
    <row r="291" spans="1:7" ht="15.75" x14ac:dyDescent="0.25">
      <c r="A291" s="14" t="str">
        <f>Catalog!A291</f>
        <v/>
      </c>
      <c r="B291" s="14" t="str">
        <f>Catalog!C291</f>
        <v/>
      </c>
      <c r="C291" s="16">
        <f>Catalog!D291</f>
        <v>0</v>
      </c>
      <c r="D291" s="16">
        <f>Catalog!O291</f>
        <v>0</v>
      </c>
      <c r="E291" s="16">
        <f>Catalog!F291</f>
        <v>0</v>
      </c>
      <c r="F291" s="16" t="str">
        <f>IF(Catalog!X291="","",Catalog!X291&amp;" "&amp;Catalog!Y291)</f>
        <v/>
      </c>
      <c r="G291" s="8"/>
    </row>
    <row r="292" spans="1:7" ht="15.75" x14ac:dyDescent="0.25">
      <c r="A292" s="14" t="str">
        <f>Catalog!A292</f>
        <v/>
      </c>
      <c r="B292" s="14" t="str">
        <f>Catalog!C292</f>
        <v/>
      </c>
      <c r="C292" s="16">
        <f>Catalog!D292</f>
        <v>0</v>
      </c>
      <c r="D292" s="16">
        <f>Catalog!O292</f>
        <v>0</v>
      </c>
      <c r="E292" s="16">
        <f>Catalog!F292</f>
        <v>0</v>
      </c>
      <c r="F292" s="16" t="str">
        <f>IF(Catalog!X292="","",Catalog!X292&amp;" "&amp;Catalog!Y292)</f>
        <v/>
      </c>
      <c r="G292" s="8"/>
    </row>
    <row r="293" spans="1:7" ht="15.75" x14ac:dyDescent="0.25">
      <c r="A293" s="14" t="str">
        <f>Catalog!A293</f>
        <v/>
      </c>
      <c r="B293" s="14" t="str">
        <f>Catalog!C293</f>
        <v/>
      </c>
      <c r="C293" s="16">
        <f>Catalog!D293</f>
        <v>0</v>
      </c>
      <c r="D293" s="16">
        <f>Catalog!O293</f>
        <v>0</v>
      </c>
      <c r="E293" s="16">
        <f>Catalog!F293</f>
        <v>0</v>
      </c>
      <c r="F293" s="16" t="str">
        <f>IF(Catalog!X293="","",Catalog!X293&amp;" "&amp;Catalog!Y293)</f>
        <v/>
      </c>
      <c r="G293" s="8"/>
    </row>
    <row r="294" spans="1:7" ht="15.75" x14ac:dyDescent="0.25">
      <c r="A294" s="14" t="str">
        <f>Catalog!A294</f>
        <v/>
      </c>
      <c r="B294" s="14" t="str">
        <f>Catalog!C294</f>
        <v/>
      </c>
      <c r="C294" s="16">
        <f>Catalog!D294</f>
        <v>0</v>
      </c>
      <c r="D294" s="16">
        <f>Catalog!O294</f>
        <v>0</v>
      </c>
      <c r="E294" s="16">
        <f>Catalog!F294</f>
        <v>0</v>
      </c>
      <c r="F294" s="16" t="str">
        <f>IF(Catalog!X294="","",Catalog!X294&amp;" "&amp;Catalog!Y294)</f>
        <v/>
      </c>
      <c r="G294" s="8"/>
    </row>
    <row r="295" spans="1:7" ht="15.75" x14ac:dyDescent="0.25">
      <c r="A295" s="14" t="str">
        <f>Catalog!A295</f>
        <v/>
      </c>
      <c r="B295" s="14" t="str">
        <f>Catalog!C295</f>
        <v/>
      </c>
      <c r="C295" s="16">
        <f>Catalog!D295</f>
        <v>0</v>
      </c>
      <c r="D295" s="16">
        <f>Catalog!O295</f>
        <v>0</v>
      </c>
      <c r="E295" s="16">
        <f>Catalog!F295</f>
        <v>0</v>
      </c>
      <c r="F295" s="16" t="str">
        <f>IF(Catalog!X295="","",Catalog!X295&amp;" "&amp;Catalog!Y295)</f>
        <v/>
      </c>
      <c r="G295" s="8"/>
    </row>
    <row r="296" spans="1:7" ht="15.75" x14ac:dyDescent="0.25">
      <c r="A296" s="14" t="str">
        <f>Catalog!A296</f>
        <v/>
      </c>
      <c r="B296" s="14" t="str">
        <f>Catalog!C296</f>
        <v/>
      </c>
      <c r="C296" s="16">
        <f>Catalog!D296</f>
        <v>0</v>
      </c>
      <c r="D296" s="16">
        <f>Catalog!O296</f>
        <v>0</v>
      </c>
      <c r="E296" s="16">
        <f>Catalog!F296</f>
        <v>0</v>
      </c>
      <c r="F296" s="16" t="str">
        <f>IF(Catalog!X296="","",Catalog!X296&amp;" "&amp;Catalog!Y296)</f>
        <v/>
      </c>
      <c r="G296" s="8"/>
    </row>
    <row r="297" spans="1:7" ht="15.75" x14ac:dyDescent="0.25">
      <c r="A297" s="14" t="str">
        <f>Catalog!A297</f>
        <v/>
      </c>
      <c r="B297" s="14" t="str">
        <f>Catalog!C297</f>
        <v/>
      </c>
      <c r="C297" s="16">
        <f>Catalog!D297</f>
        <v>0</v>
      </c>
      <c r="D297" s="16">
        <f>Catalog!O297</f>
        <v>0</v>
      </c>
      <c r="E297" s="16">
        <f>Catalog!F297</f>
        <v>0</v>
      </c>
      <c r="F297" s="16" t="str">
        <f>IF(Catalog!X297="","",Catalog!X297&amp;" "&amp;Catalog!Y297)</f>
        <v/>
      </c>
      <c r="G297" s="8"/>
    </row>
    <row r="298" spans="1:7" ht="15.75" x14ac:dyDescent="0.25">
      <c r="A298" s="14" t="str">
        <f>Catalog!A298</f>
        <v/>
      </c>
      <c r="B298" s="14" t="str">
        <f>Catalog!C298</f>
        <v/>
      </c>
      <c r="C298" s="16">
        <f>Catalog!D298</f>
        <v>0</v>
      </c>
      <c r="D298" s="16">
        <f>Catalog!O298</f>
        <v>0</v>
      </c>
      <c r="E298" s="16">
        <f>Catalog!F298</f>
        <v>0</v>
      </c>
      <c r="F298" s="16" t="str">
        <f>IF(Catalog!X298="","",Catalog!X298&amp;" "&amp;Catalog!Y298)</f>
        <v/>
      </c>
      <c r="G298" s="8"/>
    </row>
    <row r="299" spans="1:7" ht="15.75" x14ac:dyDescent="0.25">
      <c r="A299" s="14" t="str">
        <f>Catalog!A299</f>
        <v/>
      </c>
      <c r="B299" s="14" t="str">
        <f>Catalog!C299</f>
        <v/>
      </c>
      <c r="C299" s="16">
        <f>Catalog!D299</f>
        <v>0</v>
      </c>
      <c r="D299" s="16">
        <f>Catalog!O299</f>
        <v>0</v>
      </c>
      <c r="E299" s="16">
        <f>Catalog!F299</f>
        <v>0</v>
      </c>
      <c r="F299" s="16" t="str">
        <f>IF(Catalog!X299="","",Catalog!X299&amp;" "&amp;Catalog!Y299)</f>
        <v/>
      </c>
      <c r="G299" s="8"/>
    </row>
    <row r="300" spans="1:7" ht="15.75" x14ac:dyDescent="0.25">
      <c r="A300" s="14" t="str">
        <f>Catalog!A300</f>
        <v/>
      </c>
      <c r="B300" s="14" t="str">
        <f>Catalog!C300</f>
        <v/>
      </c>
      <c r="C300" s="16">
        <f>Catalog!D300</f>
        <v>0</v>
      </c>
      <c r="D300" s="16">
        <f>Catalog!O300</f>
        <v>0</v>
      </c>
      <c r="E300" s="16">
        <f>Catalog!F300</f>
        <v>0</v>
      </c>
      <c r="F300" s="16" t="str">
        <f>IF(Catalog!X300="","",Catalog!X300&amp;" "&amp;Catalog!Y300)</f>
        <v/>
      </c>
      <c r="G300" s="8"/>
    </row>
    <row r="301" spans="1:7" ht="15.75" x14ac:dyDescent="0.25">
      <c r="A301" s="14" t="str">
        <f>Catalog!A301</f>
        <v/>
      </c>
      <c r="B301" s="14" t="str">
        <f>Catalog!C301</f>
        <v/>
      </c>
      <c r="C301" s="16">
        <f>Catalog!D301</f>
        <v>0</v>
      </c>
      <c r="D301" s="16">
        <f>Catalog!O301</f>
        <v>0</v>
      </c>
      <c r="E301" s="16">
        <f>Catalog!F301</f>
        <v>0</v>
      </c>
      <c r="F301" s="16" t="str">
        <f>IF(Catalog!X301="","",Catalog!X301&amp;" "&amp;Catalog!Y301)</f>
        <v/>
      </c>
      <c r="G301" s="8"/>
    </row>
    <row r="302" spans="1:7" ht="15.75" x14ac:dyDescent="0.25">
      <c r="A302" s="14" t="str">
        <f>Catalog!A302</f>
        <v/>
      </c>
      <c r="B302" s="14" t="str">
        <f>Catalog!C302</f>
        <v/>
      </c>
      <c r="C302" s="16">
        <f>Catalog!D302</f>
        <v>0</v>
      </c>
      <c r="D302" s="16">
        <f>Catalog!O302</f>
        <v>0</v>
      </c>
      <c r="E302" s="16">
        <f>Catalog!F302</f>
        <v>0</v>
      </c>
      <c r="F302" s="16" t="str">
        <f>IF(Catalog!X302="","",Catalog!X302&amp;" "&amp;Catalog!Y302)</f>
        <v/>
      </c>
      <c r="G302" s="8"/>
    </row>
    <row r="303" spans="1:7" ht="15.75" x14ac:dyDescent="0.25">
      <c r="A303" s="14" t="str">
        <f>Catalog!A303</f>
        <v/>
      </c>
      <c r="B303" s="14" t="str">
        <f>Catalog!C303</f>
        <v/>
      </c>
      <c r="C303" s="16">
        <f>Catalog!D303</f>
        <v>0</v>
      </c>
      <c r="D303" s="16">
        <f>Catalog!O303</f>
        <v>0</v>
      </c>
      <c r="E303" s="16">
        <f>Catalog!F303</f>
        <v>0</v>
      </c>
      <c r="F303" s="16" t="str">
        <f>IF(Catalog!X303="","",Catalog!X303&amp;" "&amp;Catalog!Y303)</f>
        <v/>
      </c>
      <c r="G303" s="8"/>
    </row>
    <row r="304" spans="1:7" ht="15.75" x14ac:dyDescent="0.25">
      <c r="A304" s="14" t="str">
        <f>Catalog!A304</f>
        <v/>
      </c>
      <c r="B304" s="14" t="str">
        <f>Catalog!C304</f>
        <v/>
      </c>
      <c r="C304" s="16">
        <f>Catalog!D304</f>
        <v>0</v>
      </c>
      <c r="D304" s="16">
        <f>Catalog!O304</f>
        <v>0</v>
      </c>
      <c r="E304" s="16">
        <f>Catalog!F304</f>
        <v>0</v>
      </c>
      <c r="F304" s="16" t="str">
        <f>IF(Catalog!X304="","",Catalog!X304&amp;" "&amp;Catalog!Y304)</f>
        <v/>
      </c>
      <c r="G304" s="8"/>
    </row>
    <row r="305" spans="1:7" ht="15.75" x14ac:dyDescent="0.25">
      <c r="A305" s="14" t="str">
        <f>Catalog!A305</f>
        <v/>
      </c>
      <c r="B305" s="14" t="str">
        <f>Catalog!C305</f>
        <v/>
      </c>
      <c r="C305" s="16">
        <f>Catalog!D305</f>
        <v>0</v>
      </c>
      <c r="D305" s="16">
        <f>Catalog!O305</f>
        <v>0</v>
      </c>
      <c r="E305" s="16">
        <f>Catalog!F305</f>
        <v>0</v>
      </c>
      <c r="F305" s="16" t="str">
        <f>IF(Catalog!X305="","",Catalog!X305&amp;" "&amp;Catalog!Y305)</f>
        <v/>
      </c>
      <c r="G305" s="8"/>
    </row>
    <row r="306" spans="1:7" ht="15.75" x14ac:dyDescent="0.25">
      <c r="A306" s="14" t="str">
        <f>Catalog!A306</f>
        <v/>
      </c>
      <c r="B306" s="14" t="str">
        <f>Catalog!C306</f>
        <v/>
      </c>
      <c r="C306" s="16">
        <f>Catalog!D306</f>
        <v>0</v>
      </c>
      <c r="D306" s="16">
        <f>Catalog!O306</f>
        <v>0</v>
      </c>
      <c r="E306" s="16">
        <f>Catalog!F306</f>
        <v>0</v>
      </c>
      <c r="F306" s="16" t="str">
        <f>IF(Catalog!X306="","",Catalog!X306&amp;" "&amp;Catalog!Y306)</f>
        <v/>
      </c>
      <c r="G306" s="8"/>
    </row>
    <row r="307" spans="1:7" ht="15.75" x14ac:dyDescent="0.25">
      <c r="A307" s="14" t="str">
        <f>Catalog!A307</f>
        <v/>
      </c>
      <c r="B307" s="14" t="str">
        <f>Catalog!C307</f>
        <v/>
      </c>
      <c r="C307" s="16">
        <f>Catalog!D307</f>
        <v>0</v>
      </c>
      <c r="D307" s="16">
        <f>Catalog!O307</f>
        <v>0</v>
      </c>
      <c r="E307" s="16">
        <f>Catalog!F307</f>
        <v>0</v>
      </c>
      <c r="F307" s="16" t="str">
        <f>IF(Catalog!X307="","",Catalog!X307&amp;" "&amp;Catalog!Y307)</f>
        <v/>
      </c>
      <c r="G307" s="8"/>
    </row>
    <row r="308" spans="1:7" ht="15.75" x14ac:dyDescent="0.25">
      <c r="A308" s="14" t="str">
        <f>Catalog!A308</f>
        <v/>
      </c>
      <c r="B308" s="14" t="str">
        <f>Catalog!C308</f>
        <v/>
      </c>
      <c r="C308" s="16">
        <f>Catalog!D308</f>
        <v>0</v>
      </c>
      <c r="D308" s="16">
        <f>Catalog!O308</f>
        <v>0</v>
      </c>
      <c r="E308" s="16">
        <f>Catalog!F308</f>
        <v>0</v>
      </c>
      <c r="F308" s="16" t="str">
        <f>IF(Catalog!X308="","",Catalog!X308&amp;" "&amp;Catalog!Y308)</f>
        <v/>
      </c>
      <c r="G308" s="8"/>
    </row>
    <row r="309" spans="1:7" ht="15.75" x14ac:dyDescent="0.25">
      <c r="A309" s="14" t="str">
        <f>Catalog!A309</f>
        <v/>
      </c>
      <c r="B309" s="14" t="str">
        <f>Catalog!C309</f>
        <v/>
      </c>
      <c r="C309" s="16">
        <f>Catalog!D309</f>
        <v>0</v>
      </c>
      <c r="D309" s="16">
        <f>Catalog!O309</f>
        <v>0</v>
      </c>
      <c r="E309" s="16">
        <f>Catalog!F309</f>
        <v>0</v>
      </c>
      <c r="F309" s="16" t="str">
        <f>IF(Catalog!X309="","",Catalog!X309&amp;" "&amp;Catalog!Y309)</f>
        <v/>
      </c>
      <c r="G309" s="8"/>
    </row>
    <row r="310" spans="1:7" ht="15.75" x14ac:dyDescent="0.25">
      <c r="A310" s="14" t="str">
        <f>Catalog!A310</f>
        <v/>
      </c>
      <c r="B310" s="14" t="str">
        <f>Catalog!C310</f>
        <v/>
      </c>
      <c r="C310" s="16">
        <f>Catalog!D310</f>
        <v>0</v>
      </c>
      <c r="D310" s="16">
        <f>Catalog!O310</f>
        <v>0</v>
      </c>
      <c r="E310" s="16">
        <f>Catalog!F310</f>
        <v>0</v>
      </c>
      <c r="F310" s="16" t="str">
        <f>IF(Catalog!X310="","",Catalog!X310&amp;" "&amp;Catalog!Y310)</f>
        <v/>
      </c>
      <c r="G310" s="8"/>
    </row>
    <row r="311" spans="1:7" ht="15.75" x14ac:dyDescent="0.25">
      <c r="A311" s="14" t="str">
        <f>Catalog!A311</f>
        <v/>
      </c>
      <c r="B311" s="14" t="str">
        <f>Catalog!C311</f>
        <v/>
      </c>
      <c r="C311" s="16">
        <f>Catalog!D311</f>
        <v>0</v>
      </c>
      <c r="D311" s="16">
        <f>Catalog!O311</f>
        <v>0</v>
      </c>
      <c r="E311" s="16">
        <f>Catalog!F311</f>
        <v>0</v>
      </c>
      <c r="F311" s="16" t="str">
        <f>IF(Catalog!X311="","",Catalog!X311&amp;" "&amp;Catalog!Y311)</f>
        <v/>
      </c>
      <c r="G311" s="8"/>
    </row>
    <row r="312" spans="1:7" ht="15.75" x14ac:dyDescent="0.25">
      <c r="A312" s="14" t="str">
        <f>Catalog!A312</f>
        <v/>
      </c>
      <c r="B312" s="14" t="str">
        <f>Catalog!C312</f>
        <v/>
      </c>
      <c r="C312" s="16">
        <f>Catalog!D312</f>
        <v>0</v>
      </c>
      <c r="D312" s="16">
        <f>Catalog!O312</f>
        <v>0</v>
      </c>
      <c r="E312" s="16">
        <f>Catalog!F312</f>
        <v>0</v>
      </c>
      <c r="F312" s="16" t="str">
        <f>IF(Catalog!X312="","",Catalog!X312&amp;" "&amp;Catalog!Y312)</f>
        <v/>
      </c>
      <c r="G312" s="8"/>
    </row>
    <row r="313" spans="1:7" ht="15.75" x14ac:dyDescent="0.25">
      <c r="A313" s="14" t="str">
        <f>Catalog!A313</f>
        <v/>
      </c>
      <c r="B313" s="14" t="str">
        <f>Catalog!C313</f>
        <v/>
      </c>
      <c r="C313" s="16">
        <f>Catalog!D313</f>
        <v>0</v>
      </c>
      <c r="D313" s="16">
        <f>Catalog!O313</f>
        <v>0</v>
      </c>
      <c r="E313" s="16">
        <f>Catalog!F313</f>
        <v>0</v>
      </c>
      <c r="F313" s="16" t="str">
        <f>IF(Catalog!X313="","",Catalog!X313&amp;" "&amp;Catalog!Y313)</f>
        <v/>
      </c>
      <c r="G313" s="8"/>
    </row>
    <row r="314" spans="1:7" ht="15.75" x14ac:dyDescent="0.25">
      <c r="A314" s="14" t="str">
        <f>Catalog!A314</f>
        <v/>
      </c>
      <c r="B314" s="14" t="str">
        <f>Catalog!C314</f>
        <v/>
      </c>
      <c r="C314" s="16">
        <f>Catalog!D314</f>
        <v>0</v>
      </c>
      <c r="D314" s="16">
        <f>Catalog!O314</f>
        <v>0</v>
      </c>
      <c r="E314" s="16">
        <f>Catalog!F314</f>
        <v>0</v>
      </c>
      <c r="F314" s="16" t="str">
        <f>IF(Catalog!X314="","",Catalog!X314&amp;" "&amp;Catalog!Y314)</f>
        <v/>
      </c>
      <c r="G314" s="8"/>
    </row>
    <row r="315" spans="1:7" ht="15.75" x14ac:dyDescent="0.25">
      <c r="A315" s="14" t="str">
        <f>Catalog!A315</f>
        <v/>
      </c>
      <c r="B315" s="14" t="str">
        <f>Catalog!C315</f>
        <v/>
      </c>
      <c r="C315" s="16">
        <f>Catalog!D315</f>
        <v>0</v>
      </c>
      <c r="D315" s="16">
        <f>Catalog!O315</f>
        <v>0</v>
      </c>
      <c r="E315" s="16">
        <f>Catalog!F315</f>
        <v>0</v>
      </c>
      <c r="F315" s="16" t="str">
        <f>IF(Catalog!X315="","",Catalog!X315&amp;" "&amp;Catalog!Y315)</f>
        <v/>
      </c>
      <c r="G315" s="8"/>
    </row>
    <row r="316" spans="1:7" ht="15.75" x14ac:dyDescent="0.25">
      <c r="A316" s="14" t="str">
        <f>Catalog!A316</f>
        <v/>
      </c>
      <c r="B316" s="14" t="str">
        <f>Catalog!C316</f>
        <v/>
      </c>
      <c r="C316" s="16">
        <f>Catalog!D316</f>
        <v>0</v>
      </c>
      <c r="D316" s="16">
        <f>Catalog!O316</f>
        <v>0</v>
      </c>
      <c r="E316" s="16">
        <f>Catalog!F316</f>
        <v>0</v>
      </c>
      <c r="F316" s="16" t="str">
        <f>IF(Catalog!X316="","",Catalog!X316&amp;" "&amp;Catalog!Y316)</f>
        <v/>
      </c>
      <c r="G316" s="8"/>
    </row>
    <row r="317" spans="1:7" ht="15.75" x14ac:dyDescent="0.25">
      <c r="A317" s="14" t="str">
        <f>Catalog!A317</f>
        <v/>
      </c>
      <c r="B317" s="14" t="str">
        <f>Catalog!C317</f>
        <v/>
      </c>
      <c r="C317" s="16">
        <f>Catalog!D317</f>
        <v>0</v>
      </c>
      <c r="D317" s="16">
        <f>Catalog!O317</f>
        <v>0</v>
      </c>
      <c r="E317" s="16">
        <f>Catalog!F317</f>
        <v>0</v>
      </c>
      <c r="F317" s="16" t="str">
        <f>IF(Catalog!X317="","",Catalog!X317&amp;" "&amp;Catalog!Y317)</f>
        <v/>
      </c>
      <c r="G317" s="8"/>
    </row>
    <row r="318" spans="1:7" ht="15.75" x14ac:dyDescent="0.25">
      <c r="A318" s="14" t="str">
        <f>Catalog!A318</f>
        <v/>
      </c>
      <c r="B318" s="14" t="str">
        <f>Catalog!C318</f>
        <v/>
      </c>
      <c r="C318" s="16">
        <f>Catalog!D318</f>
        <v>0</v>
      </c>
      <c r="D318" s="16">
        <f>Catalog!O318</f>
        <v>0</v>
      </c>
      <c r="E318" s="16">
        <f>Catalog!F318</f>
        <v>0</v>
      </c>
      <c r="F318" s="16" t="str">
        <f>IF(Catalog!X318="","",Catalog!X318&amp;" "&amp;Catalog!Y318)</f>
        <v/>
      </c>
      <c r="G318" s="8"/>
    </row>
    <row r="319" spans="1:7" ht="15.75" x14ac:dyDescent="0.25">
      <c r="A319" s="14" t="str">
        <f>Catalog!A319</f>
        <v/>
      </c>
      <c r="B319" s="14" t="str">
        <f>Catalog!C319</f>
        <v/>
      </c>
      <c r="C319" s="16">
        <f>Catalog!D319</f>
        <v>0</v>
      </c>
      <c r="D319" s="16">
        <f>Catalog!O319</f>
        <v>0</v>
      </c>
      <c r="E319" s="16">
        <f>Catalog!F319</f>
        <v>0</v>
      </c>
      <c r="F319" s="16" t="str">
        <f>IF(Catalog!X319="","",Catalog!X319&amp;" "&amp;Catalog!Y319)</f>
        <v/>
      </c>
      <c r="G319" s="8"/>
    </row>
    <row r="320" spans="1:7" ht="15.75" x14ac:dyDescent="0.25">
      <c r="A320" s="14" t="str">
        <f>Catalog!A320</f>
        <v/>
      </c>
      <c r="B320" s="14" t="str">
        <f>Catalog!C320</f>
        <v/>
      </c>
      <c r="C320" s="16">
        <f>Catalog!D320</f>
        <v>0</v>
      </c>
      <c r="D320" s="16">
        <f>Catalog!O320</f>
        <v>0</v>
      </c>
      <c r="E320" s="16">
        <f>Catalog!F320</f>
        <v>0</v>
      </c>
      <c r="F320" s="16" t="str">
        <f>IF(Catalog!X320="","",Catalog!X320&amp;" "&amp;Catalog!Y320)</f>
        <v/>
      </c>
      <c r="G320" s="8"/>
    </row>
    <row r="321" spans="1:7" ht="15.75" x14ac:dyDescent="0.25">
      <c r="A321" s="14" t="str">
        <f>Catalog!A321</f>
        <v/>
      </c>
      <c r="B321" s="14" t="str">
        <f>Catalog!C321</f>
        <v/>
      </c>
      <c r="C321" s="16">
        <f>Catalog!D321</f>
        <v>0</v>
      </c>
      <c r="D321" s="16">
        <f>Catalog!O321</f>
        <v>0</v>
      </c>
      <c r="E321" s="16">
        <f>Catalog!F321</f>
        <v>0</v>
      </c>
      <c r="F321" s="16" t="str">
        <f>IF(Catalog!X321="","",Catalog!X321&amp;" "&amp;Catalog!Y321)</f>
        <v/>
      </c>
      <c r="G321" s="8"/>
    </row>
    <row r="322" spans="1:7" ht="15.75" x14ac:dyDescent="0.25">
      <c r="A322" s="14" t="str">
        <f>Catalog!A322</f>
        <v/>
      </c>
      <c r="B322" s="14" t="str">
        <f>Catalog!C322</f>
        <v/>
      </c>
      <c r="C322" s="16">
        <f>Catalog!D322</f>
        <v>0</v>
      </c>
      <c r="D322" s="16">
        <f>Catalog!O322</f>
        <v>0</v>
      </c>
      <c r="E322" s="16">
        <f>Catalog!F322</f>
        <v>0</v>
      </c>
      <c r="F322" s="16" t="str">
        <f>IF(Catalog!X322="","",Catalog!X322&amp;" "&amp;Catalog!Y322)</f>
        <v/>
      </c>
      <c r="G322" s="8"/>
    </row>
    <row r="323" spans="1:7" ht="15.75" x14ac:dyDescent="0.25">
      <c r="A323" s="14" t="str">
        <f>Catalog!A323</f>
        <v/>
      </c>
      <c r="B323" s="14" t="str">
        <f>Catalog!C323</f>
        <v/>
      </c>
      <c r="C323" s="16">
        <f>Catalog!D323</f>
        <v>0</v>
      </c>
      <c r="D323" s="16">
        <f>Catalog!O323</f>
        <v>0</v>
      </c>
      <c r="E323" s="16">
        <f>Catalog!F323</f>
        <v>0</v>
      </c>
      <c r="F323" s="16" t="str">
        <f>IF(Catalog!X323="","",Catalog!X323&amp;" "&amp;Catalog!Y323)</f>
        <v/>
      </c>
      <c r="G323" s="8"/>
    </row>
    <row r="324" spans="1:7" ht="15.75" x14ac:dyDescent="0.25">
      <c r="A324" s="14" t="str">
        <f>Catalog!A324</f>
        <v/>
      </c>
      <c r="B324" s="14" t="str">
        <f>Catalog!C324</f>
        <v/>
      </c>
      <c r="C324" s="16">
        <f>Catalog!D324</f>
        <v>0</v>
      </c>
      <c r="D324" s="16">
        <f>Catalog!O324</f>
        <v>0</v>
      </c>
      <c r="E324" s="16">
        <f>Catalog!F324</f>
        <v>0</v>
      </c>
      <c r="F324" s="16" t="str">
        <f>IF(Catalog!X324="","",Catalog!X324&amp;" "&amp;Catalog!Y324)</f>
        <v/>
      </c>
      <c r="G324" s="8"/>
    </row>
    <row r="325" spans="1:7" ht="15.75" x14ac:dyDescent="0.25">
      <c r="A325" s="14" t="str">
        <f>Catalog!A325</f>
        <v/>
      </c>
      <c r="B325" s="14" t="str">
        <f>Catalog!C325</f>
        <v/>
      </c>
      <c r="C325" s="16">
        <f>Catalog!D325</f>
        <v>0</v>
      </c>
      <c r="D325" s="16">
        <f>Catalog!O325</f>
        <v>0</v>
      </c>
      <c r="E325" s="16">
        <f>Catalog!F325</f>
        <v>0</v>
      </c>
      <c r="F325" s="16" t="str">
        <f>IF(Catalog!X325="","",Catalog!X325&amp;" "&amp;Catalog!Y325)</f>
        <v/>
      </c>
      <c r="G325" s="8"/>
    </row>
    <row r="326" spans="1:7" ht="15.75" x14ac:dyDescent="0.25">
      <c r="A326" s="14" t="str">
        <f>Catalog!A326</f>
        <v/>
      </c>
      <c r="B326" s="14" t="str">
        <f>Catalog!C326</f>
        <v/>
      </c>
      <c r="C326" s="16">
        <f>Catalog!D326</f>
        <v>0</v>
      </c>
      <c r="D326" s="16">
        <f>Catalog!O326</f>
        <v>0</v>
      </c>
      <c r="E326" s="16">
        <f>Catalog!F326</f>
        <v>0</v>
      </c>
      <c r="F326" s="16" t="str">
        <f>IF(Catalog!X326="","",Catalog!X326&amp;" "&amp;Catalog!Y326)</f>
        <v/>
      </c>
      <c r="G326" s="8"/>
    </row>
    <row r="327" spans="1:7" ht="15.75" x14ac:dyDescent="0.25">
      <c r="A327" s="14" t="str">
        <f>Catalog!A327</f>
        <v/>
      </c>
      <c r="B327" s="14" t="str">
        <f>Catalog!C327</f>
        <v/>
      </c>
      <c r="C327" s="16">
        <f>Catalog!D327</f>
        <v>0</v>
      </c>
      <c r="D327" s="16">
        <f>Catalog!O327</f>
        <v>0</v>
      </c>
      <c r="E327" s="16">
        <f>Catalog!F327</f>
        <v>0</v>
      </c>
      <c r="F327" s="16" t="str">
        <f>IF(Catalog!X327="","",Catalog!X327&amp;" "&amp;Catalog!Y327)</f>
        <v/>
      </c>
      <c r="G327" s="8"/>
    </row>
    <row r="328" spans="1:7" ht="15.75" x14ac:dyDescent="0.25">
      <c r="A328" s="14" t="str">
        <f>Catalog!A328</f>
        <v/>
      </c>
      <c r="B328" s="14" t="str">
        <f>Catalog!C328</f>
        <v/>
      </c>
      <c r="C328" s="16">
        <f>Catalog!D328</f>
        <v>0</v>
      </c>
      <c r="D328" s="16">
        <f>Catalog!O328</f>
        <v>0</v>
      </c>
      <c r="E328" s="16">
        <f>Catalog!F328</f>
        <v>0</v>
      </c>
      <c r="F328" s="16" t="str">
        <f>IF(Catalog!X328="","",Catalog!X328&amp;" "&amp;Catalog!Y328)</f>
        <v/>
      </c>
      <c r="G328" s="8"/>
    </row>
    <row r="329" spans="1:7" ht="15.75" x14ac:dyDescent="0.25">
      <c r="A329" s="14" t="str">
        <f>Catalog!A329</f>
        <v/>
      </c>
      <c r="B329" s="14" t="str">
        <f>Catalog!C329</f>
        <v/>
      </c>
      <c r="C329" s="16">
        <f>Catalog!D329</f>
        <v>0</v>
      </c>
      <c r="D329" s="16">
        <f>Catalog!O329</f>
        <v>0</v>
      </c>
      <c r="E329" s="16">
        <f>Catalog!F329</f>
        <v>0</v>
      </c>
      <c r="F329" s="16" t="str">
        <f>IF(Catalog!X329="","",Catalog!X329&amp;" "&amp;Catalog!Y329)</f>
        <v/>
      </c>
      <c r="G329" s="8"/>
    </row>
    <row r="330" spans="1:7" ht="15.75" x14ac:dyDescent="0.25">
      <c r="A330" s="14" t="str">
        <f>Catalog!A330</f>
        <v/>
      </c>
      <c r="B330" s="14" t="str">
        <f>Catalog!C330</f>
        <v/>
      </c>
      <c r="C330" s="16">
        <f>Catalog!D330</f>
        <v>0</v>
      </c>
      <c r="D330" s="16">
        <f>Catalog!O330</f>
        <v>0</v>
      </c>
      <c r="E330" s="16">
        <f>Catalog!F330</f>
        <v>0</v>
      </c>
      <c r="F330" s="16" t="str">
        <f>IF(Catalog!X330="","",Catalog!X330&amp;" "&amp;Catalog!Y330)</f>
        <v/>
      </c>
      <c r="G330" s="8"/>
    </row>
    <row r="331" spans="1:7" ht="15.75" x14ac:dyDescent="0.25">
      <c r="A331" s="14" t="str">
        <f>Catalog!A331</f>
        <v/>
      </c>
      <c r="B331" s="14" t="str">
        <f>Catalog!C331</f>
        <v/>
      </c>
      <c r="C331" s="16">
        <f>Catalog!D331</f>
        <v>0</v>
      </c>
      <c r="D331" s="16">
        <f>Catalog!O331</f>
        <v>0</v>
      </c>
      <c r="E331" s="16">
        <f>Catalog!F331</f>
        <v>0</v>
      </c>
      <c r="F331" s="16" t="str">
        <f>IF(Catalog!X331="","",Catalog!X331&amp;" "&amp;Catalog!Y331)</f>
        <v/>
      </c>
      <c r="G331" s="8"/>
    </row>
    <row r="332" spans="1:7" ht="15.75" x14ac:dyDescent="0.25">
      <c r="A332" s="14" t="str">
        <f>Catalog!A332</f>
        <v/>
      </c>
      <c r="B332" s="14" t="str">
        <f>Catalog!C332</f>
        <v/>
      </c>
      <c r="C332" s="16">
        <f>Catalog!D332</f>
        <v>0</v>
      </c>
      <c r="D332" s="16">
        <f>Catalog!O332</f>
        <v>0</v>
      </c>
      <c r="E332" s="16">
        <f>Catalog!F332</f>
        <v>0</v>
      </c>
      <c r="F332" s="16" t="str">
        <f>IF(Catalog!X332="","",Catalog!X332&amp;" "&amp;Catalog!Y332)</f>
        <v/>
      </c>
      <c r="G332" s="8"/>
    </row>
    <row r="333" spans="1:7" ht="15.75" x14ac:dyDescent="0.25">
      <c r="A333" s="14" t="str">
        <f>Catalog!A333</f>
        <v/>
      </c>
      <c r="B333" s="14" t="str">
        <f>Catalog!C333</f>
        <v/>
      </c>
      <c r="C333" s="16">
        <f>Catalog!D333</f>
        <v>0</v>
      </c>
      <c r="D333" s="16">
        <f>Catalog!O333</f>
        <v>0</v>
      </c>
      <c r="E333" s="16">
        <f>Catalog!F333</f>
        <v>0</v>
      </c>
      <c r="F333" s="16" t="str">
        <f>IF(Catalog!X333="","",Catalog!X333&amp;" "&amp;Catalog!Y333)</f>
        <v/>
      </c>
      <c r="G333" s="8"/>
    </row>
    <row r="334" spans="1:7" ht="15.75" x14ac:dyDescent="0.25">
      <c r="A334" s="14" t="str">
        <f>Catalog!A334</f>
        <v/>
      </c>
      <c r="B334" s="14" t="str">
        <f>Catalog!C334</f>
        <v/>
      </c>
      <c r="C334" s="16">
        <f>Catalog!D334</f>
        <v>0</v>
      </c>
      <c r="D334" s="16">
        <f>Catalog!O334</f>
        <v>0</v>
      </c>
      <c r="E334" s="16">
        <f>Catalog!F334</f>
        <v>0</v>
      </c>
      <c r="F334" s="16" t="str">
        <f>IF(Catalog!X334="","",Catalog!X334&amp;" "&amp;Catalog!Y334)</f>
        <v/>
      </c>
      <c r="G334" s="8"/>
    </row>
    <row r="335" spans="1:7" ht="15.75" x14ac:dyDescent="0.25">
      <c r="A335" s="14" t="str">
        <f>Catalog!A335</f>
        <v/>
      </c>
      <c r="B335" s="14" t="str">
        <f>Catalog!C335</f>
        <v/>
      </c>
      <c r="C335" s="16">
        <f>Catalog!D335</f>
        <v>0</v>
      </c>
      <c r="D335" s="16">
        <f>Catalog!O335</f>
        <v>0</v>
      </c>
      <c r="E335" s="16">
        <f>Catalog!F335</f>
        <v>0</v>
      </c>
      <c r="F335" s="16" t="str">
        <f>IF(Catalog!X335="","",Catalog!X335&amp;" "&amp;Catalog!Y335)</f>
        <v/>
      </c>
      <c r="G335" s="8"/>
    </row>
    <row r="336" spans="1:7" ht="15.75" x14ac:dyDescent="0.25">
      <c r="A336" s="14" t="str">
        <f>Catalog!A336</f>
        <v/>
      </c>
      <c r="B336" s="14" t="str">
        <f>Catalog!C336</f>
        <v/>
      </c>
      <c r="C336" s="16">
        <f>Catalog!D336</f>
        <v>0</v>
      </c>
      <c r="D336" s="16">
        <f>Catalog!O336</f>
        <v>0</v>
      </c>
      <c r="E336" s="16">
        <f>Catalog!F336</f>
        <v>0</v>
      </c>
      <c r="F336" s="16" t="str">
        <f>IF(Catalog!X336="","",Catalog!X336&amp;" "&amp;Catalog!Y336)</f>
        <v/>
      </c>
      <c r="G336" s="8"/>
    </row>
    <row r="337" spans="1:7" ht="15.75" x14ac:dyDescent="0.25">
      <c r="A337" s="14" t="str">
        <f>Catalog!A337</f>
        <v/>
      </c>
      <c r="B337" s="14" t="str">
        <f>Catalog!C337</f>
        <v/>
      </c>
      <c r="C337" s="16">
        <f>Catalog!D337</f>
        <v>0</v>
      </c>
      <c r="D337" s="16">
        <f>Catalog!O337</f>
        <v>0</v>
      </c>
      <c r="E337" s="16">
        <f>Catalog!F337</f>
        <v>0</v>
      </c>
      <c r="F337" s="16" t="str">
        <f>IF(Catalog!X337="","",Catalog!X337&amp;" "&amp;Catalog!Y337)</f>
        <v/>
      </c>
      <c r="G337" s="8"/>
    </row>
    <row r="338" spans="1:7" ht="15.75" x14ac:dyDescent="0.25">
      <c r="A338" s="14" t="str">
        <f>Catalog!A338</f>
        <v/>
      </c>
      <c r="B338" s="14" t="str">
        <f>Catalog!C338</f>
        <v/>
      </c>
      <c r="C338" s="16">
        <f>Catalog!D338</f>
        <v>0</v>
      </c>
      <c r="D338" s="16">
        <f>Catalog!O338</f>
        <v>0</v>
      </c>
      <c r="E338" s="16">
        <f>Catalog!F338</f>
        <v>0</v>
      </c>
      <c r="F338" s="16" t="str">
        <f>IF(Catalog!X338="","",Catalog!X338&amp;" "&amp;Catalog!Y338)</f>
        <v/>
      </c>
      <c r="G338" s="8"/>
    </row>
    <row r="339" spans="1:7" ht="15.75" x14ac:dyDescent="0.25">
      <c r="A339" s="14" t="str">
        <f>Catalog!A339</f>
        <v/>
      </c>
      <c r="B339" s="14" t="str">
        <f>Catalog!C339</f>
        <v/>
      </c>
      <c r="C339" s="16">
        <f>Catalog!D339</f>
        <v>0</v>
      </c>
      <c r="D339" s="16">
        <f>Catalog!O339</f>
        <v>0</v>
      </c>
      <c r="E339" s="16">
        <f>Catalog!F339</f>
        <v>0</v>
      </c>
      <c r="F339" s="16" t="str">
        <f>IF(Catalog!X339="","",Catalog!X339&amp;" "&amp;Catalog!Y339)</f>
        <v/>
      </c>
      <c r="G339" s="8"/>
    </row>
    <row r="340" spans="1:7" ht="15.75" x14ac:dyDescent="0.25">
      <c r="A340" s="14" t="str">
        <f>Catalog!A340</f>
        <v/>
      </c>
      <c r="B340" s="14" t="str">
        <f>Catalog!C340</f>
        <v/>
      </c>
      <c r="C340" s="16">
        <f>Catalog!D340</f>
        <v>0</v>
      </c>
      <c r="D340" s="16">
        <f>Catalog!O340</f>
        <v>0</v>
      </c>
      <c r="E340" s="16">
        <f>Catalog!F340</f>
        <v>0</v>
      </c>
      <c r="F340" s="16" t="str">
        <f>IF(Catalog!X340="","",Catalog!X340&amp;" "&amp;Catalog!Y340)</f>
        <v/>
      </c>
      <c r="G340" s="8"/>
    </row>
    <row r="341" spans="1:7" ht="15.75" x14ac:dyDescent="0.25">
      <c r="A341" s="14" t="str">
        <f>Catalog!A341</f>
        <v/>
      </c>
      <c r="B341" s="14" t="str">
        <f>Catalog!C341</f>
        <v/>
      </c>
      <c r="C341" s="16">
        <f>Catalog!D341</f>
        <v>0</v>
      </c>
      <c r="D341" s="16">
        <f>Catalog!O341</f>
        <v>0</v>
      </c>
      <c r="E341" s="16">
        <f>Catalog!F341</f>
        <v>0</v>
      </c>
      <c r="F341" s="16" t="str">
        <f>IF(Catalog!X341="","",Catalog!X341&amp;" "&amp;Catalog!Y341)</f>
        <v/>
      </c>
      <c r="G341" s="8"/>
    </row>
    <row r="342" spans="1:7" ht="15.75" x14ac:dyDescent="0.25">
      <c r="A342" s="14" t="str">
        <f>Catalog!A342</f>
        <v/>
      </c>
      <c r="B342" s="14" t="str">
        <f>Catalog!C342</f>
        <v/>
      </c>
      <c r="C342" s="16">
        <f>Catalog!D342</f>
        <v>0</v>
      </c>
      <c r="D342" s="16">
        <f>Catalog!O342</f>
        <v>0</v>
      </c>
      <c r="E342" s="16">
        <f>Catalog!F342</f>
        <v>0</v>
      </c>
      <c r="F342" s="16" t="str">
        <f>IF(Catalog!X342="","",Catalog!X342&amp;" "&amp;Catalog!Y342)</f>
        <v/>
      </c>
      <c r="G342" s="8"/>
    </row>
    <row r="343" spans="1:7" ht="15.75" x14ac:dyDescent="0.25">
      <c r="A343" s="14" t="str">
        <f>Catalog!A343</f>
        <v/>
      </c>
      <c r="B343" s="14" t="str">
        <f>Catalog!C343</f>
        <v/>
      </c>
      <c r="C343" s="16">
        <f>Catalog!D343</f>
        <v>0</v>
      </c>
      <c r="D343" s="16">
        <f>Catalog!O343</f>
        <v>0</v>
      </c>
      <c r="E343" s="16">
        <f>Catalog!F343</f>
        <v>0</v>
      </c>
      <c r="F343" s="16" t="str">
        <f>IF(Catalog!X343="","",Catalog!X343&amp;" "&amp;Catalog!Y343)</f>
        <v/>
      </c>
      <c r="G343" s="8"/>
    </row>
    <row r="344" spans="1:7" ht="15.75" x14ac:dyDescent="0.25">
      <c r="A344" s="14" t="str">
        <f>Catalog!A344</f>
        <v/>
      </c>
      <c r="B344" s="14" t="str">
        <f>Catalog!C344</f>
        <v/>
      </c>
      <c r="C344" s="16">
        <f>Catalog!D344</f>
        <v>0</v>
      </c>
      <c r="D344" s="16">
        <f>Catalog!O344</f>
        <v>0</v>
      </c>
      <c r="E344" s="16">
        <f>Catalog!F344</f>
        <v>0</v>
      </c>
      <c r="F344" s="16" t="str">
        <f>IF(Catalog!X344="","",Catalog!X344&amp;" "&amp;Catalog!Y344)</f>
        <v/>
      </c>
      <c r="G344" s="8"/>
    </row>
    <row r="345" spans="1:7" ht="15.75" x14ac:dyDescent="0.25">
      <c r="A345" s="14" t="str">
        <f>Catalog!A345</f>
        <v/>
      </c>
      <c r="B345" s="14" t="str">
        <f>Catalog!C345</f>
        <v/>
      </c>
      <c r="C345" s="16">
        <f>Catalog!D345</f>
        <v>0</v>
      </c>
      <c r="D345" s="16">
        <f>Catalog!O345</f>
        <v>0</v>
      </c>
      <c r="E345" s="16">
        <f>Catalog!F345</f>
        <v>0</v>
      </c>
      <c r="F345" s="16" t="str">
        <f>IF(Catalog!X345="","",Catalog!X345&amp;" "&amp;Catalog!Y345)</f>
        <v/>
      </c>
      <c r="G345" s="8"/>
    </row>
    <row r="346" spans="1:7" ht="15.75" x14ac:dyDescent="0.25">
      <c r="A346" s="14" t="str">
        <f>Catalog!A346</f>
        <v/>
      </c>
      <c r="B346" s="14" t="str">
        <f>Catalog!C346</f>
        <v/>
      </c>
      <c r="C346" s="16">
        <f>Catalog!D346</f>
        <v>0</v>
      </c>
      <c r="D346" s="16">
        <f>Catalog!O346</f>
        <v>0</v>
      </c>
      <c r="E346" s="16">
        <f>Catalog!F346</f>
        <v>0</v>
      </c>
      <c r="F346" s="16" t="str">
        <f>IF(Catalog!X346="","",Catalog!X346&amp;" "&amp;Catalog!Y346)</f>
        <v/>
      </c>
      <c r="G346" s="8"/>
    </row>
    <row r="347" spans="1:7" ht="15.75" x14ac:dyDescent="0.25">
      <c r="A347" s="14" t="str">
        <f>Catalog!A347</f>
        <v/>
      </c>
      <c r="B347" s="14" t="str">
        <f>Catalog!C347</f>
        <v/>
      </c>
      <c r="C347" s="16">
        <f>Catalog!D347</f>
        <v>0</v>
      </c>
      <c r="D347" s="16">
        <f>Catalog!O347</f>
        <v>0</v>
      </c>
      <c r="E347" s="16">
        <f>Catalog!F347</f>
        <v>0</v>
      </c>
      <c r="F347" s="16" t="str">
        <f>IF(Catalog!X347="","",Catalog!X347&amp;" "&amp;Catalog!Y347)</f>
        <v/>
      </c>
      <c r="G347" s="8"/>
    </row>
    <row r="348" spans="1:7" ht="15.75" x14ac:dyDescent="0.25">
      <c r="A348" s="14" t="str">
        <f>Catalog!A348</f>
        <v/>
      </c>
      <c r="B348" s="14" t="str">
        <f>Catalog!C348</f>
        <v/>
      </c>
      <c r="C348" s="16">
        <f>Catalog!D348</f>
        <v>0</v>
      </c>
      <c r="D348" s="16">
        <f>Catalog!O348</f>
        <v>0</v>
      </c>
      <c r="E348" s="16">
        <f>Catalog!F348</f>
        <v>0</v>
      </c>
      <c r="F348" s="16" t="str">
        <f>IF(Catalog!X348="","",Catalog!X348&amp;" "&amp;Catalog!Y348)</f>
        <v/>
      </c>
      <c r="G348" s="8"/>
    </row>
    <row r="349" spans="1:7" ht="15.75" x14ac:dyDescent="0.25">
      <c r="A349" s="14" t="str">
        <f>Catalog!A349</f>
        <v/>
      </c>
      <c r="B349" s="14" t="str">
        <f>Catalog!C349</f>
        <v/>
      </c>
      <c r="C349" s="16">
        <f>Catalog!D349</f>
        <v>0</v>
      </c>
      <c r="D349" s="16">
        <f>Catalog!O349</f>
        <v>0</v>
      </c>
      <c r="E349" s="16">
        <f>Catalog!F349</f>
        <v>0</v>
      </c>
      <c r="F349" s="16" t="str">
        <f>IF(Catalog!X349="","",Catalog!X349&amp;" "&amp;Catalog!Y349)</f>
        <v/>
      </c>
      <c r="G349" s="8"/>
    </row>
    <row r="350" spans="1:7" ht="15.75" x14ac:dyDescent="0.25">
      <c r="A350" s="14" t="str">
        <f>Catalog!A350</f>
        <v/>
      </c>
      <c r="B350" s="14" t="str">
        <f>Catalog!C350</f>
        <v/>
      </c>
      <c r="C350" s="16">
        <f>Catalog!D350</f>
        <v>0</v>
      </c>
      <c r="D350" s="16">
        <f>Catalog!O350</f>
        <v>0</v>
      </c>
      <c r="E350" s="16">
        <f>Catalog!F350</f>
        <v>0</v>
      </c>
      <c r="F350" s="16" t="str">
        <f>IF(Catalog!X350="","",Catalog!X350&amp;" "&amp;Catalog!Y350)</f>
        <v/>
      </c>
      <c r="G350" s="8"/>
    </row>
    <row r="351" spans="1:7" ht="15.75" x14ac:dyDescent="0.25">
      <c r="A351" s="14" t="str">
        <f>Catalog!A351</f>
        <v/>
      </c>
      <c r="B351" s="14" t="str">
        <f>Catalog!C351</f>
        <v/>
      </c>
      <c r="C351" s="16">
        <f>Catalog!D351</f>
        <v>0</v>
      </c>
      <c r="D351" s="16">
        <f>Catalog!O351</f>
        <v>0</v>
      </c>
      <c r="E351" s="16">
        <f>Catalog!F351</f>
        <v>0</v>
      </c>
      <c r="F351" s="16" t="str">
        <f>IF(Catalog!X351="","",Catalog!X351&amp;" "&amp;Catalog!Y351)</f>
        <v/>
      </c>
      <c r="G351" s="8"/>
    </row>
    <row r="352" spans="1:7" ht="15.75" x14ac:dyDescent="0.25">
      <c r="A352" s="14" t="str">
        <f>Catalog!A352</f>
        <v/>
      </c>
      <c r="B352" s="14" t="str">
        <f>Catalog!C352</f>
        <v/>
      </c>
      <c r="C352" s="16">
        <f>Catalog!D352</f>
        <v>0</v>
      </c>
      <c r="D352" s="16">
        <f>Catalog!O352</f>
        <v>0</v>
      </c>
      <c r="E352" s="16">
        <f>Catalog!F352</f>
        <v>0</v>
      </c>
      <c r="F352" s="16" t="str">
        <f>IF(Catalog!X352="","",Catalog!X352&amp;" "&amp;Catalog!Y352)</f>
        <v/>
      </c>
      <c r="G352" s="8"/>
    </row>
    <row r="353" spans="1:7" ht="15.75" x14ac:dyDescent="0.25">
      <c r="A353" s="14" t="str">
        <f>Catalog!A353</f>
        <v/>
      </c>
      <c r="B353" s="14" t="str">
        <f>Catalog!C353</f>
        <v/>
      </c>
      <c r="C353" s="16">
        <f>Catalog!D353</f>
        <v>0</v>
      </c>
      <c r="D353" s="16">
        <f>Catalog!O353</f>
        <v>0</v>
      </c>
      <c r="E353" s="16">
        <f>Catalog!F353</f>
        <v>0</v>
      </c>
      <c r="F353" s="16" t="str">
        <f>IF(Catalog!X353="","",Catalog!X353&amp;" "&amp;Catalog!Y353)</f>
        <v/>
      </c>
      <c r="G353" s="8"/>
    </row>
    <row r="354" spans="1:7" ht="15.75" x14ac:dyDescent="0.25">
      <c r="A354" s="14" t="str">
        <f>Catalog!A354</f>
        <v/>
      </c>
      <c r="B354" s="14" t="str">
        <f>Catalog!C354</f>
        <v/>
      </c>
      <c r="C354" s="16">
        <f>Catalog!D354</f>
        <v>0</v>
      </c>
      <c r="D354" s="16">
        <f>Catalog!O354</f>
        <v>0</v>
      </c>
      <c r="E354" s="16">
        <f>Catalog!F354</f>
        <v>0</v>
      </c>
      <c r="F354" s="16" t="str">
        <f>IF(Catalog!X354="","",Catalog!X354&amp;" "&amp;Catalog!Y354)</f>
        <v/>
      </c>
      <c r="G354" s="8"/>
    </row>
    <row r="355" spans="1:7" ht="15.75" x14ac:dyDescent="0.25">
      <c r="A355" s="14" t="str">
        <f>Catalog!A355</f>
        <v/>
      </c>
      <c r="B355" s="14" t="str">
        <f>Catalog!C355</f>
        <v/>
      </c>
      <c r="C355" s="16">
        <f>Catalog!D355</f>
        <v>0</v>
      </c>
      <c r="D355" s="16">
        <f>Catalog!O355</f>
        <v>0</v>
      </c>
      <c r="E355" s="16">
        <f>Catalog!F355</f>
        <v>0</v>
      </c>
      <c r="F355" s="16" t="str">
        <f>IF(Catalog!X355="","",Catalog!X355&amp;" "&amp;Catalog!Y355)</f>
        <v/>
      </c>
      <c r="G355" s="8"/>
    </row>
    <row r="356" spans="1:7" ht="15.75" x14ac:dyDescent="0.25">
      <c r="A356" s="14" t="str">
        <f>Catalog!A356</f>
        <v/>
      </c>
      <c r="B356" s="14" t="str">
        <f>Catalog!C356</f>
        <v/>
      </c>
      <c r="C356" s="16">
        <f>Catalog!D356</f>
        <v>0</v>
      </c>
      <c r="D356" s="16">
        <f>Catalog!O356</f>
        <v>0</v>
      </c>
      <c r="E356" s="16">
        <f>Catalog!F356</f>
        <v>0</v>
      </c>
      <c r="F356" s="16" t="str">
        <f>IF(Catalog!X356="","",Catalog!X356&amp;" "&amp;Catalog!Y356)</f>
        <v/>
      </c>
      <c r="G356" s="8"/>
    </row>
    <row r="357" spans="1:7" ht="15.75" x14ac:dyDescent="0.25">
      <c r="A357" s="14" t="str">
        <f>Catalog!A357</f>
        <v/>
      </c>
      <c r="B357" s="14" t="str">
        <f>Catalog!C357</f>
        <v/>
      </c>
      <c r="C357" s="16">
        <f>Catalog!D357</f>
        <v>0</v>
      </c>
      <c r="D357" s="16">
        <f>Catalog!O357</f>
        <v>0</v>
      </c>
      <c r="E357" s="16">
        <f>Catalog!F357</f>
        <v>0</v>
      </c>
      <c r="F357" s="16" t="str">
        <f>IF(Catalog!X357="","",Catalog!X357&amp;" "&amp;Catalog!Y357)</f>
        <v/>
      </c>
      <c r="G357" s="8"/>
    </row>
    <row r="358" spans="1:7" ht="15.75" x14ac:dyDescent="0.25">
      <c r="A358" s="14" t="str">
        <f>Catalog!A358</f>
        <v/>
      </c>
      <c r="B358" s="14" t="str">
        <f>Catalog!C358</f>
        <v/>
      </c>
      <c r="C358" s="16">
        <f>Catalog!D358</f>
        <v>0</v>
      </c>
      <c r="D358" s="16">
        <f>Catalog!O358</f>
        <v>0</v>
      </c>
      <c r="E358" s="16">
        <f>Catalog!F358</f>
        <v>0</v>
      </c>
      <c r="F358" s="16" t="str">
        <f>IF(Catalog!X358="","",Catalog!X358&amp;" "&amp;Catalog!Y358)</f>
        <v/>
      </c>
      <c r="G358" s="8"/>
    </row>
    <row r="359" spans="1:7" ht="15.75" x14ac:dyDescent="0.25">
      <c r="A359" s="14" t="str">
        <f>Catalog!A359</f>
        <v/>
      </c>
      <c r="B359" s="14" t="str">
        <f>Catalog!C359</f>
        <v/>
      </c>
      <c r="C359" s="16">
        <f>Catalog!D359</f>
        <v>0</v>
      </c>
      <c r="D359" s="16">
        <f>Catalog!O359</f>
        <v>0</v>
      </c>
      <c r="E359" s="16">
        <f>Catalog!F359</f>
        <v>0</v>
      </c>
      <c r="F359" s="16" t="str">
        <f>IF(Catalog!X359="","",Catalog!X359&amp;" "&amp;Catalog!Y359)</f>
        <v/>
      </c>
      <c r="G359" s="8"/>
    </row>
    <row r="360" spans="1:7" ht="15.75" x14ac:dyDescent="0.25">
      <c r="A360" s="14" t="str">
        <f>Catalog!A360</f>
        <v/>
      </c>
      <c r="B360" s="14" t="str">
        <f>Catalog!C360</f>
        <v/>
      </c>
      <c r="C360" s="16">
        <f>Catalog!D360</f>
        <v>0</v>
      </c>
      <c r="D360" s="16">
        <f>Catalog!O360</f>
        <v>0</v>
      </c>
      <c r="E360" s="16">
        <f>Catalog!F360</f>
        <v>0</v>
      </c>
      <c r="F360" s="16" t="str">
        <f>IF(Catalog!X360="","",Catalog!X360&amp;" "&amp;Catalog!Y360)</f>
        <v/>
      </c>
      <c r="G360" s="8"/>
    </row>
    <row r="361" spans="1:7" ht="15.75" x14ac:dyDescent="0.25">
      <c r="A361" s="14" t="str">
        <f>Catalog!A361</f>
        <v/>
      </c>
      <c r="B361" s="14" t="str">
        <f>Catalog!C361</f>
        <v/>
      </c>
      <c r="C361" s="16">
        <f>Catalog!D361</f>
        <v>0</v>
      </c>
      <c r="D361" s="16">
        <f>Catalog!O361</f>
        <v>0</v>
      </c>
      <c r="E361" s="16">
        <f>Catalog!F361</f>
        <v>0</v>
      </c>
      <c r="F361" s="16" t="str">
        <f>IF(Catalog!X361="","",Catalog!X361&amp;" "&amp;Catalog!Y361)</f>
        <v/>
      </c>
      <c r="G361" s="8"/>
    </row>
    <row r="362" spans="1:7" ht="15.75" x14ac:dyDescent="0.25">
      <c r="A362" s="14" t="str">
        <f>Catalog!A362</f>
        <v/>
      </c>
      <c r="B362" s="14" t="str">
        <f>Catalog!C362</f>
        <v/>
      </c>
      <c r="C362" s="16">
        <f>Catalog!D362</f>
        <v>0</v>
      </c>
      <c r="D362" s="16">
        <f>Catalog!O362</f>
        <v>0</v>
      </c>
      <c r="E362" s="16">
        <f>Catalog!F362</f>
        <v>0</v>
      </c>
      <c r="F362" s="16" t="str">
        <f>IF(Catalog!X362="","",Catalog!X362&amp;" "&amp;Catalog!Y362)</f>
        <v/>
      </c>
      <c r="G362" s="8"/>
    </row>
    <row r="363" spans="1:7" ht="15.75" x14ac:dyDescent="0.25">
      <c r="A363" s="14" t="str">
        <f>Catalog!A363</f>
        <v/>
      </c>
      <c r="B363" s="14" t="str">
        <f>Catalog!C363</f>
        <v/>
      </c>
      <c r="C363" s="16">
        <f>Catalog!D363</f>
        <v>0</v>
      </c>
      <c r="D363" s="16">
        <f>Catalog!O363</f>
        <v>0</v>
      </c>
      <c r="E363" s="16">
        <f>Catalog!F363</f>
        <v>0</v>
      </c>
      <c r="F363" s="16" t="str">
        <f>IF(Catalog!X363="","",Catalog!X363&amp;" "&amp;Catalog!Y363)</f>
        <v/>
      </c>
      <c r="G363" s="8"/>
    </row>
    <row r="364" spans="1:7" ht="15.75" x14ac:dyDescent="0.25">
      <c r="A364" s="14" t="str">
        <f>Catalog!A364</f>
        <v/>
      </c>
      <c r="B364" s="14" t="str">
        <f>Catalog!C364</f>
        <v/>
      </c>
      <c r="C364" s="16">
        <f>Catalog!D364</f>
        <v>0</v>
      </c>
      <c r="D364" s="16">
        <f>Catalog!O364</f>
        <v>0</v>
      </c>
      <c r="E364" s="16">
        <f>Catalog!F364</f>
        <v>0</v>
      </c>
      <c r="F364" s="16" t="str">
        <f>IF(Catalog!X364="","",Catalog!X364&amp;" "&amp;Catalog!Y364)</f>
        <v/>
      </c>
      <c r="G364" s="8"/>
    </row>
    <row r="365" spans="1:7" ht="15.75" x14ac:dyDescent="0.25">
      <c r="A365" s="14" t="str">
        <f>Catalog!A365</f>
        <v/>
      </c>
      <c r="B365" s="14" t="str">
        <f>Catalog!C365</f>
        <v/>
      </c>
      <c r="C365" s="16">
        <f>Catalog!D365</f>
        <v>0</v>
      </c>
      <c r="D365" s="16">
        <f>Catalog!O365</f>
        <v>0</v>
      </c>
      <c r="E365" s="16">
        <f>Catalog!F365</f>
        <v>0</v>
      </c>
      <c r="F365" s="16" t="str">
        <f>IF(Catalog!X365="","",Catalog!X365&amp;" "&amp;Catalog!Y365)</f>
        <v/>
      </c>
      <c r="G365" s="8"/>
    </row>
    <row r="366" spans="1:7" ht="15.75" x14ac:dyDescent="0.25">
      <c r="A366" s="14" t="str">
        <f>Catalog!A366</f>
        <v/>
      </c>
      <c r="B366" s="14" t="str">
        <f>Catalog!C366</f>
        <v/>
      </c>
      <c r="C366" s="16">
        <f>Catalog!D366</f>
        <v>0</v>
      </c>
      <c r="D366" s="16">
        <f>Catalog!O366</f>
        <v>0</v>
      </c>
      <c r="E366" s="16">
        <f>Catalog!F366</f>
        <v>0</v>
      </c>
      <c r="F366" s="16" t="str">
        <f>IF(Catalog!X366="","",Catalog!X366&amp;" "&amp;Catalog!Y366)</f>
        <v/>
      </c>
      <c r="G366" s="8"/>
    </row>
    <row r="367" spans="1:7" ht="15.75" x14ac:dyDescent="0.25">
      <c r="A367" s="14" t="str">
        <f>Catalog!A367</f>
        <v/>
      </c>
      <c r="B367" s="14" t="str">
        <f>Catalog!C367</f>
        <v/>
      </c>
      <c r="C367" s="16">
        <f>Catalog!D367</f>
        <v>0</v>
      </c>
      <c r="D367" s="16">
        <f>Catalog!O367</f>
        <v>0</v>
      </c>
      <c r="E367" s="16">
        <f>Catalog!F367</f>
        <v>0</v>
      </c>
      <c r="F367" s="16" t="str">
        <f>IF(Catalog!X367="","",Catalog!X367&amp;" "&amp;Catalog!Y367)</f>
        <v/>
      </c>
      <c r="G367" s="8"/>
    </row>
    <row r="368" spans="1:7" ht="15.75" x14ac:dyDescent="0.25">
      <c r="A368" s="14" t="str">
        <f>Catalog!A368</f>
        <v/>
      </c>
      <c r="B368" s="14" t="str">
        <f>Catalog!C368</f>
        <v/>
      </c>
      <c r="C368" s="16">
        <f>Catalog!D368</f>
        <v>0</v>
      </c>
      <c r="D368" s="16">
        <f>Catalog!O368</f>
        <v>0</v>
      </c>
      <c r="E368" s="16">
        <f>Catalog!F368</f>
        <v>0</v>
      </c>
      <c r="F368" s="16" t="str">
        <f>IF(Catalog!X368="","",Catalog!X368&amp;" "&amp;Catalog!Y368)</f>
        <v/>
      </c>
      <c r="G368" s="8"/>
    </row>
    <row r="369" spans="1:7" ht="15.75" x14ac:dyDescent="0.25">
      <c r="A369" s="14" t="str">
        <f>Catalog!A369</f>
        <v/>
      </c>
      <c r="B369" s="14" t="str">
        <f>Catalog!C369</f>
        <v/>
      </c>
      <c r="C369" s="16">
        <f>Catalog!D369</f>
        <v>0</v>
      </c>
      <c r="D369" s="16">
        <f>Catalog!O369</f>
        <v>0</v>
      </c>
      <c r="E369" s="16">
        <f>Catalog!F369</f>
        <v>0</v>
      </c>
      <c r="F369" s="16" t="str">
        <f>IF(Catalog!X369="","",Catalog!X369&amp;" "&amp;Catalog!Y369)</f>
        <v/>
      </c>
      <c r="G369" s="8"/>
    </row>
    <row r="370" spans="1:7" ht="15.75" x14ac:dyDescent="0.25">
      <c r="A370" s="14" t="str">
        <f>Catalog!A370</f>
        <v/>
      </c>
      <c r="B370" s="14" t="str">
        <f>Catalog!C370</f>
        <v/>
      </c>
      <c r="C370" s="16">
        <f>Catalog!D370</f>
        <v>0</v>
      </c>
      <c r="D370" s="16">
        <f>Catalog!O370</f>
        <v>0</v>
      </c>
      <c r="E370" s="16">
        <f>Catalog!F370</f>
        <v>0</v>
      </c>
      <c r="F370" s="16" t="str">
        <f>IF(Catalog!X370="","",Catalog!X370&amp;" "&amp;Catalog!Y370)</f>
        <v/>
      </c>
      <c r="G370" s="8"/>
    </row>
    <row r="371" spans="1:7" ht="15.75" x14ac:dyDescent="0.25">
      <c r="A371" s="14" t="str">
        <f>Catalog!A371</f>
        <v/>
      </c>
      <c r="B371" s="14" t="str">
        <f>Catalog!C371</f>
        <v/>
      </c>
      <c r="C371" s="16">
        <f>Catalog!D371</f>
        <v>0</v>
      </c>
      <c r="D371" s="16">
        <f>Catalog!O371</f>
        <v>0</v>
      </c>
      <c r="E371" s="16">
        <f>Catalog!F371</f>
        <v>0</v>
      </c>
      <c r="F371" s="16" t="str">
        <f>IF(Catalog!X371="","",Catalog!X371&amp;" "&amp;Catalog!Y371)</f>
        <v/>
      </c>
      <c r="G371" s="8"/>
    </row>
    <row r="372" spans="1:7" ht="15.75" x14ac:dyDescent="0.25">
      <c r="A372" s="14" t="str">
        <f>Catalog!A372</f>
        <v/>
      </c>
      <c r="B372" s="14" t="str">
        <f>Catalog!C372</f>
        <v/>
      </c>
      <c r="C372" s="16">
        <f>Catalog!D372</f>
        <v>0</v>
      </c>
      <c r="D372" s="16">
        <f>Catalog!O372</f>
        <v>0</v>
      </c>
      <c r="E372" s="16">
        <f>Catalog!F372</f>
        <v>0</v>
      </c>
      <c r="F372" s="16" t="str">
        <f>IF(Catalog!X372="","",Catalog!X372&amp;" "&amp;Catalog!Y372)</f>
        <v/>
      </c>
      <c r="G372" s="8"/>
    </row>
    <row r="373" spans="1:7" ht="15.75" x14ac:dyDescent="0.25">
      <c r="A373" s="14" t="str">
        <f>Catalog!A373</f>
        <v/>
      </c>
      <c r="B373" s="14" t="str">
        <f>Catalog!C373</f>
        <v/>
      </c>
      <c r="C373" s="16">
        <f>Catalog!D373</f>
        <v>0</v>
      </c>
      <c r="D373" s="16">
        <f>Catalog!O373</f>
        <v>0</v>
      </c>
      <c r="E373" s="16">
        <f>Catalog!F373</f>
        <v>0</v>
      </c>
      <c r="F373" s="16" t="str">
        <f>IF(Catalog!X373="","",Catalog!X373&amp;" "&amp;Catalog!Y373)</f>
        <v/>
      </c>
      <c r="G373" s="8"/>
    </row>
    <row r="374" spans="1:7" ht="15.75" x14ac:dyDescent="0.25">
      <c r="A374" s="14" t="str">
        <f>Catalog!A374</f>
        <v/>
      </c>
      <c r="B374" s="14" t="str">
        <f>Catalog!C374</f>
        <v/>
      </c>
      <c r="C374" s="16">
        <f>Catalog!D374</f>
        <v>0</v>
      </c>
      <c r="D374" s="16">
        <f>Catalog!O374</f>
        <v>0</v>
      </c>
      <c r="E374" s="16">
        <f>Catalog!F374</f>
        <v>0</v>
      </c>
      <c r="F374" s="16" t="str">
        <f>IF(Catalog!X374="","",Catalog!X374&amp;" "&amp;Catalog!Y374)</f>
        <v/>
      </c>
      <c r="G374" s="8"/>
    </row>
    <row r="375" spans="1:7" ht="15.75" x14ac:dyDescent="0.25">
      <c r="A375" s="14" t="str">
        <f>Catalog!A375</f>
        <v/>
      </c>
      <c r="B375" s="14" t="str">
        <f>Catalog!C375</f>
        <v/>
      </c>
      <c r="C375" s="16">
        <f>Catalog!D375</f>
        <v>0</v>
      </c>
      <c r="D375" s="16">
        <f>Catalog!O375</f>
        <v>0</v>
      </c>
      <c r="E375" s="16">
        <f>Catalog!F375</f>
        <v>0</v>
      </c>
      <c r="F375" s="16" t="str">
        <f>IF(Catalog!X375="","",Catalog!X375&amp;" "&amp;Catalog!Y375)</f>
        <v/>
      </c>
      <c r="G375" s="8"/>
    </row>
    <row r="376" spans="1:7" ht="15.75" x14ac:dyDescent="0.25">
      <c r="A376" s="14" t="str">
        <f>Catalog!A376</f>
        <v/>
      </c>
      <c r="B376" s="14" t="str">
        <f>Catalog!C376</f>
        <v/>
      </c>
      <c r="C376" s="16">
        <f>Catalog!D376</f>
        <v>0</v>
      </c>
      <c r="D376" s="16">
        <f>Catalog!O376</f>
        <v>0</v>
      </c>
      <c r="E376" s="16">
        <f>Catalog!F376</f>
        <v>0</v>
      </c>
      <c r="F376" s="16" t="str">
        <f>IF(Catalog!X376="","",Catalog!X376&amp;" "&amp;Catalog!Y376)</f>
        <v/>
      </c>
      <c r="G376" s="8"/>
    </row>
    <row r="377" spans="1:7" ht="15.75" x14ac:dyDescent="0.25">
      <c r="A377" s="14" t="str">
        <f>Catalog!A377</f>
        <v/>
      </c>
      <c r="B377" s="14" t="str">
        <f>Catalog!C377</f>
        <v/>
      </c>
      <c r="C377" s="16">
        <f>Catalog!D377</f>
        <v>0</v>
      </c>
      <c r="D377" s="16">
        <f>Catalog!O377</f>
        <v>0</v>
      </c>
      <c r="E377" s="16">
        <f>Catalog!F377</f>
        <v>0</v>
      </c>
      <c r="F377" s="16" t="str">
        <f>IF(Catalog!X377="","",Catalog!X377&amp;" "&amp;Catalog!Y377)</f>
        <v/>
      </c>
      <c r="G377" s="8"/>
    </row>
    <row r="378" spans="1:7" ht="15.75" x14ac:dyDescent="0.25">
      <c r="A378" s="14" t="str">
        <f>Catalog!A378</f>
        <v/>
      </c>
      <c r="B378" s="14" t="str">
        <f>Catalog!C378</f>
        <v/>
      </c>
      <c r="C378" s="16">
        <f>Catalog!D378</f>
        <v>0</v>
      </c>
      <c r="D378" s="16">
        <f>Catalog!O378</f>
        <v>0</v>
      </c>
      <c r="E378" s="16">
        <f>Catalog!F378</f>
        <v>0</v>
      </c>
      <c r="F378" s="16" t="str">
        <f>IF(Catalog!X378="","",Catalog!X378&amp;" "&amp;Catalog!Y378)</f>
        <v/>
      </c>
      <c r="G378" s="8"/>
    </row>
    <row r="379" spans="1:7" ht="15.75" x14ac:dyDescent="0.25">
      <c r="A379" s="14" t="str">
        <f>Catalog!A379</f>
        <v/>
      </c>
      <c r="B379" s="14" t="str">
        <f>Catalog!C379</f>
        <v/>
      </c>
      <c r="C379" s="16">
        <f>Catalog!D379</f>
        <v>0</v>
      </c>
      <c r="D379" s="16">
        <f>Catalog!O379</f>
        <v>0</v>
      </c>
      <c r="E379" s="16">
        <f>Catalog!F379</f>
        <v>0</v>
      </c>
      <c r="F379" s="16" t="str">
        <f>IF(Catalog!X379="","",Catalog!X379&amp;" "&amp;Catalog!Y379)</f>
        <v/>
      </c>
      <c r="G379" s="8"/>
    </row>
    <row r="380" spans="1:7" ht="15.75" x14ac:dyDescent="0.25">
      <c r="A380" s="14" t="str">
        <f>Catalog!A380</f>
        <v/>
      </c>
      <c r="B380" s="14" t="str">
        <f>Catalog!C380</f>
        <v/>
      </c>
      <c r="C380" s="16">
        <f>Catalog!D380</f>
        <v>0</v>
      </c>
      <c r="D380" s="16">
        <f>Catalog!O380</f>
        <v>0</v>
      </c>
      <c r="E380" s="16">
        <f>Catalog!F380</f>
        <v>0</v>
      </c>
      <c r="F380" s="16" t="str">
        <f>IF(Catalog!X380="","",Catalog!X380&amp;" "&amp;Catalog!Y380)</f>
        <v/>
      </c>
      <c r="G380" s="8"/>
    </row>
    <row r="381" spans="1:7" ht="15.75" x14ac:dyDescent="0.25">
      <c r="A381" s="14" t="str">
        <f>Catalog!A381</f>
        <v/>
      </c>
      <c r="B381" s="14" t="str">
        <f>Catalog!C381</f>
        <v/>
      </c>
      <c r="C381" s="16">
        <f>Catalog!D381</f>
        <v>0</v>
      </c>
      <c r="D381" s="16">
        <f>Catalog!O381</f>
        <v>0</v>
      </c>
      <c r="E381" s="16">
        <f>Catalog!F381</f>
        <v>0</v>
      </c>
      <c r="F381" s="16" t="str">
        <f>IF(Catalog!X381="","",Catalog!X381&amp;" "&amp;Catalog!Y381)</f>
        <v/>
      </c>
      <c r="G381" s="8"/>
    </row>
    <row r="382" spans="1:7" ht="15.75" x14ac:dyDescent="0.25">
      <c r="A382" s="14" t="str">
        <f>Catalog!A382</f>
        <v/>
      </c>
      <c r="B382" s="14" t="str">
        <f>Catalog!C382</f>
        <v/>
      </c>
      <c r="C382" s="16">
        <f>Catalog!D382</f>
        <v>0</v>
      </c>
      <c r="D382" s="16">
        <f>Catalog!O382</f>
        <v>0</v>
      </c>
      <c r="E382" s="16">
        <f>Catalog!F382</f>
        <v>0</v>
      </c>
      <c r="F382" s="16" t="str">
        <f>IF(Catalog!X382="","",Catalog!X382&amp;" "&amp;Catalog!Y382)</f>
        <v/>
      </c>
      <c r="G382" s="8"/>
    </row>
    <row r="383" spans="1:7" ht="15.75" x14ac:dyDescent="0.25">
      <c r="A383" s="14" t="str">
        <f>Catalog!A383</f>
        <v/>
      </c>
      <c r="B383" s="14" t="str">
        <f>Catalog!C383</f>
        <v/>
      </c>
      <c r="C383" s="16">
        <f>Catalog!D383</f>
        <v>0</v>
      </c>
      <c r="D383" s="16">
        <f>Catalog!O383</f>
        <v>0</v>
      </c>
      <c r="E383" s="16">
        <f>Catalog!F383</f>
        <v>0</v>
      </c>
      <c r="F383" s="16" t="str">
        <f>IF(Catalog!X383="","",Catalog!X383&amp;" "&amp;Catalog!Y383)</f>
        <v/>
      </c>
      <c r="G383" s="8"/>
    </row>
    <row r="384" spans="1:7" ht="15.75" x14ac:dyDescent="0.25">
      <c r="A384" s="14" t="str">
        <f>Catalog!A384</f>
        <v/>
      </c>
      <c r="B384" s="14" t="str">
        <f>Catalog!C384</f>
        <v/>
      </c>
      <c r="C384" s="16">
        <f>Catalog!D384</f>
        <v>0</v>
      </c>
      <c r="D384" s="16">
        <f>Catalog!O384</f>
        <v>0</v>
      </c>
      <c r="E384" s="16">
        <f>Catalog!F384</f>
        <v>0</v>
      </c>
      <c r="F384" s="16" t="str">
        <f>IF(Catalog!X384="","",Catalog!X384&amp;" "&amp;Catalog!Y384)</f>
        <v/>
      </c>
      <c r="G384" s="8"/>
    </row>
    <row r="385" spans="1:7" ht="15.75" x14ac:dyDescent="0.25">
      <c r="A385" s="14" t="str">
        <f>Catalog!A385</f>
        <v/>
      </c>
      <c r="B385" s="14" t="str">
        <f>Catalog!C385</f>
        <v/>
      </c>
      <c r="C385" s="16">
        <f>Catalog!D385</f>
        <v>0</v>
      </c>
      <c r="D385" s="16">
        <f>Catalog!O385</f>
        <v>0</v>
      </c>
      <c r="E385" s="16">
        <f>Catalog!F385</f>
        <v>0</v>
      </c>
      <c r="F385" s="16" t="str">
        <f>IF(Catalog!X385="","",Catalog!X385&amp;" "&amp;Catalog!Y385)</f>
        <v/>
      </c>
      <c r="G385" s="8"/>
    </row>
    <row r="386" spans="1:7" ht="15.75" x14ac:dyDescent="0.25">
      <c r="A386" s="14" t="str">
        <f>Catalog!A386</f>
        <v/>
      </c>
      <c r="B386" s="14" t="str">
        <f>Catalog!C386</f>
        <v/>
      </c>
      <c r="C386" s="16">
        <f>Catalog!D386</f>
        <v>0</v>
      </c>
      <c r="D386" s="16">
        <f>Catalog!O386</f>
        <v>0</v>
      </c>
      <c r="E386" s="16">
        <f>Catalog!F386</f>
        <v>0</v>
      </c>
      <c r="F386" s="16" t="str">
        <f>IF(Catalog!X386="","",Catalog!X386&amp;" "&amp;Catalog!Y386)</f>
        <v/>
      </c>
      <c r="G386" s="8"/>
    </row>
    <row r="387" spans="1:7" ht="15.75" x14ac:dyDescent="0.25">
      <c r="A387" s="14" t="str">
        <f>Catalog!A387</f>
        <v/>
      </c>
      <c r="B387" s="14" t="str">
        <f>Catalog!C387</f>
        <v/>
      </c>
      <c r="C387" s="16">
        <f>Catalog!D387</f>
        <v>0</v>
      </c>
      <c r="D387" s="16">
        <f>Catalog!O387</f>
        <v>0</v>
      </c>
      <c r="E387" s="16">
        <f>Catalog!F387</f>
        <v>0</v>
      </c>
      <c r="F387" s="16" t="str">
        <f>IF(Catalog!X387="","",Catalog!X387&amp;" "&amp;Catalog!Y387)</f>
        <v/>
      </c>
      <c r="G387" s="8"/>
    </row>
    <row r="388" spans="1:7" ht="15.75" x14ac:dyDescent="0.25">
      <c r="A388" s="14" t="str">
        <f>Catalog!A388</f>
        <v/>
      </c>
      <c r="B388" s="14" t="str">
        <f>Catalog!C388</f>
        <v/>
      </c>
      <c r="C388" s="16">
        <f>Catalog!D388</f>
        <v>0</v>
      </c>
      <c r="D388" s="16">
        <f>Catalog!O388</f>
        <v>0</v>
      </c>
      <c r="E388" s="16">
        <f>Catalog!F388</f>
        <v>0</v>
      </c>
      <c r="F388" s="16" t="str">
        <f>IF(Catalog!X388="","",Catalog!X388&amp;" "&amp;Catalog!Y388)</f>
        <v/>
      </c>
      <c r="G388" s="8"/>
    </row>
    <row r="389" spans="1:7" ht="15.75" x14ac:dyDescent="0.25">
      <c r="A389" s="14" t="str">
        <f>Catalog!A389</f>
        <v/>
      </c>
      <c r="B389" s="14" t="str">
        <f>Catalog!C389</f>
        <v/>
      </c>
      <c r="C389" s="16">
        <f>Catalog!D389</f>
        <v>0</v>
      </c>
      <c r="D389" s="16">
        <f>Catalog!O389</f>
        <v>0</v>
      </c>
      <c r="E389" s="16">
        <f>Catalog!F389</f>
        <v>0</v>
      </c>
      <c r="F389" s="16" t="str">
        <f>IF(Catalog!X389="","",Catalog!X389&amp;" "&amp;Catalog!Y389)</f>
        <v/>
      </c>
      <c r="G389" s="8"/>
    </row>
    <row r="390" spans="1:7" ht="15.75" x14ac:dyDescent="0.25">
      <c r="A390" s="14" t="str">
        <f>Catalog!A390</f>
        <v/>
      </c>
      <c r="B390" s="14" t="str">
        <f>Catalog!C390</f>
        <v/>
      </c>
      <c r="C390" s="16">
        <f>Catalog!D390</f>
        <v>0</v>
      </c>
      <c r="D390" s="16">
        <f>Catalog!O390</f>
        <v>0</v>
      </c>
      <c r="E390" s="16">
        <f>Catalog!F390</f>
        <v>0</v>
      </c>
      <c r="F390" s="16" t="str">
        <f>IF(Catalog!X390="","",Catalog!X390&amp;" "&amp;Catalog!Y390)</f>
        <v/>
      </c>
      <c r="G390" s="8"/>
    </row>
    <row r="391" spans="1:7" ht="15.75" x14ac:dyDescent="0.25">
      <c r="A391" s="14" t="str">
        <f>Catalog!A391</f>
        <v/>
      </c>
      <c r="B391" s="14" t="str">
        <f>Catalog!C391</f>
        <v/>
      </c>
      <c r="C391" s="16">
        <f>Catalog!D391</f>
        <v>0</v>
      </c>
      <c r="D391" s="16">
        <f>Catalog!O391</f>
        <v>0</v>
      </c>
      <c r="E391" s="16">
        <f>Catalog!F391</f>
        <v>0</v>
      </c>
      <c r="F391" s="16" t="str">
        <f>IF(Catalog!X391="","",Catalog!X391&amp;" "&amp;Catalog!Y391)</f>
        <v/>
      </c>
      <c r="G391" s="8"/>
    </row>
    <row r="392" spans="1:7" ht="15.75" x14ac:dyDescent="0.25">
      <c r="A392" s="14" t="str">
        <f>Catalog!A392</f>
        <v/>
      </c>
      <c r="B392" s="14" t="str">
        <f>Catalog!C392</f>
        <v/>
      </c>
      <c r="C392" s="16">
        <f>Catalog!D392</f>
        <v>0</v>
      </c>
      <c r="D392" s="16">
        <f>Catalog!O392</f>
        <v>0</v>
      </c>
      <c r="E392" s="16">
        <f>Catalog!F392</f>
        <v>0</v>
      </c>
      <c r="F392" s="16" t="str">
        <f>IF(Catalog!X392="","",Catalog!X392&amp;" "&amp;Catalog!Y392)</f>
        <v/>
      </c>
      <c r="G392" s="8"/>
    </row>
    <row r="393" spans="1:7" ht="15.75" x14ac:dyDescent="0.25">
      <c r="A393" s="14" t="str">
        <f>Catalog!A393</f>
        <v/>
      </c>
      <c r="B393" s="14" t="str">
        <f>Catalog!C393</f>
        <v/>
      </c>
      <c r="C393" s="16">
        <f>Catalog!D393</f>
        <v>0</v>
      </c>
      <c r="D393" s="16">
        <f>Catalog!O393</f>
        <v>0</v>
      </c>
      <c r="E393" s="16">
        <f>Catalog!F393</f>
        <v>0</v>
      </c>
      <c r="F393" s="16" t="str">
        <f>IF(Catalog!X393="","",Catalog!X393&amp;" "&amp;Catalog!Y393)</f>
        <v/>
      </c>
      <c r="G393" s="8"/>
    </row>
    <row r="394" spans="1:7" ht="15.75" x14ac:dyDescent="0.25">
      <c r="A394" s="14" t="str">
        <f>Catalog!A394</f>
        <v/>
      </c>
      <c r="B394" s="14" t="str">
        <f>Catalog!C394</f>
        <v/>
      </c>
      <c r="C394" s="16">
        <f>Catalog!D394</f>
        <v>0</v>
      </c>
      <c r="D394" s="16">
        <f>Catalog!O394</f>
        <v>0</v>
      </c>
      <c r="E394" s="16">
        <f>Catalog!F394</f>
        <v>0</v>
      </c>
      <c r="F394" s="16" t="str">
        <f>IF(Catalog!X394="","",Catalog!X394&amp;" "&amp;Catalog!Y394)</f>
        <v/>
      </c>
      <c r="G394" s="8"/>
    </row>
    <row r="395" spans="1:7" ht="15.75" x14ac:dyDescent="0.25">
      <c r="A395" s="14" t="str">
        <f>Catalog!A395</f>
        <v/>
      </c>
      <c r="B395" s="14" t="str">
        <f>Catalog!C395</f>
        <v/>
      </c>
      <c r="C395" s="16">
        <f>Catalog!D395</f>
        <v>0</v>
      </c>
      <c r="D395" s="16">
        <f>Catalog!O395</f>
        <v>0</v>
      </c>
      <c r="E395" s="16">
        <f>Catalog!F395</f>
        <v>0</v>
      </c>
      <c r="F395" s="16" t="str">
        <f>IF(Catalog!X395="","",Catalog!X395&amp;" "&amp;Catalog!Y395)</f>
        <v/>
      </c>
      <c r="G395" s="8"/>
    </row>
    <row r="396" spans="1:7" ht="15.75" x14ac:dyDescent="0.25">
      <c r="A396" s="14" t="str">
        <f>Catalog!A396</f>
        <v/>
      </c>
      <c r="B396" s="14" t="str">
        <f>Catalog!C396</f>
        <v/>
      </c>
      <c r="C396" s="16">
        <f>Catalog!D396</f>
        <v>0</v>
      </c>
      <c r="D396" s="16">
        <f>Catalog!O396</f>
        <v>0</v>
      </c>
      <c r="E396" s="16">
        <f>Catalog!F396</f>
        <v>0</v>
      </c>
      <c r="F396" s="16" t="str">
        <f>IF(Catalog!X396="","",Catalog!X396&amp;" "&amp;Catalog!Y396)</f>
        <v/>
      </c>
      <c r="G396" s="8"/>
    </row>
    <row r="397" spans="1:7" ht="15.75" x14ac:dyDescent="0.25">
      <c r="A397" s="14" t="str">
        <f>Catalog!A397</f>
        <v/>
      </c>
      <c r="B397" s="14" t="str">
        <f>Catalog!C397</f>
        <v/>
      </c>
      <c r="C397" s="16">
        <f>Catalog!D397</f>
        <v>0</v>
      </c>
      <c r="D397" s="16">
        <f>Catalog!O397</f>
        <v>0</v>
      </c>
      <c r="E397" s="16">
        <f>Catalog!F397</f>
        <v>0</v>
      </c>
      <c r="F397" s="16" t="str">
        <f>IF(Catalog!X397="","",Catalog!X397&amp;" "&amp;Catalog!Y397)</f>
        <v/>
      </c>
      <c r="G397" s="8"/>
    </row>
    <row r="398" spans="1:7" ht="15.75" x14ac:dyDescent="0.25">
      <c r="A398" s="14" t="str">
        <f>Catalog!A398</f>
        <v/>
      </c>
      <c r="B398" s="14" t="str">
        <f>Catalog!C398</f>
        <v/>
      </c>
      <c r="C398" s="16">
        <f>Catalog!D398</f>
        <v>0</v>
      </c>
      <c r="D398" s="16">
        <f>Catalog!O398</f>
        <v>0</v>
      </c>
      <c r="E398" s="16">
        <f>Catalog!F398</f>
        <v>0</v>
      </c>
      <c r="F398" s="16" t="str">
        <f>IF(Catalog!X398="","",Catalog!X398&amp;" "&amp;Catalog!Y398)</f>
        <v/>
      </c>
      <c r="G398" s="8"/>
    </row>
    <row r="399" spans="1:7" ht="15.75" x14ac:dyDescent="0.25">
      <c r="A399" s="14" t="str">
        <f>Catalog!A399</f>
        <v/>
      </c>
      <c r="B399" s="14" t="str">
        <f>Catalog!C399</f>
        <v/>
      </c>
      <c r="C399" s="16">
        <f>Catalog!D399</f>
        <v>0</v>
      </c>
      <c r="D399" s="16">
        <f>Catalog!O399</f>
        <v>0</v>
      </c>
      <c r="E399" s="16">
        <f>Catalog!F399</f>
        <v>0</v>
      </c>
      <c r="F399" s="16" t="str">
        <f>IF(Catalog!X399="","",Catalog!X399&amp;" "&amp;Catalog!Y399)</f>
        <v/>
      </c>
      <c r="G399" s="8"/>
    </row>
    <row r="400" spans="1:7" ht="15.75" x14ac:dyDescent="0.25">
      <c r="A400" s="14" t="str">
        <f>Catalog!A400</f>
        <v/>
      </c>
      <c r="B400" s="14" t="str">
        <f>Catalog!C400</f>
        <v/>
      </c>
      <c r="C400" s="16">
        <f>Catalog!D400</f>
        <v>0</v>
      </c>
      <c r="D400" s="16">
        <f>Catalog!O400</f>
        <v>0</v>
      </c>
      <c r="E400" s="16">
        <f>Catalog!F400</f>
        <v>0</v>
      </c>
      <c r="F400" s="16" t="str">
        <f>IF(Catalog!X400="","",Catalog!X400&amp;" "&amp;Catalog!Y400)</f>
        <v/>
      </c>
      <c r="G400" s="8"/>
    </row>
    <row r="401" spans="1:7" ht="15.75" x14ac:dyDescent="0.25">
      <c r="A401" s="14" t="str">
        <f>Catalog!A401</f>
        <v/>
      </c>
      <c r="B401" s="14" t="str">
        <f>Catalog!C401</f>
        <v/>
      </c>
      <c r="C401" s="16">
        <f>Catalog!D401</f>
        <v>0</v>
      </c>
      <c r="D401" s="16">
        <f>Catalog!O401</f>
        <v>0</v>
      </c>
      <c r="E401" s="16">
        <f>Catalog!F401</f>
        <v>0</v>
      </c>
      <c r="F401" s="16" t="str">
        <f>IF(Catalog!X401="","",Catalog!X401&amp;" "&amp;Catalog!Y401)</f>
        <v/>
      </c>
      <c r="G401" s="8"/>
    </row>
    <row r="402" spans="1:7" ht="15.75" x14ac:dyDescent="0.25">
      <c r="A402" s="14" t="str">
        <f>Catalog!A402</f>
        <v/>
      </c>
      <c r="B402" s="14" t="str">
        <f>Catalog!C402</f>
        <v/>
      </c>
      <c r="C402" s="16">
        <f>Catalog!D402</f>
        <v>0</v>
      </c>
      <c r="D402" s="16">
        <f>Catalog!O402</f>
        <v>0</v>
      </c>
      <c r="E402" s="16">
        <f>Catalog!F402</f>
        <v>0</v>
      </c>
      <c r="F402" s="16" t="str">
        <f>IF(Catalog!X402="","",Catalog!X402&amp;" "&amp;Catalog!Y402)</f>
        <v/>
      </c>
      <c r="G402" s="8"/>
    </row>
    <row r="403" spans="1:7" ht="15.75" x14ac:dyDescent="0.25">
      <c r="A403" s="14" t="str">
        <f>Catalog!A403</f>
        <v/>
      </c>
      <c r="B403" s="14" t="str">
        <f>Catalog!C403</f>
        <v/>
      </c>
      <c r="C403" s="16">
        <f>Catalog!D403</f>
        <v>0</v>
      </c>
      <c r="D403" s="16">
        <f>Catalog!O403</f>
        <v>0</v>
      </c>
      <c r="E403" s="16">
        <f>Catalog!F403</f>
        <v>0</v>
      </c>
      <c r="F403" s="16" t="str">
        <f>IF(Catalog!X403="","",Catalog!X403&amp;" "&amp;Catalog!Y403)</f>
        <v/>
      </c>
      <c r="G403" s="8"/>
    </row>
    <row r="404" spans="1:7" ht="15.75" x14ac:dyDescent="0.25">
      <c r="A404" s="14" t="str">
        <f>Catalog!A404</f>
        <v/>
      </c>
      <c r="B404" s="14" t="str">
        <f>Catalog!C404</f>
        <v/>
      </c>
      <c r="C404" s="16">
        <f>Catalog!D404</f>
        <v>0</v>
      </c>
      <c r="D404" s="16">
        <f>Catalog!O404</f>
        <v>0</v>
      </c>
      <c r="E404" s="16">
        <f>Catalog!F404</f>
        <v>0</v>
      </c>
      <c r="F404" s="16" t="str">
        <f>IF(Catalog!X404="","",Catalog!X404&amp;" "&amp;Catalog!Y404)</f>
        <v/>
      </c>
      <c r="G404" s="8"/>
    </row>
    <row r="405" spans="1:7" ht="15.75" x14ac:dyDescent="0.25">
      <c r="A405" s="14" t="str">
        <f>Catalog!A405</f>
        <v/>
      </c>
      <c r="B405" s="14" t="str">
        <f>Catalog!C405</f>
        <v/>
      </c>
      <c r="C405" s="16">
        <f>Catalog!D405</f>
        <v>0</v>
      </c>
      <c r="D405" s="16">
        <f>Catalog!O405</f>
        <v>0</v>
      </c>
      <c r="E405" s="16">
        <f>Catalog!F405</f>
        <v>0</v>
      </c>
      <c r="F405" s="16" t="str">
        <f>IF(Catalog!X405="","",Catalog!X405&amp;" "&amp;Catalog!Y405)</f>
        <v/>
      </c>
      <c r="G405" s="8"/>
    </row>
    <row r="406" spans="1:7" ht="15.75" x14ac:dyDescent="0.25">
      <c r="A406" s="14" t="str">
        <f>Catalog!A406</f>
        <v/>
      </c>
      <c r="B406" s="14" t="str">
        <f>Catalog!C406</f>
        <v/>
      </c>
      <c r="C406" s="16">
        <f>Catalog!D406</f>
        <v>0</v>
      </c>
      <c r="D406" s="16">
        <f>Catalog!O406</f>
        <v>0</v>
      </c>
      <c r="E406" s="16">
        <f>Catalog!F406</f>
        <v>0</v>
      </c>
      <c r="F406" s="16" t="str">
        <f>IF(Catalog!X406="","",Catalog!X406&amp;" "&amp;Catalog!Y406)</f>
        <v/>
      </c>
      <c r="G406" s="8"/>
    </row>
    <row r="407" spans="1:7" ht="15.75" x14ac:dyDescent="0.25">
      <c r="A407" s="14" t="str">
        <f>Catalog!A407</f>
        <v/>
      </c>
      <c r="B407" s="14" t="str">
        <f>Catalog!C407</f>
        <v/>
      </c>
      <c r="C407" s="16">
        <f>Catalog!D407</f>
        <v>0</v>
      </c>
      <c r="D407" s="16">
        <f>Catalog!O407</f>
        <v>0</v>
      </c>
      <c r="E407" s="16">
        <f>Catalog!F407</f>
        <v>0</v>
      </c>
      <c r="F407" s="16" t="str">
        <f>IF(Catalog!X407="","",Catalog!X407&amp;" "&amp;Catalog!Y407)</f>
        <v/>
      </c>
      <c r="G407" s="8"/>
    </row>
    <row r="408" spans="1:7" ht="15.75" x14ac:dyDescent="0.25">
      <c r="A408" s="14" t="str">
        <f>Catalog!A408</f>
        <v/>
      </c>
      <c r="B408" s="14" t="str">
        <f>Catalog!C408</f>
        <v/>
      </c>
      <c r="C408" s="16">
        <f>Catalog!D408</f>
        <v>0</v>
      </c>
      <c r="D408" s="16">
        <f>Catalog!O408</f>
        <v>0</v>
      </c>
      <c r="E408" s="16">
        <f>Catalog!F408</f>
        <v>0</v>
      </c>
      <c r="F408" s="16" t="str">
        <f>IF(Catalog!X408="","",Catalog!X408&amp;" "&amp;Catalog!Y408)</f>
        <v/>
      </c>
      <c r="G408" s="8"/>
    </row>
    <row r="409" spans="1:7" ht="15.75" x14ac:dyDescent="0.25">
      <c r="A409" s="14" t="str">
        <f>Catalog!A409</f>
        <v/>
      </c>
      <c r="B409" s="14" t="str">
        <f>Catalog!C409</f>
        <v/>
      </c>
      <c r="C409" s="16">
        <f>Catalog!D409</f>
        <v>0</v>
      </c>
      <c r="D409" s="16">
        <f>Catalog!O409</f>
        <v>0</v>
      </c>
      <c r="E409" s="16">
        <f>Catalog!F409</f>
        <v>0</v>
      </c>
      <c r="F409" s="16" t="str">
        <f>IF(Catalog!X409="","",Catalog!X409&amp;" "&amp;Catalog!Y409)</f>
        <v/>
      </c>
      <c r="G409" s="8"/>
    </row>
    <row r="410" spans="1:7" ht="15.75" x14ac:dyDescent="0.25">
      <c r="A410" s="14" t="str">
        <f>Catalog!A410</f>
        <v/>
      </c>
      <c r="B410" s="14" t="str">
        <f>Catalog!C410</f>
        <v/>
      </c>
      <c r="C410" s="16">
        <f>Catalog!D410</f>
        <v>0</v>
      </c>
      <c r="D410" s="16">
        <f>Catalog!O410</f>
        <v>0</v>
      </c>
      <c r="E410" s="16">
        <f>Catalog!F410</f>
        <v>0</v>
      </c>
      <c r="F410" s="16" t="str">
        <f>IF(Catalog!X410="","",Catalog!X410&amp;" "&amp;Catalog!Y410)</f>
        <v/>
      </c>
      <c r="G410" s="8"/>
    </row>
    <row r="411" spans="1:7" ht="15.75" x14ac:dyDescent="0.25">
      <c r="A411" s="14" t="str">
        <f>Catalog!A411</f>
        <v/>
      </c>
      <c r="B411" s="14" t="str">
        <f>Catalog!C411</f>
        <v/>
      </c>
      <c r="C411" s="16">
        <f>Catalog!D411</f>
        <v>0</v>
      </c>
      <c r="D411" s="16">
        <f>Catalog!O411</f>
        <v>0</v>
      </c>
      <c r="E411" s="16">
        <f>Catalog!F411</f>
        <v>0</v>
      </c>
      <c r="F411" s="16" t="str">
        <f>IF(Catalog!X411="","",Catalog!X411&amp;" "&amp;Catalog!Y411)</f>
        <v/>
      </c>
      <c r="G411" s="8"/>
    </row>
    <row r="412" spans="1:7" ht="15.75" x14ac:dyDescent="0.25">
      <c r="A412" s="14" t="str">
        <f>Catalog!A412</f>
        <v/>
      </c>
      <c r="B412" s="14" t="str">
        <f>Catalog!C412</f>
        <v/>
      </c>
      <c r="C412" s="16">
        <f>Catalog!D412</f>
        <v>0</v>
      </c>
      <c r="D412" s="16">
        <f>Catalog!O412</f>
        <v>0</v>
      </c>
      <c r="E412" s="16">
        <f>Catalog!F412</f>
        <v>0</v>
      </c>
      <c r="F412" s="16" t="str">
        <f>IF(Catalog!X412="","",Catalog!X412&amp;" "&amp;Catalog!Y412)</f>
        <v/>
      </c>
      <c r="G412" s="8"/>
    </row>
    <row r="413" spans="1:7" ht="15.75" x14ac:dyDescent="0.25">
      <c r="A413" s="14" t="str">
        <f>Catalog!A413</f>
        <v/>
      </c>
      <c r="B413" s="14" t="str">
        <f>Catalog!C413</f>
        <v/>
      </c>
      <c r="C413" s="16">
        <f>Catalog!D413</f>
        <v>0</v>
      </c>
      <c r="D413" s="16">
        <f>Catalog!O413</f>
        <v>0</v>
      </c>
      <c r="E413" s="16">
        <f>Catalog!F413</f>
        <v>0</v>
      </c>
      <c r="F413" s="16" t="str">
        <f>IF(Catalog!X413="","",Catalog!X413&amp;" "&amp;Catalog!Y413)</f>
        <v/>
      </c>
      <c r="G413" s="8"/>
    </row>
    <row r="414" spans="1:7" ht="15.75" x14ac:dyDescent="0.25">
      <c r="A414" s="14" t="str">
        <f>Catalog!A414</f>
        <v/>
      </c>
      <c r="B414" s="14" t="str">
        <f>Catalog!C414</f>
        <v/>
      </c>
      <c r="C414" s="16">
        <f>Catalog!D414</f>
        <v>0</v>
      </c>
      <c r="D414" s="16">
        <f>Catalog!O414</f>
        <v>0</v>
      </c>
      <c r="E414" s="16">
        <f>Catalog!F414</f>
        <v>0</v>
      </c>
      <c r="F414" s="16" t="str">
        <f>IF(Catalog!X414="","",Catalog!X414&amp;" "&amp;Catalog!Y414)</f>
        <v/>
      </c>
      <c r="G414" s="8"/>
    </row>
    <row r="415" spans="1:7" ht="15.75" x14ac:dyDescent="0.25">
      <c r="A415" s="14" t="str">
        <f>Catalog!A415</f>
        <v/>
      </c>
      <c r="B415" s="14" t="str">
        <f>Catalog!C415</f>
        <v/>
      </c>
      <c r="C415" s="16">
        <f>Catalog!D415</f>
        <v>0</v>
      </c>
      <c r="D415" s="16">
        <f>Catalog!O415</f>
        <v>0</v>
      </c>
      <c r="E415" s="16">
        <f>Catalog!F415</f>
        <v>0</v>
      </c>
      <c r="F415" s="16" t="str">
        <f>IF(Catalog!X415="","",Catalog!X415&amp;" "&amp;Catalog!Y415)</f>
        <v/>
      </c>
      <c r="G415" s="8"/>
    </row>
    <row r="416" spans="1:7" ht="15.75" x14ac:dyDescent="0.25">
      <c r="A416" s="14" t="str">
        <f>Catalog!A416</f>
        <v/>
      </c>
      <c r="B416" s="14" t="str">
        <f>Catalog!C416</f>
        <v/>
      </c>
      <c r="C416" s="16">
        <f>Catalog!D416</f>
        <v>0</v>
      </c>
      <c r="D416" s="16">
        <f>Catalog!O416</f>
        <v>0</v>
      </c>
      <c r="E416" s="16">
        <f>Catalog!F416</f>
        <v>0</v>
      </c>
      <c r="F416" s="16" t="str">
        <f>IF(Catalog!X416="","",Catalog!X416&amp;" "&amp;Catalog!Y416)</f>
        <v/>
      </c>
      <c r="G416" s="8"/>
    </row>
    <row r="417" spans="1:7" ht="15.75" x14ac:dyDescent="0.25">
      <c r="A417" s="14" t="str">
        <f>Catalog!A417</f>
        <v/>
      </c>
      <c r="B417" s="14" t="str">
        <f>Catalog!C417</f>
        <v/>
      </c>
      <c r="C417" s="16">
        <f>Catalog!D417</f>
        <v>0</v>
      </c>
      <c r="D417" s="16">
        <f>Catalog!O417</f>
        <v>0</v>
      </c>
      <c r="E417" s="16">
        <f>Catalog!F417</f>
        <v>0</v>
      </c>
      <c r="F417" s="16" t="str">
        <f>IF(Catalog!X417="","",Catalog!X417&amp;" "&amp;Catalog!Y417)</f>
        <v/>
      </c>
      <c r="G417" s="8"/>
    </row>
    <row r="418" spans="1:7" ht="15.75" x14ac:dyDescent="0.25">
      <c r="A418" s="14" t="str">
        <f>Catalog!A418</f>
        <v/>
      </c>
      <c r="B418" s="14" t="str">
        <f>Catalog!C418</f>
        <v/>
      </c>
      <c r="C418" s="16">
        <f>Catalog!D418</f>
        <v>0</v>
      </c>
      <c r="D418" s="16">
        <f>Catalog!O418</f>
        <v>0</v>
      </c>
      <c r="E418" s="16">
        <f>Catalog!F418</f>
        <v>0</v>
      </c>
      <c r="F418" s="16" t="str">
        <f>IF(Catalog!X418="","",Catalog!X418&amp;" "&amp;Catalog!Y418)</f>
        <v/>
      </c>
      <c r="G418" s="8"/>
    </row>
    <row r="419" spans="1:7" ht="15.75" x14ac:dyDescent="0.25">
      <c r="A419" s="14" t="str">
        <f>Catalog!A419</f>
        <v/>
      </c>
      <c r="B419" s="14" t="str">
        <f>Catalog!C419</f>
        <v/>
      </c>
      <c r="C419" s="16">
        <f>Catalog!D419</f>
        <v>0</v>
      </c>
      <c r="D419" s="16">
        <f>Catalog!O419</f>
        <v>0</v>
      </c>
      <c r="E419" s="16">
        <f>Catalog!F419</f>
        <v>0</v>
      </c>
      <c r="F419" s="16" t="str">
        <f>IF(Catalog!X419="","",Catalog!X419&amp;" "&amp;Catalog!Y419)</f>
        <v/>
      </c>
      <c r="G419" s="8"/>
    </row>
    <row r="420" spans="1:7" ht="15.75" x14ac:dyDescent="0.25">
      <c r="A420" s="14" t="str">
        <f>Catalog!A420</f>
        <v/>
      </c>
      <c r="B420" s="14" t="str">
        <f>Catalog!C420</f>
        <v/>
      </c>
      <c r="C420" s="16">
        <f>Catalog!D420</f>
        <v>0</v>
      </c>
      <c r="D420" s="16">
        <f>Catalog!O420</f>
        <v>0</v>
      </c>
      <c r="E420" s="16">
        <f>Catalog!F420</f>
        <v>0</v>
      </c>
      <c r="F420" s="16" t="str">
        <f>IF(Catalog!X420="","",Catalog!X420&amp;" "&amp;Catalog!Y420)</f>
        <v/>
      </c>
      <c r="G420" s="8"/>
    </row>
    <row r="421" spans="1:7" ht="15.75" x14ac:dyDescent="0.25">
      <c r="A421" s="14" t="str">
        <f>Catalog!A421</f>
        <v/>
      </c>
      <c r="B421" s="14" t="str">
        <f>Catalog!C421</f>
        <v/>
      </c>
      <c r="C421" s="16">
        <f>Catalog!D421</f>
        <v>0</v>
      </c>
      <c r="D421" s="16">
        <f>Catalog!O421</f>
        <v>0</v>
      </c>
      <c r="E421" s="16">
        <f>Catalog!F421</f>
        <v>0</v>
      </c>
      <c r="F421" s="16" t="str">
        <f>IF(Catalog!X421="","",Catalog!X421&amp;" "&amp;Catalog!Y421)</f>
        <v/>
      </c>
      <c r="G421" s="8"/>
    </row>
    <row r="422" spans="1:7" ht="15.75" x14ac:dyDescent="0.25">
      <c r="A422" s="14" t="str">
        <f>Catalog!A422</f>
        <v/>
      </c>
      <c r="B422" s="14" t="str">
        <f>Catalog!C422</f>
        <v/>
      </c>
      <c r="C422" s="16">
        <f>Catalog!D422</f>
        <v>0</v>
      </c>
      <c r="D422" s="16">
        <f>Catalog!O422</f>
        <v>0</v>
      </c>
      <c r="E422" s="16">
        <f>Catalog!F422</f>
        <v>0</v>
      </c>
      <c r="F422" s="16" t="str">
        <f>IF(Catalog!X422="","",Catalog!X422&amp;" "&amp;Catalog!Y422)</f>
        <v/>
      </c>
      <c r="G422" s="8"/>
    </row>
    <row r="423" spans="1:7" ht="15.75" x14ac:dyDescent="0.25">
      <c r="A423" s="14" t="str">
        <f>Catalog!A423</f>
        <v/>
      </c>
      <c r="B423" s="14" t="str">
        <f>Catalog!C423</f>
        <v/>
      </c>
      <c r="C423" s="16">
        <f>Catalog!D423</f>
        <v>0</v>
      </c>
      <c r="D423" s="16">
        <f>Catalog!O423</f>
        <v>0</v>
      </c>
      <c r="E423" s="16">
        <f>Catalog!F423</f>
        <v>0</v>
      </c>
      <c r="F423" s="16" t="str">
        <f>IF(Catalog!X423="","",Catalog!X423&amp;" "&amp;Catalog!Y423)</f>
        <v/>
      </c>
      <c r="G423" s="8"/>
    </row>
    <row r="424" spans="1:7" ht="15.75" x14ac:dyDescent="0.25">
      <c r="A424" s="14" t="str">
        <f>Catalog!A424</f>
        <v/>
      </c>
      <c r="B424" s="14" t="str">
        <f>Catalog!C424</f>
        <v/>
      </c>
      <c r="C424" s="16">
        <f>Catalog!D424</f>
        <v>0</v>
      </c>
      <c r="D424" s="16">
        <f>Catalog!O424</f>
        <v>0</v>
      </c>
      <c r="E424" s="16">
        <f>Catalog!F424</f>
        <v>0</v>
      </c>
      <c r="F424" s="16" t="str">
        <f>IF(Catalog!X424="","",Catalog!X424&amp;" "&amp;Catalog!Y424)</f>
        <v/>
      </c>
      <c r="G424" s="8"/>
    </row>
    <row r="425" spans="1:7" ht="15.75" x14ac:dyDescent="0.25">
      <c r="A425" s="14" t="str">
        <f>Catalog!A425</f>
        <v/>
      </c>
      <c r="B425" s="14" t="str">
        <f>Catalog!C425</f>
        <v/>
      </c>
      <c r="C425" s="16">
        <f>Catalog!D425</f>
        <v>0</v>
      </c>
      <c r="D425" s="16">
        <f>Catalog!O425</f>
        <v>0</v>
      </c>
      <c r="E425" s="16">
        <f>Catalog!F425</f>
        <v>0</v>
      </c>
      <c r="F425" s="16" t="str">
        <f>IF(Catalog!X425="","",Catalog!X425&amp;" "&amp;Catalog!Y425)</f>
        <v/>
      </c>
      <c r="G425" s="8"/>
    </row>
    <row r="426" spans="1:7" ht="15.75" x14ac:dyDescent="0.25">
      <c r="A426" s="14" t="str">
        <f>Catalog!A426</f>
        <v/>
      </c>
      <c r="B426" s="14" t="str">
        <f>Catalog!C426</f>
        <v/>
      </c>
      <c r="C426" s="16">
        <f>Catalog!D426</f>
        <v>0</v>
      </c>
      <c r="D426" s="16">
        <f>Catalog!O426</f>
        <v>0</v>
      </c>
      <c r="E426" s="16">
        <f>Catalog!F426</f>
        <v>0</v>
      </c>
      <c r="F426" s="16" t="str">
        <f>IF(Catalog!X426="","",Catalog!X426&amp;" "&amp;Catalog!Y426)</f>
        <v/>
      </c>
      <c r="G426" s="8"/>
    </row>
    <row r="427" spans="1:7" ht="15.75" x14ac:dyDescent="0.25">
      <c r="A427" s="14" t="str">
        <f>Catalog!A427</f>
        <v/>
      </c>
      <c r="B427" s="14" t="str">
        <f>Catalog!C427</f>
        <v/>
      </c>
      <c r="C427" s="16">
        <f>Catalog!D427</f>
        <v>0</v>
      </c>
      <c r="D427" s="16">
        <f>Catalog!O427</f>
        <v>0</v>
      </c>
      <c r="E427" s="16">
        <f>Catalog!F427</f>
        <v>0</v>
      </c>
      <c r="F427" s="16" t="str">
        <f>IF(Catalog!X427="","",Catalog!X427&amp;" "&amp;Catalog!Y427)</f>
        <v/>
      </c>
      <c r="G427" s="8"/>
    </row>
    <row r="428" spans="1:7" ht="15.75" x14ac:dyDescent="0.25">
      <c r="A428" s="14" t="str">
        <f>Catalog!A428</f>
        <v/>
      </c>
      <c r="B428" s="14" t="str">
        <f>Catalog!C428</f>
        <v/>
      </c>
      <c r="C428" s="16">
        <f>Catalog!D428</f>
        <v>0</v>
      </c>
      <c r="D428" s="16">
        <f>Catalog!O428</f>
        <v>0</v>
      </c>
      <c r="E428" s="16">
        <f>Catalog!F428</f>
        <v>0</v>
      </c>
      <c r="F428" s="16" t="str">
        <f>IF(Catalog!X428="","",Catalog!X428&amp;" "&amp;Catalog!Y428)</f>
        <v/>
      </c>
      <c r="G428" s="8"/>
    </row>
    <row r="429" spans="1:7" ht="15.75" x14ac:dyDescent="0.25">
      <c r="A429" s="14" t="str">
        <f>Catalog!A429</f>
        <v/>
      </c>
      <c r="B429" s="14" t="str">
        <f>Catalog!C429</f>
        <v/>
      </c>
      <c r="C429" s="16">
        <f>Catalog!D429</f>
        <v>0</v>
      </c>
      <c r="D429" s="16">
        <f>Catalog!O429</f>
        <v>0</v>
      </c>
      <c r="E429" s="16">
        <f>Catalog!F429</f>
        <v>0</v>
      </c>
      <c r="F429" s="16" t="str">
        <f>IF(Catalog!X429="","",Catalog!X429&amp;" "&amp;Catalog!Y429)</f>
        <v/>
      </c>
      <c r="G429" s="8"/>
    </row>
    <row r="430" spans="1:7" ht="15.75" x14ac:dyDescent="0.25">
      <c r="A430" s="14" t="str">
        <f>Catalog!A430</f>
        <v/>
      </c>
      <c r="B430" s="14" t="str">
        <f>Catalog!C430</f>
        <v/>
      </c>
      <c r="C430" s="16">
        <f>Catalog!D430</f>
        <v>0</v>
      </c>
      <c r="D430" s="16">
        <f>Catalog!O430</f>
        <v>0</v>
      </c>
      <c r="E430" s="16">
        <f>Catalog!F430</f>
        <v>0</v>
      </c>
      <c r="F430" s="16" t="str">
        <f>IF(Catalog!X430="","",Catalog!X430&amp;" "&amp;Catalog!Y430)</f>
        <v/>
      </c>
      <c r="G430" s="8"/>
    </row>
    <row r="431" spans="1:7" ht="15.75" x14ac:dyDescent="0.25">
      <c r="A431" s="14" t="str">
        <f>Catalog!A431</f>
        <v/>
      </c>
      <c r="B431" s="14" t="str">
        <f>Catalog!C431</f>
        <v/>
      </c>
      <c r="C431" s="16">
        <f>Catalog!D431</f>
        <v>0</v>
      </c>
      <c r="D431" s="16">
        <f>Catalog!O431</f>
        <v>0</v>
      </c>
      <c r="E431" s="16">
        <f>Catalog!F431</f>
        <v>0</v>
      </c>
      <c r="F431" s="16" t="str">
        <f>IF(Catalog!X431="","",Catalog!X431&amp;" "&amp;Catalog!Y431)</f>
        <v/>
      </c>
      <c r="G431" s="8"/>
    </row>
    <row r="432" spans="1:7" ht="15.75" x14ac:dyDescent="0.25">
      <c r="A432" s="14" t="str">
        <f>Catalog!A432</f>
        <v/>
      </c>
      <c r="B432" s="14" t="str">
        <f>Catalog!C432</f>
        <v/>
      </c>
      <c r="C432" s="16">
        <f>Catalog!D432</f>
        <v>0</v>
      </c>
      <c r="D432" s="16">
        <f>Catalog!O432</f>
        <v>0</v>
      </c>
      <c r="E432" s="16">
        <f>Catalog!F432</f>
        <v>0</v>
      </c>
      <c r="F432" s="16" t="str">
        <f>IF(Catalog!X432="","",Catalog!X432&amp;" "&amp;Catalog!Y432)</f>
        <v/>
      </c>
      <c r="G432" s="8"/>
    </row>
    <row r="433" spans="1:7" ht="15.75" x14ac:dyDescent="0.25">
      <c r="A433" s="14" t="str">
        <f>Catalog!A433</f>
        <v/>
      </c>
      <c r="B433" s="14" t="str">
        <f>Catalog!C433</f>
        <v/>
      </c>
      <c r="C433" s="16">
        <f>Catalog!D433</f>
        <v>0</v>
      </c>
      <c r="D433" s="16">
        <f>Catalog!O433</f>
        <v>0</v>
      </c>
      <c r="E433" s="16">
        <f>Catalog!F433</f>
        <v>0</v>
      </c>
      <c r="F433" s="16" t="str">
        <f>IF(Catalog!X433="","",Catalog!X433&amp;" "&amp;Catalog!Y433)</f>
        <v/>
      </c>
      <c r="G433" s="8"/>
    </row>
    <row r="434" spans="1:7" ht="15.75" x14ac:dyDescent="0.25">
      <c r="A434" s="14" t="str">
        <f>Catalog!A434</f>
        <v/>
      </c>
      <c r="B434" s="14" t="str">
        <f>Catalog!C434</f>
        <v/>
      </c>
      <c r="C434" s="16">
        <f>Catalog!D434</f>
        <v>0</v>
      </c>
      <c r="D434" s="16">
        <f>Catalog!O434</f>
        <v>0</v>
      </c>
      <c r="E434" s="16">
        <f>Catalog!F434</f>
        <v>0</v>
      </c>
      <c r="F434" s="16" t="str">
        <f>IF(Catalog!X434="","",Catalog!X434&amp;" "&amp;Catalog!Y434)</f>
        <v/>
      </c>
      <c r="G434" s="8"/>
    </row>
    <row r="435" spans="1:7" ht="15.75" x14ac:dyDescent="0.25">
      <c r="A435" s="14" t="str">
        <f>Catalog!A435</f>
        <v/>
      </c>
      <c r="B435" s="14" t="str">
        <f>Catalog!C435</f>
        <v/>
      </c>
      <c r="C435" s="16">
        <f>Catalog!D435</f>
        <v>0</v>
      </c>
      <c r="D435" s="16">
        <f>Catalog!O435</f>
        <v>0</v>
      </c>
      <c r="E435" s="16">
        <f>Catalog!F435</f>
        <v>0</v>
      </c>
      <c r="F435" s="16" t="str">
        <f>IF(Catalog!X435="","",Catalog!X435&amp;" "&amp;Catalog!Y435)</f>
        <v/>
      </c>
      <c r="G435" s="8"/>
    </row>
    <row r="436" spans="1:7" ht="15.75" x14ac:dyDescent="0.25">
      <c r="A436" s="14" t="str">
        <f>Catalog!A436</f>
        <v/>
      </c>
      <c r="B436" s="14" t="str">
        <f>Catalog!C436</f>
        <v/>
      </c>
      <c r="C436" s="16">
        <f>Catalog!D436</f>
        <v>0</v>
      </c>
      <c r="D436" s="16">
        <f>Catalog!O436</f>
        <v>0</v>
      </c>
      <c r="E436" s="16">
        <f>Catalog!F436</f>
        <v>0</v>
      </c>
      <c r="F436" s="16" t="str">
        <f>IF(Catalog!X436="","",Catalog!X436&amp;" "&amp;Catalog!Y436)</f>
        <v/>
      </c>
      <c r="G436" s="8"/>
    </row>
    <row r="437" spans="1:7" ht="15.75" x14ac:dyDescent="0.25">
      <c r="A437" s="14" t="str">
        <f>Catalog!A437</f>
        <v/>
      </c>
      <c r="B437" s="14" t="str">
        <f>Catalog!C437</f>
        <v/>
      </c>
      <c r="C437" s="16">
        <f>Catalog!D437</f>
        <v>0</v>
      </c>
      <c r="D437" s="16">
        <f>Catalog!O437</f>
        <v>0</v>
      </c>
      <c r="E437" s="16">
        <f>Catalog!F437</f>
        <v>0</v>
      </c>
      <c r="F437" s="16" t="str">
        <f>IF(Catalog!X437="","",Catalog!X437&amp;" "&amp;Catalog!Y437)</f>
        <v/>
      </c>
      <c r="G437" s="8"/>
    </row>
    <row r="438" spans="1:7" ht="15.75" x14ac:dyDescent="0.25">
      <c r="A438" s="14" t="str">
        <f>Catalog!A438</f>
        <v/>
      </c>
      <c r="B438" s="14" t="str">
        <f>Catalog!C438</f>
        <v/>
      </c>
      <c r="C438" s="16">
        <f>Catalog!D438</f>
        <v>0</v>
      </c>
      <c r="D438" s="16">
        <f>Catalog!O438</f>
        <v>0</v>
      </c>
      <c r="E438" s="16">
        <f>Catalog!F438</f>
        <v>0</v>
      </c>
      <c r="F438" s="16" t="str">
        <f>IF(Catalog!X438="","",Catalog!X438&amp;" "&amp;Catalog!Y438)</f>
        <v/>
      </c>
      <c r="G438" s="8"/>
    </row>
    <row r="439" spans="1:7" ht="15.75" x14ac:dyDescent="0.25">
      <c r="A439" s="14" t="str">
        <f>Catalog!A439</f>
        <v/>
      </c>
      <c r="B439" s="14" t="str">
        <f>Catalog!C439</f>
        <v/>
      </c>
      <c r="C439" s="16">
        <f>Catalog!D439</f>
        <v>0</v>
      </c>
      <c r="D439" s="16">
        <f>Catalog!O439</f>
        <v>0</v>
      </c>
      <c r="E439" s="16">
        <f>Catalog!F439</f>
        <v>0</v>
      </c>
      <c r="F439" s="16" t="str">
        <f>IF(Catalog!X439="","",Catalog!X439&amp;" "&amp;Catalog!Y439)</f>
        <v/>
      </c>
      <c r="G439" s="8"/>
    </row>
    <row r="440" spans="1:7" ht="15.75" x14ac:dyDescent="0.25">
      <c r="A440" s="14" t="str">
        <f>Catalog!A440</f>
        <v/>
      </c>
      <c r="B440" s="14" t="str">
        <f>Catalog!C440</f>
        <v/>
      </c>
      <c r="C440" s="16">
        <f>Catalog!D440</f>
        <v>0</v>
      </c>
      <c r="D440" s="16">
        <f>Catalog!O440</f>
        <v>0</v>
      </c>
      <c r="E440" s="16">
        <f>Catalog!F440</f>
        <v>0</v>
      </c>
      <c r="F440" s="16" t="str">
        <f>IF(Catalog!X440="","",Catalog!X440&amp;" "&amp;Catalog!Y440)</f>
        <v/>
      </c>
      <c r="G440" s="8"/>
    </row>
    <row r="441" spans="1:7" ht="15.75" x14ac:dyDescent="0.25">
      <c r="A441" s="14" t="str">
        <f>Catalog!A441</f>
        <v/>
      </c>
      <c r="B441" s="14" t="str">
        <f>Catalog!C441</f>
        <v/>
      </c>
      <c r="C441" s="16">
        <f>Catalog!D441</f>
        <v>0</v>
      </c>
      <c r="D441" s="16">
        <f>Catalog!O441</f>
        <v>0</v>
      </c>
      <c r="E441" s="16">
        <f>Catalog!F441</f>
        <v>0</v>
      </c>
      <c r="F441" s="16" t="str">
        <f>IF(Catalog!X441="","",Catalog!X441&amp;" "&amp;Catalog!Y441)</f>
        <v/>
      </c>
      <c r="G441" s="8"/>
    </row>
    <row r="442" spans="1:7" ht="15.75" x14ac:dyDescent="0.25">
      <c r="A442" s="14" t="str">
        <f>Catalog!A442</f>
        <v/>
      </c>
      <c r="B442" s="14" t="str">
        <f>Catalog!C442</f>
        <v/>
      </c>
      <c r="C442" s="16">
        <f>Catalog!D442</f>
        <v>0</v>
      </c>
      <c r="D442" s="16">
        <f>Catalog!O442</f>
        <v>0</v>
      </c>
      <c r="E442" s="16">
        <f>Catalog!F442</f>
        <v>0</v>
      </c>
      <c r="F442" s="16" t="str">
        <f>IF(Catalog!X442="","",Catalog!X442&amp;" "&amp;Catalog!Y442)</f>
        <v/>
      </c>
      <c r="G442" s="8"/>
    </row>
    <row r="443" spans="1:7" ht="15.75" x14ac:dyDescent="0.25">
      <c r="A443" s="14" t="str">
        <f>Catalog!A443</f>
        <v/>
      </c>
      <c r="B443" s="14" t="str">
        <f>Catalog!C443</f>
        <v/>
      </c>
      <c r="C443" s="16">
        <f>Catalog!D443</f>
        <v>0</v>
      </c>
      <c r="D443" s="16">
        <f>Catalog!O443</f>
        <v>0</v>
      </c>
      <c r="E443" s="16">
        <f>Catalog!F443</f>
        <v>0</v>
      </c>
      <c r="F443" s="16" t="str">
        <f>IF(Catalog!X443="","",Catalog!X443&amp;" "&amp;Catalog!Y443)</f>
        <v/>
      </c>
      <c r="G443" s="8"/>
    </row>
    <row r="444" spans="1:7" ht="15.75" x14ac:dyDescent="0.25">
      <c r="A444" s="14" t="str">
        <f>Catalog!A444</f>
        <v/>
      </c>
      <c r="B444" s="14" t="str">
        <f>Catalog!C444</f>
        <v/>
      </c>
      <c r="C444" s="16">
        <f>Catalog!D444</f>
        <v>0</v>
      </c>
      <c r="D444" s="16">
        <f>Catalog!O444</f>
        <v>0</v>
      </c>
      <c r="E444" s="16">
        <f>Catalog!F444</f>
        <v>0</v>
      </c>
      <c r="F444" s="16" t="str">
        <f>IF(Catalog!X444="","",Catalog!X444&amp;" "&amp;Catalog!Y444)</f>
        <v/>
      </c>
      <c r="G444" s="8"/>
    </row>
    <row r="445" spans="1:7" ht="15.75" x14ac:dyDescent="0.25">
      <c r="A445" s="14" t="str">
        <f>Catalog!A445</f>
        <v/>
      </c>
      <c r="B445" s="14" t="str">
        <f>Catalog!C445</f>
        <v/>
      </c>
      <c r="C445" s="16">
        <f>Catalog!D445</f>
        <v>0</v>
      </c>
      <c r="D445" s="16">
        <f>Catalog!O445</f>
        <v>0</v>
      </c>
      <c r="E445" s="16">
        <f>Catalog!F445</f>
        <v>0</v>
      </c>
      <c r="F445" s="16" t="str">
        <f>IF(Catalog!X445="","",Catalog!X445&amp;" "&amp;Catalog!Y445)</f>
        <v/>
      </c>
      <c r="G445" s="8"/>
    </row>
    <row r="446" spans="1:7" ht="15.75" x14ac:dyDescent="0.25">
      <c r="A446" s="14" t="str">
        <f>Catalog!A446</f>
        <v/>
      </c>
      <c r="B446" s="14" t="str">
        <f>Catalog!C446</f>
        <v/>
      </c>
      <c r="C446" s="16">
        <f>Catalog!D446</f>
        <v>0</v>
      </c>
      <c r="D446" s="16">
        <f>Catalog!O446</f>
        <v>0</v>
      </c>
      <c r="E446" s="16">
        <f>Catalog!F446</f>
        <v>0</v>
      </c>
      <c r="F446" s="16" t="str">
        <f>IF(Catalog!X446="","",Catalog!X446&amp;" "&amp;Catalog!Y446)</f>
        <v/>
      </c>
      <c r="G446" s="8"/>
    </row>
    <row r="447" spans="1:7" ht="15.75" x14ac:dyDescent="0.25">
      <c r="A447" s="14" t="str">
        <f>Catalog!A447</f>
        <v/>
      </c>
      <c r="B447" s="14" t="str">
        <f>Catalog!C447</f>
        <v/>
      </c>
      <c r="C447" s="16">
        <f>Catalog!D447</f>
        <v>0</v>
      </c>
      <c r="D447" s="16">
        <f>Catalog!O447</f>
        <v>0</v>
      </c>
      <c r="E447" s="16">
        <f>Catalog!F447</f>
        <v>0</v>
      </c>
      <c r="F447" s="16" t="str">
        <f>IF(Catalog!X447="","",Catalog!X447&amp;" "&amp;Catalog!Y447)</f>
        <v/>
      </c>
      <c r="G447" s="8"/>
    </row>
    <row r="448" spans="1:7" ht="15.75" x14ac:dyDescent="0.25">
      <c r="A448" s="14" t="str">
        <f>Catalog!A448</f>
        <v/>
      </c>
      <c r="B448" s="14" t="str">
        <f>Catalog!C448</f>
        <v/>
      </c>
      <c r="C448" s="16">
        <f>Catalog!D448</f>
        <v>0</v>
      </c>
      <c r="D448" s="16">
        <f>Catalog!O448</f>
        <v>0</v>
      </c>
      <c r="E448" s="16">
        <f>Catalog!F448</f>
        <v>0</v>
      </c>
      <c r="F448" s="16" t="str">
        <f>IF(Catalog!X448="","",Catalog!X448&amp;" "&amp;Catalog!Y448)</f>
        <v/>
      </c>
      <c r="G448" s="8"/>
    </row>
    <row r="449" spans="1:7" ht="15.75" x14ac:dyDescent="0.25">
      <c r="A449" s="14" t="str">
        <f>Catalog!A449</f>
        <v/>
      </c>
      <c r="B449" s="14" t="str">
        <f>Catalog!C449</f>
        <v/>
      </c>
      <c r="C449" s="16">
        <f>Catalog!D449</f>
        <v>0</v>
      </c>
      <c r="D449" s="16">
        <f>Catalog!O449</f>
        <v>0</v>
      </c>
      <c r="E449" s="16">
        <f>Catalog!F449</f>
        <v>0</v>
      </c>
      <c r="F449" s="16" t="str">
        <f>IF(Catalog!X449="","",Catalog!X449&amp;" "&amp;Catalog!Y449)</f>
        <v/>
      </c>
      <c r="G449" s="8"/>
    </row>
    <row r="450" spans="1:7" ht="15.75" x14ac:dyDescent="0.25">
      <c r="A450" s="14" t="str">
        <f>Catalog!A450</f>
        <v/>
      </c>
      <c r="B450" s="14" t="str">
        <f>Catalog!C450</f>
        <v/>
      </c>
      <c r="C450" s="16">
        <f>Catalog!D450</f>
        <v>0</v>
      </c>
      <c r="D450" s="16">
        <f>Catalog!O450</f>
        <v>0</v>
      </c>
      <c r="E450" s="16">
        <f>Catalog!F450</f>
        <v>0</v>
      </c>
      <c r="F450" s="16" t="str">
        <f>IF(Catalog!X450="","",Catalog!X450&amp;" "&amp;Catalog!Y450)</f>
        <v/>
      </c>
      <c r="G450" s="8"/>
    </row>
    <row r="451" spans="1:7" ht="15.75" x14ac:dyDescent="0.25">
      <c r="A451" s="14" t="str">
        <f>Catalog!A451</f>
        <v/>
      </c>
      <c r="B451" s="14" t="str">
        <f>Catalog!C451</f>
        <v/>
      </c>
      <c r="C451" s="16">
        <f>Catalog!D451</f>
        <v>0</v>
      </c>
      <c r="D451" s="16">
        <f>Catalog!O451</f>
        <v>0</v>
      </c>
      <c r="E451" s="16">
        <f>Catalog!F451</f>
        <v>0</v>
      </c>
      <c r="F451" s="16" t="str">
        <f>IF(Catalog!X451="","",Catalog!X451&amp;" "&amp;Catalog!Y451)</f>
        <v/>
      </c>
      <c r="G451" s="8"/>
    </row>
    <row r="452" spans="1:7" ht="15.75" x14ac:dyDescent="0.25">
      <c r="A452" s="14" t="str">
        <f>Catalog!A452</f>
        <v/>
      </c>
      <c r="B452" s="14" t="str">
        <f>Catalog!C452</f>
        <v/>
      </c>
      <c r="C452" s="16">
        <f>Catalog!D452</f>
        <v>0</v>
      </c>
      <c r="D452" s="16">
        <f>Catalog!O452</f>
        <v>0</v>
      </c>
      <c r="E452" s="16">
        <f>Catalog!F452</f>
        <v>0</v>
      </c>
      <c r="F452" s="16" t="str">
        <f>IF(Catalog!X452="","",Catalog!X452&amp;" "&amp;Catalog!Y452)</f>
        <v/>
      </c>
      <c r="G452" s="8"/>
    </row>
    <row r="453" spans="1:7" ht="15.75" x14ac:dyDescent="0.25">
      <c r="A453" s="14" t="str">
        <f>Catalog!A453</f>
        <v/>
      </c>
      <c r="B453" s="14" t="str">
        <f>Catalog!C453</f>
        <v/>
      </c>
      <c r="C453" s="16">
        <f>Catalog!D453</f>
        <v>0</v>
      </c>
      <c r="D453" s="16">
        <f>Catalog!O453</f>
        <v>0</v>
      </c>
      <c r="E453" s="16">
        <f>Catalog!F453</f>
        <v>0</v>
      </c>
      <c r="F453" s="16" t="str">
        <f>IF(Catalog!X453="","",Catalog!X453&amp;" "&amp;Catalog!Y453)</f>
        <v/>
      </c>
      <c r="G453" s="8"/>
    </row>
    <row r="454" spans="1:7" ht="15.75" x14ac:dyDescent="0.25">
      <c r="A454" s="14" t="str">
        <f>Catalog!A454</f>
        <v/>
      </c>
      <c r="B454" s="14" t="str">
        <f>Catalog!C454</f>
        <v/>
      </c>
      <c r="C454" s="16">
        <f>Catalog!D454</f>
        <v>0</v>
      </c>
      <c r="D454" s="16">
        <f>Catalog!O454</f>
        <v>0</v>
      </c>
      <c r="E454" s="16">
        <f>Catalog!F454</f>
        <v>0</v>
      </c>
      <c r="F454" s="16" t="str">
        <f>IF(Catalog!X454="","",Catalog!X454&amp;" "&amp;Catalog!Y454)</f>
        <v/>
      </c>
      <c r="G454" s="8"/>
    </row>
    <row r="455" spans="1:7" ht="15.75" x14ac:dyDescent="0.25">
      <c r="A455" s="14" t="str">
        <f>Catalog!A455</f>
        <v/>
      </c>
      <c r="B455" s="14" t="str">
        <f>Catalog!C455</f>
        <v/>
      </c>
      <c r="C455" s="16">
        <f>Catalog!D455</f>
        <v>0</v>
      </c>
      <c r="D455" s="16">
        <f>Catalog!O455</f>
        <v>0</v>
      </c>
      <c r="E455" s="16">
        <f>Catalog!F455</f>
        <v>0</v>
      </c>
      <c r="F455" s="16" t="str">
        <f>IF(Catalog!X455="","",Catalog!X455&amp;" "&amp;Catalog!Y455)</f>
        <v/>
      </c>
      <c r="G455" s="8"/>
    </row>
    <row r="456" spans="1:7" ht="15.75" x14ac:dyDescent="0.25">
      <c r="A456" s="14" t="str">
        <f>Catalog!A456</f>
        <v/>
      </c>
      <c r="B456" s="14" t="str">
        <f>Catalog!C456</f>
        <v/>
      </c>
      <c r="C456" s="16">
        <f>Catalog!D456</f>
        <v>0</v>
      </c>
      <c r="D456" s="16">
        <f>Catalog!O456</f>
        <v>0</v>
      </c>
      <c r="E456" s="16">
        <f>Catalog!F456</f>
        <v>0</v>
      </c>
      <c r="F456" s="16" t="str">
        <f>IF(Catalog!X456="","",Catalog!X456&amp;" "&amp;Catalog!Y456)</f>
        <v/>
      </c>
      <c r="G456" s="8"/>
    </row>
    <row r="457" spans="1:7" ht="15.75" x14ac:dyDescent="0.25">
      <c r="A457" s="14" t="str">
        <f>Catalog!A457</f>
        <v/>
      </c>
      <c r="B457" s="14" t="str">
        <f>Catalog!C457</f>
        <v/>
      </c>
      <c r="C457" s="16">
        <f>Catalog!D457</f>
        <v>0</v>
      </c>
      <c r="D457" s="16">
        <f>Catalog!O457</f>
        <v>0</v>
      </c>
      <c r="E457" s="16">
        <f>Catalog!F457</f>
        <v>0</v>
      </c>
      <c r="F457" s="16" t="str">
        <f>IF(Catalog!X457="","",Catalog!X457&amp;" "&amp;Catalog!Y457)</f>
        <v/>
      </c>
      <c r="G457" s="8"/>
    </row>
    <row r="458" spans="1:7" ht="15.75" x14ac:dyDescent="0.25">
      <c r="A458" s="14" t="str">
        <f>Catalog!A458</f>
        <v/>
      </c>
      <c r="B458" s="14" t="str">
        <f>Catalog!C458</f>
        <v/>
      </c>
      <c r="C458" s="16">
        <f>Catalog!D458</f>
        <v>0</v>
      </c>
      <c r="D458" s="16">
        <f>Catalog!O458</f>
        <v>0</v>
      </c>
      <c r="E458" s="16">
        <f>Catalog!F458</f>
        <v>0</v>
      </c>
      <c r="F458" s="16" t="str">
        <f>IF(Catalog!X458="","",Catalog!X458&amp;" "&amp;Catalog!Y458)</f>
        <v/>
      </c>
      <c r="G458" s="8"/>
    </row>
    <row r="459" spans="1:7" ht="15.75" x14ac:dyDescent="0.25">
      <c r="A459" s="14" t="str">
        <f>Catalog!A459</f>
        <v/>
      </c>
      <c r="B459" s="14" t="str">
        <f>Catalog!C459</f>
        <v/>
      </c>
      <c r="C459" s="16">
        <f>Catalog!D459</f>
        <v>0</v>
      </c>
      <c r="D459" s="16">
        <f>Catalog!O459</f>
        <v>0</v>
      </c>
      <c r="E459" s="16">
        <f>Catalog!F459</f>
        <v>0</v>
      </c>
      <c r="F459" s="16" t="str">
        <f>IF(Catalog!X459="","",Catalog!X459&amp;" "&amp;Catalog!Y459)</f>
        <v/>
      </c>
      <c r="G459" s="8"/>
    </row>
    <row r="460" spans="1:7" ht="15.75" x14ac:dyDescent="0.25">
      <c r="A460" s="14" t="str">
        <f>Catalog!A460</f>
        <v/>
      </c>
      <c r="B460" s="14" t="str">
        <f>Catalog!C460</f>
        <v/>
      </c>
      <c r="C460" s="16">
        <f>Catalog!D460</f>
        <v>0</v>
      </c>
      <c r="D460" s="16">
        <f>Catalog!O460</f>
        <v>0</v>
      </c>
      <c r="E460" s="16">
        <f>Catalog!F460</f>
        <v>0</v>
      </c>
      <c r="F460" s="16" t="str">
        <f>IF(Catalog!X460="","",Catalog!X460&amp;" "&amp;Catalog!Y460)</f>
        <v/>
      </c>
      <c r="G460" s="8"/>
    </row>
    <row r="461" spans="1:7" ht="15.75" x14ac:dyDescent="0.25">
      <c r="A461" s="14" t="str">
        <f>Catalog!A461</f>
        <v/>
      </c>
      <c r="B461" s="14" t="str">
        <f>Catalog!C461</f>
        <v/>
      </c>
      <c r="C461" s="16">
        <f>Catalog!D461</f>
        <v>0</v>
      </c>
      <c r="D461" s="16">
        <f>Catalog!O461</f>
        <v>0</v>
      </c>
      <c r="E461" s="16">
        <f>Catalog!F461</f>
        <v>0</v>
      </c>
      <c r="F461" s="16" t="str">
        <f>IF(Catalog!X461="","",Catalog!X461&amp;" "&amp;Catalog!Y461)</f>
        <v/>
      </c>
      <c r="G461" s="8"/>
    </row>
    <row r="462" spans="1:7" ht="15.75" x14ac:dyDescent="0.25">
      <c r="A462" s="14" t="str">
        <f>Catalog!A462</f>
        <v/>
      </c>
      <c r="B462" s="14" t="str">
        <f>Catalog!C462</f>
        <v/>
      </c>
      <c r="C462" s="16">
        <f>Catalog!D462</f>
        <v>0</v>
      </c>
      <c r="D462" s="16">
        <f>Catalog!O462</f>
        <v>0</v>
      </c>
      <c r="E462" s="16">
        <f>Catalog!F462</f>
        <v>0</v>
      </c>
      <c r="F462" s="16" t="str">
        <f>IF(Catalog!X462="","",Catalog!X462&amp;" "&amp;Catalog!Y462)</f>
        <v/>
      </c>
      <c r="G462" s="8"/>
    </row>
    <row r="463" spans="1:7" ht="15.75" x14ac:dyDescent="0.25">
      <c r="A463" s="14" t="str">
        <f>Catalog!A463</f>
        <v/>
      </c>
      <c r="B463" s="14" t="str">
        <f>Catalog!C463</f>
        <v/>
      </c>
      <c r="C463" s="16">
        <f>Catalog!D463</f>
        <v>0</v>
      </c>
      <c r="D463" s="16">
        <f>Catalog!O463</f>
        <v>0</v>
      </c>
      <c r="E463" s="16">
        <f>Catalog!F463</f>
        <v>0</v>
      </c>
      <c r="F463" s="16" t="str">
        <f>IF(Catalog!X463="","",Catalog!X463&amp;" "&amp;Catalog!Y463)</f>
        <v/>
      </c>
      <c r="G463" s="8"/>
    </row>
    <row r="464" spans="1:7" ht="15.75" x14ac:dyDescent="0.25">
      <c r="A464" s="14" t="str">
        <f>Catalog!A464</f>
        <v/>
      </c>
      <c r="B464" s="14" t="str">
        <f>Catalog!C464</f>
        <v/>
      </c>
      <c r="C464" s="16">
        <f>Catalog!D464</f>
        <v>0</v>
      </c>
      <c r="D464" s="16">
        <f>Catalog!O464</f>
        <v>0</v>
      </c>
      <c r="E464" s="16">
        <f>Catalog!F464</f>
        <v>0</v>
      </c>
      <c r="F464" s="16" t="str">
        <f>IF(Catalog!X464="","",Catalog!X464&amp;" "&amp;Catalog!Y464)</f>
        <v/>
      </c>
      <c r="G464" s="8"/>
    </row>
    <row r="465" spans="1:7" ht="15.75" x14ac:dyDescent="0.25">
      <c r="A465" s="14" t="str">
        <f>Catalog!A465</f>
        <v/>
      </c>
      <c r="B465" s="14" t="str">
        <f>Catalog!C465</f>
        <v/>
      </c>
      <c r="C465" s="16">
        <f>Catalog!D465</f>
        <v>0</v>
      </c>
      <c r="D465" s="16">
        <f>Catalog!O465</f>
        <v>0</v>
      </c>
      <c r="E465" s="16">
        <f>Catalog!F465</f>
        <v>0</v>
      </c>
      <c r="F465" s="16" t="str">
        <f>IF(Catalog!X465="","",Catalog!X465&amp;" "&amp;Catalog!Y465)</f>
        <v/>
      </c>
      <c r="G465" s="8"/>
    </row>
    <row r="466" spans="1:7" ht="15.75" x14ac:dyDescent="0.25">
      <c r="A466" s="14" t="str">
        <f>Catalog!A466</f>
        <v/>
      </c>
      <c r="B466" s="14" t="str">
        <f>Catalog!C466</f>
        <v/>
      </c>
      <c r="C466" s="16">
        <f>Catalog!D466</f>
        <v>0</v>
      </c>
      <c r="D466" s="16">
        <f>Catalog!O466</f>
        <v>0</v>
      </c>
      <c r="E466" s="16">
        <f>Catalog!F466</f>
        <v>0</v>
      </c>
      <c r="F466" s="16" t="str">
        <f>IF(Catalog!X466="","",Catalog!X466&amp;" "&amp;Catalog!Y466)</f>
        <v/>
      </c>
      <c r="G466" s="8"/>
    </row>
    <row r="467" spans="1:7" ht="15.75" x14ac:dyDescent="0.25">
      <c r="A467" s="14" t="str">
        <f>Catalog!A467</f>
        <v/>
      </c>
      <c r="B467" s="14" t="str">
        <f>Catalog!C467</f>
        <v/>
      </c>
      <c r="C467" s="16">
        <f>Catalog!D467</f>
        <v>0</v>
      </c>
      <c r="D467" s="16">
        <f>Catalog!O467</f>
        <v>0</v>
      </c>
      <c r="E467" s="16">
        <f>Catalog!F467</f>
        <v>0</v>
      </c>
      <c r="F467" s="16" t="str">
        <f>IF(Catalog!X467="","",Catalog!X467&amp;" "&amp;Catalog!Y467)</f>
        <v/>
      </c>
      <c r="G467" s="8"/>
    </row>
    <row r="468" spans="1:7" ht="15.75" x14ac:dyDescent="0.25">
      <c r="A468" s="14" t="str">
        <f>Catalog!A468</f>
        <v/>
      </c>
      <c r="B468" s="14" t="str">
        <f>Catalog!C468</f>
        <v/>
      </c>
      <c r="C468" s="16">
        <f>Catalog!D468</f>
        <v>0</v>
      </c>
      <c r="D468" s="16">
        <f>Catalog!O468</f>
        <v>0</v>
      </c>
      <c r="E468" s="16">
        <f>Catalog!F468</f>
        <v>0</v>
      </c>
      <c r="F468" s="16" t="str">
        <f>IF(Catalog!X468="","",Catalog!X468&amp;" "&amp;Catalog!Y468)</f>
        <v/>
      </c>
      <c r="G468" s="8"/>
    </row>
    <row r="469" spans="1:7" ht="15.75" x14ac:dyDescent="0.25">
      <c r="A469" s="14" t="str">
        <f>Catalog!A469</f>
        <v/>
      </c>
      <c r="B469" s="14" t="str">
        <f>Catalog!C469</f>
        <v/>
      </c>
      <c r="C469" s="16">
        <f>Catalog!D469</f>
        <v>0</v>
      </c>
      <c r="D469" s="16">
        <f>Catalog!O469</f>
        <v>0</v>
      </c>
      <c r="E469" s="16">
        <f>Catalog!F469</f>
        <v>0</v>
      </c>
      <c r="F469" s="16" t="str">
        <f>IF(Catalog!X469="","",Catalog!X469&amp;" "&amp;Catalog!Y469)</f>
        <v/>
      </c>
      <c r="G469" s="8"/>
    </row>
    <row r="470" spans="1:7" ht="15.75" x14ac:dyDescent="0.25">
      <c r="A470" s="14" t="str">
        <f>Catalog!A470</f>
        <v/>
      </c>
      <c r="B470" s="14" t="str">
        <f>Catalog!C470</f>
        <v/>
      </c>
      <c r="C470" s="16">
        <f>Catalog!D470</f>
        <v>0</v>
      </c>
      <c r="D470" s="16">
        <f>Catalog!O470</f>
        <v>0</v>
      </c>
      <c r="E470" s="16">
        <f>Catalog!F470</f>
        <v>0</v>
      </c>
      <c r="F470" s="16" t="str">
        <f>IF(Catalog!X470="","",Catalog!X470&amp;" "&amp;Catalog!Y470)</f>
        <v/>
      </c>
      <c r="G470" s="8"/>
    </row>
    <row r="471" spans="1:7" ht="15.75" x14ac:dyDescent="0.25">
      <c r="A471" s="14" t="str">
        <f>Catalog!A471</f>
        <v/>
      </c>
      <c r="B471" s="14" t="str">
        <f>Catalog!C471</f>
        <v/>
      </c>
      <c r="C471" s="16">
        <f>Catalog!D471</f>
        <v>0</v>
      </c>
      <c r="D471" s="16">
        <f>Catalog!O471</f>
        <v>0</v>
      </c>
      <c r="E471" s="16">
        <f>Catalog!F471</f>
        <v>0</v>
      </c>
      <c r="F471" s="16" t="str">
        <f>IF(Catalog!X471="","",Catalog!X471&amp;" "&amp;Catalog!Y471)</f>
        <v/>
      </c>
      <c r="G471" s="8"/>
    </row>
    <row r="472" spans="1:7" ht="15.75" x14ac:dyDescent="0.25">
      <c r="A472" s="14" t="str">
        <f>Catalog!A472</f>
        <v/>
      </c>
      <c r="B472" s="14" t="str">
        <f>Catalog!C472</f>
        <v/>
      </c>
      <c r="C472" s="16">
        <f>Catalog!D472</f>
        <v>0</v>
      </c>
      <c r="D472" s="16">
        <f>Catalog!O472</f>
        <v>0</v>
      </c>
      <c r="E472" s="16">
        <f>Catalog!F472</f>
        <v>0</v>
      </c>
      <c r="F472" s="16" t="str">
        <f>IF(Catalog!X472="","",Catalog!X472&amp;" "&amp;Catalog!Y472)</f>
        <v/>
      </c>
      <c r="G472" s="8"/>
    </row>
    <row r="473" spans="1:7" ht="15.75" x14ac:dyDescent="0.25">
      <c r="A473" s="14" t="str">
        <f>Catalog!A473</f>
        <v/>
      </c>
      <c r="B473" s="14" t="str">
        <f>Catalog!C473</f>
        <v/>
      </c>
      <c r="C473" s="16">
        <f>Catalog!D473</f>
        <v>0</v>
      </c>
      <c r="D473" s="16">
        <f>Catalog!O473</f>
        <v>0</v>
      </c>
      <c r="E473" s="16">
        <f>Catalog!F473</f>
        <v>0</v>
      </c>
      <c r="F473" s="16" t="str">
        <f>IF(Catalog!X473="","",Catalog!X473&amp;" "&amp;Catalog!Y473)</f>
        <v/>
      </c>
      <c r="G473" s="8"/>
    </row>
    <row r="474" spans="1:7" ht="15.75" x14ac:dyDescent="0.25">
      <c r="A474" s="14" t="str">
        <f>Catalog!A474</f>
        <v/>
      </c>
      <c r="B474" s="14" t="str">
        <f>Catalog!C474</f>
        <v/>
      </c>
      <c r="C474" s="16">
        <f>Catalog!D474</f>
        <v>0</v>
      </c>
      <c r="D474" s="16">
        <f>Catalog!O474</f>
        <v>0</v>
      </c>
      <c r="E474" s="16">
        <f>Catalog!F474</f>
        <v>0</v>
      </c>
      <c r="F474" s="16" t="str">
        <f>IF(Catalog!X474="","",Catalog!X474&amp;" "&amp;Catalog!Y474)</f>
        <v/>
      </c>
      <c r="G474" s="8"/>
    </row>
    <row r="475" spans="1:7" ht="15.75" x14ac:dyDescent="0.25">
      <c r="A475" s="14" t="str">
        <f>Catalog!A475</f>
        <v/>
      </c>
      <c r="B475" s="14" t="str">
        <f>Catalog!C475</f>
        <v/>
      </c>
      <c r="C475" s="16">
        <f>Catalog!D475</f>
        <v>0</v>
      </c>
      <c r="D475" s="16">
        <f>Catalog!O475</f>
        <v>0</v>
      </c>
      <c r="E475" s="16">
        <f>Catalog!F475</f>
        <v>0</v>
      </c>
      <c r="F475" s="16" t="str">
        <f>IF(Catalog!X475="","",Catalog!X475&amp;" "&amp;Catalog!Y475)</f>
        <v/>
      </c>
      <c r="G475" s="8"/>
    </row>
    <row r="476" spans="1:7" ht="15.75" x14ac:dyDescent="0.25">
      <c r="A476" s="14" t="str">
        <f>Catalog!A476</f>
        <v/>
      </c>
      <c r="B476" s="14" t="str">
        <f>Catalog!C476</f>
        <v/>
      </c>
      <c r="C476" s="16">
        <f>Catalog!D476</f>
        <v>0</v>
      </c>
      <c r="D476" s="16">
        <f>Catalog!O476</f>
        <v>0</v>
      </c>
      <c r="E476" s="16">
        <f>Catalog!F476</f>
        <v>0</v>
      </c>
      <c r="F476" s="16" t="str">
        <f>IF(Catalog!X476="","",Catalog!X476&amp;" "&amp;Catalog!Y476)</f>
        <v/>
      </c>
      <c r="G476" s="8"/>
    </row>
    <row r="477" spans="1:7" ht="15.75" x14ac:dyDescent="0.25">
      <c r="A477" s="14" t="str">
        <f>Catalog!A477</f>
        <v/>
      </c>
      <c r="B477" s="14" t="str">
        <f>Catalog!C477</f>
        <v/>
      </c>
      <c r="C477" s="16">
        <f>Catalog!D477</f>
        <v>0</v>
      </c>
      <c r="D477" s="16">
        <f>Catalog!O477</f>
        <v>0</v>
      </c>
      <c r="E477" s="16">
        <f>Catalog!F477</f>
        <v>0</v>
      </c>
      <c r="F477" s="16" t="str">
        <f>IF(Catalog!X477="","",Catalog!X477&amp;" "&amp;Catalog!Y477)</f>
        <v/>
      </c>
      <c r="G477" s="8"/>
    </row>
    <row r="478" spans="1:7" ht="15.75" x14ac:dyDescent="0.25">
      <c r="A478" s="14" t="str">
        <f>Catalog!A478</f>
        <v/>
      </c>
      <c r="B478" s="14" t="str">
        <f>Catalog!C478</f>
        <v/>
      </c>
      <c r="C478" s="16">
        <f>Catalog!D478</f>
        <v>0</v>
      </c>
      <c r="D478" s="16">
        <f>Catalog!O478</f>
        <v>0</v>
      </c>
      <c r="E478" s="16">
        <f>Catalog!F478</f>
        <v>0</v>
      </c>
      <c r="F478" s="16" t="str">
        <f>IF(Catalog!X478="","",Catalog!X478&amp;" "&amp;Catalog!Y478)</f>
        <v/>
      </c>
      <c r="G478" s="8"/>
    </row>
    <row r="479" spans="1:7" ht="15.75" x14ac:dyDescent="0.25">
      <c r="A479" s="14" t="str">
        <f>Catalog!A479</f>
        <v/>
      </c>
      <c r="B479" s="14" t="str">
        <f>Catalog!C479</f>
        <v/>
      </c>
      <c r="C479" s="16">
        <f>Catalog!D479</f>
        <v>0</v>
      </c>
      <c r="D479" s="16">
        <f>Catalog!O479</f>
        <v>0</v>
      </c>
      <c r="E479" s="16">
        <f>Catalog!F479</f>
        <v>0</v>
      </c>
      <c r="F479" s="16" t="str">
        <f>IF(Catalog!X479="","",Catalog!X479&amp;" "&amp;Catalog!Y479)</f>
        <v/>
      </c>
      <c r="G479" s="8"/>
    </row>
    <row r="480" spans="1:7" ht="15.75" x14ac:dyDescent="0.25">
      <c r="A480" s="14" t="str">
        <f>Catalog!A480</f>
        <v/>
      </c>
      <c r="B480" s="14" t="str">
        <f>Catalog!C480</f>
        <v/>
      </c>
      <c r="C480" s="16">
        <f>Catalog!D480</f>
        <v>0</v>
      </c>
      <c r="D480" s="16">
        <f>Catalog!O480</f>
        <v>0</v>
      </c>
      <c r="E480" s="16">
        <f>Catalog!F480</f>
        <v>0</v>
      </c>
      <c r="F480" s="16" t="str">
        <f>IF(Catalog!X480="","",Catalog!X480&amp;" "&amp;Catalog!Y480)</f>
        <v/>
      </c>
      <c r="G480" s="8"/>
    </row>
    <row r="481" spans="1:7" ht="15.75" x14ac:dyDescent="0.25">
      <c r="A481" s="14" t="str">
        <f>Catalog!A481</f>
        <v/>
      </c>
      <c r="B481" s="14" t="str">
        <f>Catalog!C481</f>
        <v/>
      </c>
      <c r="C481" s="16">
        <f>Catalog!D481</f>
        <v>0</v>
      </c>
      <c r="D481" s="16">
        <f>Catalog!O481</f>
        <v>0</v>
      </c>
      <c r="E481" s="16">
        <f>Catalog!F481</f>
        <v>0</v>
      </c>
      <c r="F481" s="16" t="str">
        <f>IF(Catalog!X481="","",Catalog!X481&amp;" "&amp;Catalog!Y481)</f>
        <v/>
      </c>
      <c r="G481" s="8"/>
    </row>
    <row r="482" spans="1:7" ht="15.75" x14ac:dyDescent="0.25">
      <c r="A482" s="14" t="str">
        <f>Catalog!A482</f>
        <v/>
      </c>
      <c r="B482" s="14" t="str">
        <f>Catalog!C482</f>
        <v/>
      </c>
      <c r="C482" s="16">
        <f>Catalog!D482</f>
        <v>0</v>
      </c>
      <c r="D482" s="16">
        <f>Catalog!O482</f>
        <v>0</v>
      </c>
      <c r="E482" s="16">
        <f>Catalog!F482</f>
        <v>0</v>
      </c>
      <c r="F482" s="16" t="str">
        <f>IF(Catalog!X482="","",Catalog!X482&amp;" "&amp;Catalog!Y482)</f>
        <v/>
      </c>
      <c r="G482" s="8"/>
    </row>
    <row r="483" spans="1:7" ht="15.75" x14ac:dyDescent="0.25">
      <c r="A483" s="14" t="str">
        <f>Catalog!A483</f>
        <v/>
      </c>
      <c r="B483" s="14" t="str">
        <f>Catalog!C483</f>
        <v/>
      </c>
      <c r="C483" s="16">
        <f>Catalog!D483</f>
        <v>0</v>
      </c>
      <c r="D483" s="16">
        <f>Catalog!O483</f>
        <v>0</v>
      </c>
      <c r="E483" s="16">
        <f>Catalog!F483</f>
        <v>0</v>
      </c>
      <c r="F483" s="16" t="str">
        <f>IF(Catalog!X483="","",Catalog!X483&amp;" "&amp;Catalog!Y483)</f>
        <v/>
      </c>
      <c r="G483" s="8"/>
    </row>
    <row r="484" spans="1:7" ht="15.75" x14ac:dyDescent="0.25">
      <c r="A484" s="14" t="str">
        <f>Catalog!A484</f>
        <v/>
      </c>
      <c r="B484" s="14" t="str">
        <f>Catalog!C484</f>
        <v/>
      </c>
      <c r="C484" s="16">
        <f>Catalog!D484</f>
        <v>0</v>
      </c>
      <c r="D484" s="16">
        <f>Catalog!O484</f>
        <v>0</v>
      </c>
      <c r="E484" s="16">
        <f>Catalog!F484</f>
        <v>0</v>
      </c>
      <c r="F484" s="16" t="str">
        <f>IF(Catalog!X484="","",Catalog!X484&amp;" "&amp;Catalog!Y484)</f>
        <v/>
      </c>
      <c r="G484" s="8"/>
    </row>
    <row r="485" spans="1:7" ht="15.75" x14ac:dyDescent="0.25">
      <c r="A485" s="14" t="str">
        <f>Catalog!A485</f>
        <v/>
      </c>
      <c r="B485" s="14" t="str">
        <f>Catalog!C485</f>
        <v/>
      </c>
      <c r="C485" s="16">
        <f>Catalog!D485</f>
        <v>0</v>
      </c>
      <c r="D485" s="16">
        <f>Catalog!O485</f>
        <v>0</v>
      </c>
      <c r="E485" s="16">
        <f>Catalog!F485</f>
        <v>0</v>
      </c>
      <c r="F485" s="16" t="str">
        <f>IF(Catalog!X485="","",Catalog!X485&amp;" "&amp;Catalog!Y485)</f>
        <v/>
      </c>
      <c r="G485" s="8"/>
    </row>
    <row r="486" spans="1:7" ht="15.75" x14ac:dyDescent="0.25">
      <c r="A486" s="14" t="str">
        <f>Catalog!A486</f>
        <v/>
      </c>
      <c r="B486" s="14" t="str">
        <f>Catalog!C486</f>
        <v/>
      </c>
      <c r="C486" s="16">
        <f>Catalog!D486</f>
        <v>0</v>
      </c>
      <c r="D486" s="16">
        <f>Catalog!O486</f>
        <v>0</v>
      </c>
      <c r="E486" s="16">
        <f>Catalog!F486</f>
        <v>0</v>
      </c>
      <c r="F486" s="16" t="str">
        <f>IF(Catalog!X486="","",Catalog!X486&amp;" "&amp;Catalog!Y486)</f>
        <v/>
      </c>
      <c r="G486" s="8"/>
    </row>
    <row r="487" spans="1:7" ht="15.75" x14ac:dyDescent="0.25">
      <c r="A487" s="14" t="str">
        <f>Catalog!A487</f>
        <v/>
      </c>
      <c r="B487" s="14" t="str">
        <f>Catalog!C487</f>
        <v/>
      </c>
      <c r="C487" s="16">
        <f>Catalog!D487</f>
        <v>0</v>
      </c>
      <c r="D487" s="16">
        <f>Catalog!O487</f>
        <v>0</v>
      </c>
      <c r="E487" s="16">
        <f>Catalog!F487</f>
        <v>0</v>
      </c>
      <c r="F487" s="16" t="str">
        <f>IF(Catalog!X487="","",Catalog!X487&amp;" "&amp;Catalog!Y487)</f>
        <v/>
      </c>
      <c r="G487" s="8"/>
    </row>
    <row r="488" spans="1:7" ht="15.75" x14ac:dyDescent="0.25">
      <c r="A488" s="14" t="str">
        <f>Catalog!A488</f>
        <v/>
      </c>
      <c r="B488" s="14" t="str">
        <f>Catalog!C488</f>
        <v/>
      </c>
      <c r="C488" s="16">
        <f>Catalog!D488</f>
        <v>0</v>
      </c>
      <c r="D488" s="16">
        <f>Catalog!O488</f>
        <v>0</v>
      </c>
      <c r="E488" s="16">
        <f>Catalog!F488</f>
        <v>0</v>
      </c>
      <c r="F488" s="16" t="str">
        <f>IF(Catalog!X488="","",Catalog!X488&amp;" "&amp;Catalog!Y488)</f>
        <v/>
      </c>
      <c r="G488" s="8"/>
    </row>
    <row r="489" spans="1:7" ht="15.75" x14ac:dyDescent="0.25">
      <c r="A489" s="14" t="str">
        <f>Catalog!A489</f>
        <v/>
      </c>
      <c r="B489" s="14" t="str">
        <f>Catalog!C489</f>
        <v/>
      </c>
      <c r="C489" s="16">
        <f>Catalog!D489</f>
        <v>0</v>
      </c>
      <c r="D489" s="16">
        <f>Catalog!O489</f>
        <v>0</v>
      </c>
      <c r="E489" s="16">
        <f>Catalog!F489</f>
        <v>0</v>
      </c>
      <c r="F489" s="16" t="str">
        <f>IF(Catalog!X489="","",Catalog!X489&amp;" "&amp;Catalog!Y489)</f>
        <v/>
      </c>
      <c r="G489" s="8"/>
    </row>
    <row r="490" spans="1:7" ht="15.75" x14ac:dyDescent="0.25">
      <c r="A490" s="14" t="str">
        <f>Catalog!A490</f>
        <v/>
      </c>
      <c r="B490" s="14" t="str">
        <f>Catalog!C490</f>
        <v/>
      </c>
      <c r="C490" s="16">
        <f>Catalog!D490</f>
        <v>0</v>
      </c>
      <c r="D490" s="16">
        <f>Catalog!O490</f>
        <v>0</v>
      </c>
      <c r="E490" s="16">
        <f>Catalog!F490</f>
        <v>0</v>
      </c>
      <c r="F490" s="16" t="str">
        <f>IF(Catalog!X490="","",Catalog!X490&amp;" "&amp;Catalog!Y490)</f>
        <v/>
      </c>
      <c r="G490" s="8"/>
    </row>
    <row r="491" spans="1:7" ht="15.75" x14ac:dyDescent="0.25">
      <c r="A491" s="14" t="str">
        <f>Catalog!A491</f>
        <v/>
      </c>
      <c r="B491" s="14" t="str">
        <f>Catalog!C491</f>
        <v/>
      </c>
      <c r="C491" s="16">
        <f>Catalog!D491</f>
        <v>0</v>
      </c>
      <c r="D491" s="16">
        <f>Catalog!O491</f>
        <v>0</v>
      </c>
      <c r="E491" s="16">
        <f>Catalog!F491</f>
        <v>0</v>
      </c>
      <c r="F491" s="16" t="str">
        <f>IF(Catalog!X491="","",Catalog!X491&amp;" "&amp;Catalog!Y491)</f>
        <v/>
      </c>
      <c r="G491" s="8"/>
    </row>
    <row r="492" spans="1:7" ht="15.75" x14ac:dyDescent="0.25">
      <c r="A492" s="14" t="str">
        <f>Catalog!A492</f>
        <v/>
      </c>
      <c r="B492" s="14" t="str">
        <f>Catalog!C492</f>
        <v/>
      </c>
      <c r="C492" s="16">
        <f>Catalog!D492</f>
        <v>0</v>
      </c>
      <c r="D492" s="16">
        <f>Catalog!O492</f>
        <v>0</v>
      </c>
      <c r="E492" s="16">
        <f>Catalog!F492</f>
        <v>0</v>
      </c>
      <c r="F492" s="16" t="str">
        <f>IF(Catalog!X492="","",Catalog!X492&amp;" "&amp;Catalog!Y492)</f>
        <v/>
      </c>
      <c r="G492" s="8"/>
    </row>
    <row r="493" spans="1:7" ht="15.75" x14ac:dyDescent="0.25">
      <c r="A493" s="14" t="str">
        <f>Catalog!A493</f>
        <v/>
      </c>
      <c r="B493" s="14" t="str">
        <f>Catalog!C493</f>
        <v/>
      </c>
      <c r="C493" s="16">
        <f>Catalog!D493</f>
        <v>0</v>
      </c>
      <c r="D493" s="16">
        <f>Catalog!O493</f>
        <v>0</v>
      </c>
      <c r="E493" s="16">
        <f>Catalog!F493</f>
        <v>0</v>
      </c>
      <c r="F493" s="16" t="str">
        <f>IF(Catalog!X493="","",Catalog!X493&amp;" "&amp;Catalog!Y493)</f>
        <v/>
      </c>
      <c r="G493" s="8"/>
    </row>
    <row r="494" spans="1:7" ht="15.75" x14ac:dyDescent="0.25">
      <c r="A494" s="14" t="str">
        <f>Catalog!A494</f>
        <v/>
      </c>
      <c r="B494" s="14" t="str">
        <f>Catalog!C494</f>
        <v/>
      </c>
      <c r="C494" s="16">
        <f>Catalog!D494</f>
        <v>0</v>
      </c>
      <c r="D494" s="16">
        <f>Catalog!O494</f>
        <v>0</v>
      </c>
      <c r="E494" s="16">
        <f>Catalog!F494</f>
        <v>0</v>
      </c>
      <c r="F494" s="16" t="str">
        <f>IF(Catalog!X494="","",Catalog!X494&amp;" "&amp;Catalog!Y494)</f>
        <v/>
      </c>
      <c r="G494" s="8"/>
    </row>
    <row r="495" spans="1:7" ht="15.75" x14ac:dyDescent="0.25">
      <c r="A495" s="14" t="str">
        <f>Catalog!A495</f>
        <v/>
      </c>
      <c r="B495" s="14" t="str">
        <f>Catalog!C495</f>
        <v/>
      </c>
      <c r="C495" s="16">
        <f>Catalog!D495</f>
        <v>0</v>
      </c>
      <c r="D495" s="16">
        <f>Catalog!O495</f>
        <v>0</v>
      </c>
      <c r="E495" s="16">
        <f>Catalog!F495</f>
        <v>0</v>
      </c>
      <c r="F495" s="16" t="str">
        <f>IF(Catalog!X495="","",Catalog!X495&amp;" "&amp;Catalog!Y495)</f>
        <v/>
      </c>
      <c r="G495" s="8"/>
    </row>
    <row r="496" spans="1:7" ht="15.75" x14ac:dyDescent="0.25">
      <c r="A496" s="14" t="str">
        <f>Catalog!A496</f>
        <v/>
      </c>
      <c r="B496" s="14" t="str">
        <f>Catalog!C496</f>
        <v/>
      </c>
      <c r="C496" s="16">
        <f>Catalog!D496</f>
        <v>0</v>
      </c>
      <c r="D496" s="16">
        <f>Catalog!O496</f>
        <v>0</v>
      </c>
      <c r="E496" s="16">
        <f>Catalog!F496</f>
        <v>0</v>
      </c>
      <c r="F496" s="16" t="str">
        <f>IF(Catalog!X496="","",Catalog!X496&amp;" "&amp;Catalog!Y496)</f>
        <v/>
      </c>
      <c r="G496" s="8"/>
    </row>
    <row r="497" spans="1:7" ht="15.75" x14ac:dyDescent="0.25">
      <c r="A497" s="14" t="str">
        <f>Catalog!A497</f>
        <v/>
      </c>
      <c r="B497" s="14" t="str">
        <f>Catalog!C497</f>
        <v/>
      </c>
      <c r="C497" s="16">
        <f>Catalog!D497</f>
        <v>0</v>
      </c>
      <c r="D497" s="16">
        <f>Catalog!O497</f>
        <v>0</v>
      </c>
      <c r="E497" s="16">
        <f>Catalog!F497</f>
        <v>0</v>
      </c>
      <c r="F497" s="16" t="str">
        <f>IF(Catalog!X497="","",Catalog!X497&amp;" "&amp;Catalog!Y497)</f>
        <v/>
      </c>
      <c r="G497" s="8"/>
    </row>
    <row r="498" spans="1:7" ht="15.75" x14ac:dyDescent="0.25">
      <c r="A498" s="14" t="str">
        <f>Catalog!A498</f>
        <v/>
      </c>
      <c r="B498" s="14" t="str">
        <f>Catalog!C498</f>
        <v/>
      </c>
      <c r="C498" s="16">
        <f>Catalog!D498</f>
        <v>0</v>
      </c>
      <c r="D498" s="16">
        <f>Catalog!O498</f>
        <v>0</v>
      </c>
      <c r="E498" s="16">
        <f>Catalog!F498</f>
        <v>0</v>
      </c>
      <c r="F498" s="16" t="str">
        <f>IF(Catalog!X498="","",Catalog!X498&amp;" "&amp;Catalog!Y498)</f>
        <v/>
      </c>
      <c r="G498" s="8"/>
    </row>
    <row r="499" spans="1:7" ht="15.75" x14ac:dyDescent="0.25">
      <c r="A499" s="14" t="str">
        <f>Catalog!A499</f>
        <v/>
      </c>
      <c r="B499" s="14" t="str">
        <f>Catalog!C499</f>
        <v/>
      </c>
      <c r="C499" s="16">
        <f>Catalog!D499</f>
        <v>0</v>
      </c>
      <c r="D499" s="16">
        <f>Catalog!O499</f>
        <v>0</v>
      </c>
      <c r="E499" s="16">
        <f>Catalog!F499</f>
        <v>0</v>
      </c>
      <c r="F499" s="16" t="str">
        <f>IF(Catalog!X499="","",Catalog!X499&amp;" "&amp;Catalog!Y499)</f>
        <v/>
      </c>
      <c r="G499" s="8"/>
    </row>
    <row r="500" spans="1:7" ht="15.75" x14ac:dyDescent="0.25">
      <c r="A500" s="14" t="str">
        <f>Catalog!A500</f>
        <v/>
      </c>
      <c r="B500" s="14" t="str">
        <f>Catalog!C500</f>
        <v/>
      </c>
      <c r="C500" s="16">
        <f>Catalog!D500</f>
        <v>0</v>
      </c>
      <c r="D500" s="16">
        <f>Catalog!O500</f>
        <v>0</v>
      </c>
      <c r="E500" s="16">
        <f>Catalog!F500</f>
        <v>0</v>
      </c>
      <c r="F500" s="16" t="str">
        <f>IF(Catalog!X500="","",Catalog!X500&amp;" "&amp;Catalog!Y500)</f>
        <v/>
      </c>
      <c r="G500" s="8"/>
    </row>
    <row r="501" spans="1:7" ht="15.75" x14ac:dyDescent="0.25">
      <c r="A501" s="14" t="str">
        <f>Catalog!A501</f>
        <v/>
      </c>
      <c r="B501" s="14" t="str">
        <f>Catalog!C501</f>
        <v/>
      </c>
      <c r="C501" s="16">
        <f>Catalog!D501</f>
        <v>0</v>
      </c>
      <c r="D501" s="16">
        <f>Catalog!O501</f>
        <v>0</v>
      </c>
      <c r="E501" s="16">
        <f>Catalog!F501</f>
        <v>0</v>
      </c>
      <c r="F501" s="16" t="str">
        <f>IF(Catalog!X501="","",Catalog!X501&amp;" "&amp;Catalog!Y501)</f>
        <v/>
      </c>
      <c r="G501" s="8"/>
    </row>
  </sheetData>
  <sheetProtection password="E720" sheet="1"/>
  <dataValidations count="1">
    <dataValidation type="list" allowBlank="1" sqref="G2:G501" xr:uid="{00000000-0002-0000-0800-000000000000}">
      <formula1>"Standard Card,Library Block,Minimal Spine"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528"/>
  <sheetViews>
    <sheetView workbookViewId="0">
      <selection sqref="A1:C1"/>
    </sheetView>
  </sheetViews>
  <sheetFormatPr defaultRowHeight="15" x14ac:dyDescent="0.25"/>
  <cols>
    <col min="1" max="1" width="24" customWidth="1"/>
    <col min="2" max="2" width="36" customWidth="1"/>
    <col min="3" max="3" width="48" customWidth="1"/>
  </cols>
  <sheetData>
    <row r="1" spans="1:3" ht="32.1" customHeight="1" x14ac:dyDescent="0.45">
      <c r="A1" s="33" t="s">
        <v>574</v>
      </c>
      <c r="B1" s="34"/>
      <c r="C1" s="34"/>
    </row>
    <row r="3" spans="1:3" x14ac:dyDescent="0.25">
      <c r="A3" s="5" t="s">
        <v>575</v>
      </c>
      <c r="B3" s="5" t="s">
        <v>576</v>
      </c>
      <c r="C3" s="5" t="s">
        <v>384</v>
      </c>
    </row>
    <row r="4" spans="1:3" ht="16.5" x14ac:dyDescent="0.3">
      <c r="A4" s="17" t="s">
        <v>577</v>
      </c>
      <c r="B4" s="18" t="s">
        <v>361</v>
      </c>
      <c r="C4" s="18" t="s">
        <v>578</v>
      </c>
    </row>
    <row r="5" spans="1:3" ht="16.5" x14ac:dyDescent="0.3">
      <c r="A5" s="17" t="s">
        <v>579</v>
      </c>
      <c r="B5" s="18" t="s">
        <v>363</v>
      </c>
      <c r="C5" s="18" t="s">
        <v>578</v>
      </c>
    </row>
    <row r="6" spans="1:3" ht="16.5" x14ac:dyDescent="0.3">
      <c r="A6" s="17" t="s">
        <v>580</v>
      </c>
      <c r="B6" s="18" t="s">
        <v>581</v>
      </c>
      <c r="C6" s="18" t="s">
        <v>582</v>
      </c>
    </row>
    <row r="7" spans="1:3" ht="16.5" x14ac:dyDescent="0.3">
      <c r="A7" s="17" t="s">
        <v>583</v>
      </c>
      <c r="B7" s="18" t="s">
        <v>373</v>
      </c>
      <c r="C7" s="18" t="s">
        <v>578</v>
      </c>
    </row>
    <row r="8" spans="1:3" ht="16.5" x14ac:dyDescent="0.3">
      <c r="A8" s="17" t="s">
        <v>584</v>
      </c>
      <c r="B8" s="18" t="s">
        <v>375</v>
      </c>
      <c r="C8" s="18" t="s">
        <v>578</v>
      </c>
    </row>
    <row r="9" spans="1:3" ht="16.5" x14ac:dyDescent="0.3">
      <c r="A9" s="17" t="s">
        <v>585</v>
      </c>
      <c r="B9" s="18" t="s">
        <v>87</v>
      </c>
      <c r="C9" s="18" t="s">
        <v>578</v>
      </c>
    </row>
    <row r="10" spans="1:3" ht="16.5" x14ac:dyDescent="0.3">
      <c r="A10" s="17" t="s">
        <v>586</v>
      </c>
      <c r="B10" s="18" t="s">
        <v>587</v>
      </c>
      <c r="C10" s="18" t="s">
        <v>588</v>
      </c>
    </row>
    <row r="11" spans="1:3" ht="16.5" x14ac:dyDescent="0.3">
      <c r="A11" s="17" t="s">
        <v>589</v>
      </c>
      <c r="B11" s="18" t="s">
        <v>590</v>
      </c>
      <c r="C11" s="18" t="s">
        <v>578</v>
      </c>
    </row>
    <row r="12" spans="1:3" ht="16.5" x14ac:dyDescent="0.3">
      <c r="A12" s="17" t="s">
        <v>591</v>
      </c>
      <c r="B12" s="18" t="s">
        <v>592</v>
      </c>
      <c r="C12" s="18" t="s">
        <v>578</v>
      </c>
    </row>
    <row r="13" spans="1:3" ht="16.5" x14ac:dyDescent="0.3">
      <c r="A13" s="17" t="s">
        <v>593</v>
      </c>
      <c r="B13" s="18" t="s">
        <v>369</v>
      </c>
      <c r="C13" s="18" t="s">
        <v>578</v>
      </c>
    </row>
    <row r="14" spans="1:3" ht="16.5" x14ac:dyDescent="0.3">
      <c r="A14" s="17" t="s">
        <v>594</v>
      </c>
      <c r="B14" s="18" t="s">
        <v>595</v>
      </c>
      <c r="C14" s="18" t="s">
        <v>578</v>
      </c>
    </row>
    <row r="15" spans="1:3" ht="16.5" x14ac:dyDescent="0.3">
      <c r="A15" s="17" t="s">
        <v>596</v>
      </c>
      <c r="B15" s="18" t="s">
        <v>597</v>
      </c>
      <c r="C15" s="18" t="s">
        <v>578</v>
      </c>
    </row>
    <row r="16" spans="1:3" ht="16.5" x14ac:dyDescent="0.3">
      <c r="A16" s="17" t="s">
        <v>598</v>
      </c>
      <c r="B16" s="18" t="s">
        <v>599</v>
      </c>
      <c r="C16" s="18" t="s">
        <v>600</v>
      </c>
    </row>
    <row r="17" spans="1:15" ht="16.5" x14ac:dyDescent="0.3">
      <c r="A17" s="17" t="s">
        <v>601</v>
      </c>
      <c r="B17" s="18" t="s">
        <v>374</v>
      </c>
      <c r="C17" s="18" t="s">
        <v>602</v>
      </c>
    </row>
    <row r="18" spans="1:15" ht="16.5" x14ac:dyDescent="0.3">
      <c r="A18" s="17" t="s">
        <v>603</v>
      </c>
      <c r="B18" s="18" t="s">
        <v>93</v>
      </c>
      <c r="C18" s="18" t="s">
        <v>578</v>
      </c>
    </row>
    <row r="19" spans="1:15" ht="16.5" x14ac:dyDescent="0.3">
      <c r="A19" s="17" t="s">
        <v>604</v>
      </c>
      <c r="B19" s="18" t="s">
        <v>605</v>
      </c>
      <c r="C19" s="18" t="s">
        <v>606</v>
      </c>
    </row>
    <row r="20" spans="1:15" ht="16.5" x14ac:dyDescent="0.3">
      <c r="A20" s="17" t="s">
        <v>604</v>
      </c>
      <c r="B20" s="18" t="s">
        <v>607</v>
      </c>
      <c r="C20" s="18" t="s">
        <v>606</v>
      </c>
    </row>
    <row r="21" spans="1:15" ht="16.5" x14ac:dyDescent="0.3">
      <c r="A21" s="17" t="s">
        <v>604</v>
      </c>
      <c r="B21" s="18" t="s">
        <v>608</v>
      </c>
      <c r="C21" s="18" t="s">
        <v>606</v>
      </c>
    </row>
    <row r="22" spans="1:15" ht="16.5" x14ac:dyDescent="0.3">
      <c r="A22" s="17" t="s">
        <v>604</v>
      </c>
      <c r="B22" s="18" t="s">
        <v>609</v>
      </c>
      <c r="C22" s="18" t="s">
        <v>606</v>
      </c>
    </row>
    <row r="26" spans="1:15" ht="21" x14ac:dyDescent="0.35">
      <c r="A26" s="19" t="s">
        <v>610</v>
      </c>
    </row>
    <row r="28" spans="1:15" ht="27" x14ac:dyDescent="0.25">
      <c r="A28" s="20" t="s">
        <v>611</v>
      </c>
      <c r="B28" s="20" t="s">
        <v>612</v>
      </c>
      <c r="C28" s="20" t="s">
        <v>613</v>
      </c>
      <c r="D28" s="20" t="s">
        <v>614</v>
      </c>
      <c r="E28" s="20" t="s">
        <v>615</v>
      </c>
      <c r="F28" s="20" t="s">
        <v>616</v>
      </c>
      <c r="G28" s="20" t="s">
        <v>617</v>
      </c>
      <c r="H28" s="20" t="s">
        <v>618</v>
      </c>
      <c r="I28" s="20" t="s">
        <v>619</v>
      </c>
      <c r="J28" s="20" t="s">
        <v>620</v>
      </c>
      <c r="K28" s="20" t="s">
        <v>621</v>
      </c>
      <c r="L28" s="20" t="s">
        <v>622</v>
      </c>
      <c r="M28" s="20" t="s">
        <v>623</v>
      </c>
      <c r="N28" s="20" t="s">
        <v>624</v>
      </c>
      <c r="O28" s="20" t="s">
        <v>625</v>
      </c>
    </row>
    <row r="29" spans="1:15" ht="63" x14ac:dyDescent="0.25">
      <c r="A29" s="16" t="str">
        <f>Catalog!D2</f>
        <v>Rabindra Rachanabali</v>
      </c>
      <c r="B29" s="16" t="str">
        <f>Catalog!F2</f>
        <v>Rabindranath Tagore</v>
      </c>
      <c r="C29" s="16" t="str">
        <f>IF(Catalog!I2="","",Catalog!I2)&amp;IF(AND(Catalog!I2&lt;&gt;"",Catalog!J2&lt;&gt;""),"; ","")&amp;IF(Catalog!J2="","",Catalog!J2)</f>
        <v/>
      </c>
      <c r="D29" s="16">
        <f>Catalog!Q2</f>
        <v>0</v>
      </c>
      <c r="E29" s="16">
        <f>Catalog!S2</f>
        <v>0</v>
      </c>
      <c r="F29" s="16" t="str">
        <f>Catalog!N2</f>
        <v>Bengali</v>
      </c>
      <c r="G29" s="16" t="str">
        <f>Catalog!K2&amp;" / "&amp;Catalog!M2</f>
        <v>Book / Collected Works</v>
      </c>
      <c r="H29" s="16" t="str">
        <f t="shared" ref="H29:H92" si="0">"Print"</f>
        <v>Print</v>
      </c>
      <c r="I29" s="16" t="str">
        <f>IF(Catalog!T2&lt;&gt;"","ISBN:"&amp;Catalog!T2,IF(Catalog!U2&lt;&gt;"","ISSN:"&amp;Catalog!U2,"ACC:"&amp;Catalog!B2))</f>
        <v>ACC:ACC-0001</v>
      </c>
      <c r="J29" s="16" t="str">
        <f>Catalog!L2</f>
        <v>Literature</v>
      </c>
      <c r="K29" s="16">
        <f>IF(Catalog!AH2&lt;&gt;"",Catalog!AH2,Catalog!AF2)</f>
        <v>0</v>
      </c>
      <c r="L29" s="16">
        <f>Catalog!AE2</f>
        <v>0</v>
      </c>
      <c r="M29" s="16">
        <f>Catalog!W2</f>
        <v>0</v>
      </c>
      <c r="N29" s="16">
        <f>Catalog!R2</f>
        <v>0</v>
      </c>
      <c r="O29" s="16">
        <f>Catalog!AG2</f>
        <v>0</v>
      </c>
    </row>
    <row r="30" spans="1:15" ht="63" x14ac:dyDescent="0.25">
      <c r="A30" s="16" t="str">
        <f>Catalog!D3</f>
        <v>Rabindra Rachanabali</v>
      </c>
      <c r="B30" s="16" t="str">
        <f>Catalog!F3</f>
        <v>Rabindranath Tagore</v>
      </c>
      <c r="C30" s="16" t="str">
        <f>IF(Catalog!I3="","",Catalog!I3)&amp;IF(AND(Catalog!I3&lt;&gt;"",Catalog!J3&lt;&gt;""),"; ","")&amp;IF(Catalog!J3="","",Catalog!J3)</f>
        <v/>
      </c>
      <c r="D30" s="16">
        <f>Catalog!Q3</f>
        <v>0</v>
      </c>
      <c r="E30" s="16">
        <f>Catalog!S3</f>
        <v>0</v>
      </c>
      <c r="F30" s="16" t="str">
        <f>Catalog!N3</f>
        <v>Bengali</v>
      </c>
      <c r="G30" s="16" t="str">
        <f>Catalog!K3&amp;" / "&amp;Catalog!M3</f>
        <v>Book / Collected Works</v>
      </c>
      <c r="H30" s="16" t="str">
        <f t="shared" si="0"/>
        <v>Print</v>
      </c>
      <c r="I30" s="16" t="str">
        <f>IF(Catalog!T3&lt;&gt;"","ISBN:"&amp;Catalog!T3,IF(Catalog!U3&lt;&gt;"","ISSN:"&amp;Catalog!U3,"ACC:"&amp;Catalog!B3))</f>
        <v>ACC:ACC-0002</v>
      </c>
      <c r="J30" s="16" t="str">
        <f>Catalog!L3</f>
        <v>Literature</v>
      </c>
      <c r="K30" s="16">
        <f>IF(Catalog!AH3&lt;&gt;"",Catalog!AH3,Catalog!AF3)</f>
        <v>0</v>
      </c>
      <c r="L30" s="16">
        <f>Catalog!AE3</f>
        <v>0</v>
      </c>
      <c r="M30" s="16">
        <f>Catalog!W3</f>
        <v>0</v>
      </c>
      <c r="N30" s="16">
        <f>Catalog!R3</f>
        <v>0</v>
      </c>
      <c r="O30" s="16">
        <f>Catalog!AG3</f>
        <v>0</v>
      </c>
    </row>
    <row r="31" spans="1:15" ht="63" x14ac:dyDescent="0.25">
      <c r="A31" s="16" t="str">
        <f>Catalog!D4</f>
        <v>Rabindra Rachanabali</v>
      </c>
      <c r="B31" s="16" t="str">
        <f>Catalog!F4</f>
        <v>Rabindranath Tagore</v>
      </c>
      <c r="C31" s="16" t="str">
        <f>IF(Catalog!I4="","",Catalog!I4)&amp;IF(AND(Catalog!I4&lt;&gt;"",Catalog!J4&lt;&gt;""),"; ","")&amp;IF(Catalog!J4="","",Catalog!J4)</f>
        <v/>
      </c>
      <c r="D31" s="16">
        <f>Catalog!Q4</f>
        <v>0</v>
      </c>
      <c r="E31" s="16">
        <f>Catalog!S4</f>
        <v>0</v>
      </c>
      <c r="F31" s="16" t="str">
        <f>Catalog!N4</f>
        <v>Bengali</v>
      </c>
      <c r="G31" s="16" t="str">
        <f>Catalog!K4&amp;" / "&amp;Catalog!M4</f>
        <v>Book / Collected Works</v>
      </c>
      <c r="H31" s="16" t="str">
        <f t="shared" si="0"/>
        <v>Print</v>
      </c>
      <c r="I31" s="16" t="str">
        <f>IF(Catalog!T4&lt;&gt;"","ISBN:"&amp;Catalog!T4,IF(Catalog!U4&lt;&gt;"","ISSN:"&amp;Catalog!U4,"ACC:"&amp;Catalog!B4))</f>
        <v>ACC:ACC-0003</v>
      </c>
      <c r="J31" s="16" t="str">
        <f>Catalog!L4</f>
        <v>Literature</v>
      </c>
      <c r="K31" s="16">
        <f>IF(Catalog!AH4&lt;&gt;"",Catalog!AH4,Catalog!AF4)</f>
        <v>0</v>
      </c>
      <c r="L31" s="16">
        <f>Catalog!AE4</f>
        <v>0</v>
      </c>
      <c r="M31" s="16">
        <f>Catalog!W4</f>
        <v>0</v>
      </c>
      <c r="N31" s="16">
        <f>Catalog!R4</f>
        <v>0</v>
      </c>
      <c r="O31" s="16">
        <f>Catalog!AG4</f>
        <v>0</v>
      </c>
    </row>
    <row r="32" spans="1:15" ht="63" x14ac:dyDescent="0.25">
      <c r="A32" s="16" t="str">
        <f>Catalog!D5</f>
        <v>Rabindra Rachanabali</v>
      </c>
      <c r="B32" s="16" t="str">
        <f>Catalog!F5</f>
        <v>Rabindranath Tagore</v>
      </c>
      <c r="C32" s="16" t="str">
        <f>IF(Catalog!I5="","",Catalog!I5)&amp;IF(AND(Catalog!I5&lt;&gt;"",Catalog!J5&lt;&gt;""),"; ","")&amp;IF(Catalog!J5="","",Catalog!J5)</f>
        <v/>
      </c>
      <c r="D32" s="16">
        <f>Catalog!Q5</f>
        <v>0</v>
      </c>
      <c r="E32" s="16">
        <f>Catalog!S5</f>
        <v>0</v>
      </c>
      <c r="F32" s="16" t="str">
        <f>Catalog!N5</f>
        <v>Bengali</v>
      </c>
      <c r="G32" s="16" t="str">
        <f>Catalog!K5&amp;" / "&amp;Catalog!M5</f>
        <v>Book / Collected Works</v>
      </c>
      <c r="H32" s="16" t="str">
        <f t="shared" si="0"/>
        <v>Print</v>
      </c>
      <c r="I32" s="16" t="str">
        <f>IF(Catalog!T5&lt;&gt;"","ISBN:"&amp;Catalog!T5,IF(Catalog!U5&lt;&gt;"","ISSN:"&amp;Catalog!U5,"ACC:"&amp;Catalog!B5))</f>
        <v>ACC:ACC-0004</v>
      </c>
      <c r="J32" s="16" t="str">
        <f>Catalog!L5</f>
        <v>Literature</v>
      </c>
      <c r="K32" s="16">
        <f>IF(Catalog!AH5&lt;&gt;"",Catalog!AH5,Catalog!AF5)</f>
        <v>0</v>
      </c>
      <c r="L32" s="16">
        <f>Catalog!AE5</f>
        <v>0</v>
      </c>
      <c r="M32" s="16">
        <f>Catalog!W5</f>
        <v>0</v>
      </c>
      <c r="N32" s="16">
        <f>Catalog!R5</f>
        <v>0</v>
      </c>
      <c r="O32" s="16">
        <f>Catalog!AG5</f>
        <v>0</v>
      </c>
    </row>
    <row r="33" spans="1:15" ht="63" x14ac:dyDescent="0.25">
      <c r="A33" s="16" t="str">
        <f>Catalog!D6</f>
        <v>Rabindra Rachanabali</v>
      </c>
      <c r="B33" s="16" t="str">
        <f>Catalog!F6</f>
        <v>Rabindranath Tagore</v>
      </c>
      <c r="C33" s="16" t="str">
        <f>IF(Catalog!I6="","",Catalog!I6)&amp;IF(AND(Catalog!I6&lt;&gt;"",Catalog!J6&lt;&gt;""),"; ","")&amp;IF(Catalog!J6="","",Catalog!J6)</f>
        <v/>
      </c>
      <c r="D33" s="16">
        <f>Catalog!Q6</f>
        <v>0</v>
      </c>
      <c r="E33" s="16">
        <f>Catalog!S6</f>
        <v>0</v>
      </c>
      <c r="F33" s="16" t="str">
        <f>Catalog!N6</f>
        <v>Bengali</v>
      </c>
      <c r="G33" s="16" t="str">
        <f>Catalog!K6&amp;" / "&amp;Catalog!M6</f>
        <v>Book / Collected Works</v>
      </c>
      <c r="H33" s="16" t="str">
        <f t="shared" si="0"/>
        <v>Print</v>
      </c>
      <c r="I33" s="16" t="str">
        <f>IF(Catalog!T6&lt;&gt;"","ISBN:"&amp;Catalog!T6,IF(Catalog!U6&lt;&gt;"","ISSN:"&amp;Catalog!U6,"ACC:"&amp;Catalog!B6))</f>
        <v>ACC:ACC-0005</v>
      </c>
      <c r="J33" s="16" t="str">
        <f>Catalog!L6</f>
        <v>Literature</v>
      </c>
      <c r="K33" s="16">
        <f>IF(Catalog!AH6&lt;&gt;"",Catalog!AH6,Catalog!AF6)</f>
        <v>0</v>
      </c>
      <c r="L33" s="16">
        <f>Catalog!AE6</f>
        <v>0</v>
      </c>
      <c r="M33" s="16">
        <f>Catalog!W6</f>
        <v>0</v>
      </c>
      <c r="N33" s="16">
        <f>Catalog!R6</f>
        <v>0</v>
      </c>
      <c r="O33" s="16">
        <f>Catalog!AG6</f>
        <v>0</v>
      </c>
    </row>
    <row r="34" spans="1:15" ht="63" x14ac:dyDescent="0.25">
      <c r="A34" s="16" t="str">
        <f>Catalog!D7</f>
        <v>Rabindra Rachanabali</v>
      </c>
      <c r="B34" s="16" t="str">
        <f>Catalog!F7</f>
        <v>Rabindranath Tagore</v>
      </c>
      <c r="C34" s="16" t="str">
        <f>IF(Catalog!I7="","",Catalog!I7)&amp;IF(AND(Catalog!I7&lt;&gt;"",Catalog!J7&lt;&gt;""),"; ","")&amp;IF(Catalog!J7="","",Catalog!J7)</f>
        <v/>
      </c>
      <c r="D34" s="16">
        <f>Catalog!Q7</f>
        <v>0</v>
      </c>
      <c r="E34" s="16">
        <f>Catalog!S7</f>
        <v>0</v>
      </c>
      <c r="F34" s="16" t="str">
        <f>Catalog!N7</f>
        <v>Bengali</v>
      </c>
      <c r="G34" s="16" t="str">
        <f>Catalog!K7&amp;" / "&amp;Catalog!M7</f>
        <v>Book / Collected Works</v>
      </c>
      <c r="H34" s="16" t="str">
        <f t="shared" si="0"/>
        <v>Print</v>
      </c>
      <c r="I34" s="16" t="str">
        <f>IF(Catalog!T7&lt;&gt;"","ISBN:"&amp;Catalog!T7,IF(Catalog!U7&lt;&gt;"","ISSN:"&amp;Catalog!U7,"ACC:"&amp;Catalog!B7))</f>
        <v>ACC:ACC-0006</v>
      </c>
      <c r="J34" s="16" t="str">
        <f>Catalog!L7</f>
        <v>Literature</v>
      </c>
      <c r="K34" s="16">
        <f>IF(Catalog!AH7&lt;&gt;"",Catalog!AH7,Catalog!AF7)</f>
        <v>0</v>
      </c>
      <c r="L34" s="16">
        <f>Catalog!AE7</f>
        <v>0</v>
      </c>
      <c r="M34" s="16">
        <f>Catalog!W7</f>
        <v>0</v>
      </c>
      <c r="N34" s="16">
        <f>Catalog!R7</f>
        <v>0</v>
      </c>
      <c r="O34" s="16">
        <f>Catalog!AG7</f>
        <v>0</v>
      </c>
    </row>
    <row r="35" spans="1:15" ht="63" x14ac:dyDescent="0.25">
      <c r="A35" s="16" t="str">
        <f>Catalog!D8</f>
        <v>Rabindra Rachanabali</v>
      </c>
      <c r="B35" s="16" t="str">
        <f>Catalog!F8</f>
        <v>Rabindranath Tagore</v>
      </c>
      <c r="C35" s="16" t="str">
        <f>IF(Catalog!I8="","",Catalog!I8)&amp;IF(AND(Catalog!I8&lt;&gt;"",Catalog!J8&lt;&gt;""),"; ","")&amp;IF(Catalog!J8="","",Catalog!J8)</f>
        <v/>
      </c>
      <c r="D35" s="16">
        <f>Catalog!Q8</f>
        <v>0</v>
      </c>
      <c r="E35" s="16">
        <f>Catalog!S8</f>
        <v>0</v>
      </c>
      <c r="F35" s="16" t="str">
        <f>Catalog!N8</f>
        <v>Bengali</v>
      </c>
      <c r="G35" s="16" t="str">
        <f>Catalog!K8&amp;" / "&amp;Catalog!M8</f>
        <v>Book / Collected Works</v>
      </c>
      <c r="H35" s="16" t="str">
        <f t="shared" si="0"/>
        <v>Print</v>
      </c>
      <c r="I35" s="16" t="str">
        <f>IF(Catalog!T8&lt;&gt;"","ISBN:"&amp;Catalog!T8,IF(Catalog!U8&lt;&gt;"","ISSN:"&amp;Catalog!U8,"ACC:"&amp;Catalog!B8))</f>
        <v>ACC:ACC-0007</v>
      </c>
      <c r="J35" s="16" t="str">
        <f>Catalog!L8</f>
        <v>Literature</v>
      </c>
      <c r="K35" s="16">
        <f>IF(Catalog!AH8&lt;&gt;"",Catalog!AH8,Catalog!AF8)</f>
        <v>0</v>
      </c>
      <c r="L35" s="16">
        <f>Catalog!AE8</f>
        <v>0</v>
      </c>
      <c r="M35" s="16">
        <f>Catalog!W8</f>
        <v>0</v>
      </c>
      <c r="N35" s="16">
        <f>Catalog!R8</f>
        <v>0</v>
      </c>
      <c r="O35" s="16">
        <f>Catalog!AG8</f>
        <v>0</v>
      </c>
    </row>
    <row r="36" spans="1:15" ht="63" x14ac:dyDescent="0.25">
      <c r="A36" s="16" t="str">
        <f>Catalog!D9</f>
        <v>Rabindra Rachanabali</v>
      </c>
      <c r="B36" s="16" t="str">
        <f>Catalog!F9</f>
        <v>Rabindranath Tagore</v>
      </c>
      <c r="C36" s="16" t="str">
        <f>IF(Catalog!I9="","",Catalog!I9)&amp;IF(AND(Catalog!I9&lt;&gt;"",Catalog!J9&lt;&gt;""),"; ","")&amp;IF(Catalog!J9="","",Catalog!J9)</f>
        <v/>
      </c>
      <c r="D36" s="16">
        <f>Catalog!Q9</f>
        <v>0</v>
      </c>
      <c r="E36" s="16">
        <f>Catalog!S9</f>
        <v>0</v>
      </c>
      <c r="F36" s="16" t="str">
        <f>Catalog!N9</f>
        <v>Bengali</v>
      </c>
      <c r="G36" s="16" t="str">
        <f>Catalog!K9&amp;" / "&amp;Catalog!M9</f>
        <v>Book / Collected Works</v>
      </c>
      <c r="H36" s="16" t="str">
        <f t="shared" si="0"/>
        <v>Print</v>
      </c>
      <c r="I36" s="16" t="str">
        <f>IF(Catalog!T9&lt;&gt;"","ISBN:"&amp;Catalog!T9,IF(Catalog!U9&lt;&gt;"","ISSN:"&amp;Catalog!U9,"ACC:"&amp;Catalog!B9))</f>
        <v>ACC:ACC-0008</v>
      </c>
      <c r="J36" s="16" t="str">
        <f>Catalog!L9</f>
        <v>Literature</v>
      </c>
      <c r="K36" s="16">
        <f>IF(Catalog!AH9&lt;&gt;"",Catalog!AH9,Catalog!AF9)</f>
        <v>0</v>
      </c>
      <c r="L36" s="16">
        <f>Catalog!AE9</f>
        <v>0</v>
      </c>
      <c r="M36" s="16">
        <f>Catalog!W9</f>
        <v>0</v>
      </c>
      <c r="N36" s="16">
        <f>Catalog!R9</f>
        <v>0</v>
      </c>
      <c r="O36" s="16">
        <f>Catalog!AG9</f>
        <v>0</v>
      </c>
    </row>
    <row r="37" spans="1:15" ht="63" x14ac:dyDescent="0.25">
      <c r="A37" s="16" t="str">
        <f>Catalog!D10</f>
        <v>Rabindra Rachanabali</v>
      </c>
      <c r="B37" s="16" t="str">
        <f>Catalog!F10</f>
        <v>Rabindranath Tagore</v>
      </c>
      <c r="C37" s="16" t="str">
        <f>IF(Catalog!I10="","",Catalog!I10)&amp;IF(AND(Catalog!I10&lt;&gt;"",Catalog!J10&lt;&gt;""),"; ","")&amp;IF(Catalog!J10="","",Catalog!J10)</f>
        <v/>
      </c>
      <c r="D37" s="16">
        <f>Catalog!Q10</f>
        <v>0</v>
      </c>
      <c r="E37" s="16">
        <f>Catalog!S10</f>
        <v>0</v>
      </c>
      <c r="F37" s="16" t="str">
        <f>Catalog!N10</f>
        <v>Bengali</v>
      </c>
      <c r="G37" s="16" t="str">
        <f>Catalog!K10&amp;" / "&amp;Catalog!M10</f>
        <v>Book / Collected Works</v>
      </c>
      <c r="H37" s="16" t="str">
        <f t="shared" si="0"/>
        <v>Print</v>
      </c>
      <c r="I37" s="16" t="str">
        <f>IF(Catalog!T10&lt;&gt;"","ISBN:"&amp;Catalog!T10,IF(Catalog!U10&lt;&gt;"","ISSN:"&amp;Catalog!U10,"ACC:"&amp;Catalog!B10))</f>
        <v>ACC:ACC-0009</v>
      </c>
      <c r="J37" s="16" t="str">
        <f>Catalog!L10</f>
        <v>Literature</v>
      </c>
      <c r="K37" s="16">
        <f>IF(Catalog!AH10&lt;&gt;"",Catalog!AH10,Catalog!AF10)</f>
        <v>0</v>
      </c>
      <c r="L37" s="16">
        <f>Catalog!AE10</f>
        <v>0</v>
      </c>
      <c r="M37" s="16">
        <f>Catalog!W10</f>
        <v>0</v>
      </c>
      <c r="N37" s="16">
        <f>Catalog!R10</f>
        <v>0</v>
      </c>
      <c r="O37" s="16">
        <f>Catalog!AG10</f>
        <v>0</v>
      </c>
    </row>
    <row r="38" spans="1:15" ht="63" x14ac:dyDescent="0.25">
      <c r="A38" s="16" t="str">
        <f>Catalog!D11</f>
        <v>Rabindra Rachanabali</v>
      </c>
      <c r="B38" s="16" t="str">
        <f>Catalog!F11</f>
        <v>Rabindranath Tagore</v>
      </c>
      <c r="C38" s="16" t="str">
        <f>IF(Catalog!I11="","",Catalog!I11)&amp;IF(AND(Catalog!I11&lt;&gt;"",Catalog!J11&lt;&gt;""),"; ","")&amp;IF(Catalog!J11="","",Catalog!J11)</f>
        <v/>
      </c>
      <c r="D38" s="16">
        <f>Catalog!Q11</f>
        <v>0</v>
      </c>
      <c r="E38" s="16">
        <f>Catalog!S11</f>
        <v>0</v>
      </c>
      <c r="F38" s="16" t="str">
        <f>Catalog!N11</f>
        <v>Bengali</v>
      </c>
      <c r="G38" s="16" t="str">
        <f>Catalog!K11&amp;" / "&amp;Catalog!M11</f>
        <v>Book / Collected Works</v>
      </c>
      <c r="H38" s="16" t="str">
        <f t="shared" si="0"/>
        <v>Print</v>
      </c>
      <c r="I38" s="16" t="str">
        <f>IF(Catalog!T11&lt;&gt;"","ISBN:"&amp;Catalog!T11,IF(Catalog!U11&lt;&gt;"","ISSN:"&amp;Catalog!U11,"ACC:"&amp;Catalog!B11))</f>
        <v>ACC:ACC-0010</v>
      </c>
      <c r="J38" s="16" t="str">
        <f>Catalog!L11</f>
        <v>Literature</v>
      </c>
      <c r="K38" s="16">
        <f>IF(Catalog!AH11&lt;&gt;"",Catalog!AH11,Catalog!AF11)</f>
        <v>0</v>
      </c>
      <c r="L38" s="16">
        <f>Catalog!AE11</f>
        <v>0</v>
      </c>
      <c r="M38" s="16">
        <f>Catalog!W11</f>
        <v>0</v>
      </c>
      <c r="N38" s="16">
        <f>Catalog!R11</f>
        <v>0</v>
      </c>
      <c r="O38" s="16">
        <f>Catalog!AG11</f>
        <v>0</v>
      </c>
    </row>
    <row r="39" spans="1:15" ht="63" x14ac:dyDescent="0.25">
      <c r="A39" s="16" t="str">
        <f>Catalog!D12</f>
        <v>Rabindra Rachanabali</v>
      </c>
      <c r="B39" s="16" t="str">
        <f>Catalog!F12</f>
        <v>Rabindranath Tagore</v>
      </c>
      <c r="C39" s="16" t="str">
        <f>IF(Catalog!I12="","",Catalog!I12)&amp;IF(AND(Catalog!I12&lt;&gt;"",Catalog!J12&lt;&gt;""),"; ","")&amp;IF(Catalog!J12="","",Catalog!J12)</f>
        <v/>
      </c>
      <c r="D39" s="16">
        <f>Catalog!Q12</f>
        <v>0</v>
      </c>
      <c r="E39" s="16">
        <f>Catalog!S12</f>
        <v>0</v>
      </c>
      <c r="F39" s="16" t="str">
        <f>Catalog!N12</f>
        <v>Bengali</v>
      </c>
      <c r="G39" s="16" t="str">
        <f>Catalog!K12&amp;" / "&amp;Catalog!M12</f>
        <v>Book / Collected Works</v>
      </c>
      <c r="H39" s="16" t="str">
        <f t="shared" si="0"/>
        <v>Print</v>
      </c>
      <c r="I39" s="16" t="str">
        <f>IF(Catalog!T12&lt;&gt;"","ISBN:"&amp;Catalog!T12,IF(Catalog!U12&lt;&gt;"","ISSN:"&amp;Catalog!U12,"ACC:"&amp;Catalog!B12))</f>
        <v>ACC:ACC-0011</v>
      </c>
      <c r="J39" s="16" t="str">
        <f>Catalog!L12</f>
        <v>Literature</v>
      </c>
      <c r="K39" s="16">
        <f>IF(Catalog!AH12&lt;&gt;"",Catalog!AH12,Catalog!AF12)</f>
        <v>0</v>
      </c>
      <c r="L39" s="16">
        <f>Catalog!AE12</f>
        <v>0</v>
      </c>
      <c r="M39" s="16">
        <f>Catalog!W12</f>
        <v>0</v>
      </c>
      <c r="N39" s="16">
        <f>Catalog!R12</f>
        <v>0</v>
      </c>
      <c r="O39" s="16">
        <f>Catalog!AG12</f>
        <v>0</v>
      </c>
    </row>
    <row r="40" spans="1:15" ht="63" x14ac:dyDescent="0.25">
      <c r="A40" s="16" t="str">
        <f>Catalog!D13</f>
        <v>Rabindra Rachanabali</v>
      </c>
      <c r="B40" s="16" t="str">
        <f>Catalog!F13</f>
        <v>Rabindranath Tagore</v>
      </c>
      <c r="C40" s="16" t="str">
        <f>IF(Catalog!I13="","",Catalog!I13)&amp;IF(AND(Catalog!I13&lt;&gt;"",Catalog!J13&lt;&gt;""),"; ","")&amp;IF(Catalog!J13="","",Catalog!J13)</f>
        <v/>
      </c>
      <c r="D40" s="16">
        <f>Catalog!Q13</f>
        <v>0</v>
      </c>
      <c r="E40" s="16">
        <f>Catalog!S13</f>
        <v>0</v>
      </c>
      <c r="F40" s="16" t="str">
        <f>Catalog!N13</f>
        <v>Bengali</v>
      </c>
      <c r="G40" s="16" t="str">
        <f>Catalog!K13&amp;" / "&amp;Catalog!M13</f>
        <v>Book / Collected Works</v>
      </c>
      <c r="H40" s="16" t="str">
        <f t="shared" si="0"/>
        <v>Print</v>
      </c>
      <c r="I40" s="16" t="str">
        <f>IF(Catalog!T13&lt;&gt;"","ISBN:"&amp;Catalog!T13,IF(Catalog!U13&lt;&gt;"","ISSN:"&amp;Catalog!U13,"ACC:"&amp;Catalog!B13))</f>
        <v>ACC:ACC-0012</v>
      </c>
      <c r="J40" s="16" t="str">
        <f>Catalog!L13</f>
        <v>Literature</v>
      </c>
      <c r="K40" s="16">
        <f>IF(Catalog!AH13&lt;&gt;"",Catalog!AH13,Catalog!AF13)</f>
        <v>0</v>
      </c>
      <c r="L40" s="16">
        <f>Catalog!AE13</f>
        <v>0</v>
      </c>
      <c r="M40" s="16">
        <f>Catalog!W13</f>
        <v>0</v>
      </c>
      <c r="N40" s="16">
        <f>Catalog!R13</f>
        <v>0</v>
      </c>
      <c r="O40" s="16">
        <f>Catalog!AG13</f>
        <v>0</v>
      </c>
    </row>
    <row r="41" spans="1:15" ht="63" x14ac:dyDescent="0.25">
      <c r="A41" s="16" t="str">
        <f>Catalog!D14</f>
        <v>Rabindra Rachanabali</v>
      </c>
      <c r="B41" s="16" t="str">
        <f>Catalog!F14</f>
        <v>Rabindranath Tagore</v>
      </c>
      <c r="C41" s="16" t="str">
        <f>IF(Catalog!I14="","",Catalog!I14)&amp;IF(AND(Catalog!I14&lt;&gt;"",Catalog!J14&lt;&gt;""),"; ","")&amp;IF(Catalog!J14="","",Catalog!J14)</f>
        <v/>
      </c>
      <c r="D41" s="16">
        <f>Catalog!Q14</f>
        <v>0</v>
      </c>
      <c r="E41" s="16">
        <f>Catalog!S14</f>
        <v>0</v>
      </c>
      <c r="F41" s="16" t="str">
        <f>Catalog!N14</f>
        <v>Bengali</v>
      </c>
      <c r="G41" s="16" t="str">
        <f>Catalog!K14&amp;" / "&amp;Catalog!M14</f>
        <v>Book / Collected Works</v>
      </c>
      <c r="H41" s="16" t="str">
        <f t="shared" si="0"/>
        <v>Print</v>
      </c>
      <c r="I41" s="16" t="str">
        <f>IF(Catalog!T14&lt;&gt;"","ISBN:"&amp;Catalog!T14,IF(Catalog!U14&lt;&gt;"","ISSN:"&amp;Catalog!U14,"ACC:"&amp;Catalog!B14))</f>
        <v>ACC:ACC-0013</v>
      </c>
      <c r="J41" s="16" t="str">
        <f>Catalog!L14</f>
        <v>Literature</v>
      </c>
      <c r="K41" s="16">
        <f>IF(Catalog!AH14&lt;&gt;"",Catalog!AH14,Catalog!AF14)</f>
        <v>0</v>
      </c>
      <c r="L41" s="16">
        <f>Catalog!AE14</f>
        <v>0</v>
      </c>
      <c r="M41" s="16">
        <f>Catalog!W14</f>
        <v>0</v>
      </c>
      <c r="N41" s="16">
        <f>Catalog!R14</f>
        <v>0</v>
      </c>
      <c r="O41" s="16">
        <f>Catalog!AG14</f>
        <v>0</v>
      </c>
    </row>
    <row r="42" spans="1:15" ht="63" x14ac:dyDescent="0.25">
      <c r="A42" s="16" t="str">
        <f>Catalog!D15</f>
        <v>Rabindra Rachanabali</v>
      </c>
      <c r="B42" s="16" t="str">
        <f>Catalog!F15</f>
        <v>Rabindranath Tagore</v>
      </c>
      <c r="C42" s="16" t="str">
        <f>IF(Catalog!I15="","",Catalog!I15)&amp;IF(AND(Catalog!I15&lt;&gt;"",Catalog!J15&lt;&gt;""),"; ","")&amp;IF(Catalog!J15="","",Catalog!J15)</f>
        <v/>
      </c>
      <c r="D42" s="16">
        <f>Catalog!Q15</f>
        <v>0</v>
      </c>
      <c r="E42" s="16">
        <f>Catalog!S15</f>
        <v>0</v>
      </c>
      <c r="F42" s="16" t="str">
        <f>Catalog!N15</f>
        <v>Bengali</v>
      </c>
      <c r="G42" s="16" t="str">
        <f>Catalog!K15&amp;" / "&amp;Catalog!M15</f>
        <v>Book / Collected Works</v>
      </c>
      <c r="H42" s="16" t="str">
        <f t="shared" si="0"/>
        <v>Print</v>
      </c>
      <c r="I42" s="16" t="str">
        <f>IF(Catalog!T15&lt;&gt;"","ISBN:"&amp;Catalog!T15,IF(Catalog!U15&lt;&gt;"","ISSN:"&amp;Catalog!U15,"ACC:"&amp;Catalog!B15))</f>
        <v>ACC:ACC-0014</v>
      </c>
      <c r="J42" s="16" t="str">
        <f>Catalog!L15</f>
        <v>Literature</v>
      </c>
      <c r="K42" s="16">
        <f>IF(Catalog!AH15&lt;&gt;"",Catalog!AH15,Catalog!AF15)</f>
        <v>0</v>
      </c>
      <c r="L42" s="16">
        <f>Catalog!AE15</f>
        <v>0</v>
      </c>
      <c r="M42" s="16">
        <f>Catalog!W15</f>
        <v>0</v>
      </c>
      <c r="N42" s="16">
        <f>Catalog!R15</f>
        <v>0</v>
      </c>
      <c r="O42" s="16">
        <f>Catalog!AG15</f>
        <v>0</v>
      </c>
    </row>
    <row r="43" spans="1:15" ht="63" x14ac:dyDescent="0.25">
      <c r="A43" s="16" t="str">
        <f>Catalog!D16</f>
        <v>Rabindra Rachanabali</v>
      </c>
      <c r="B43" s="16" t="str">
        <f>Catalog!F16</f>
        <v>Rabindranath Tagore</v>
      </c>
      <c r="C43" s="16" t="str">
        <f>IF(Catalog!I16="","",Catalog!I16)&amp;IF(AND(Catalog!I16&lt;&gt;"",Catalog!J16&lt;&gt;""),"; ","")&amp;IF(Catalog!J16="","",Catalog!J16)</f>
        <v/>
      </c>
      <c r="D43" s="16">
        <f>Catalog!Q16</f>
        <v>0</v>
      </c>
      <c r="E43" s="16">
        <f>Catalog!S16</f>
        <v>0</v>
      </c>
      <c r="F43" s="16" t="str">
        <f>Catalog!N16</f>
        <v>Bengali</v>
      </c>
      <c r="G43" s="16" t="str">
        <f>Catalog!K16&amp;" / "&amp;Catalog!M16</f>
        <v>Book / Collected Works</v>
      </c>
      <c r="H43" s="16" t="str">
        <f t="shared" si="0"/>
        <v>Print</v>
      </c>
      <c r="I43" s="16" t="str">
        <f>IF(Catalog!T16&lt;&gt;"","ISBN:"&amp;Catalog!T16,IF(Catalog!U16&lt;&gt;"","ISSN:"&amp;Catalog!U16,"ACC:"&amp;Catalog!B16))</f>
        <v>ACC:ACC-0015</v>
      </c>
      <c r="J43" s="16" t="str">
        <f>Catalog!L16</f>
        <v>Literature</v>
      </c>
      <c r="K43" s="16">
        <f>IF(Catalog!AH16&lt;&gt;"",Catalog!AH16,Catalog!AF16)</f>
        <v>0</v>
      </c>
      <c r="L43" s="16">
        <f>Catalog!AE16</f>
        <v>0</v>
      </c>
      <c r="M43" s="16">
        <f>Catalog!W16</f>
        <v>0</v>
      </c>
      <c r="N43" s="16">
        <f>Catalog!R16</f>
        <v>0</v>
      </c>
      <c r="O43" s="16">
        <f>Catalog!AG16</f>
        <v>0</v>
      </c>
    </row>
    <row r="44" spans="1:15" ht="63" x14ac:dyDescent="0.25">
      <c r="A44" s="16" t="str">
        <f>Catalog!D17</f>
        <v>Rabindra Rachanabali</v>
      </c>
      <c r="B44" s="16" t="str">
        <f>Catalog!F17</f>
        <v>Rabindranath Tagore</v>
      </c>
      <c r="C44" s="16" t="str">
        <f>IF(Catalog!I17="","",Catalog!I17)&amp;IF(AND(Catalog!I17&lt;&gt;"",Catalog!J17&lt;&gt;""),"; ","")&amp;IF(Catalog!J17="","",Catalog!J17)</f>
        <v/>
      </c>
      <c r="D44" s="16">
        <f>Catalog!Q17</f>
        <v>0</v>
      </c>
      <c r="E44" s="16">
        <f>Catalog!S17</f>
        <v>0</v>
      </c>
      <c r="F44" s="16" t="str">
        <f>Catalog!N17</f>
        <v>Bengali</v>
      </c>
      <c r="G44" s="16" t="str">
        <f>Catalog!K17&amp;" / "&amp;Catalog!M17</f>
        <v>Book / Collected Works</v>
      </c>
      <c r="H44" s="16" t="str">
        <f t="shared" si="0"/>
        <v>Print</v>
      </c>
      <c r="I44" s="16" t="str">
        <f>IF(Catalog!T17&lt;&gt;"","ISBN:"&amp;Catalog!T17,IF(Catalog!U17&lt;&gt;"","ISSN:"&amp;Catalog!U17,"ACC:"&amp;Catalog!B17))</f>
        <v>ACC:ACC-0016</v>
      </c>
      <c r="J44" s="16" t="str">
        <f>Catalog!L17</f>
        <v>Literature</v>
      </c>
      <c r="K44" s="16">
        <f>IF(Catalog!AH17&lt;&gt;"",Catalog!AH17,Catalog!AF17)</f>
        <v>0</v>
      </c>
      <c r="L44" s="16">
        <f>Catalog!AE17</f>
        <v>0</v>
      </c>
      <c r="M44" s="16">
        <f>Catalog!W17</f>
        <v>0</v>
      </c>
      <c r="N44" s="16">
        <f>Catalog!R17</f>
        <v>0</v>
      </c>
      <c r="O44" s="16">
        <f>Catalog!AG17</f>
        <v>0</v>
      </c>
    </row>
    <row r="45" spans="1:15" ht="63" x14ac:dyDescent="0.25">
      <c r="A45" s="16" t="str">
        <f>Catalog!D18</f>
        <v>Rabindra Rachanabali</v>
      </c>
      <c r="B45" s="16" t="str">
        <f>Catalog!F18</f>
        <v>Rabindranath Tagore</v>
      </c>
      <c r="C45" s="16" t="str">
        <f>IF(Catalog!I18="","",Catalog!I18)&amp;IF(AND(Catalog!I18&lt;&gt;"",Catalog!J18&lt;&gt;""),"; ","")&amp;IF(Catalog!J18="","",Catalog!J18)</f>
        <v/>
      </c>
      <c r="D45" s="16">
        <f>Catalog!Q18</f>
        <v>0</v>
      </c>
      <c r="E45" s="16">
        <f>Catalog!S18</f>
        <v>0</v>
      </c>
      <c r="F45" s="16" t="str">
        <f>Catalog!N18</f>
        <v>Bengali</v>
      </c>
      <c r="G45" s="16" t="str">
        <f>Catalog!K18&amp;" / "&amp;Catalog!M18</f>
        <v>Book / Collected Works</v>
      </c>
      <c r="H45" s="16" t="str">
        <f t="shared" si="0"/>
        <v>Print</v>
      </c>
      <c r="I45" s="16" t="str">
        <f>IF(Catalog!T18&lt;&gt;"","ISBN:"&amp;Catalog!T18,IF(Catalog!U18&lt;&gt;"","ISSN:"&amp;Catalog!U18,"ACC:"&amp;Catalog!B18))</f>
        <v>ACC:ACC-0017</v>
      </c>
      <c r="J45" s="16" t="str">
        <f>Catalog!L18</f>
        <v>Literature</v>
      </c>
      <c r="K45" s="16">
        <f>IF(Catalog!AH18&lt;&gt;"",Catalog!AH18,Catalog!AF18)</f>
        <v>0</v>
      </c>
      <c r="L45" s="16">
        <f>Catalog!AE18</f>
        <v>0</v>
      </c>
      <c r="M45" s="16">
        <f>Catalog!W18</f>
        <v>0</v>
      </c>
      <c r="N45" s="16">
        <f>Catalog!R18</f>
        <v>0</v>
      </c>
      <c r="O45" s="16">
        <f>Catalog!AG18</f>
        <v>0</v>
      </c>
    </row>
    <row r="46" spans="1:15" ht="63" x14ac:dyDescent="0.25">
      <c r="A46" s="16" t="str">
        <f>Catalog!D19</f>
        <v>Rabindra Rachanabali</v>
      </c>
      <c r="B46" s="16" t="str">
        <f>Catalog!F19</f>
        <v>Rabindranath Tagore</v>
      </c>
      <c r="C46" s="16" t="str">
        <f>IF(Catalog!I19="","",Catalog!I19)&amp;IF(AND(Catalog!I19&lt;&gt;"",Catalog!J19&lt;&gt;""),"; ","")&amp;IF(Catalog!J19="","",Catalog!J19)</f>
        <v/>
      </c>
      <c r="D46" s="16">
        <f>Catalog!Q19</f>
        <v>0</v>
      </c>
      <c r="E46" s="16">
        <f>Catalog!S19</f>
        <v>0</v>
      </c>
      <c r="F46" s="16" t="str">
        <f>Catalog!N19</f>
        <v>Bengali</v>
      </c>
      <c r="G46" s="16" t="str">
        <f>Catalog!K19&amp;" / "&amp;Catalog!M19</f>
        <v>Book / Collected Works</v>
      </c>
      <c r="H46" s="16" t="str">
        <f t="shared" si="0"/>
        <v>Print</v>
      </c>
      <c r="I46" s="16" t="str">
        <f>IF(Catalog!T19&lt;&gt;"","ISBN:"&amp;Catalog!T19,IF(Catalog!U19&lt;&gt;"","ISSN:"&amp;Catalog!U19,"ACC:"&amp;Catalog!B19))</f>
        <v>ACC:ACC-0018</v>
      </c>
      <c r="J46" s="16" t="str">
        <f>Catalog!L19</f>
        <v>Literature</v>
      </c>
      <c r="K46" s="16">
        <f>IF(Catalog!AH19&lt;&gt;"",Catalog!AH19,Catalog!AF19)</f>
        <v>0</v>
      </c>
      <c r="L46" s="16">
        <f>Catalog!AE19</f>
        <v>0</v>
      </c>
      <c r="M46" s="16">
        <f>Catalog!W19</f>
        <v>0</v>
      </c>
      <c r="N46" s="16">
        <f>Catalog!R19</f>
        <v>0</v>
      </c>
      <c r="O46" s="16">
        <f>Catalog!AG19</f>
        <v>0</v>
      </c>
    </row>
    <row r="47" spans="1:15" ht="47.25" x14ac:dyDescent="0.25">
      <c r="A47" s="16" t="str">
        <f>Catalog!D20</f>
        <v>নীলকণ্ঠ পাখির খোঁজে</v>
      </c>
      <c r="B47" s="16" t="str">
        <f>Catalog!F20</f>
        <v>অতীন বন্দ্যোপাধ্যায়</v>
      </c>
      <c r="C47" s="16" t="str">
        <f>IF(Catalog!I20="","",Catalog!I20)&amp;IF(AND(Catalog!I20&lt;&gt;"",Catalog!J20&lt;&gt;""),"; ","")&amp;IF(Catalog!J20="","",Catalog!J20)</f>
        <v/>
      </c>
      <c r="D47" s="16">
        <f>Catalog!Q20</f>
        <v>0</v>
      </c>
      <c r="E47" s="16">
        <f>Catalog!S20</f>
        <v>0</v>
      </c>
      <c r="F47" s="16" t="str">
        <f>Catalog!N20</f>
        <v>Bengali</v>
      </c>
      <c r="G47" s="16" t="str">
        <f>Catalog!K20&amp;" / "&amp;Catalog!M20</f>
        <v>Book / Novel</v>
      </c>
      <c r="H47" s="16" t="str">
        <f t="shared" si="0"/>
        <v>Print</v>
      </c>
      <c r="I47" s="16" t="str">
        <f>IF(Catalog!T20&lt;&gt;"","ISBN:"&amp;Catalog!T20,IF(Catalog!U20&lt;&gt;"","ISSN:"&amp;Catalog!U20,"ACC:"&amp;Catalog!B20))</f>
        <v>ACC:ACC-0019</v>
      </c>
      <c r="J47" s="16" t="str">
        <f>Catalog!L20</f>
        <v>Literature</v>
      </c>
      <c r="K47" s="16">
        <f>IF(Catalog!AH20&lt;&gt;"",Catalog!AH20,Catalog!AF20)</f>
        <v>0</v>
      </c>
      <c r="L47" s="16">
        <f>Catalog!AE20</f>
        <v>0</v>
      </c>
      <c r="M47" s="16">
        <f>Catalog!W20</f>
        <v>0</v>
      </c>
      <c r="N47" s="16">
        <f>Catalog!R20</f>
        <v>0</v>
      </c>
      <c r="O47" s="16">
        <f>Catalog!AG20</f>
        <v>0</v>
      </c>
    </row>
    <row r="48" spans="1:15" ht="47.25" x14ac:dyDescent="0.25">
      <c r="A48" s="16" t="str">
        <f>Catalog!D21</f>
        <v>Desh</v>
      </c>
      <c r="B48" s="16">
        <f>Catalog!F21</f>
        <v>0</v>
      </c>
      <c r="C48" s="16" t="str">
        <f>IF(Catalog!I21="","",Catalog!I21)&amp;IF(AND(Catalog!I21&lt;&gt;"",Catalog!J21&lt;&gt;""),"; ","")&amp;IF(Catalog!J21="","",Catalog!J21)</f>
        <v/>
      </c>
      <c r="D48" s="16">
        <f>Catalog!Q21</f>
        <v>0</v>
      </c>
      <c r="E48" s="16">
        <f>Catalog!S21</f>
        <v>0</v>
      </c>
      <c r="F48" s="16" t="str">
        <f>Catalog!N21</f>
        <v>Bengali</v>
      </c>
      <c r="G48" s="16" t="str">
        <f>Catalog!K21&amp;" / "&amp;Catalog!M21</f>
        <v>Magazine / Other</v>
      </c>
      <c r="H48" s="16" t="str">
        <f t="shared" si="0"/>
        <v>Print</v>
      </c>
      <c r="I48" s="16" t="str">
        <f>IF(Catalog!T21&lt;&gt;"","ISBN:"&amp;Catalog!T21,IF(Catalog!U21&lt;&gt;"","ISSN:"&amp;Catalog!U21,"ACC:"&amp;Catalog!B21))</f>
        <v>ACC:ACC-0020</v>
      </c>
      <c r="J48" s="16" t="str">
        <f>Catalog!L21</f>
        <v>Literature</v>
      </c>
      <c r="K48" s="16">
        <f>IF(Catalog!AH21&lt;&gt;"",Catalog!AH21,Catalog!AF21)</f>
        <v>0</v>
      </c>
      <c r="L48" s="16">
        <f>Catalog!AE21</f>
        <v>0</v>
      </c>
      <c r="M48" s="16">
        <f>Catalog!W21</f>
        <v>0</v>
      </c>
      <c r="N48" s="16">
        <f>Catalog!R21</f>
        <v>0</v>
      </c>
      <c r="O48" s="16">
        <f>Catalog!AG21</f>
        <v>0</v>
      </c>
    </row>
    <row r="49" spans="1:15" ht="15.75" x14ac:dyDescent="0.25">
      <c r="A49" s="16">
        <f>Catalog!D22</f>
        <v>0</v>
      </c>
      <c r="B49" s="16">
        <f>Catalog!F22</f>
        <v>0</v>
      </c>
      <c r="C49" s="16" t="str">
        <f>IF(Catalog!I22="","",Catalog!I22)&amp;IF(AND(Catalog!I22&lt;&gt;"",Catalog!J22&lt;&gt;""),"; ","")&amp;IF(Catalog!J22="","",Catalog!J22)</f>
        <v/>
      </c>
      <c r="D49" s="16">
        <f>Catalog!Q22</f>
        <v>0</v>
      </c>
      <c r="E49" s="16">
        <f>Catalog!S22</f>
        <v>0</v>
      </c>
      <c r="F49" s="16">
        <f>Catalog!N22</f>
        <v>0</v>
      </c>
      <c r="G49" s="16" t="str">
        <f>Catalog!K22&amp;" / "&amp;Catalog!M22</f>
        <v xml:space="preserve"> / </v>
      </c>
      <c r="H49" s="16" t="str">
        <f t="shared" si="0"/>
        <v>Print</v>
      </c>
      <c r="I49" s="16" t="str">
        <f>IF(Catalog!T22&lt;&gt;"","ISBN:"&amp;Catalog!T22,IF(Catalog!U22&lt;&gt;"","ISSN:"&amp;Catalog!U22,"ACC:"&amp;Catalog!B22))</f>
        <v>ACC:</v>
      </c>
      <c r="J49" s="16">
        <f>Catalog!L22</f>
        <v>0</v>
      </c>
      <c r="K49" s="16">
        <f>IF(Catalog!AH22&lt;&gt;"",Catalog!AH22,Catalog!AF22)</f>
        <v>0</v>
      </c>
      <c r="L49" s="16">
        <f>Catalog!AE22</f>
        <v>0</v>
      </c>
      <c r="M49" s="16">
        <f>Catalog!W22</f>
        <v>0</v>
      </c>
      <c r="N49" s="16">
        <f>Catalog!R22</f>
        <v>0</v>
      </c>
      <c r="O49" s="16">
        <f>Catalog!AG22</f>
        <v>0</v>
      </c>
    </row>
    <row r="50" spans="1:15" ht="15.75" x14ac:dyDescent="0.25">
      <c r="A50" s="16">
        <f>Catalog!D23</f>
        <v>0</v>
      </c>
      <c r="B50" s="16">
        <f>Catalog!F23</f>
        <v>0</v>
      </c>
      <c r="C50" s="16" t="str">
        <f>IF(Catalog!I23="","",Catalog!I23)&amp;IF(AND(Catalog!I23&lt;&gt;"",Catalog!J23&lt;&gt;""),"; ","")&amp;IF(Catalog!J23="","",Catalog!J23)</f>
        <v/>
      </c>
      <c r="D50" s="16">
        <f>Catalog!Q23</f>
        <v>0</v>
      </c>
      <c r="E50" s="16">
        <f>Catalog!S23</f>
        <v>0</v>
      </c>
      <c r="F50" s="16">
        <f>Catalog!N23</f>
        <v>0</v>
      </c>
      <c r="G50" s="16" t="str">
        <f>Catalog!K23&amp;" / "&amp;Catalog!M23</f>
        <v xml:space="preserve"> / </v>
      </c>
      <c r="H50" s="16" t="str">
        <f t="shared" si="0"/>
        <v>Print</v>
      </c>
      <c r="I50" s="16" t="str">
        <f>IF(Catalog!T23&lt;&gt;"","ISBN:"&amp;Catalog!T23,IF(Catalog!U23&lt;&gt;"","ISSN:"&amp;Catalog!U23,"ACC:"&amp;Catalog!B23))</f>
        <v>ACC:</v>
      </c>
      <c r="J50" s="16">
        <f>Catalog!L23</f>
        <v>0</v>
      </c>
      <c r="K50" s="16">
        <f>IF(Catalog!AH23&lt;&gt;"",Catalog!AH23,Catalog!AF23)</f>
        <v>0</v>
      </c>
      <c r="L50" s="16">
        <f>Catalog!AE23</f>
        <v>0</v>
      </c>
      <c r="M50" s="16">
        <f>Catalog!W23</f>
        <v>0</v>
      </c>
      <c r="N50" s="16">
        <f>Catalog!R23</f>
        <v>0</v>
      </c>
      <c r="O50" s="16">
        <f>Catalog!AG23</f>
        <v>0</v>
      </c>
    </row>
    <row r="51" spans="1:15" ht="15.75" x14ac:dyDescent="0.25">
      <c r="A51" s="16">
        <f>Catalog!D24</f>
        <v>0</v>
      </c>
      <c r="B51" s="16">
        <f>Catalog!F24</f>
        <v>0</v>
      </c>
      <c r="C51" s="16" t="str">
        <f>IF(Catalog!I24="","",Catalog!I24)&amp;IF(AND(Catalog!I24&lt;&gt;"",Catalog!J24&lt;&gt;""),"; ","")&amp;IF(Catalog!J24="","",Catalog!J24)</f>
        <v/>
      </c>
      <c r="D51" s="16">
        <f>Catalog!Q24</f>
        <v>0</v>
      </c>
      <c r="E51" s="16">
        <f>Catalog!S24</f>
        <v>0</v>
      </c>
      <c r="F51" s="16">
        <f>Catalog!N24</f>
        <v>0</v>
      </c>
      <c r="G51" s="16" t="str">
        <f>Catalog!K24&amp;" / "&amp;Catalog!M24</f>
        <v xml:space="preserve"> / </v>
      </c>
      <c r="H51" s="16" t="str">
        <f t="shared" si="0"/>
        <v>Print</v>
      </c>
      <c r="I51" s="16" t="str">
        <f>IF(Catalog!T24&lt;&gt;"","ISBN:"&amp;Catalog!T24,IF(Catalog!U24&lt;&gt;"","ISSN:"&amp;Catalog!U24,"ACC:"&amp;Catalog!B24))</f>
        <v>ACC:</v>
      </c>
      <c r="J51" s="16">
        <f>Catalog!L24</f>
        <v>0</v>
      </c>
      <c r="K51" s="16">
        <f>IF(Catalog!AH24&lt;&gt;"",Catalog!AH24,Catalog!AF24)</f>
        <v>0</v>
      </c>
      <c r="L51" s="16">
        <f>Catalog!AE24</f>
        <v>0</v>
      </c>
      <c r="M51" s="16">
        <f>Catalog!W24</f>
        <v>0</v>
      </c>
      <c r="N51" s="16">
        <f>Catalog!R24</f>
        <v>0</v>
      </c>
      <c r="O51" s="16">
        <f>Catalog!AG24</f>
        <v>0</v>
      </c>
    </row>
    <row r="52" spans="1:15" ht="15.75" x14ac:dyDescent="0.25">
      <c r="A52" s="16">
        <f>Catalog!D25</f>
        <v>0</v>
      </c>
      <c r="B52" s="16">
        <f>Catalog!F25</f>
        <v>0</v>
      </c>
      <c r="C52" s="16" t="str">
        <f>IF(Catalog!I25="","",Catalog!I25)&amp;IF(AND(Catalog!I25&lt;&gt;"",Catalog!J25&lt;&gt;""),"; ","")&amp;IF(Catalog!J25="","",Catalog!J25)</f>
        <v/>
      </c>
      <c r="D52" s="16">
        <f>Catalog!Q25</f>
        <v>0</v>
      </c>
      <c r="E52" s="16">
        <f>Catalog!S25</f>
        <v>0</v>
      </c>
      <c r="F52" s="16">
        <f>Catalog!N25</f>
        <v>0</v>
      </c>
      <c r="G52" s="16" t="str">
        <f>Catalog!K25&amp;" / "&amp;Catalog!M25</f>
        <v xml:space="preserve"> / </v>
      </c>
      <c r="H52" s="16" t="str">
        <f t="shared" si="0"/>
        <v>Print</v>
      </c>
      <c r="I52" s="16" t="str">
        <f>IF(Catalog!T25&lt;&gt;"","ISBN:"&amp;Catalog!T25,IF(Catalog!U25&lt;&gt;"","ISSN:"&amp;Catalog!U25,"ACC:"&amp;Catalog!B25))</f>
        <v>ACC:</v>
      </c>
      <c r="J52" s="16">
        <f>Catalog!L25</f>
        <v>0</v>
      </c>
      <c r="K52" s="16">
        <f>IF(Catalog!AH25&lt;&gt;"",Catalog!AH25,Catalog!AF25)</f>
        <v>0</v>
      </c>
      <c r="L52" s="16">
        <f>Catalog!AE25</f>
        <v>0</v>
      </c>
      <c r="M52" s="16">
        <f>Catalog!W25</f>
        <v>0</v>
      </c>
      <c r="N52" s="16">
        <f>Catalog!R25</f>
        <v>0</v>
      </c>
      <c r="O52" s="16">
        <f>Catalog!AG25</f>
        <v>0</v>
      </c>
    </row>
    <row r="53" spans="1:15" ht="15.75" x14ac:dyDescent="0.25">
      <c r="A53" s="16">
        <f>Catalog!D26</f>
        <v>0</v>
      </c>
      <c r="B53" s="16">
        <f>Catalog!F26</f>
        <v>0</v>
      </c>
      <c r="C53" s="16" t="str">
        <f>IF(Catalog!I26="","",Catalog!I26)&amp;IF(AND(Catalog!I26&lt;&gt;"",Catalog!J26&lt;&gt;""),"; ","")&amp;IF(Catalog!J26="","",Catalog!J26)</f>
        <v/>
      </c>
      <c r="D53" s="16">
        <f>Catalog!Q26</f>
        <v>0</v>
      </c>
      <c r="E53" s="16">
        <f>Catalog!S26</f>
        <v>0</v>
      </c>
      <c r="F53" s="16">
        <f>Catalog!N26</f>
        <v>0</v>
      </c>
      <c r="G53" s="16" t="str">
        <f>Catalog!K26&amp;" / "&amp;Catalog!M26</f>
        <v xml:space="preserve"> / </v>
      </c>
      <c r="H53" s="16" t="str">
        <f t="shared" si="0"/>
        <v>Print</v>
      </c>
      <c r="I53" s="16" t="str">
        <f>IF(Catalog!T26&lt;&gt;"","ISBN:"&amp;Catalog!T26,IF(Catalog!U26&lt;&gt;"","ISSN:"&amp;Catalog!U26,"ACC:"&amp;Catalog!B26))</f>
        <v>ACC:</v>
      </c>
      <c r="J53" s="16">
        <f>Catalog!L26</f>
        <v>0</v>
      </c>
      <c r="K53" s="16">
        <f>IF(Catalog!AH26&lt;&gt;"",Catalog!AH26,Catalog!AF26)</f>
        <v>0</v>
      </c>
      <c r="L53" s="16">
        <f>Catalog!AE26</f>
        <v>0</v>
      </c>
      <c r="M53" s="16">
        <f>Catalog!W26</f>
        <v>0</v>
      </c>
      <c r="N53" s="16">
        <f>Catalog!R26</f>
        <v>0</v>
      </c>
      <c r="O53" s="16">
        <f>Catalog!AG26</f>
        <v>0</v>
      </c>
    </row>
    <row r="54" spans="1:15" ht="15.75" x14ac:dyDescent="0.25">
      <c r="A54" s="16">
        <f>Catalog!D27</f>
        <v>0</v>
      </c>
      <c r="B54" s="16">
        <f>Catalog!F27</f>
        <v>0</v>
      </c>
      <c r="C54" s="16" t="str">
        <f>IF(Catalog!I27="","",Catalog!I27)&amp;IF(AND(Catalog!I27&lt;&gt;"",Catalog!J27&lt;&gt;""),"; ","")&amp;IF(Catalog!J27="","",Catalog!J27)</f>
        <v/>
      </c>
      <c r="D54" s="16">
        <f>Catalog!Q27</f>
        <v>0</v>
      </c>
      <c r="E54" s="16">
        <f>Catalog!S27</f>
        <v>0</v>
      </c>
      <c r="F54" s="16">
        <f>Catalog!N27</f>
        <v>0</v>
      </c>
      <c r="G54" s="16" t="str">
        <f>Catalog!K27&amp;" / "&amp;Catalog!M27</f>
        <v xml:space="preserve"> / </v>
      </c>
      <c r="H54" s="16" t="str">
        <f t="shared" si="0"/>
        <v>Print</v>
      </c>
      <c r="I54" s="16" t="str">
        <f>IF(Catalog!T27&lt;&gt;"","ISBN:"&amp;Catalog!T27,IF(Catalog!U27&lt;&gt;"","ISSN:"&amp;Catalog!U27,"ACC:"&amp;Catalog!B27))</f>
        <v>ACC:</v>
      </c>
      <c r="J54" s="16">
        <f>Catalog!L27</f>
        <v>0</v>
      </c>
      <c r="K54" s="16">
        <f>IF(Catalog!AH27&lt;&gt;"",Catalog!AH27,Catalog!AF27)</f>
        <v>0</v>
      </c>
      <c r="L54" s="16">
        <f>Catalog!AE27</f>
        <v>0</v>
      </c>
      <c r="M54" s="16">
        <f>Catalog!W27</f>
        <v>0</v>
      </c>
      <c r="N54" s="16">
        <f>Catalog!R27</f>
        <v>0</v>
      </c>
      <c r="O54" s="16">
        <f>Catalog!AG27</f>
        <v>0</v>
      </c>
    </row>
    <row r="55" spans="1:15" ht="15.75" x14ac:dyDescent="0.25">
      <c r="A55" s="16">
        <f>Catalog!D28</f>
        <v>0</v>
      </c>
      <c r="B55" s="16">
        <f>Catalog!F28</f>
        <v>0</v>
      </c>
      <c r="C55" s="16" t="str">
        <f>IF(Catalog!I28="","",Catalog!I28)&amp;IF(AND(Catalog!I28&lt;&gt;"",Catalog!J28&lt;&gt;""),"; ","")&amp;IF(Catalog!J28="","",Catalog!J28)</f>
        <v/>
      </c>
      <c r="D55" s="16">
        <f>Catalog!Q28</f>
        <v>0</v>
      </c>
      <c r="E55" s="16">
        <f>Catalog!S28</f>
        <v>0</v>
      </c>
      <c r="F55" s="16">
        <f>Catalog!N28</f>
        <v>0</v>
      </c>
      <c r="G55" s="16" t="str">
        <f>Catalog!K28&amp;" / "&amp;Catalog!M28</f>
        <v xml:space="preserve"> / </v>
      </c>
      <c r="H55" s="16" t="str">
        <f t="shared" si="0"/>
        <v>Print</v>
      </c>
      <c r="I55" s="16" t="str">
        <f>IF(Catalog!T28&lt;&gt;"","ISBN:"&amp;Catalog!T28,IF(Catalog!U28&lt;&gt;"","ISSN:"&amp;Catalog!U28,"ACC:"&amp;Catalog!B28))</f>
        <v>ACC:</v>
      </c>
      <c r="J55" s="16">
        <f>Catalog!L28</f>
        <v>0</v>
      </c>
      <c r="K55" s="16">
        <f>IF(Catalog!AH28&lt;&gt;"",Catalog!AH28,Catalog!AF28)</f>
        <v>0</v>
      </c>
      <c r="L55" s="16">
        <f>Catalog!AE28</f>
        <v>0</v>
      </c>
      <c r="M55" s="16">
        <f>Catalog!W28</f>
        <v>0</v>
      </c>
      <c r="N55" s="16">
        <f>Catalog!R28</f>
        <v>0</v>
      </c>
      <c r="O55" s="16">
        <f>Catalog!AG28</f>
        <v>0</v>
      </c>
    </row>
    <row r="56" spans="1:15" ht="15.75" x14ac:dyDescent="0.25">
      <c r="A56" s="16">
        <f>Catalog!D29</f>
        <v>0</v>
      </c>
      <c r="B56" s="16">
        <f>Catalog!F29</f>
        <v>0</v>
      </c>
      <c r="C56" s="16" t="str">
        <f>IF(Catalog!I29="","",Catalog!I29)&amp;IF(AND(Catalog!I29&lt;&gt;"",Catalog!J29&lt;&gt;""),"; ","")&amp;IF(Catalog!J29="","",Catalog!J29)</f>
        <v/>
      </c>
      <c r="D56" s="16">
        <f>Catalog!Q29</f>
        <v>0</v>
      </c>
      <c r="E56" s="16">
        <f>Catalog!S29</f>
        <v>0</v>
      </c>
      <c r="F56" s="16">
        <f>Catalog!N29</f>
        <v>0</v>
      </c>
      <c r="G56" s="16" t="str">
        <f>Catalog!K29&amp;" / "&amp;Catalog!M29</f>
        <v xml:space="preserve"> / </v>
      </c>
      <c r="H56" s="16" t="str">
        <f t="shared" si="0"/>
        <v>Print</v>
      </c>
      <c r="I56" s="16" t="str">
        <f>IF(Catalog!T29&lt;&gt;"","ISBN:"&amp;Catalog!T29,IF(Catalog!U29&lt;&gt;"","ISSN:"&amp;Catalog!U29,"ACC:"&amp;Catalog!B29))</f>
        <v>ACC:</v>
      </c>
      <c r="J56" s="16">
        <f>Catalog!L29</f>
        <v>0</v>
      </c>
      <c r="K56" s="16">
        <f>IF(Catalog!AH29&lt;&gt;"",Catalog!AH29,Catalog!AF29)</f>
        <v>0</v>
      </c>
      <c r="L56" s="16">
        <f>Catalog!AE29</f>
        <v>0</v>
      </c>
      <c r="M56" s="16">
        <f>Catalog!W29</f>
        <v>0</v>
      </c>
      <c r="N56" s="16">
        <f>Catalog!R29</f>
        <v>0</v>
      </c>
      <c r="O56" s="16">
        <f>Catalog!AG29</f>
        <v>0</v>
      </c>
    </row>
    <row r="57" spans="1:15" ht="15.75" x14ac:dyDescent="0.25">
      <c r="A57" s="16">
        <f>Catalog!D30</f>
        <v>0</v>
      </c>
      <c r="B57" s="16">
        <f>Catalog!F30</f>
        <v>0</v>
      </c>
      <c r="C57" s="16" t="str">
        <f>IF(Catalog!I30="","",Catalog!I30)&amp;IF(AND(Catalog!I30&lt;&gt;"",Catalog!J30&lt;&gt;""),"; ","")&amp;IF(Catalog!J30="","",Catalog!J30)</f>
        <v/>
      </c>
      <c r="D57" s="16">
        <f>Catalog!Q30</f>
        <v>0</v>
      </c>
      <c r="E57" s="16">
        <f>Catalog!S30</f>
        <v>0</v>
      </c>
      <c r="F57" s="16">
        <f>Catalog!N30</f>
        <v>0</v>
      </c>
      <c r="G57" s="16" t="str">
        <f>Catalog!K30&amp;" / "&amp;Catalog!M30</f>
        <v xml:space="preserve"> / </v>
      </c>
      <c r="H57" s="16" t="str">
        <f t="shared" si="0"/>
        <v>Print</v>
      </c>
      <c r="I57" s="16" t="str">
        <f>IF(Catalog!T30&lt;&gt;"","ISBN:"&amp;Catalog!T30,IF(Catalog!U30&lt;&gt;"","ISSN:"&amp;Catalog!U30,"ACC:"&amp;Catalog!B30))</f>
        <v>ACC:</v>
      </c>
      <c r="J57" s="16">
        <f>Catalog!L30</f>
        <v>0</v>
      </c>
      <c r="K57" s="16">
        <f>IF(Catalog!AH30&lt;&gt;"",Catalog!AH30,Catalog!AF30)</f>
        <v>0</v>
      </c>
      <c r="L57" s="16">
        <f>Catalog!AE30</f>
        <v>0</v>
      </c>
      <c r="M57" s="16">
        <f>Catalog!W30</f>
        <v>0</v>
      </c>
      <c r="N57" s="16">
        <f>Catalog!R30</f>
        <v>0</v>
      </c>
      <c r="O57" s="16">
        <f>Catalog!AG30</f>
        <v>0</v>
      </c>
    </row>
    <row r="58" spans="1:15" ht="15.75" x14ac:dyDescent="0.25">
      <c r="A58" s="16">
        <f>Catalog!D31</f>
        <v>0</v>
      </c>
      <c r="B58" s="16">
        <f>Catalog!F31</f>
        <v>0</v>
      </c>
      <c r="C58" s="16" t="str">
        <f>IF(Catalog!I31="","",Catalog!I31)&amp;IF(AND(Catalog!I31&lt;&gt;"",Catalog!J31&lt;&gt;""),"; ","")&amp;IF(Catalog!J31="","",Catalog!J31)</f>
        <v/>
      </c>
      <c r="D58" s="16">
        <f>Catalog!Q31</f>
        <v>0</v>
      </c>
      <c r="E58" s="16">
        <f>Catalog!S31</f>
        <v>0</v>
      </c>
      <c r="F58" s="16">
        <f>Catalog!N31</f>
        <v>0</v>
      </c>
      <c r="G58" s="16" t="str">
        <f>Catalog!K31&amp;" / "&amp;Catalog!M31</f>
        <v xml:space="preserve"> / </v>
      </c>
      <c r="H58" s="16" t="str">
        <f t="shared" si="0"/>
        <v>Print</v>
      </c>
      <c r="I58" s="16" t="str">
        <f>IF(Catalog!T31&lt;&gt;"","ISBN:"&amp;Catalog!T31,IF(Catalog!U31&lt;&gt;"","ISSN:"&amp;Catalog!U31,"ACC:"&amp;Catalog!B31))</f>
        <v>ACC:</v>
      </c>
      <c r="J58" s="16">
        <f>Catalog!L31</f>
        <v>0</v>
      </c>
      <c r="K58" s="16">
        <f>IF(Catalog!AH31&lt;&gt;"",Catalog!AH31,Catalog!AF31)</f>
        <v>0</v>
      </c>
      <c r="L58" s="16">
        <f>Catalog!AE31</f>
        <v>0</v>
      </c>
      <c r="M58" s="16">
        <f>Catalog!W31</f>
        <v>0</v>
      </c>
      <c r="N58" s="16">
        <f>Catalog!R31</f>
        <v>0</v>
      </c>
      <c r="O58" s="16">
        <f>Catalog!AG31</f>
        <v>0</v>
      </c>
    </row>
    <row r="59" spans="1:15" ht="15.75" x14ac:dyDescent="0.25">
      <c r="A59" s="16">
        <f>Catalog!D32</f>
        <v>0</v>
      </c>
      <c r="B59" s="16">
        <f>Catalog!F32</f>
        <v>0</v>
      </c>
      <c r="C59" s="16" t="str">
        <f>IF(Catalog!I32="","",Catalog!I32)&amp;IF(AND(Catalog!I32&lt;&gt;"",Catalog!J32&lt;&gt;""),"; ","")&amp;IF(Catalog!J32="","",Catalog!J32)</f>
        <v/>
      </c>
      <c r="D59" s="16">
        <f>Catalog!Q32</f>
        <v>0</v>
      </c>
      <c r="E59" s="16">
        <f>Catalog!S32</f>
        <v>0</v>
      </c>
      <c r="F59" s="16">
        <f>Catalog!N32</f>
        <v>0</v>
      </c>
      <c r="G59" s="16" t="str">
        <f>Catalog!K32&amp;" / "&amp;Catalog!M32</f>
        <v xml:space="preserve"> / </v>
      </c>
      <c r="H59" s="16" t="str">
        <f t="shared" si="0"/>
        <v>Print</v>
      </c>
      <c r="I59" s="16" t="str">
        <f>IF(Catalog!T32&lt;&gt;"","ISBN:"&amp;Catalog!T32,IF(Catalog!U32&lt;&gt;"","ISSN:"&amp;Catalog!U32,"ACC:"&amp;Catalog!B32))</f>
        <v>ACC:</v>
      </c>
      <c r="J59" s="16">
        <f>Catalog!L32</f>
        <v>0</v>
      </c>
      <c r="K59" s="16">
        <f>IF(Catalog!AH32&lt;&gt;"",Catalog!AH32,Catalog!AF32)</f>
        <v>0</v>
      </c>
      <c r="L59" s="16">
        <f>Catalog!AE32</f>
        <v>0</v>
      </c>
      <c r="M59" s="16">
        <f>Catalog!W32</f>
        <v>0</v>
      </c>
      <c r="N59" s="16">
        <f>Catalog!R32</f>
        <v>0</v>
      </c>
      <c r="O59" s="16">
        <f>Catalog!AG32</f>
        <v>0</v>
      </c>
    </row>
    <row r="60" spans="1:15" ht="15.75" x14ac:dyDescent="0.25">
      <c r="A60" s="16">
        <f>Catalog!D33</f>
        <v>0</v>
      </c>
      <c r="B60" s="16">
        <f>Catalog!F33</f>
        <v>0</v>
      </c>
      <c r="C60" s="16" t="str">
        <f>IF(Catalog!I33="","",Catalog!I33)&amp;IF(AND(Catalog!I33&lt;&gt;"",Catalog!J33&lt;&gt;""),"; ","")&amp;IF(Catalog!J33="","",Catalog!J33)</f>
        <v/>
      </c>
      <c r="D60" s="16">
        <f>Catalog!Q33</f>
        <v>0</v>
      </c>
      <c r="E60" s="16">
        <f>Catalog!S33</f>
        <v>0</v>
      </c>
      <c r="F60" s="16">
        <f>Catalog!N33</f>
        <v>0</v>
      </c>
      <c r="G60" s="16" t="str">
        <f>Catalog!K33&amp;" / "&amp;Catalog!M33</f>
        <v xml:space="preserve"> / </v>
      </c>
      <c r="H60" s="16" t="str">
        <f t="shared" si="0"/>
        <v>Print</v>
      </c>
      <c r="I60" s="16" t="str">
        <f>IF(Catalog!T33&lt;&gt;"","ISBN:"&amp;Catalog!T33,IF(Catalog!U33&lt;&gt;"","ISSN:"&amp;Catalog!U33,"ACC:"&amp;Catalog!B33))</f>
        <v>ACC:</v>
      </c>
      <c r="J60" s="16">
        <f>Catalog!L33</f>
        <v>0</v>
      </c>
      <c r="K60" s="16">
        <f>IF(Catalog!AH33&lt;&gt;"",Catalog!AH33,Catalog!AF33)</f>
        <v>0</v>
      </c>
      <c r="L60" s="16">
        <f>Catalog!AE33</f>
        <v>0</v>
      </c>
      <c r="M60" s="16">
        <f>Catalog!W33</f>
        <v>0</v>
      </c>
      <c r="N60" s="16">
        <f>Catalog!R33</f>
        <v>0</v>
      </c>
      <c r="O60" s="16">
        <f>Catalog!AG33</f>
        <v>0</v>
      </c>
    </row>
    <row r="61" spans="1:15" ht="15.75" x14ac:dyDescent="0.25">
      <c r="A61" s="16">
        <f>Catalog!D34</f>
        <v>0</v>
      </c>
      <c r="B61" s="16">
        <f>Catalog!F34</f>
        <v>0</v>
      </c>
      <c r="C61" s="16" t="str">
        <f>IF(Catalog!I34="","",Catalog!I34)&amp;IF(AND(Catalog!I34&lt;&gt;"",Catalog!J34&lt;&gt;""),"; ","")&amp;IF(Catalog!J34="","",Catalog!J34)</f>
        <v/>
      </c>
      <c r="D61" s="16">
        <f>Catalog!Q34</f>
        <v>0</v>
      </c>
      <c r="E61" s="16">
        <f>Catalog!S34</f>
        <v>0</v>
      </c>
      <c r="F61" s="16">
        <f>Catalog!N34</f>
        <v>0</v>
      </c>
      <c r="G61" s="16" t="str">
        <f>Catalog!K34&amp;" / "&amp;Catalog!M34</f>
        <v xml:space="preserve"> / </v>
      </c>
      <c r="H61" s="16" t="str">
        <f t="shared" si="0"/>
        <v>Print</v>
      </c>
      <c r="I61" s="16" t="str">
        <f>IF(Catalog!T34&lt;&gt;"","ISBN:"&amp;Catalog!T34,IF(Catalog!U34&lt;&gt;"","ISSN:"&amp;Catalog!U34,"ACC:"&amp;Catalog!B34))</f>
        <v>ACC:</v>
      </c>
      <c r="J61" s="16">
        <f>Catalog!L34</f>
        <v>0</v>
      </c>
      <c r="K61" s="16">
        <f>IF(Catalog!AH34&lt;&gt;"",Catalog!AH34,Catalog!AF34)</f>
        <v>0</v>
      </c>
      <c r="L61" s="16">
        <f>Catalog!AE34</f>
        <v>0</v>
      </c>
      <c r="M61" s="16">
        <f>Catalog!W34</f>
        <v>0</v>
      </c>
      <c r="N61" s="16">
        <f>Catalog!R34</f>
        <v>0</v>
      </c>
      <c r="O61" s="16">
        <f>Catalog!AG34</f>
        <v>0</v>
      </c>
    </row>
    <row r="62" spans="1:15" ht="15.75" x14ac:dyDescent="0.25">
      <c r="A62" s="16">
        <f>Catalog!D35</f>
        <v>0</v>
      </c>
      <c r="B62" s="16">
        <f>Catalog!F35</f>
        <v>0</v>
      </c>
      <c r="C62" s="16" t="str">
        <f>IF(Catalog!I35="","",Catalog!I35)&amp;IF(AND(Catalog!I35&lt;&gt;"",Catalog!J35&lt;&gt;""),"; ","")&amp;IF(Catalog!J35="","",Catalog!J35)</f>
        <v/>
      </c>
      <c r="D62" s="16">
        <f>Catalog!Q35</f>
        <v>0</v>
      </c>
      <c r="E62" s="16">
        <f>Catalog!S35</f>
        <v>0</v>
      </c>
      <c r="F62" s="16">
        <f>Catalog!N35</f>
        <v>0</v>
      </c>
      <c r="G62" s="16" t="str">
        <f>Catalog!K35&amp;" / "&amp;Catalog!M35</f>
        <v xml:space="preserve"> / </v>
      </c>
      <c r="H62" s="16" t="str">
        <f t="shared" si="0"/>
        <v>Print</v>
      </c>
      <c r="I62" s="16" t="str">
        <f>IF(Catalog!T35&lt;&gt;"","ISBN:"&amp;Catalog!T35,IF(Catalog!U35&lt;&gt;"","ISSN:"&amp;Catalog!U35,"ACC:"&amp;Catalog!B35))</f>
        <v>ACC:</v>
      </c>
      <c r="J62" s="16">
        <f>Catalog!L35</f>
        <v>0</v>
      </c>
      <c r="K62" s="16">
        <f>IF(Catalog!AH35&lt;&gt;"",Catalog!AH35,Catalog!AF35)</f>
        <v>0</v>
      </c>
      <c r="L62" s="16">
        <f>Catalog!AE35</f>
        <v>0</v>
      </c>
      <c r="M62" s="16">
        <f>Catalog!W35</f>
        <v>0</v>
      </c>
      <c r="N62" s="16">
        <f>Catalog!R35</f>
        <v>0</v>
      </c>
      <c r="O62" s="16">
        <f>Catalog!AG35</f>
        <v>0</v>
      </c>
    </row>
    <row r="63" spans="1:15" ht="15.75" x14ac:dyDescent="0.25">
      <c r="A63" s="16">
        <f>Catalog!D36</f>
        <v>0</v>
      </c>
      <c r="B63" s="16">
        <f>Catalog!F36</f>
        <v>0</v>
      </c>
      <c r="C63" s="16" t="str">
        <f>IF(Catalog!I36="","",Catalog!I36)&amp;IF(AND(Catalog!I36&lt;&gt;"",Catalog!J36&lt;&gt;""),"; ","")&amp;IF(Catalog!J36="","",Catalog!J36)</f>
        <v/>
      </c>
      <c r="D63" s="16">
        <f>Catalog!Q36</f>
        <v>0</v>
      </c>
      <c r="E63" s="16">
        <f>Catalog!S36</f>
        <v>0</v>
      </c>
      <c r="F63" s="16">
        <f>Catalog!N36</f>
        <v>0</v>
      </c>
      <c r="G63" s="16" t="str">
        <f>Catalog!K36&amp;" / "&amp;Catalog!M36</f>
        <v xml:space="preserve"> / </v>
      </c>
      <c r="H63" s="16" t="str">
        <f t="shared" si="0"/>
        <v>Print</v>
      </c>
      <c r="I63" s="16" t="str">
        <f>IF(Catalog!T36&lt;&gt;"","ISBN:"&amp;Catalog!T36,IF(Catalog!U36&lt;&gt;"","ISSN:"&amp;Catalog!U36,"ACC:"&amp;Catalog!B36))</f>
        <v>ACC:</v>
      </c>
      <c r="J63" s="16">
        <f>Catalog!L36</f>
        <v>0</v>
      </c>
      <c r="K63" s="16">
        <f>IF(Catalog!AH36&lt;&gt;"",Catalog!AH36,Catalog!AF36)</f>
        <v>0</v>
      </c>
      <c r="L63" s="16">
        <f>Catalog!AE36</f>
        <v>0</v>
      </c>
      <c r="M63" s="16">
        <f>Catalog!W36</f>
        <v>0</v>
      </c>
      <c r="N63" s="16">
        <f>Catalog!R36</f>
        <v>0</v>
      </c>
      <c r="O63" s="16">
        <f>Catalog!AG36</f>
        <v>0</v>
      </c>
    </row>
    <row r="64" spans="1:15" ht="15.75" x14ac:dyDescent="0.25">
      <c r="A64" s="16">
        <f>Catalog!D37</f>
        <v>0</v>
      </c>
      <c r="B64" s="16">
        <f>Catalog!F37</f>
        <v>0</v>
      </c>
      <c r="C64" s="16" t="str">
        <f>IF(Catalog!I37="","",Catalog!I37)&amp;IF(AND(Catalog!I37&lt;&gt;"",Catalog!J37&lt;&gt;""),"; ","")&amp;IF(Catalog!J37="","",Catalog!J37)</f>
        <v/>
      </c>
      <c r="D64" s="16">
        <f>Catalog!Q37</f>
        <v>0</v>
      </c>
      <c r="E64" s="16">
        <f>Catalog!S37</f>
        <v>0</v>
      </c>
      <c r="F64" s="16">
        <f>Catalog!N37</f>
        <v>0</v>
      </c>
      <c r="G64" s="16" t="str">
        <f>Catalog!K37&amp;" / "&amp;Catalog!M37</f>
        <v xml:space="preserve"> / </v>
      </c>
      <c r="H64" s="16" t="str">
        <f t="shared" si="0"/>
        <v>Print</v>
      </c>
      <c r="I64" s="16" t="str">
        <f>IF(Catalog!T37&lt;&gt;"","ISBN:"&amp;Catalog!T37,IF(Catalog!U37&lt;&gt;"","ISSN:"&amp;Catalog!U37,"ACC:"&amp;Catalog!B37))</f>
        <v>ACC:</v>
      </c>
      <c r="J64" s="16">
        <f>Catalog!L37</f>
        <v>0</v>
      </c>
      <c r="K64" s="16">
        <f>IF(Catalog!AH37&lt;&gt;"",Catalog!AH37,Catalog!AF37)</f>
        <v>0</v>
      </c>
      <c r="L64" s="16">
        <f>Catalog!AE37</f>
        <v>0</v>
      </c>
      <c r="M64" s="16">
        <f>Catalog!W37</f>
        <v>0</v>
      </c>
      <c r="N64" s="16">
        <f>Catalog!R37</f>
        <v>0</v>
      </c>
      <c r="O64" s="16">
        <f>Catalog!AG37</f>
        <v>0</v>
      </c>
    </row>
    <row r="65" spans="1:15" ht="15.75" x14ac:dyDescent="0.25">
      <c r="A65" s="16">
        <f>Catalog!D38</f>
        <v>0</v>
      </c>
      <c r="B65" s="16">
        <f>Catalog!F38</f>
        <v>0</v>
      </c>
      <c r="C65" s="16" t="str">
        <f>IF(Catalog!I38="","",Catalog!I38)&amp;IF(AND(Catalog!I38&lt;&gt;"",Catalog!J38&lt;&gt;""),"; ","")&amp;IF(Catalog!J38="","",Catalog!J38)</f>
        <v/>
      </c>
      <c r="D65" s="16">
        <f>Catalog!Q38</f>
        <v>0</v>
      </c>
      <c r="E65" s="16">
        <f>Catalog!S38</f>
        <v>0</v>
      </c>
      <c r="F65" s="16">
        <f>Catalog!N38</f>
        <v>0</v>
      </c>
      <c r="G65" s="16" t="str">
        <f>Catalog!K38&amp;" / "&amp;Catalog!M38</f>
        <v xml:space="preserve"> / </v>
      </c>
      <c r="H65" s="16" t="str">
        <f t="shared" si="0"/>
        <v>Print</v>
      </c>
      <c r="I65" s="16" t="str">
        <f>IF(Catalog!T38&lt;&gt;"","ISBN:"&amp;Catalog!T38,IF(Catalog!U38&lt;&gt;"","ISSN:"&amp;Catalog!U38,"ACC:"&amp;Catalog!B38))</f>
        <v>ACC:</v>
      </c>
      <c r="J65" s="16">
        <f>Catalog!L38</f>
        <v>0</v>
      </c>
      <c r="K65" s="16">
        <f>IF(Catalog!AH38&lt;&gt;"",Catalog!AH38,Catalog!AF38)</f>
        <v>0</v>
      </c>
      <c r="L65" s="16">
        <f>Catalog!AE38</f>
        <v>0</v>
      </c>
      <c r="M65" s="16">
        <f>Catalog!W38</f>
        <v>0</v>
      </c>
      <c r="N65" s="16">
        <f>Catalog!R38</f>
        <v>0</v>
      </c>
      <c r="O65" s="16">
        <f>Catalog!AG38</f>
        <v>0</v>
      </c>
    </row>
    <row r="66" spans="1:15" ht="15.75" x14ac:dyDescent="0.25">
      <c r="A66" s="16">
        <f>Catalog!D39</f>
        <v>0</v>
      </c>
      <c r="B66" s="16">
        <f>Catalog!F39</f>
        <v>0</v>
      </c>
      <c r="C66" s="16" t="str">
        <f>IF(Catalog!I39="","",Catalog!I39)&amp;IF(AND(Catalog!I39&lt;&gt;"",Catalog!J39&lt;&gt;""),"; ","")&amp;IF(Catalog!J39="","",Catalog!J39)</f>
        <v/>
      </c>
      <c r="D66" s="16">
        <f>Catalog!Q39</f>
        <v>0</v>
      </c>
      <c r="E66" s="16">
        <f>Catalog!S39</f>
        <v>0</v>
      </c>
      <c r="F66" s="16">
        <f>Catalog!N39</f>
        <v>0</v>
      </c>
      <c r="G66" s="16" t="str">
        <f>Catalog!K39&amp;" / "&amp;Catalog!M39</f>
        <v xml:space="preserve"> / </v>
      </c>
      <c r="H66" s="16" t="str">
        <f t="shared" si="0"/>
        <v>Print</v>
      </c>
      <c r="I66" s="16" t="str">
        <f>IF(Catalog!T39&lt;&gt;"","ISBN:"&amp;Catalog!T39,IF(Catalog!U39&lt;&gt;"","ISSN:"&amp;Catalog!U39,"ACC:"&amp;Catalog!B39))</f>
        <v>ACC:</v>
      </c>
      <c r="J66" s="16">
        <f>Catalog!L39</f>
        <v>0</v>
      </c>
      <c r="K66" s="16">
        <f>IF(Catalog!AH39&lt;&gt;"",Catalog!AH39,Catalog!AF39)</f>
        <v>0</v>
      </c>
      <c r="L66" s="16">
        <f>Catalog!AE39</f>
        <v>0</v>
      </c>
      <c r="M66" s="16">
        <f>Catalog!W39</f>
        <v>0</v>
      </c>
      <c r="N66" s="16">
        <f>Catalog!R39</f>
        <v>0</v>
      </c>
      <c r="O66" s="16">
        <f>Catalog!AG39</f>
        <v>0</v>
      </c>
    </row>
    <row r="67" spans="1:15" ht="15.75" x14ac:dyDescent="0.25">
      <c r="A67" s="16">
        <f>Catalog!D40</f>
        <v>0</v>
      </c>
      <c r="B67" s="16">
        <f>Catalog!F40</f>
        <v>0</v>
      </c>
      <c r="C67" s="16" t="str">
        <f>IF(Catalog!I40="","",Catalog!I40)&amp;IF(AND(Catalog!I40&lt;&gt;"",Catalog!J40&lt;&gt;""),"; ","")&amp;IF(Catalog!J40="","",Catalog!J40)</f>
        <v/>
      </c>
      <c r="D67" s="16">
        <f>Catalog!Q40</f>
        <v>0</v>
      </c>
      <c r="E67" s="16">
        <f>Catalog!S40</f>
        <v>0</v>
      </c>
      <c r="F67" s="16">
        <f>Catalog!N40</f>
        <v>0</v>
      </c>
      <c r="G67" s="16" t="str">
        <f>Catalog!K40&amp;" / "&amp;Catalog!M40</f>
        <v xml:space="preserve"> / </v>
      </c>
      <c r="H67" s="16" t="str">
        <f t="shared" si="0"/>
        <v>Print</v>
      </c>
      <c r="I67" s="16" t="str">
        <f>IF(Catalog!T40&lt;&gt;"","ISBN:"&amp;Catalog!T40,IF(Catalog!U40&lt;&gt;"","ISSN:"&amp;Catalog!U40,"ACC:"&amp;Catalog!B40))</f>
        <v>ACC:</v>
      </c>
      <c r="J67" s="16">
        <f>Catalog!L40</f>
        <v>0</v>
      </c>
      <c r="K67" s="16">
        <f>IF(Catalog!AH40&lt;&gt;"",Catalog!AH40,Catalog!AF40)</f>
        <v>0</v>
      </c>
      <c r="L67" s="16">
        <f>Catalog!AE40</f>
        <v>0</v>
      </c>
      <c r="M67" s="16">
        <f>Catalog!W40</f>
        <v>0</v>
      </c>
      <c r="N67" s="16">
        <f>Catalog!R40</f>
        <v>0</v>
      </c>
      <c r="O67" s="16">
        <f>Catalog!AG40</f>
        <v>0</v>
      </c>
    </row>
    <row r="68" spans="1:15" ht="15.75" x14ac:dyDescent="0.25">
      <c r="A68" s="16">
        <f>Catalog!D41</f>
        <v>0</v>
      </c>
      <c r="B68" s="16">
        <f>Catalog!F41</f>
        <v>0</v>
      </c>
      <c r="C68" s="16" t="str">
        <f>IF(Catalog!I41="","",Catalog!I41)&amp;IF(AND(Catalog!I41&lt;&gt;"",Catalog!J41&lt;&gt;""),"; ","")&amp;IF(Catalog!J41="","",Catalog!J41)</f>
        <v/>
      </c>
      <c r="D68" s="16">
        <f>Catalog!Q41</f>
        <v>0</v>
      </c>
      <c r="E68" s="16">
        <f>Catalog!S41</f>
        <v>0</v>
      </c>
      <c r="F68" s="16">
        <f>Catalog!N41</f>
        <v>0</v>
      </c>
      <c r="G68" s="16" t="str">
        <f>Catalog!K41&amp;" / "&amp;Catalog!M41</f>
        <v xml:space="preserve"> / </v>
      </c>
      <c r="H68" s="16" t="str">
        <f t="shared" si="0"/>
        <v>Print</v>
      </c>
      <c r="I68" s="16" t="str">
        <f>IF(Catalog!T41&lt;&gt;"","ISBN:"&amp;Catalog!T41,IF(Catalog!U41&lt;&gt;"","ISSN:"&amp;Catalog!U41,"ACC:"&amp;Catalog!B41))</f>
        <v>ACC:</v>
      </c>
      <c r="J68" s="16">
        <f>Catalog!L41</f>
        <v>0</v>
      </c>
      <c r="K68" s="16">
        <f>IF(Catalog!AH41&lt;&gt;"",Catalog!AH41,Catalog!AF41)</f>
        <v>0</v>
      </c>
      <c r="L68" s="16">
        <f>Catalog!AE41</f>
        <v>0</v>
      </c>
      <c r="M68" s="16">
        <f>Catalog!W41</f>
        <v>0</v>
      </c>
      <c r="N68" s="16">
        <f>Catalog!R41</f>
        <v>0</v>
      </c>
      <c r="O68" s="16">
        <f>Catalog!AG41</f>
        <v>0</v>
      </c>
    </row>
    <row r="69" spans="1:15" ht="15.75" x14ac:dyDescent="0.25">
      <c r="A69" s="16">
        <f>Catalog!D42</f>
        <v>0</v>
      </c>
      <c r="B69" s="16">
        <f>Catalog!F42</f>
        <v>0</v>
      </c>
      <c r="C69" s="16" t="str">
        <f>IF(Catalog!I42="","",Catalog!I42)&amp;IF(AND(Catalog!I42&lt;&gt;"",Catalog!J42&lt;&gt;""),"; ","")&amp;IF(Catalog!J42="","",Catalog!J42)</f>
        <v/>
      </c>
      <c r="D69" s="16">
        <f>Catalog!Q42</f>
        <v>0</v>
      </c>
      <c r="E69" s="16">
        <f>Catalog!S42</f>
        <v>0</v>
      </c>
      <c r="F69" s="16">
        <f>Catalog!N42</f>
        <v>0</v>
      </c>
      <c r="G69" s="16" t="str">
        <f>Catalog!K42&amp;" / "&amp;Catalog!M42</f>
        <v xml:space="preserve"> / </v>
      </c>
      <c r="H69" s="16" t="str">
        <f t="shared" si="0"/>
        <v>Print</v>
      </c>
      <c r="I69" s="16" t="str">
        <f>IF(Catalog!T42&lt;&gt;"","ISBN:"&amp;Catalog!T42,IF(Catalog!U42&lt;&gt;"","ISSN:"&amp;Catalog!U42,"ACC:"&amp;Catalog!B42))</f>
        <v>ACC:</v>
      </c>
      <c r="J69" s="16">
        <f>Catalog!L42</f>
        <v>0</v>
      </c>
      <c r="K69" s="16">
        <f>IF(Catalog!AH42&lt;&gt;"",Catalog!AH42,Catalog!AF42)</f>
        <v>0</v>
      </c>
      <c r="L69" s="16">
        <f>Catalog!AE42</f>
        <v>0</v>
      </c>
      <c r="M69" s="16">
        <f>Catalog!W42</f>
        <v>0</v>
      </c>
      <c r="N69" s="16">
        <f>Catalog!R42</f>
        <v>0</v>
      </c>
      <c r="O69" s="16">
        <f>Catalog!AG42</f>
        <v>0</v>
      </c>
    </row>
    <row r="70" spans="1:15" ht="15.75" x14ac:dyDescent="0.25">
      <c r="A70" s="16">
        <f>Catalog!D43</f>
        <v>0</v>
      </c>
      <c r="B70" s="16">
        <f>Catalog!F43</f>
        <v>0</v>
      </c>
      <c r="C70" s="16" t="str">
        <f>IF(Catalog!I43="","",Catalog!I43)&amp;IF(AND(Catalog!I43&lt;&gt;"",Catalog!J43&lt;&gt;""),"; ","")&amp;IF(Catalog!J43="","",Catalog!J43)</f>
        <v/>
      </c>
      <c r="D70" s="16">
        <f>Catalog!Q43</f>
        <v>0</v>
      </c>
      <c r="E70" s="16">
        <f>Catalog!S43</f>
        <v>0</v>
      </c>
      <c r="F70" s="16">
        <f>Catalog!N43</f>
        <v>0</v>
      </c>
      <c r="G70" s="16" t="str">
        <f>Catalog!K43&amp;" / "&amp;Catalog!M43</f>
        <v xml:space="preserve"> / </v>
      </c>
      <c r="H70" s="16" t="str">
        <f t="shared" si="0"/>
        <v>Print</v>
      </c>
      <c r="I70" s="16" t="str">
        <f>IF(Catalog!T43&lt;&gt;"","ISBN:"&amp;Catalog!T43,IF(Catalog!U43&lt;&gt;"","ISSN:"&amp;Catalog!U43,"ACC:"&amp;Catalog!B43))</f>
        <v>ACC:</v>
      </c>
      <c r="J70" s="16">
        <f>Catalog!L43</f>
        <v>0</v>
      </c>
      <c r="K70" s="16">
        <f>IF(Catalog!AH43&lt;&gt;"",Catalog!AH43,Catalog!AF43)</f>
        <v>0</v>
      </c>
      <c r="L70" s="16">
        <f>Catalog!AE43</f>
        <v>0</v>
      </c>
      <c r="M70" s="16">
        <f>Catalog!W43</f>
        <v>0</v>
      </c>
      <c r="N70" s="16">
        <f>Catalog!R43</f>
        <v>0</v>
      </c>
      <c r="O70" s="16">
        <f>Catalog!AG43</f>
        <v>0</v>
      </c>
    </row>
    <row r="71" spans="1:15" ht="15.75" x14ac:dyDescent="0.25">
      <c r="A71" s="16">
        <f>Catalog!D44</f>
        <v>0</v>
      </c>
      <c r="B71" s="16">
        <f>Catalog!F44</f>
        <v>0</v>
      </c>
      <c r="C71" s="16" t="str">
        <f>IF(Catalog!I44="","",Catalog!I44)&amp;IF(AND(Catalog!I44&lt;&gt;"",Catalog!J44&lt;&gt;""),"; ","")&amp;IF(Catalog!J44="","",Catalog!J44)</f>
        <v/>
      </c>
      <c r="D71" s="16">
        <f>Catalog!Q44</f>
        <v>0</v>
      </c>
      <c r="E71" s="16">
        <f>Catalog!S44</f>
        <v>0</v>
      </c>
      <c r="F71" s="16">
        <f>Catalog!N44</f>
        <v>0</v>
      </c>
      <c r="G71" s="16" t="str">
        <f>Catalog!K44&amp;" / "&amp;Catalog!M44</f>
        <v xml:space="preserve"> / </v>
      </c>
      <c r="H71" s="16" t="str">
        <f t="shared" si="0"/>
        <v>Print</v>
      </c>
      <c r="I71" s="16" t="str">
        <f>IF(Catalog!T44&lt;&gt;"","ISBN:"&amp;Catalog!T44,IF(Catalog!U44&lt;&gt;"","ISSN:"&amp;Catalog!U44,"ACC:"&amp;Catalog!B44))</f>
        <v>ACC:</v>
      </c>
      <c r="J71" s="16">
        <f>Catalog!L44</f>
        <v>0</v>
      </c>
      <c r="K71" s="16">
        <f>IF(Catalog!AH44&lt;&gt;"",Catalog!AH44,Catalog!AF44)</f>
        <v>0</v>
      </c>
      <c r="L71" s="16">
        <f>Catalog!AE44</f>
        <v>0</v>
      </c>
      <c r="M71" s="16">
        <f>Catalog!W44</f>
        <v>0</v>
      </c>
      <c r="N71" s="16">
        <f>Catalog!R44</f>
        <v>0</v>
      </c>
      <c r="O71" s="16">
        <f>Catalog!AG44</f>
        <v>0</v>
      </c>
    </row>
    <row r="72" spans="1:15" ht="15.75" x14ac:dyDescent="0.25">
      <c r="A72" s="16">
        <f>Catalog!D45</f>
        <v>0</v>
      </c>
      <c r="B72" s="16">
        <f>Catalog!F45</f>
        <v>0</v>
      </c>
      <c r="C72" s="16" t="str">
        <f>IF(Catalog!I45="","",Catalog!I45)&amp;IF(AND(Catalog!I45&lt;&gt;"",Catalog!J45&lt;&gt;""),"; ","")&amp;IF(Catalog!J45="","",Catalog!J45)</f>
        <v/>
      </c>
      <c r="D72" s="16">
        <f>Catalog!Q45</f>
        <v>0</v>
      </c>
      <c r="E72" s="16">
        <f>Catalog!S45</f>
        <v>0</v>
      </c>
      <c r="F72" s="16">
        <f>Catalog!N45</f>
        <v>0</v>
      </c>
      <c r="G72" s="16" t="str">
        <f>Catalog!K45&amp;" / "&amp;Catalog!M45</f>
        <v xml:space="preserve"> / </v>
      </c>
      <c r="H72" s="16" t="str">
        <f t="shared" si="0"/>
        <v>Print</v>
      </c>
      <c r="I72" s="16" t="str">
        <f>IF(Catalog!T45&lt;&gt;"","ISBN:"&amp;Catalog!T45,IF(Catalog!U45&lt;&gt;"","ISSN:"&amp;Catalog!U45,"ACC:"&amp;Catalog!B45))</f>
        <v>ACC:</v>
      </c>
      <c r="J72" s="16">
        <f>Catalog!L45</f>
        <v>0</v>
      </c>
      <c r="K72" s="16">
        <f>IF(Catalog!AH45&lt;&gt;"",Catalog!AH45,Catalog!AF45)</f>
        <v>0</v>
      </c>
      <c r="L72" s="16">
        <f>Catalog!AE45</f>
        <v>0</v>
      </c>
      <c r="M72" s="16">
        <f>Catalog!W45</f>
        <v>0</v>
      </c>
      <c r="N72" s="16">
        <f>Catalog!R45</f>
        <v>0</v>
      </c>
      <c r="O72" s="16">
        <f>Catalog!AG45</f>
        <v>0</v>
      </c>
    </row>
    <row r="73" spans="1:15" ht="15.75" x14ac:dyDescent="0.25">
      <c r="A73" s="16">
        <f>Catalog!D46</f>
        <v>0</v>
      </c>
      <c r="B73" s="16">
        <f>Catalog!F46</f>
        <v>0</v>
      </c>
      <c r="C73" s="16" t="str">
        <f>IF(Catalog!I46="","",Catalog!I46)&amp;IF(AND(Catalog!I46&lt;&gt;"",Catalog!J46&lt;&gt;""),"; ","")&amp;IF(Catalog!J46="","",Catalog!J46)</f>
        <v/>
      </c>
      <c r="D73" s="16">
        <f>Catalog!Q46</f>
        <v>0</v>
      </c>
      <c r="E73" s="16">
        <f>Catalog!S46</f>
        <v>0</v>
      </c>
      <c r="F73" s="16">
        <f>Catalog!N46</f>
        <v>0</v>
      </c>
      <c r="G73" s="16" t="str">
        <f>Catalog!K46&amp;" / "&amp;Catalog!M46</f>
        <v xml:space="preserve"> / </v>
      </c>
      <c r="H73" s="16" t="str">
        <f t="shared" si="0"/>
        <v>Print</v>
      </c>
      <c r="I73" s="16" t="str">
        <f>IF(Catalog!T46&lt;&gt;"","ISBN:"&amp;Catalog!T46,IF(Catalog!U46&lt;&gt;"","ISSN:"&amp;Catalog!U46,"ACC:"&amp;Catalog!B46))</f>
        <v>ACC:</v>
      </c>
      <c r="J73" s="16">
        <f>Catalog!L46</f>
        <v>0</v>
      </c>
      <c r="K73" s="16">
        <f>IF(Catalog!AH46&lt;&gt;"",Catalog!AH46,Catalog!AF46)</f>
        <v>0</v>
      </c>
      <c r="L73" s="16">
        <f>Catalog!AE46</f>
        <v>0</v>
      </c>
      <c r="M73" s="16">
        <f>Catalog!W46</f>
        <v>0</v>
      </c>
      <c r="N73" s="16">
        <f>Catalog!R46</f>
        <v>0</v>
      </c>
      <c r="O73" s="16">
        <f>Catalog!AG46</f>
        <v>0</v>
      </c>
    </row>
    <row r="74" spans="1:15" ht="15.75" x14ac:dyDescent="0.25">
      <c r="A74" s="16">
        <f>Catalog!D47</f>
        <v>0</v>
      </c>
      <c r="B74" s="16">
        <f>Catalog!F47</f>
        <v>0</v>
      </c>
      <c r="C74" s="16" t="str">
        <f>IF(Catalog!I47="","",Catalog!I47)&amp;IF(AND(Catalog!I47&lt;&gt;"",Catalog!J47&lt;&gt;""),"; ","")&amp;IF(Catalog!J47="","",Catalog!J47)</f>
        <v/>
      </c>
      <c r="D74" s="16">
        <f>Catalog!Q47</f>
        <v>0</v>
      </c>
      <c r="E74" s="16">
        <f>Catalog!S47</f>
        <v>0</v>
      </c>
      <c r="F74" s="16">
        <f>Catalog!N47</f>
        <v>0</v>
      </c>
      <c r="G74" s="16" t="str">
        <f>Catalog!K47&amp;" / "&amp;Catalog!M47</f>
        <v xml:space="preserve"> / </v>
      </c>
      <c r="H74" s="16" t="str">
        <f t="shared" si="0"/>
        <v>Print</v>
      </c>
      <c r="I74" s="16" t="str">
        <f>IF(Catalog!T47&lt;&gt;"","ISBN:"&amp;Catalog!T47,IF(Catalog!U47&lt;&gt;"","ISSN:"&amp;Catalog!U47,"ACC:"&amp;Catalog!B47))</f>
        <v>ACC:</v>
      </c>
      <c r="J74" s="16">
        <f>Catalog!L47</f>
        <v>0</v>
      </c>
      <c r="K74" s="16">
        <f>IF(Catalog!AH47&lt;&gt;"",Catalog!AH47,Catalog!AF47)</f>
        <v>0</v>
      </c>
      <c r="L74" s="16">
        <f>Catalog!AE47</f>
        <v>0</v>
      </c>
      <c r="M74" s="16">
        <f>Catalog!W47</f>
        <v>0</v>
      </c>
      <c r="N74" s="16">
        <f>Catalog!R47</f>
        <v>0</v>
      </c>
      <c r="O74" s="16">
        <f>Catalog!AG47</f>
        <v>0</v>
      </c>
    </row>
    <row r="75" spans="1:15" ht="15.75" x14ac:dyDescent="0.25">
      <c r="A75" s="16">
        <f>Catalog!D48</f>
        <v>0</v>
      </c>
      <c r="B75" s="16">
        <f>Catalog!F48</f>
        <v>0</v>
      </c>
      <c r="C75" s="16" t="str">
        <f>IF(Catalog!I48="","",Catalog!I48)&amp;IF(AND(Catalog!I48&lt;&gt;"",Catalog!J48&lt;&gt;""),"; ","")&amp;IF(Catalog!J48="","",Catalog!J48)</f>
        <v/>
      </c>
      <c r="D75" s="16">
        <f>Catalog!Q48</f>
        <v>0</v>
      </c>
      <c r="E75" s="16">
        <f>Catalog!S48</f>
        <v>0</v>
      </c>
      <c r="F75" s="16">
        <f>Catalog!N48</f>
        <v>0</v>
      </c>
      <c r="G75" s="16" t="str">
        <f>Catalog!K48&amp;" / "&amp;Catalog!M48</f>
        <v xml:space="preserve"> / </v>
      </c>
      <c r="H75" s="16" t="str">
        <f t="shared" si="0"/>
        <v>Print</v>
      </c>
      <c r="I75" s="16" t="str">
        <f>IF(Catalog!T48&lt;&gt;"","ISBN:"&amp;Catalog!T48,IF(Catalog!U48&lt;&gt;"","ISSN:"&amp;Catalog!U48,"ACC:"&amp;Catalog!B48))</f>
        <v>ACC:</v>
      </c>
      <c r="J75" s="16">
        <f>Catalog!L48</f>
        <v>0</v>
      </c>
      <c r="K75" s="16">
        <f>IF(Catalog!AH48&lt;&gt;"",Catalog!AH48,Catalog!AF48)</f>
        <v>0</v>
      </c>
      <c r="L75" s="16">
        <f>Catalog!AE48</f>
        <v>0</v>
      </c>
      <c r="M75" s="16">
        <f>Catalog!W48</f>
        <v>0</v>
      </c>
      <c r="N75" s="16">
        <f>Catalog!R48</f>
        <v>0</v>
      </c>
      <c r="O75" s="16">
        <f>Catalog!AG48</f>
        <v>0</v>
      </c>
    </row>
    <row r="76" spans="1:15" ht="15.75" x14ac:dyDescent="0.25">
      <c r="A76" s="16">
        <f>Catalog!D49</f>
        <v>0</v>
      </c>
      <c r="B76" s="16">
        <f>Catalog!F49</f>
        <v>0</v>
      </c>
      <c r="C76" s="16" t="str">
        <f>IF(Catalog!I49="","",Catalog!I49)&amp;IF(AND(Catalog!I49&lt;&gt;"",Catalog!J49&lt;&gt;""),"; ","")&amp;IF(Catalog!J49="","",Catalog!J49)</f>
        <v/>
      </c>
      <c r="D76" s="16">
        <f>Catalog!Q49</f>
        <v>0</v>
      </c>
      <c r="E76" s="16">
        <f>Catalog!S49</f>
        <v>0</v>
      </c>
      <c r="F76" s="16">
        <f>Catalog!N49</f>
        <v>0</v>
      </c>
      <c r="G76" s="16" t="str">
        <f>Catalog!K49&amp;" / "&amp;Catalog!M49</f>
        <v xml:space="preserve"> / </v>
      </c>
      <c r="H76" s="16" t="str">
        <f t="shared" si="0"/>
        <v>Print</v>
      </c>
      <c r="I76" s="16" t="str">
        <f>IF(Catalog!T49&lt;&gt;"","ISBN:"&amp;Catalog!T49,IF(Catalog!U49&lt;&gt;"","ISSN:"&amp;Catalog!U49,"ACC:"&amp;Catalog!B49))</f>
        <v>ACC:</v>
      </c>
      <c r="J76" s="16">
        <f>Catalog!L49</f>
        <v>0</v>
      </c>
      <c r="K76" s="16">
        <f>IF(Catalog!AH49&lt;&gt;"",Catalog!AH49,Catalog!AF49)</f>
        <v>0</v>
      </c>
      <c r="L76" s="16">
        <f>Catalog!AE49</f>
        <v>0</v>
      </c>
      <c r="M76" s="16">
        <f>Catalog!W49</f>
        <v>0</v>
      </c>
      <c r="N76" s="16">
        <f>Catalog!R49</f>
        <v>0</v>
      </c>
      <c r="O76" s="16">
        <f>Catalog!AG49</f>
        <v>0</v>
      </c>
    </row>
    <row r="77" spans="1:15" ht="15.75" x14ac:dyDescent="0.25">
      <c r="A77" s="16">
        <f>Catalog!D50</f>
        <v>0</v>
      </c>
      <c r="B77" s="16">
        <f>Catalog!F50</f>
        <v>0</v>
      </c>
      <c r="C77" s="16" t="str">
        <f>IF(Catalog!I50="","",Catalog!I50)&amp;IF(AND(Catalog!I50&lt;&gt;"",Catalog!J50&lt;&gt;""),"; ","")&amp;IF(Catalog!J50="","",Catalog!J50)</f>
        <v/>
      </c>
      <c r="D77" s="16">
        <f>Catalog!Q50</f>
        <v>0</v>
      </c>
      <c r="E77" s="16">
        <f>Catalog!S50</f>
        <v>0</v>
      </c>
      <c r="F77" s="16">
        <f>Catalog!N50</f>
        <v>0</v>
      </c>
      <c r="G77" s="16" t="str">
        <f>Catalog!K50&amp;" / "&amp;Catalog!M50</f>
        <v xml:space="preserve"> / </v>
      </c>
      <c r="H77" s="16" t="str">
        <f t="shared" si="0"/>
        <v>Print</v>
      </c>
      <c r="I77" s="16" t="str">
        <f>IF(Catalog!T50&lt;&gt;"","ISBN:"&amp;Catalog!T50,IF(Catalog!U50&lt;&gt;"","ISSN:"&amp;Catalog!U50,"ACC:"&amp;Catalog!B50))</f>
        <v>ACC:</v>
      </c>
      <c r="J77" s="16">
        <f>Catalog!L50</f>
        <v>0</v>
      </c>
      <c r="K77" s="16">
        <f>IF(Catalog!AH50&lt;&gt;"",Catalog!AH50,Catalog!AF50)</f>
        <v>0</v>
      </c>
      <c r="L77" s="16">
        <f>Catalog!AE50</f>
        <v>0</v>
      </c>
      <c r="M77" s="16">
        <f>Catalog!W50</f>
        <v>0</v>
      </c>
      <c r="N77" s="16">
        <f>Catalog!R50</f>
        <v>0</v>
      </c>
      <c r="O77" s="16">
        <f>Catalog!AG50</f>
        <v>0</v>
      </c>
    </row>
    <row r="78" spans="1:15" ht="15.75" x14ac:dyDescent="0.25">
      <c r="A78" s="16">
        <f>Catalog!D51</f>
        <v>0</v>
      </c>
      <c r="B78" s="16">
        <f>Catalog!F51</f>
        <v>0</v>
      </c>
      <c r="C78" s="16" t="str">
        <f>IF(Catalog!I51="","",Catalog!I51)&amp;IF(AND(Catalog!I51&lt;&gt;"",Catalog!J51&lt;&gt;""),"; ","")&amp;IF(Catalog!J51="","",Catalog!J51)</f>
        <v/>
      </c>
      <c r="D78" s="16">
        <f>Catalog!Q51</f>
        <v>0</v>
      </c>
      <c r="E78" s="16">
        <f>Catalog!S51</f>
        <v>0</v>
      </c>
      <c r="F78" s="16">
        <f>Catalog!N51</f>
        <v>0</v>
      </c>
      <c r="G78" s="16" t="str">
        <f>Catalog!K51&amp;" / "&amp;Catalog!M51</f>
        <v xml:space="preserve"> / </v>
      </c>
      <c r="H78" s="16" t="str">
        <f t="shared" si="0"/>
        <v>Print</v>
      </c>
      <c r="I78" s="16" t="str">
        <f>IF(Catalog!T51&lt;&gt;"","ISBN:"&amp;Catalog!T51,IF(Catalog!U51&lt;&gt;"","ISSN:"&amp;Catalog!U51,"ACC:"&amp;Catalog!B51))</f>
        <v>ACC:</v>
      </c>
      <c r="J78" s="16">
        <f>Catalog!L51</f>
        <v>0</v>
      </c>
      <c r="K78" s="16">
        <f>IF(Catalog!AH51&lt;&gt;"",Catalog!AH51,Catalog!AF51)</f>
        <v>0</v>
      </c>
      <c r="L78" s="16">
        <f>Catalog!AE51</f>
        <v>0</v>
      </c>
      <c r="M78" s="16">
        <f>Catalog!W51</f>
        <v>0</v>
      </c>
      <c r="N78" s="16">
        <f>Catalog!R51</f>
        <v>0</v>
      </c>
      <c r="O78" s="16">
        <f>Catalog!AG51</f>
        <v>0</v>
      </c>
    </row>
    <row r="79" spans="1:15" ht="15.75" x14ac:dyDescent="0.25">
      <c r="A79" s="16">
        <f>Catalog!D52</f>
        <v>0</v>
      </c>
      <c r="B79" s="16">
        <f>Catalog!F52</f>
        <v>0</v>
      </c>
      <c r="C79" s="16" t="str">
        <f>IF(Catalog!I52="","",Catalog!I52)&amp;IF(AND(Catalog!I52&lt;&gt;"",Catalog!J52&lt;&gt;""),"; ","")&amp;IF(Catalog!J52="","",Catalog!J52)</f>
        <v/>
      </c>
      <c r="D79" s="16">
        <f>Catalog!Q52</f>
        <v>0</v>
      </c>
      <c r="E79" s="16">
        <f>Catalog!S52</f>
        <v>0</v>
      </c>
      <c r="F79" s="16">
        <f>Catalog!N52</f>
        <v>0</v>
      </c>
      <c r="G79" s="16" t="str">
        <f>Catalog!K52&amp;" / "&amp;Catalog!M52</f>
        <v xml:space="preserve"> / </v>
      </c>
      <c r="H79" s="16" t="str">
        <f t="shared" si="0"/>
        <v>Print</v>
      </c>
      <c r="I79" s="16" t="str">
        <f>IF(Catalog!T52&lt;&gt;"","ISBN:"&amp;Catalog!T52,IF(Catalog!U52&lt;&gt;"","ISSN:"&amp;Catalog!U52,"ACC:"&amp;Catalog!B52))</f>
        <v>ACC:</v>
      </c>
      <c r="J79" s="16">
        <f>Catalog!L52</f>
        <v>0</v>
      </c>
      <c r="K79" s="16">
        <f>IF(Catalog!AH52&lt;&gt;"",Catalog!AH52,Catalog!AF52)</f>
        <v>0</v>
      </c>
      <c r="L79" s="16">
        <f>Catalog!AE52</f>
        <v>0</v>
      </c>
      <c r="M79" s="16">
        <f>Catalog!W52</f>
        <v>0</v>
      </c>
      <c r="N79" s="16">
        <f>Catalog!R52</f>
        <v>0</v>
      </c>
      <c r="O79" s="16">
        <f>Catalog!AG52</f>
        <v>0</v>
      </c>
    </row>
    <row r="80" spans="1:15" ht="15.75" x14ac:dyDescent="0.25">
      <c r="A80" s="16">
        <f>Catalog!D53</f>
        <v>0</v>
      </c>
      <c r="B80" s="16">
        <f>Catalog!F53</f>
        <v>0</v>
      </c>
      <c r="C80" s="16" t="str">
        <f>IF(Catalog!I53="","",Catalog!I53)&amp;IF(AND(Catalog!I53&lt;&gt;"",Catalog!J53&lt;&gt;""),"; ","")&amp;IF(Catalog!J53="","",Catalog!J53)</f>
        <v/>
      </c>
      <c r="D80" s="16">
        <f>Catalog!Q53</f>
        <v>0</v>
      </c>
      <c r="E80" s="16">
        <f>Catalog!S53</f>
        <v>0</v>
      </c>
      <c r="F80" s="16">
        <f>Catalog!N53</f>
        <v>0</v>
      </c>
      <c r="G80" s="16" t="str">
        <f>Catalog!K53&amp;" / "&amp;Catalog!M53</f>
        <v xml:space="preserve"> / </v>
      </c>
      <c r="H80" s="16" t="str">
        <f t="shared" si="0"/>
        <v>Print</v>
      </c>
      <c r="I80" s="16" t="str">
        <f>IF(Catalog!T53&lt;&gt;"","ISBN:"&amp;Catalog!T53,IF(Catalog!U53&lt;&gt;"","ISSN:"&amp;Catalog!U53,"ACC:"&amp;Catalog!B53))</f>
        <v>ACC:</v>
      </c>
      <c r="J80" s="16">
        <f>Catalog!L53</f>
        <v>0</v>
      </c>
      <c r="K80" s="16">
        <f>IF(Catalog!AH53&lt;&gt;"",Catalog!AH53,Catalog!AF53)</f>
        <v>0</v>
      </c>
      <c r="L80" s="16">
        <f>Catalog!AE53</f>
        <v>0</v>
      </c>
      <c r="M80" s="16">
        <f>Catalog!W53</f>
        <v>0</v>
      </c>
      <c r="N80" s="16">
        <f>Catalog!R53</f>
        <v>0</v>
      </c>
      <c r="O80" s="16">
        <f>Catalog!AG53</f>
        <v>0</v>
      </c>
    </row>
    <row r="81" spans="1:15" ht="15.75" x14ac:dyDescent="0.25">
      <c r="A81" s="16">
        <f>Catalog!D54</f>
        <v>0</v>
      </c>
      <c r="B81" s="16">
        <f>Catalog!F54</f>
        <v>0</v>
      </c>
      <c r="C81" s="16" t="str">
        <f>IF(Catalog!I54="","",Catalog!I54)&amp;IF(AND(Catalog!I54&lt;&gt;"",Catalog!J54&lt;&gt;""),"; ","")&amp;IF(Catalog!J54="","",Catalog!J54)</f>
        <v/>
      </c>
      <c r="D81" s="16">
        <f>Catalog!Q54</f>
        <v>0</v>
      </c>
      <c r="E81" s="16">
        <f>Catalog!S54</f>
        <v>0</v>
      </c>
      <c r="F81" s="16">
        <f>Catalog!N54</f>
        <v>0</v>
      </c>
      <c r="G81" s="16" t="str">
        <f>Catalog!K54&amp;" / "&amp;Catalog!M54</f>
        <v xml:space="preserve"> / </v>
      </c>
      <c r="H81" s="16" t="str">
        <f t="shared" si="0"/>
        <v>Print</v>
      </c>
      <c r="I81" s="16" t="str">
        <f>IF(Catalog!T54&lt;&gt;"","ISBN:"&amp;Catalog!T54,IF(Catalog!U54&lt;&gt;"","ISSN:"&amp;Catalog!U54,"ACC:"&amp;Catalog!B54))</f>
        <v>ACC:</v>
      </c>
      <c r="J81" s="16">
        <f>Catalog!L54</f>
        <v>0</v>
      </c>
      <c r="K81" s="16">
        <f>IF(Catalog!AH54&lt;&gt;"",Catalog!AH54,Catalog!AF54)</f>
        <v>0</v>
      </c>
      <c r="L81" s="16">
        <f>Catalog!AE54</f>
        <v>0</v>
      </c>
      <c r="M81" s="16">
        <f>Catalog!W54</f>
        <v>0</v>
      </c>
      <c r="N81" s="16">
        <f>Catalog!R54</f>
        <v>0</v>
      </c>
      <c r="O81" s="16">
        <f>Catalog!AG54</f>
        <v>0</v>
      </c>
    </row>
    <row r="82" spans="1:15" ht="15.75" x14ac:dyDescent="0.25">
      <c r="A82" s="16">
        <f>Catalog!D55</f>
        <v>0</v>
      </c>
      <c r="B82" s="16">
        <f>Catalog!F55</f>
        <v>0</v>
      </c>
      <c r="C82" s="16" t="str">
        <f>IF(Catalog!I55="","",Catalog!I55)&amp;IF(AND(Catalog!I55&lt;&gt;"",Catalog!J55&lt;&gt;""),"; ","")&amp;IF(Catalog!J55="","",Catalog!J55)</f>
        <v/>
      </c>
      <c r="D82" s="16">
        <f>Catalog!Q55</f>
        <v>0</v>
      </c>
      <c r="E82" s="16">
        <f>Catalog!S55</f>
        <v>0</v>
      </c>
      <c r="F82" s="16">
        <f>Catalog!N55</f>
        <v>0</v>
      </c>
      <c r="G82" s="16" t="str">
        <f>Catalog!K55&amp;" / "&amp;Catalog!M55</f>
        <v xml:space="preserve"> / </v>
      </c>
      <c r="H82" s="16" t="str">
        <f t="shared" si="0"/>
        <v>Print</v>
      </c>
      <c r="I82" s="16" t="str">
        <f>IF(Catalog!T55&lt;&gt;"","ISBN:"&amp;Catalog!T55,IF(Catalog!U55&lt;&gt;"","ISSN:"&amp;Catalog!U55,"ACC:"&amp;Catalog!B55))</f>
        <v>ACC:</v>
      </c>
      <c r="J82" s="16">
        <f>Catalog!L55</f>
        <v>0</v>
      </c>
      <c r="K82" s="16">
        <f>IF(Catalog!AH55&lt;&gt;"",Catalog!AH55,Catalog!AF55)</f>
        <v>0</v>
      </c>
      <c r="L82" s="16">
        <f>Catalog!AE55</f>
        <v>0</v>
      </c>
      <c r="M82" s="16">
        <f>Catalog!W55</f>
        <v>0</v>
      </c>
      <c r="N82" s="16">
        <f>Catalog!R55</f>
        <v>0</v>
      </c>
      <c r="O82" s="16">
        <f>Catalog!AG55</f>
        <v>0</v>
      </c>
    </row>
    <row r="83" spans="1:15" ht="15.75" x14ac:dyDescent="0.25">
      <c r="A83" s="16">
        <f>Catalog!D56</f>
        <v>0</v>
      </c>
      <c r="B83" s="16">
        <f>Catalog!F56</f>
        <v>0</v>
      </c>
      <c r="C83" s="16" t="str">
        <f>IF(Catalog!I56="","",Catalog!I56)&amp;IF(AND(Catalog!I56&lt;&gt;"",Catalog!J56&lt;&gt;""),"; ","")&amp;IF(Catalog!J56="","",Catalog!J56)</f>
        <v/>
      </c>
      <c r="D83" s="16">
        <f>Catalog!Q56</f>
        <v>0</v>
      </c>
      <c r="E83" s="16">
        <f>Catalog!S56</f>
        <v>0</v>
      </c>
      <c r="F83" s="16">
        <f>Catalog!N56</f>
        <v>0</v>
      </c>
      <c r="G83" s="16" t="str">
        <f>Catalog!K56&amp;" / "&amp;Catalog!M56</f>
        <v xml:space="preserve"> / </v>
      </c>
      <c r="H83" s="16" t="str">
        <f t="shared" si="0"/>
        <v>Print</v>
      </c>
      <c r="I83" s="16" t="str">
        <f>IF(Catalog!T56&lt;&gt;"","ISBN:"&amp;Catalog!T56,IF(Catalog!U56&lt;&gt;"","ISSN:"&amp;Catalog!U56,"ACC:"&amp;Catalog!B56))</f>
        <v>ACC:</v>
      </c>
      <c r="J83" s="16">
        <f>Catalog!L56</f>
        <v>0</v>
      </c>
      <c r="K83" s="16">
        <f>IF(Catalog!AH56&lt;&gt;"",Catalog!AH56,Catalog!AF56)</f>
        <v>0</v>
      </c>
      <c r="L83" s="16">
        <f>Catalog!AE56</f>
        <v>0</v>
      </c>
      <c r="M83" s="16">
        <f>Catalog!W56</f>
        <v>0</v>
      </c>
      <c r="N83" s="16">
        <f>Catalog!R56</f>
        <v>0</v>
      </c>
      <c r="O83" s="16">
        <f>Catalog!AG56</f>
        <v>0</v>
      </c>
    </row>
    <row r="84" spans="1:15" ht="15.75" x14ac:dyDescent="0.25">
      <c r="A84" s="16">
        <f>Catalog!D57</f>
        <v>0</v>
      </c>
      <c r="B84" s="16">
        <f>Catalog!F57</f>
        <v>0</v>
      </c>
      <c r="C84" s="16" t="str">
        <f>IF(Catalog!I57="","",Catalog!I57)&amp;IF(AND(Catalog!I57&lt;&gt;"",Catalog!J57&lt;&gt;""),"; ","")&amp;IF(Catalog!J57="","",Catalog!J57)</f>
        <v/>
      </c>
      <c r="D84" s="16">
        <f>Catalog!Q57</f>
        <v>0</v>
      </c>
      <c r="E84" s="16">
        <f>Catalog!S57</f>
        <v>0</v>
      </c>
      <c r="F84" s="16">
        <f>Catalog!N57</f>
        <v>0</v>
      </c>
      <c r="G84" s="16" t="str">
        <f>Catalog!K57&amp;" / "&amp;Catalog!M57</f>
        <v xml:space="preserve"> / </v>
      </c>
      <c r="H84" s="16" t="str">
        <f t="shared" si="0"/>
        <v>Print</v>
      </c>
      <c r="I84" s="16" t="str">
        <f>IF(Catalog!T57&lt;&gt;"","ISBN:"&amp;Catalog!T57,IF(Catalog!U57&lt;&gt;"","ISSN:"&amp;Catalog!U57,"ACC:"&amp;Catalog!B57))</f>
        <v>ACC:</v>
      </c>
      <c r="J84" s="16">
        <f>Catalog!L57</f>
        <v>0</v>
      </c>
      <c r="K84" s="16">
        <f>IF(Catalog!AH57&lt;&gt;"",Catalog!AH57,Catalog!AF57)</f>
        <v>0</v>
      </c>
      <c r="L84" s="16">
        <f>Catalog!AE57</f>
        <v>0</v>
      </c>
      <c r="M84" s="16">
        <f>Catalog!W57</f>
        <v>0</v>
      </c>
      <c r="N84" s="16">
        <f>Catalog!R57</f>
        <v>0</v>
      </c>
      <c r="O84" s="16">
        <f>Catalog!AG57</f>
        <v>0</v>
      </c>
    </row>
    <row r="85" spans="1:15" ht="15.75" x14ac:dyDescent="0.25">
      <c r="A85" s="16">
        <f>Catalog!D58</f>
        <v>0</v>
      </c>
      <c r="B85" s="16">
        <f>Catalog!F58</f>
        <v>0</v>
      </c>
      <c r="C85" s="16" t="str">
        <f>IF(Catalog!I58="","",Catalog!I58)&amp;IF(AND(Catalog!I58&lt;&gt;"",Catalog!J58&lt;&gt;""),"; ","")&amp;IF(Catalog!J58="","",Catalog!J58)</f>
        <v/>
      </c>
      <c r="D85" s="16">
        <f>Catalog!Q58</f>
        <v>0</v>
      </c>
      <c r="E85" s="16">
        <f>Catalog!S58</f>
        <v>0</v>
      </c>
      <c r="F85" s="16">
        <f>Catalog!N58</f>
        <v>0</v>
      </c>
      <c r="G85" s="16" t="str">
        <f>Catalog!K58&amp;" / "&amp;Catalog!M58</f>
        <v xml:space="preserve"> / </v>
      </c>
      <c r="H85" s="16" t="str">
        <f t="shared" si="0"/>
        <v>Print</v>
      </c>
      <c r="I85" s="16" t="str">
        <f>IF(Catalog!T58&lt;&gt;"","ISBN:"&amp;Catalog!T58,IF(Catalog!U58&lt;&gt;"","ISSN:"&amp;Catalog!U58,"ACC:"&amp;Catalog!B58))</f>
        <v>ACC:</v>
      </c>
      <c r="J85" s="16">
        <f>Catalog!L58</f>
        <v>0</v>
      </c>
      <c r="K85" s="16">
        <f>IF(Catalog!AH58&lt;&gt;"",Catalog!AH58,Catalog!AF58)</f>
        <v>0</v>
      </c>
      <c r="L85" s="16">
        <f>Catalog!AE58</f>
        <v>0</v>
      </c>
      <c r="M85" s="16">
        <f>Catalog!W58</f>
        <v>0</v>
      </c>
      <c r="N85" s="16">
        <f>Catalog!R58</f>
        <v>0</v>
      </c>
      <c r="O85" s="16">
        <f>Catalog!AG58</f>
        <v>0</v>
      </c>
    </row>
    <row r="86" spans="1:15" ht="15.75" x14ac:dyDescent="0.25">
      <c r="A86" s="16">
        <f>Catalog!D59</f>
        <v>0</v>
      </c>
      <c r="B86" s="16">
        <f>Catalog!F59</f>
        <v>0</v>
      </c>
      <c r="C86" s="16" t="str">
        <f>IF(Catalog!I59="","",Catalog!I59)&amp;IF(AND(Catalog!I59&lt;&gt;"",Catalog!J59&lt;&gt;""),"; ","")&amp;IF(Catalog!J59="","",Catalog!J59)</f>
        <v/>
      </c>
      <c r="D86" s="16">
        <f>Catalog!Q59</f>
        <v>0</v>
      </c>
      <c r="E86" s="16">
        <f>Catalog!S59</f>
        <v>0</v>
      </c>
      <c r="F86" s="16">
        <f>Catalog!N59</f>
        <v>0</v>
      </c>
      <c r="G86" s="16" t="str">
        <f>Catalog!K59&amp;" / "&amp;Catalog!M59</f>
        <v xml:space="preserve"> / </v>
      </c>
      <c r="H86" s="16" t="str">
        <f t="shared" si="0"/>
        <v>Print</v>
      </c>
      <c r="I86" s="16" t="str">
        <f>IF(Catalog!T59&lt;&gt;"","ISBN:"&amp;Catalog!T59,IF(Catalog!U59&lt;&gt;"","ISSN:"&amp;Catalog!U59,"ACC:"&amp;Catalog!B59))</f>
        <v>ACC:</v>
      </c>
      <c r="J86" s="16">
        <f>Catalog!L59</f>
        <v>0</v>
      </c>
      <c r="K86" s="16">
        <f>IF(Catalog!AH59&lt;&gt;"",Catalog!AH59,Catalog!AF59)</f>
        <v>0</v>
      </c>
      <c r="L86" s="16">
        <f>Catalog!AE59</f>
        <v>0</v>
      </c>
      <c r="M86" s="16">
        <f>Catalog!W59</f>
        <v>0</v>
      </c>
      <c r="N86" s="16">
        <f>Catalog!R59</f>
        <v>0</v>
      </c>
      <c r="O86" s="16">
        <f>Catalog!AG59</f>
        <v>0</v>
      </c>
    </row>
    <row r="87" spans="1:15" ht="15.75" x14ac:dyDescent="0.25">
      <c r="A87" s="16">
        <f>Catalog!D60</f>
        <v>0</v>
      </c>
      <c r="B87" s="16">
        <f>Catalog!F60</f>
        <v>0</v>
      </c>
      <c r="C87" s="16" t="str">
        <f>IF(Catalog!I60="","",Catalog!I60)&amp;IF(AND(Catalog!I60&lt;&gt;"",Catalog!J60&lt;&gt;""),"; ","")&amp;IF(Catalog!J60="","",Catalog!J60)</f>
        <v/>
      </c>
      <c r="D87" s="16">
        <f>Catalog!Q60</f>
        <v>0</v>
      </c>
      <c r="E87" s="16">
        <f>Catalog!S60</f>
        <v>0</v>
      </c>
      <c r="F87" s="16">
        <f>Catalog!N60</f>
        <v>0</v>
      </c>
      <c r="G87" s="16" t="str">
        <f>Catalog!K60&amp;" / "&amp;Catalog!M60</f>
        <v xml:space="preserve"> / </v>
      </c>
      <c r="H87" s="16" t="str">
        <f t="shared" si="0"/>
        <v>Print</v>
      </c>
      <c r="I87" s="16" t="str">
        <f>IF(Catalog!T60&lt;&gt;"","ISBN:"&amp;Catalog!T60,IF(Catalog!U60&lt;&gt;"","ISSN:"&amp;Catalog!U60,"ACC:"&amp;Catalog!B60))</f>
        <v>ACC:</v>
      </c>
      <c r="J87" s="16">
        <f>Catalog!L60</f>
        <v>0</v>
      </c>
      <c r="K87" s="16">
        <f>IF(Catalog!AH60&lt;&gt;"",Catalog!AH60,Catalog!AF60)</f>
        <v>0</v>
      </c>
      <c r="L87" s="16">
        <f>Catalog!AE60</f>
        <v>0</v>
      </c>
      <c r="M87" s="16">
        <f>Catalog!W60</f>
        <v>0</v>
      </c>
      <c r="N87" s="16">
        <f>Catalog!R60</f>
        <v>0</v>
      </c>
      <c r="O87" s="16">
        <f>Catalog!AG60</f>
        <v>0</v>
      </c>
    </row>
    <row r="88" spans="1:15" ht="15.75" x14ac:dyDescent="0.25">
      <c r="A88" s="16">
        <f>Catalog!D61</f>
        <v>0</v>
      </c>
      <c r="B88" s="16">
        <f>Catalog!F61</f>
        <v>0</v>
      </c>
      <c r="C88" s="16" t="str">
        <f>IF(Catalog!I61="","",Catalog!I61)&amp;IF(AND(Catalog!I61&lt;&gt;"",Catalog!J61&lt;&gt;""),"; ","")&amp;IF(Catalog!J61="","",Catalog!J61)</f>
        <v/>
      </c>
      <c r="D88" s="16">
        <f>Catalog!Q61</f>
        <v>0</v>
      </c>
      <c r="E88" s="16">
        <f>Catalog!S61</f>
        <v>0</v>
      </c>
      <c r="F88" s="16">
        <f>Catalog!N61</f>
        <v>0</v>
      </c>
      <c r="G88" s="16" t="str">
        <f>Catalog!K61&amp;" / "&amp;Catalog!M61</f>
        <v xml:space="preserve"> / </v>
      </c>
      <c r="H88" s="16" t="str">
        <f t="shared" si="0"/>
        <v>Print</v>
      </c>
      <c r="I88" s="16" t="str">
        <f>IF(Catalog!T61&lt;&gt;"","ISBN:"&amp;Catalog!T61,IF(Catalog!U61&lt;&gt;"","ISSN:"&amp;Catalog!U61,"ACC:"&amp;Catalog!B61))</f>
        <v>ACC:</v>
      </c>
      <c r="J88" s="16">
        <f>Catalog!L61</f>
        <v>0</v>
      </c>
      <c r="K88" s="16">
        <f>IF(Catalog!AH61&lt;&gt;"",Catalog!AH61,Catalog!AF61)</f>
        <v>0</v>
      </c>
      <c r="L88" s="16">
        <f>Catalog!AE61</f>
        <v>0</v>
      </c>
      <c r="M88" s="16">
        <f>Catalog!W61</f>
        <v>0</v>
      </c>
      <c r="N88" s="16">
        <f>Catalog!R61</f>
        <v>0</v>
      </c>
      <c r="O88" s="16">
        <f>Catalog!AG61</f>
        <v>0</v>
      </c>
    </row>
    <row r="89" spans="1:15" ht="15.75" x14ac:dyDescent="0.25">
      <c r="A89" s="16">
        <f>Catalog!D62</f>
        <v>0</v>
      </c>
      <c r="B89" s="16">
        <f>Catalog!F62</f>
        <v>0</v>
      </c>
      <c r="C89" s="16" t="str">
        <f>IF(Catalog!I62="","",Catalog!I62)&amp;IF(AND(Catalog!I62&lt;&gt;"",Catalog!J62&lt;&gt;""),"; ","")&amp;IF(Catalog!J62="","",Catalog!J62)</f>
        <v/>
      </c>
      <c r="D89" s="16">
        <f>Catalog!Q62</f>
        <v>0</v>
      </c>
      <c r="E89" s="16">
        <f>Catalog!S62</f>
        <v>0</v>
      </c>
      <c r="F89" s="16">
        <f>Catalog!N62</f>
        <v>0</v>
      </c>
      <c r="G89" s="16" t="str">
        <f>Catalog!K62&amp;" / "&amp;Catalog!M62</f>
        <v xml:space="preserve"> / </v>
      </c>
      <c r="H89" s="16" t="str">
        <f t="shared" si="0"/>
        <v>Print</v>
      </c>
      <c r="I89" s="16" t="str">
        <f>IF(Catalog!T62&lt;&gt;"","ISBN:"&amp;Catalog!T62,IF(Catalog!U62&lt;&gt;"","ISSN:"&amp;Catalog!U62,"ACC:"&amp;Catalog!B62))</f>
        <v>ACC:</v>
      </c>
      <c r="J89" s="16">
        <f>Catalog!L62</f>
        <v>0</v>
      </c>
      <c r="K89" s="16">
        <f>IF(Catalog!AH62&lt;&gt;"",Catalog!AH62,Catalog!AF62)</f>
        <v>0</v>
      </c>
      <c r="L89" s="16">
        <f>Catalog!AE62</f>
        <v>0</v>
      </c>
      <c r="M89" s="16">
        <f>Catalog!W62</f>
        <v>0</v>
      </c>
      <c r="N89" s="16">
        <f>Catalog!R62</f>
        <v>0</v>
      </c>
      <c r="O89" s="16">
        <f>Catalog!AG62</f>
        <v>0</v>
      </c>
    </row>
    <row r="90" spans="1:15" ht="15.75" x14ac:dyDescent="0.25">
      <c r="A90" s="16">
        <f>Catalog!D63</f>
        <v>0</v>
      </c>
      <c r="B90" s="16">
        <f>Catalog!F63</f>
        <v>0</v>
      </c>
      <c r="C90" s="16" t="str">
        <f>IF(Catalog!I63="","",Catalog!I63)&amp;IF(AND(Catalog!I63&lt;&gt;"",Catalog!J63&lt;&gt;""),"; ","")&amp;IF(Catalog!J63="","",Catalog!J63)</f>
        <v/>
      </c>
      <c r="D90" s="16">
        <f>Catalog!Q63</f>
        <v>0</v>
      </c>
      <c r="E90" s="16">
        <f>Catalog!S63</f>
        <v>0</v>
      </c>
      <c r="F90" s="16">
        <f>Catalog!N63</f>
        <v>0</v>
      </c>
      <c r="G90" s="16" t="str">
        <f>Catalog!K63&amp;" / "&amp;Catalog!M63</f>
        <v xml:space="preserve"> / </v>
      </c>
      <c r="H90" s="16" t="str">
        <f t="shared" si="0"/>
        <v>Print</v>
      </c>
      <c r="I90" s="16" t="str">
        <f>IF(Catalog!T63&lt;&gt;"","ISBN:"&amp;Catalog!T63,IF(Catalog!U63&lt;&gt;"","ISSN:"&amp;Catalog!U63,"ACC:"&amp;Catalog!B63))</f>
        <v>ACC:</v>
      </c>
      <c r="J90" s="16">
        <f>Catalog!L63</f>
        <v>0</v>
      </c>
      <c r="K90" s="16">
        <f>IF(Catalog!AH63&lt;&gt;"",Catalog!AH63,Catalog!AF63)</f>
        <v>0</v>
      </c>
      <c r="L90" s="16">
        <f>Catalog!AE63</f>
        <v>0</v>
      </c>
      <c r="M90" s="16">
        <f>Catalog!W63</f>
        <v>0</v>
      </c>
      <c r="N90" s="16">
        <f>Catalog!R63</f>
        <v>0</v>
      </c>
      <c r="O90" s="16">
        <f>Catalog!AG63</f>
        <v>0</v>
      </c>
    </row>
    <row r="91" spans="1:15" ht="15.75" x14ac:dyDescent="0.25">
      <c r="A91" s="16">
        <f>Catalog!D64</f>
        <v>0</v>
      </c>
      <c r="B91" s="16">
        <f>Catalog!F64</f>
        <v>0</v>
      </c>
      <c r="C91" s="16" t="str">
        <f>IF(Catalog!I64="","",Catalog!I64)&amp;IF(AND(Catalog!I64&lt;&gt;"",Catalog!J64&lt;&gt;""),"; ","")&amp;IF(Catalog!J64="","",Catalog!J64)</f>
        <v/>
      </c>
      <c r="D91" s="16">
        <f>Catalog!Q64</f>
        <v>0</v>
      </c>
      <c r="E91" s="16">
        <f>Catalog!S64</f>
        <v>0</v>
      </c>
      <c r="F91" s="16">
        <f>Catalog!N64</f>
        <v>0</v>
      </c>
      <c r="G91" s="16" t="str">
        <f>Catalog!K64&amp;" / "&amp;Catalog!M64</f>
        <v xml:space="preserve"> / </v>
      </c>
      <c r="H91" s="16" t="str">
        <f t="shared" si="0"/>
        <v>Print</v>
      </c>
      <c r="I91" s="16" t="str">
        <f>IF(Catalog!T64&lt;&gt;"","ISBN:"&amp;Catalog!T64,IF(Catalog!U64&lt;&gt;"","ISSN:"&amp;Catalog!U64,"ACC:"&amp;Catalog!B64))</f>
        <v>ACC:</v>
      </c>
      <c r="J91" s="16">
        <f>Catalog!L64</f>
        <v>0</v>
      </c>
      <c r="K91" s="16">
        <f>IF(Catalog!AH64&lt;&gt;"",Catalog!AH64,Catalog!AF64)</f>
        <v>0</v>
      </c>
      <c r="L91" s="16">
        <f>Catalog!AE64</f>
        <v>0</v>
      </c>
      <c r="M91" s="16">
        <f>Catalog!W64</f>
        <v>0</v>
      </c>
      <c r="N91" s="16">
        <f>Catalog!R64</f>
        <v>0</v>
      </c>
      <c r="O91" s="16">
        <f>Catalog!AG64</f>
        <v>0</v>
      </c>
    </row>
    <row r="92" spans="1:15" ht="15.75" x14ac:dyDescent="0.25">
      <c r="A92" s="16">
        <f>Catalog!D65</f>
        <v>0</v>
      </c>
      <c r="B92" s="16">
        <f>Catalog!F65</f>
        <v>0</v>
      </c>
      <c r="C92" s="16" t="str">
        <f>IF(Catalog!I65="","",Catalog!I65)&amp;IF(AND(Catalog!I65&lt;&gt;"",Catalog!J65&lt;&gt;""),"; ","")&amp;IF(Catalog!J65="","",Catalog!J65)</f>
        <v/>
      </c>
      <c r="D92" s="16">
        <f>Catalog!Q65</f>
        <v>0</v>
      </c>
      <c r="E92" s="16">
        <f>Catalog!S65</f>
        <v>0</v>
      </c>
      <c r="F92" s="16">
        <f>Catalog!N65</f>
        <v>0</v>
      </c>
      <c r="G92" s="16" t="str">
        <f>Catalog!K65&amp;" / "&amp;Catalog!M65</f>
        <v xml:space="preserve"> / </v>
      </c>
      <c r="H92" s="16" t="str">
        <f t="shared" si="0"/>
        <v>Print</v>
      </c>
      <c r="I92" s="16" t="str">
        <f>IF(Catalog!T65&lt;&gt;"","ISBN:"&amp;Catalog!T65,IF(Catalog!U65&lt;&gt;"","ISSN:"&amp;Catalog!U65,"ACC:"&amp;Catalog!B65))</f>
        <v>ACC:</v>
      </c>
      <c r="J92" s="16">
        <f>Catalog!L65</f>
        <v>0</v>
      </c>
      <c r="K92" s="16">
        <f>IF(Catalog!AH65&lt;&gt;"",Catalog!AH65,Catalog!AF65)</f>
        <v>0</v>
      </c>
      <c r="L92" s="16">
        <f>Catalog!AE65</f>
        <v>0</v>
      </c>
      <c r="M92" s="16">
        <f>Catalog!W65</f>
        <v>0</v>
      </c>
      <c r="N92" s="16">
        <f>Catalog!R65</f>
        <v>0</v>
      </c>
      <c r="O92" s="16">
        <f>Catalog!AG65</f>
        <v>0</v>
      </c>
    </row>
    <row r="93" spans="1:15" ht="15.75" x14ac:dyDescent="0.25">
      <c r="A93" s="16">
        <f>Catalog!D66</f>
        <v>0</v>
      </c>
      <c r="B93" s="16">
        <f>Catalog!F66</f>
        <v>0</v>
      </c>
      <c r="C93" s="16" t="str">
        <f>IF(Catalog!I66="","",Catalog!I66)&amp;IF(AND(Catalog!I66&lt;&gt;"",Catalog!J66&lt;&gt;""),"; ","")&amp;IF(Catalog!J66="","",Catalog!J66)</f>
        <v/>
      </c>
      <c r="D93" s="16">
        <f>Catalog!Q66</f>
        <v>0</v>
      </c>
      <c r="E93" s="16">
        <f>Catalog!S66</f>
        <v>0</v>
      </c>
      <c r="F93" s="16">
        <f>Catalog!N66</f>
        <v>0</v>
      </c>
      <c r="G93" s="16" t="str">
        <f>Catalog!K66&amp;" / "&amp;Catalog!M66</f>
        <v xml:space="preserve"> / </v>
      </c>
      <c r="H93" s="16" t="str">
        <f t="shared" ref="H93:H156" si="1">"Print"</f>
        <v>Print</v>
      </c>
      <c r="I93" s="16" t="str">
        <f>IF(Catalog!T66&lt;&gt;"","ISBN:"&amp;Catalog!T66,IF(Catalog!U66&lt;&gt;"","ISSN:"&amp;Catalog!U66,"ACC:"&amp;Catalog!B66))</f>
        <v>ACC:</v>
      </c>
      <c r="J93" s="16">
        <f>Catalog!L66</f>
        <v>0</v>
      </c>
      <c r="K93" s="16">
        <f>IF(Catalog!AH66&lt;&gt;"",Catalog!AH66,Catalog!AF66)</f>
        <v>0</v>
      </c>
      <c r="L93" s="16">
        <f>Catalog!AE66</f>
        <v>0</v>
      </c>
      <c r="M93" s="16">
        <f>Catalog!W66</f>
        <v>0</v>
      </c>
      <c r="N93" s="16">
        <f>Catalog!R66</f>
        <v>0</v>
      </c>
      <c r="O93" s="16">
        <f>Catalog!AG66</f>
        <v>0</v>
      </c>
    </row>
    <row r="94" spans="1:15" ht="15.75" x14ac:dyDescent="0.25">
      <c r="A94" s="16">
        <f>Catalog!D67</f>
        <v>0</v>
      </c>
      <c r="B94" s="16">
        <f>Catalog!F67</f>
        <v>0</v>
      </c>
      <c r="C94" s="16" t="str">
        <f>IF(Catalog!I67="","",Catalog!I67)&amp;IF(AND(Catalog!I67&lt;&gt;"",Catalog!J67&lt;&gt;""),"; ","")&amp;IF(Catalog!J67="","",Catalog!J67)</f>
        <v/>
      </c>
      <c r="D94" s="16">
        <f>Catalog!Q67</f>
        <v>0</v>
      </c>
      <c r="E94" s="16">
        <f>Catalog!S67</f>
        <v>0</v>
      </c>
      <c r="F94" s="16">
        <f>Catalog!N67</f>
        <v>0</v>
      </c>
      <c r="G94" s="16" t="str">
        <f>Catalog!K67&amp;" / "&amp;Catalog!M67</f>
        <v xml:space="preserve"> / </v>
      </c>
      <c r="H94" s="16" t="str">
        <f t="shared" si="1"/>
        <v>Print</v>
      </c>
      <c r="I94" s="16" t="str">
        <f>IF(Catalog!T67&lt;&gt;"","ISBN:"&amp;Catalog!T67,IF(Catalog!U67&lt;&gt;"","ISSN:"&amp;Catalog!U67,"ACC:"&amp;Catalog!B67))</f>
        <v>ACC:</v>
      </c>
      <c r="J94" s="16">
        <f>Catalog!L67</f>
        <v>0</v>
      </c>
      <c r="K94" s="16">
        <f>IF(Catalog!AH67&lt;&gt;"",Catalog!AH67,Catalog!AF67)</f>
        <v>0</v>
      </c>
      <c r="L94" s="16">
        <f>Catalog!AE67</f>
        <v>0</v>
      </c>
      <c r="M94" s="16">
        <f>Catalog!W67</f>
        <v>0</v>
      </c>
      <c r="N94" s="16">
        <f>Catalog!R67</f>
        <v>0</v>
      </c>
      <c r="O94" s="16">
        <f>Catalog!AG67</f>
        <v>0</v>
      </c>
    </row>
    <row r="95" spans="1:15" ht="15.75" x14ac:dyDescent="0.25">
      <c r="A95" s="16">
        <f>Catalog!D68</f>
        <v>0</v>
      </c>
      <c r="B95" s="16">
        <f>Catalog!F68</f>
        <v>0</v>
      </c>
      <c r="C95" s="16" t="str">
        <f>IF(Catalog!I68="","",Catalog!I68)&amp;IF(AND(Catalog!I68&lt;&gt;"",Catalog!J68&lt;&gt;""),"; ","")&amp;IF(Catalog!J68="","",Catalog!J68)</f>
        <v/>
      </c>
      <c r="D95" s="16">
        <f>Catalog!Q68</f>
        <v>0</v>
      </c>
      <c r="E95" s="16">
        <f>Catalog!S68</f>
        <v>0</v>
      </c>
      <c r="F95" s="16">
        <f>Catalog!N68</f>
        <v>0</v>
      </c>
      <c r="G95" s="16" t="str">
        <f>Catalog!K68&amp;" / "&amp;Catalog!M68</f>
        <v xml:space="preserve"> / </v>
      </c>
      <c r="H95" s="16" t="str">
        <f t="shared" si="1"/>
        <v>Print</v>
      </c>
      <c r="I95" s="16" t="str">
        <f>IF(Catalog!T68&lt;&gt;"","ISBN:"&amp;Catalog!T68,IF(Catalog!U68&lt;&gt;"","ISSN:"&amp;Catalog!U68,"ACC:"&amp;Catalog!B68))</f>
        <v>ACC:</v>
      </c>
      <c r="J95" s="16">
        <f>Catalog!L68</f>
        <v>0</v>
      </c>
      <c r="K95" s="16">
        <f>IF(Catalog!AH68&lt;&gt;"",Catalog!AH68,Catalog!AF68)</f>
        <v>0</v>
      </c>
      <c r="L95" s="16">
        <f>Catalog!AE68</f>
        <v>0</v>
      </c>
      <c r="M95" s="16">
        <f>Catalog!W68</f>
        <v>0</v>
      </c>
      <c r="N95" s="16">
        <f>Catalog!R68</f>
        <v>0</v>
      </c>
      <c r="O95" s="16">
        <f>Catalog!AG68</f>
        <v>0</v>
      </c>
    </row>
    <row r="96" spans="1:15" ht="15.75" x14ac:dyDescent="0.25">
      <c r="A96" s="16">
        <f>Catalog!D69</f>
        <v>0</v>
      </c>
      <c r="B96" s="16">
        <f>Catalog!F69</f>
        <v>0</v>
      </c>
      <c r="C96" s="16" t="str">
        <f>IF(Catalog!I69="","",Catalog!I69)&amp;IF(AND(Catalog!I69&lt;&gt;"",Catalog!J69&lt;&gt;""),"; ","")&amp;IF(Catalog!J69="","",Catalog!J69)</f>
        <v/>
      </c>
      <c r="D96" s="16">
        <f>Catalog!Q69</f>
        <v>0</v>
      </c>
      <c r="E96" s="16">
        <f>Catalog!S69</f>
        <v>0</v>
      </c>
      <c r="F96" s="16">
        <f>Catalog!N69</f>
        <v>0</v>
      </c>
      <c r="G96" s="16" t="str">
        <f>Catalog!K69&amp;" / "&amp;Catalog!M69</f>
        <v xml:space="preserve"> / </v>
      </c>
      <c r="H96" s="16" t="str">
        <f t="shared" si="1"/>
        <v>Print</v>
      </c>
      <c r="I96" s="16" t="str">
        <f>IF(Catalog!T69&lt;&gt;"","ISBN:"&amp;Catalog!T69,IF(Catalog!U69&lt;&gt;"","ISSN:"&amp;Catalog!U69,"ACC:"&amp;Catalog!B69))</f>
        <v>ACC:</v>
      </c>
      <c r="J96" s="16">
        <f>Catalog!L69</f>
        <v>0</v>
      </c>
      <c r="K96" s="16">
        <f>IF(Catalog!AH69&lt;&gt;"",Catalog!AH69,Catalog!AF69)</f>
        <v>0</v>
      </c>
      <c r="L96" s="16">
        <f>Catalog!AE69</f>
        <v>0</v>
      </c>
      <c r="M96" s="16">
        <f>Catalog!W69</f>
        <v>0</v>
      </c>
      <c r="N96" s="16">
        <f>Catalog!R69</f>
        <v>0</v>
      </c>
      <c r="O96" s="16">
        <f>Catalog!AG69</f>
        <v>0</v>
      </c>
    </row>
    <row r="97" spans="1:15" ht="15.75" x14ac:dyDescent="0.25">
      <c r="A97" s="16">
        <f>Catalog!D70</f>
        <v>0</v>
      </c>
      <c r="B97" s="16">
        <f>Catalog!F70</f>
        <v>0</v>
      </c>
      <c r="C97" s="16" t="str">
        <f>IF(Catalog!I70="","",Catalog!I70)&amp;IF(AND(Catalog!I70&lt;&gt;"",Catalog!J70&lt;&gt;""),"; ","")&amp;IF(Catalog!J70="","",Catalog!J70)</f>
        <v/>
      </c>
      <c r="D97" s="16">
        <f>Catalog!Q70</f>
        <v>0</v>
      </c>
      <c r="E97" s="16">
        <f>Catalog!S70</f>
        <v>0</v>
      </c>
      <c r="F97" s="16">
        <f>Catalog!N70</f>
        <v>0</v>
      </c>
      <c r="G97" s="16" t="str">
        <f>Catalog!K70&amp;" / "&amp;Catalog!M70</f>
        <v xml:space="preserve"> / </v>
      </c>
      <c r="H97" s="16" t="str">
        <f t="shared" si="1"/>
        <v>Print</v>
      </c>
      <c r="I97" s="16" t="str">
        <f>IF(Catalog!T70&lt;&gt;"","ISBN:"&amp;Catalog!T70,IF(Catalog!U70&lt;&gt;"","ISSN:"&amp;Catalog!U70,"ACC:"&amp;Catalog!B70))</f>
        <v>ACC:</v>
      </c>
      <c r="J97" s="16">
        <f>Catalog!L70</f>
        <v>0</v>
      </c>
      <c r="K97" s="16">
        <f>IF(Catalog!AH70&lt;&gt;"",Catalog!AH70,Catalog!AF70)</f>
        <v>0</v>
      </c>
      <c r="L97" s="16">
        <f>Catalog!AE70</f>
        <v>0</v>
      </c>
      <c r="M97" s="16">
        <f>Catalog!W70</f>
        <v>0</v>
      </c>
      <c r="N97" s="16">
        <f>Catalog!R70</f>
        <v>0</v>
      </c>
      <c r="O97" s="16">
        <f>Catalog!AG70</f>
        <v>0</v>
      </c>
    </row>
    <row r="98" spans="1:15" ht="15.75" x14ac:dyDescent="0.25">
      <c r="A98" s="16">
        <f>Catalog!D71</f>
        <v>0</v>
      </c>
      <c r="B98" s="16">
        <f>Catalog!F71</f>
        <v>0</v>
      </c>
      <c r="C98" s="16" t="str">
        <f>IF(Catalog!I71="","",Catalog!I71)&amp;IF(AND(Catalog!I71&lt;&gt;"",Catalog!J71&lt;&gt;""),"; ","")&amp;IF(Catalog!J71="","",Catalog!J71)</f>
        <v/>
      </c>
      <c r="D98" s="16">
        <f>Catalog!Q71</f>
        <v>0</v>
      </c>
      <c r="E98" s="16">
        <f>Catalog!S71</f>
        <v>0</v>
      </c>
      <c r="F98" s="16">
        <f>Catalog!N71</f>
        <v>0</v>
      </c>
      <c r="G98" s="16" t="str">
        <f>Catalog!K71&amp;" / "&amp;Catalog!M71</f>
        <v xml:space="preserve"> / </v>
      </c>
      <c r="H98" s="16" t="str">
        <f t="shared" si="1"/>
        <v>Print</v>
      </c>
      <c r="I98" s="16" t="str">
        <f>IF(Catalog!T71&lt;&gt;"","ISBN:"&amp;Catalog!T71,IF(Catalog!U71&lt;&gt;"","ISSN:"&amp;Catalog!U71,"ACC:"&amp;Catalog!B71))</f>
        <v>ACC:</v>
      </c>
      <c r="J98" s="16">
        <f>Catalog!L71</f>
        <v>0</v>
      </c>
      <c r="K98" s="16">
        <f>IF(Catalog!AH71&lt;&gt;"",Catalog!AH71,Catalog!AF71)</f>
        <v>0</v>
      </c>
      <c r="L98" s="16">
        <f>Catalog!AE71</f>
        <v>0</v>
      </c>
      <c r="M98" s="16">
        <f>Catalog!W71</f>
        <v>0</v>
      </c>
      <c r="N98" s="16">
        <f>Catalog!R71</f>
        <v>0</v>
      </c>
      <c r="O98" s="16">
        <f>Catalog!AG71</f>
        <v>0</v>
      </c>
    </row>
    <row r="99" spans="1:15" ht="15.75" x14ac:dyDescent="0.25">
      <c r="A99" s="16">
        <f>Catalog!D72</f>
        <v>0</v>
      </c>
      <c r="B99" s="16">
        <f>Catalog!F72</f>
        <v>0</v>
      </c>
      <c r="C99" s="16" t="str">
        <f>IF(Catalog!I72="","",Catalog!I72)&amp;IF(AND(Catalog!I72&lt;&gt;"",Catalog!J72&lt;&gt;""),"; ","")&amp;IF(Catalog!J72="","",Catalog!J72)</f>
        <v/>
      </c>
      <c r="D99" s="16">
        <f>Catalog!Q72</f>
        <v>0</v>
      </c>
      <c r="E99" s="16">
        <f>Catalog!S72</f>
        <v>0</v>
      </c>
      <c r="F99" s="16">
        <f>Catalog!N72</f>
        <v>0</v>
      </c>
      <c r="G99" s="16" t="str">
        <f>Catalog!K72&amp;" / "&amp;Catalog!M72</f>
        <v xml:space="preserve"> / </v>
      </c>
      <c r="H99" s="16" t="str">
        <f t="shared" si="1"/>
        <v>Print</v>
      </c>
      <c r="I99" s="16" t="str">
        <f>IF(Catalog!T72&lt;&gt;"","ISBN:"&amp;Catalog!T72,IF(Catalog!U72&lt;&gt;"","ISSN:"&amp;Catalog!U72,"ACC:"&amp;Catalog!B72))</f>
        <v>ACC:</v>
      </c>
      <c r="J99" s="16">
        <f>Catalog!L72</f>
        <v>0</v>
      </c>
      <c r="K99" s="16">
        <f>IF(Catalog!AH72&lt;&gt;"",Catalog!AH72,Catalog!AF72)</f>
        <v>0</v>
      </c>
      <c r="L99" s="16">
        <f>Catalog!AE72</f>
        <v>0</v>
      </c>
      <c r="M99" s="16">
        <f>Catalog!W72</f>
        <v>0</v>
      </c>
      <c r="N99" s="16">
        <f>Catalog!R72</f>
        <v>0</v>
      </c>
      <c r="O99" s="16">
        <f>Catalog!AG72</f>
        <v>0</v>
      </c>
    </row>
    <row r="100" spans="1:15" ht="15.75" x14ac:dyDescent="0.25">
      <c r="A100" s="16">
        <f>Catalog!D73</f>
        <v>0</v>
      </c>
      <c r="B100" s="16">
        <f>Catalog!F73</f>
        <v>0</v>
      </c>
      <c r="C100" s="16" t="str">
        <f>IF(Catalog!I73="","",Catalog!I73)&amp;IF(AND(Catalog!I73&lt;&gt;"",Catalog!J73&lt;&gt;""),"; ","")&amp;IF(Catalog!J73="","",Catalog!J73)</f>
        <v/>
      </c>
      <c r="D100" s="16">
        <f>Catalog!Q73</f>
        <v>0</v>
      </c>
      <c r="E100" s="16">
        <f>Catalog!S73</f>
        <v>0</v>
      </c>
      <c r="F100" s="16">
        <f>Catalog!N73</f>
        <v>0</v>
      </c>
      <c r="G100" s="16" t="str">
        <f>Catalog!K73&amp;" / "&amp;Catalog!M73</f>
        <v xml:space="preserve"> / </v>
      </c>
      <c r="H100" s="16" t="str">
        <f t="shared" si="1"/>
        <v>Print</v>
      </c>
      <c r="I100" s="16" t="str">
        <f>IF(Catalog!T73&lt;&gt;"","ISBN:"&amp;Catalog!T73,IF(Catalog!U73&lt;&gt;"","ISSN:"&amp;Catalog!U73,"ACC:"&amp;Catalog!B73))</f>
        <v>ACC:</v>
      </c>
      <c r="J100" s="16">
        <f>Catalog!L73</f>
        <v>0</v>
      </c>
      <c r="K100" s="16">
        <f>IF(Catalog!AH73&lt;&gt;"",Catalog!AH73,Catalog!AF73)</f>
        <v>0</v>
      </c>
      <c r="L100" s="16">
        <f>Catalog!AE73</f>
        <v>0</v>
      </c>
      <c r="M100" s="16">
        <f>Catalog!W73</f>
        <v>0</v>
      </c>
      <c r="N100" s="16">
        <f>Catalog!R73</f>
        <v>0</v>
      </c>
      <c r="O100" s="16">
        <f>Catalog!AG73</f>
        <v>0</v>
      </c>
    </row>
    <row r="101" spans="1:15" ht="15.75" x14ac:dyDescent="0.25">
      <c r="A101" s="16">
        <f>Catalog!D74</f>
        <v>0</v>
      </c>
      <c r="B101" s="16">
        <f>Catalog!F74</f>
        <v>0</v>
      </c>
      <c r="C101" s="16" t="str">
        <f>IF(Catalog!I74="","",Catalog!I74)&amp;IF(AND(Catalog!I74&lt;&gt;"",Catalog!J74&lt;&gt;""),"; ","")&amp;IF(Catalog!J74="","",Catalog!J74)</f>
        <v/>
      </c>
      <c r="D101" s="16">
        <f>Catalog!Q74</f>
        <v>0</v>
      </c>
      <c r="E101" s="16">
        <f>Catalog!S74</f>
        <v>0</v>
      </c>
      <c r="F101" s="16">
        <f>Catalog!N74</f>
        <v>0</v>
      </c>
      <c r="G101" s="16" t="str">
        <f>Catalog!K74&amp;" / "&amp;Catalog!M74</f>
        <v xml:space="preserve"> / </v>
      </c>
      <c r="H101" s="16" t="str">
        <f t="shared" si="1"/>
        <v>Print</v>
      </c>
      <c r="I101" s="16" t="str">
        <f>IF(Catalog!T74&lt;&gt;"","ISBN:"&amp;Catalog!T74,IF(Catalog!U74&lt;&gt;"","ISSN:"&amp;Catalog!U74,"ACC:"&amp;Catalog!B74))</f>
        <v>ACC:</v>
      </c>
      <c r="J101" s="16">
        <f>Catalog!L74</f>
        <v>0</v>
      </c>
      <c r="K101" s="16">
        <f>IF(Catalog!AH74&lt;&gt;"",Catalog!AH74,Catalog!AF74)</f>
        <v>0</v>
      </c>
      <c r="L101" s="16">
        <f>Catalog!AE74</f>
        <v>0</v>
      </c>
      <c r="M101" s="16">
        <f>Catalog!W74</f>
        <v>0</v>
      </c>
      <c r="N101" s="16">
        <f>Catalog!R74</f>
        <v>0</v>
      </c>
      <c r="O101" s="16">
        <f>Catalog!AG74</f>
        <v>0</v>
      </c>
    </row>
    <row r="102" spans="1:15" ht="15.75" x14ac:dyDescent="0.25">
      <c r="A102" s="16">
        <f>Catalog!D75</f>
        <v>0</v>
      </c>
      <c r="B102" s="16">
        <f>Catalog!F75</f>
        <v>0</v>
      </c>
      <c r="C102" s="16" t="str">
        <f>IF(Catalog!I75="","",Catalog!I75)&amp;IF(AND(Catalog!I75&lt;&gt;"",Catalog!J75&lt;&gt;""),"; ","")&amp;IF(Catalog!J75="","",Catalog!J75)</f>
        <v/>
      </c>
      <c r="D102" s="16">
        <f>Catalog!Q75</f>
        <v>0</v>
      </c>
      <c r="E102" s="16">
        <f>Catalog!S75</f>
        <v>0</v>
      </c>
      <c r="F102" s="16">
        <f>Catalog!N75</f>
        <v>0</v>
      </c>
      <c r="G102" s="16" t="str">
        <f>Catalog!K75&amp;" / "&amp;Catalog!M75</f>
        <v xml:space="preserve"> / </v>
      </c>
      <c r="H102" s="16" t="str">
        <f t="shared" si="1"/>
        <v>Print</v>
      </c>
      <c r="I102" s="16" t="str">
        <f>IF(Catalog!T75&lt;&gt;"","ISBN:"&amp;Catalog!T75,IF(Catalog!U75&lt;&gt;"","ISSN:"&amp;Catalog!U75,"ACC:"&amp;Catalog!B75))</f>
        <v>ACC:</v>
      </c>
      <c r="J102" s="16">
        <f>Catalog!L75</f>
        <v>0</v>
      </c>
      <c r="K102" s="16">
        <f>IF(Catalog!AH75&lt;&gt;"",Catalog!AH75,Catalog!AF75)</f>
        <v>0</v>
      </c>
      <c r="L102" s="16">
        <f>Catalog!AE75</f>
        <v>0</v>
      </c>
      <c r="M102" s="16">
        <f>Catalog!W75</f>
        <v>0</v>
      </c>
      <c r="N102" s="16">
        <f>Catalog!R75</f>
        <v>0</v>
      </c>
      <c r="O102" s="16">
        <f>Catalog!AG75</f>
        <v>0</v>
      </c>
    </row>
    <row r="103" spans="1:15" ht="15.75" x14ac:dyDescent="0.25">
      <c r="A103" s="16">
        <f>Catalog!D76</f>
        <v>0</v>
      </c>
      <c r="B103" s="16">
        <f>Catalog!F76</f>
        <v>0</v>
      </c>
      <c r="C103" s="16" t="str">
        <f>IF(Catalog!I76="","",Catalog!I76)&amp;IF(AND(Catalog!I76&lt;&gt;"",Catalog!J76&lt;&gt;""),"; ","")&amp;IF(Catalog!J76="","",Catalog!J76)</f>
        <v/>
      </c>
      <c r="D103" s="16">
        <f>Catalog!Q76</f>
        <v>0</v>
      </c>
      <c r="E103" s="16">
        <f>Catalog!S76</f>
        <v>0</v>
      </c>
      <c r="F103" s="16">
        <f>Catalog!N76</f>
        <v>0</v>
      </c>
      <c r="G103" s="16" t="str">
        <f>Catalog!K76&amp;" / "&amp;Catalog!M76</f>
        <v xml:space="preserve"> / </v>
      </c>
      <c r="H103" s="16" t="str">
        <f t="shared" si="1"/>
        <v>Print</v>
      </c>
      <c r="I103" s="16" t="str">
        <f>IF(Catalog!T76&lt;&gt;"","ISBN:"&amp;Catalog!T76,IF(Catalog!U76&lt;&gt;"","ISSN:"&amp;Catalog!U76,"ACC:"&amp;Catalog!B76))</f>
        <v>ACC:</v>
      </c>
      <c r="J103" s="16">
        <f>Catalog!L76</f>
        <v>0</v>
      </c>
      <c r="K103" s="16">
        <f>IF(Catalog!AH76&lt;&gt;"",Catalog!AH76,Catalog!AF76)</f>
        <v>0</v>
      </c>
      <c r="L103" s="16">
        <f>Catalog!AE76</f>
        <v>0</v>
      </c>
      <c r="M103" s="16">
        <f>Catalog!W76</f>
        <v>0</v>
      </c>
      <c r="N103" s="16">
        <f>Catalog!R76</f>
        <v>0</v>
      </c>
      <c r="O103" s="16">
        <f>Catalog!AG76</f>
        <v>0</v>
      </c>
    </row>
    <row r="104" spans="1:15" ht="15.75" x14ac:dyDescent="0.25">
      <c r="A104" s="16">
        <f>Catalog!D77</f>
        <v>0</v>
      </c>
      <c r="B104" s="16">
        <f>Catalog!F77</f>
        <v>0</v>
      </c>
      <c r="C104" s="16" t="str">
        <f>IF(Catalog!I77="","",Catalog!I77)&amp;IF(AND(Catalog!I77&lt;&gt;"",Catalog!J77&lt;&gt;""),"; ","")&amp;IF(Catalog!J77="","",Catalog!J77)</f>
        <v/>
      </c>
      <c r="D104" s="16">
        <f>Catalog!Q77</f>
        <v>0</v>
      </c>
      <c r="E104" s="16">
        <f>Catalog!S77</f>
        <v>0</v>
      </c>
      <c r="F104" s="16">
        <f>Catalog!N77</f>
        <v>0</v>
      </c>
      <c r="G104" s="16" t="str">
        <f>Catalog!K77&amp;" / "&amp;Catalog!M77</f>
        <v xml:space="preserve"> / </v>
      </c>
      <c r="H104" s="16" t="str">
        <f t="shared" si="1"/>
        <v>Print</v>
      </c>
      <c r="I104" s="16" t="str">
        <f>IF(Catalog!T77&lt;&gt;"","ISBN:"&amp;Catalog!T77,IF(Catalog!U77&lt;&gt;"","ISSN:"&amp;Catalog!U77,"ACC:"&amp;Catalog!B77))</f>
        <v>ACC:</v>
      </c>
      <c r="J104" s="16">
        <f>Catalog!L77</f>
        <v>0</v>
      </c>
      <c r="K104" s="16">
        <f>IF(Catalog!AH77&lt;&gt;"",Catalog!AH77,Catalog!AF77)</f>
        <v>0</v>
      </c>
      <c r="L104" s="16">
        <f>Catalog!AE77</f>
        <v>0</v>
      </c>
      <c r="M104" s="16">
        <f>Catalog!W77</f>
        <v>0</v>
      </c>
      <c r="N104" s="16">
        <f>Catalog!R77</f>
        <v>0</v>
      </c>
      <c r="O104" s="16">
        <f>Catalog!AG77</f>
        <v>0</v>
      </c>
    </row>
    <row r="105" spans="1:15" ht="15.75" x14ac:dyDescent="0.25">
      <c r="A105" s="16">
        <f>Catalog!D78</f>
        <v>0</v>
      </c>
      <c r="B105" s="16">
        <f>Catalog!F78</f>
        <v>0</v>
      </c>
      <c r="C105" s="16" t="str">
        <f>IF(Catalog!I78="","",Catalog!I78)&amp;IF(AND(Catalog!I78&lt;&gt;"",Catalog!J78&lt;&gt;""),"; ","")&amp;IF(Catalog!J78="","",Catalog!J78)</f>
        <v/>
      </c>
      <c r="D105" s="16">
        <f>Catalog!Q78</f>
        <v>0</v>
      </c>
      <c r="E105" s="16">
        <f>Catalog!S78</f>
        <v>0</v>
      </c>
      <c r="F105" s="16">
        <f>Catalog!N78</f>
        <v>0</v>
      </c>
      <c r="G105" s="16" t="str">
        <f>Catalog!K78&amp;" / "&amp;Catalog!M78</f>
        <v xml:space="preserve"> / </v>
      </c>
      <c r="H105" s="16" t="str">
        <f t="shared" si="1"/>
        <v>Print</v>
      </c>
      <c r="I105" s="16" t="str">
        <f>IF(Catalog!T78&lt;&gt;"","ISBN:"&amp;Catalog!T78,IF(Catalog!U78&lt;&gt;"","ISSN:"&amp;Catalog!U78,"ACC:"&amp;Catalog!B78))</f>
        <v>ACC:</v>
      </c>
      <c r="J105" s="16">
        <f>Catalog!L78</f>
        <v>0</v>
      </c>
      <c r="K105" s="16">
        <f>IF(Catalog!AH78&lt;&gt;"",Catalog!AH78,Catalog!AF78)</f>
        <v>0</v>
      </c>
      <c r="L105" s="16">
        <f>Catalog!AE78</f>
        <v>0</v>
      </c>
      <c r="M105" s="16">
        <f>Catalog!W78</f>
        <v>0</v>
      </c>
      <c r="N105" s="16">
        <f>Catalog!R78</f>
        <v>0</v>
      </c>
      <c r="O105" s="16">
        <f>Catalog!AG78</f>
        <v>0</v>
      </c>
    </row>
    <row r="106" spans="1:15" ht="15.75" x14ac:dyDescent="0.25">
      <c r="A106" s="16">
        <f>Catalog!D79</f>
        <v>0</v>
      </c>
      <c r="B106" s="16">
        <f>Catalog!F79</f>
        <v>0</v>
      </c>
      <c r="C106" s="16" t="str">
        <f>IF(Catalog!I79="","",Catalog!I79)&amp;IF(AND(Catalog!I79&lt;&gt;"",Catalog!J79&lt;&gt;""),"; ","")&amp;IF(Catalog!J79="","",Catalog!J79)</f>
        <v/>
      </c>
      <c r="D106" s="16">
        <f>Catalog!Q79</f>
        <v>0</v>
      </c>
      <c r="E106" s="16">
        <f>Catalog!S79</f>
        <v>0</v>
      </c>
      <c r="F106" s="16">
        <f>Catalog!N79</f>
        <v>0</v>
      </c>
      <c r="G106" s="16" t="str">
        <f>Catalog!K79&amp;" / "&amp;Catalog!M79</f>
        <v xml:space="preserve"> / </v>
      </c>
      <c r="H106" s="16" t="str">
        <f t="shared" si="1"/>
        <v>Print</v>
      </c>
      <c r="I106" s="16" t="str">
        <f>IF(Catalog!T79&lt;&gt;"","ISBN:"&amp;Catalog!T79,IF(Catalog!U79&lt;&gt;"","ISSN:"&amp;Catalog!U79,"ACC:"&amp;Catalog!B79))</f>
        <v>ACC:</v>
      </c>
      <c r="J106" s="16">
        <f>Catalog!L79</f>
        <v>0</v>
      </c>
      <c r="K106" s="16">
        <f>IF(Catalog!AH79&lt;&gt;"",Catalog!AH79,Catalog!AF79)</f>
        <v>0</v>
      </c>
      <c r="L106" s="16">
        <f>Catalog!AE79</f>
        <v>0</v>
      </c>
      <c r="M106" s="16">
        <f>Catalog!W79</f>
        <v>0</v>
      </c>
      <c r="N106" s="16">
        <f>Catalog!R79</f>
        <v>0</v>
      </c>
      <c r="O106" s="16">
        <f>Catalog!AG79</f>
        <v>0</v>
      </c>
    </row>
    <row r="107" spans="1:15" ht="15.75" x14ac:dyDescent="0.25">
      <c r="A107" s="16">
        <f>Catalog!D80</f>
        <v>0</v>
      </c>
      <c r="B107" s="16">
        <f>Catalog!F80</f>
        <v>0</v>
      </c>
      <c r="C107" s="16" t="str">
        <f>IF(Catalog!I80="","",Catalog!I80)&amp;IF(AND(Catalog!I80&lt;&gt;"",Catalog!J80&lt;&gt;""),"; ","")&amp;IF(Catalog!J80="","",Catalog!J80)</f>
        <v/>
      </c>
      <c r="D107" s="16">
        <f>Catalog!Q80</f>
        <v>0</v>
      </c>
      <c r="E107" s="16">
        <f>Catalog!S80</f>
        <v>0</v>
      </c>
      <c r="F107" s="16">
        <f>Catalog!N80</f>
        <v>0</v>
      </c>
      <c r="G107" s="16" t="str">
        <f>Catalog!K80&amp;" / "&amp;Catalog!M80</f>
        <v xml:space="preserve"> / </v>
      </c>
      <c r="H107" s="16" t="str">
        <f t="shared" si="1"/>
        <v>Print</v>
      </c>
      <c r="I107" s="16" t="str">
        <f>IF(Catalog!T80&lt;&gt;"","ISBN:"&amp;Catalog!T80,IF(Catalog!U80&lt;&gt;"","ISSN:"&amp;Catalog!U80,"ACC:"&amp;Catalog!B80))</f>
        <v>ACC:</v>
      </c>
      <c r="J107" s="16">
        <f>Catalog!L80</f>
        <v>0</v>
      </c>
      <c r="K107" s="16">
        <f>IF(Catalog!AH80&lt;&gt;"",Catalog!AH80,Catalog!AF80)</f>
        <v>0</v>
      </c>
      <c r="L107" s="16">
        <f>Catalog!AE80</f>
        <v>0</v>
      </c>
      <c r="M107" s="16">
        <f>Catalog!W80</f>
        <v>0</v>
      </c>
      <c r="N107" s="16">
        <f>Catalog!R80</f>
        <v>0</v>
      </c>
      <c r="O107" s="16">
        <f>Catalog!AG80</f>
        <v>0</v>
      </c>
    </row>
    <row r="108" spans="1:15" ht="15.75" x14ac:dyDescent="0.25">
      <c r="A108" s="16">
        <f>Catalog!D81</f>
        <v>0</v>
      </c>
      <c r="B108" s="16">
        <f>Catalog!F81</f>
        <v>0</v>
      </c>
      <c r="C108" s="16" t="str">
        <f>IF(Catalog!I81="","",Catalog!I81)&amp;IF(AND(Catalog!I81&lt;&gt;"",Catalog!J81&lt;&gt;""),"; ","")&amp;IF(Catalog!J81="","",Catalog!J81)</f>
        <v/>
      </c>
      <c r="D108" s="16">
        <f>Catalog!Q81</f>
        <v>0</v>
      </c>
      <c r="E108" s="16">
        <f>Catalog!S81</f>
        <v>0</v>
      </c>
      <c r="F108" s="16">
        <f>Catalog!N81</f>
        <v>0</v>
      </c>
      <c r="G108" s="16" t="str">
        <f>Catalog!K81&amp;" / "&amp;Catalog!M81</f>
        <v xml:space="preserve"> / </v>
      </c>
      <c r="H108" s="16" t="str">
        <f t="shared" si="1"/>
        <v>Print</v>
      </c>
      <c r="I108" s="16" t="str">
        <f>IF(Catalog!T81&lt;&gt;"","ISBN:"&amp;Catalog!T81,IF(Catalog!U81&lt;&gt;"","ISSN:"&amp;Catalog!U81,"ACC:"&amp;Catalog!B81))</f>
        <v>ACC:</v>
      </c>
      <c r="J108" s="16">
        <f>Catalog!L81</f>
        <v>0</v>
      </c>
      <c r="K108" s="16">
        <f>IF(Catalog!AH81&lt;&gt;"",Catalog!AH81,Catalog!AF81)</f>
        <v>0</v>
      </c>
      <c r="L108" s="16">
        <f>Catalog!AE81</f>
        <v>0</v>
      </c>
      <c r="M108" s="16">
        <f>Catalog!W81</f>
        <v>0</v>
      </c>
      <c r="N108" s="16">
        <f>Catalog!R81</f>
        <v>0</v>
      </c>
      <c r="O108" s="16">
        <f>Catalog!AG81</f>
        <v>0</v>
      </c>
    </row>
    <row r="109" spans="1:15" ht="15.75" x14ac:dyDescent="0.25">
      <c r="A109" s="16">
        <f>Catalog!D82</f>
        <v>0</v>
      </c>
      <c r="B109" s="16">
        <f>Catalog!F82</f>
        <v>0</v>
      </c>
      <c r="C109" s="16" t="str">
        <f>IF(Catalog!I82="","",Catalog!I82)&amp;IF(AND(Catalog!I82&lt;&gt;"",Catalog!J82&lt;&gt;""),"; ","")&amp;IF(Catalog!J82="","",Catalog!J82)</f>
        <v/>
      </c>
      <c r="D109" s="16">
        <f>Catalog!Q82</f>
        <v>0</v>
      </c>
      <c r="E109" s="16">
        <f>Catalog!S82</f>
        <v>0</v>
      </c>
      <c r="F109" s="16">
        <f>Catalog!N82</f>
        <v>0</v>
      </c>
      <c r="G109" s="16" t="str">
        <f>Catalog!K82&amp;" / "&amp;Catalog!M82</f>
        <v xml:space="preserve"> / </v>
      </c>
      <c r="H109" s="16" t="str">
        <f t="shared" si="1"/>
        <v>Print</v>
      </c>
      <c r="I109" s="16" t="str">
        <f>IF(Catalog!T82&lt;&gt;"","ISBN:"&amp;Catalog!T82,IF(Catalog!U82&lt;&gt;"","ISSN:"&amp;Catalog!U82,"ACC:"&amp;Catalog!B82))</f>
        <v>ACC:</v>
      </c>
      <c r="J109" s="16">
        <f>Catalog!L82</f>
        <v>0</v>
      </c>
      <c r="K109" s="16">
        <f>IF(Catalog!AH82&lt;&gt;"",Catalog!AH82,Catalog!AF82)</f>
        <v>0</v>
      </c>
      <c r="L109" s="16">
        <f>Catalog!AE82</f>
        <v>0</v>
      </c>
      <c r="M109" s="16">
        <f>Catalog!W82</f>
        <v>0</v>
      </c>
      <c r="N109" s="16">
        <f>Catalog!R82</f>
        <v>0</v>
      </c>
      <c r="O109" s="16">
        <f>Catalog!AG82</f>
        <v>0</v>
      </c>
    </row>
    <row r="110" spans="1:15" ht="15.75" x14ac:dyDescent="0.25">
      <c r="A110" s="16">
        <f>Catalog!D83</f>
        <v>0</v>
      </c>
      <c r="B110" s="16">
        <f>Catalog!F83</f>
        <v>0</v>
      </c>
      <c r="C110" s="16" t="str">
        <f>IF(Catalog!I83="","",Catalog!I83)&amp;IF(AND(Catalog!I83&lt;&gt;"",Catalog!J83&lt;&gt;""),"; ","")&amp;IF(Catalog!J83="","",Catalog!J83)</f>
        <v/>
      </c>
      <c r="D110" s="16">
        <f>Catalog!Q83</f>
        <v>0</v>
      </c>
      <c r="E110" s="16">
        <f>Catalog!S83</f>
        <v>0</v>
      </c>
      <c r="F110" s="16">
        <f>Catalog!N83</f>
        <v>0</v>
      </c>
      <c r="G110" s="16" t="str">
        <f>Catalog!K83&amp;" / "&amp;Catalog!M83</f>
        <v xml:space="preserve"> / </v>
      </c>
      <c r="H110" s="16" t="str">
        <f t="shared" si="1"/>
        <v>Print</v>
      </c>
      <c r="I110" s="16" t="str">
        <f>IF(Catalog!T83&lt;&gt;"","ISBN:"&amp;Catalog!T83,IF(Catalog!U83&lt;&gt;"","ISSN:"&amp;Catalog!U83,"ACC:"&amp;Catalog!B83))</f>
        <v>ACC:</v>
      </c>
      <c r="J110" s="16">
        <f>Catalog!L83</f>
        <v>0</v>
      </c>
      <c r="K110" s="16">
        <f>IF(Catalog!AH83&lt;&gt;"",Catalog!AH83,Catalog!AF83)</f>
        <v>0</v>
      </c>
      <c r="L110" s="16">
        <f>Catalog!AE83</f>
        <v>0</v>
      </c>
      <c r="M110" s="16">
        <f>Catalog!W83</f>
        <v>0</v>
      </c>
      <c r="N110" s="16">
        <f>Catalog!R83</f>
        <v>0</v>
      </c>
      <c r="O110" s="16">
        <f>Catalog!AG83</f>
        <v>0</v>
      </c>
    </row>
    <row r="111" spans="1:15" ht="15.75" x14ac:dyDescent="0.25">
      <c r="A111" s="16">
        <f>Catalog!D84</f>
        <v>0</v>
      </c>
      <c r="B111" s="16">
        <f>Catalog!F84</f>
        <v>0</v>
      </c>
      <c r="C111" s="16" t="str">
        <f>IF(Catalog!I84="","",Catalog!I84)&amp;IF(AND(Catalog!I84&lt;&gt;"",Catalog!J84&lt;&gt;""),"; ","")&amp;IF(Catalog!J84="","",Catalog!J84)</f>
        <v/>
      </c>
      <c r="D111" s="16">
        <f>Catalog!Q84</f>
        <v>0</v>
      </c>
      <c r="E111" s="16">
        <f>Catalog!S84</f>
        <v>0</v>
      </c>
      <c r="F111" s="16">
        <f>Catalog!N84</f>
        <v>0</v>
      </c>
      <c r="G111" s="16" t="str">
        <f>Catalog!K84&amp;" / "&amp;Catalog!M84</f>
        <v xml:space="preserve"> / </v>
      </c>
      <c r="H111" s="16" t="str">
        <f t="shared" si="1"/>
        <v>Print</v>
      </c>
      <c r="I111" s="16" t="str">
        <f>IF(Catalog!T84&lt;&gt;"","ISBN:"&amp;Catalog!T84,IF(Catalog!U84&lt;&gt;"","ISSN:"&amp;Catalog!U84,"ACC:"&amp;Catalog!B84))</f>
        <v>ACC:</v>
      </c>
      <c r="J111" s="16">
        <f>Catalog!L84</f>
        <v>0</v>
      </c>
      <c r="K111" s="16">
        <f>IF(Catalog!AH84&lt;&gt;"",Catalog!AH84,Catalog!AF84)</f>
        <v>0</v>
      </c>
      <c r="L111" s="16">
        <f>Catalog!AE84</f>
        <v>0</v>
      </c>
      <c r="M111" s="16">
        <f>Catalog!W84</f>
        <v>0</v>
      </c>
      <c r="N111" s="16">
        <f>Catalog!R84</f>
        <v>0</v>
      </c>
      <c r="O111" s="16">
        <f>Catalog!AG84</f>
        <v>0</v>
      </c>
    </row>
    <row r="112" spans="1:15" ht="15.75" x14ac:dyDescent="0.25">
      <c r="A112" s="16">
        <f>Catalog!D85</f>
        <v>0</v>
      </c>
      <c r="B112" s="16">
        <f>Catalog!F85</f>
        <v>0</v>
      </c>
      <c r="C112" s="16" t="str">
        <f>IF(Catalog!I85="","",Catalog!I85)&amp;IF(AND(Catalog!I85&lt;&gt;"",Catalog!J85&lt;&gt;""),"; ","")&amp;IF(Catalog!J85="","",Catalog!J85)</f>
        <v/>
      </c>
      <c r="D112" s="16">
        <f>Catalog!Q85</f>
        <v>0</v>
      </c>
      <c r="E112" s="16">
        <f>Catalog!S85</f>
        <v>0</v>
      </c>
      <c r="F112" s="16">
        <f>Catalog!N85</f>
        <v>0</v>
      </c>
      <c r="G112" s="16" t="str">
        <f>Catalog!K85&amp;" / "&amp;Catalog!M85</f>
        <v xml:space="preserve"> / </v>
      </c>
      <c r="H112" s="16" t="str">
        <f t="shared" si="1"/>
        <v>Print</v>
      </c>
      <c r="I112" s="16" t="str">
        <f>IF(Catalog!T85&lt;&gt;"","ISBN:"&amp;Catalog!T85,IF(Catalog!U85&lt;&gt;"","ISSN:"&amp;Catalog!U85,"ACC:"&amp;Catalog!B85))</f>
        <v>ACC:</v>
      </c>
      <c r="J112" s="16">
        <f>Catalog!L85</f>
        <v>0</v>
      </c>
      <c r="K112" s="16">
        <f>IF(Catalog!AH85&lt;&gt;"",Catalog!AH85,Catalog!AF85)</f>
        <v>0</v>
      </c>
      <c r="L112" s="16">
        <f>Catalog!AE85</f>
        <v>0</v>
      </c>
      <c r="M112" s="16">
        <f>Catalog!W85</f>
        <v>0</v>
      </c>
      <c r="N112" s="16">
        <f>Catalog!R85</f>
        <v>0</v>
      </c>
      <c r="O112" s="16">
        <f>Catalog!AG85</f>
        <v>0</v>
      </c>
    </row>
    <row r="113" spans="1:15" ht="15.75" x14ac:dyDescent="0.25">
      <c r="A113" s="16">
        <f>Catalog!D86</f>
        <v>0</v>
      </c>
      <c r="B113" s="16">
        <f>Catalog!F86</f>
        <v>0</v>
      </c>
      <c r="C113" s="16" t="str">
        <f>IF(Catalog!I86="","",Catalog!I86)&amp;IF(AND(Catalog!I86&lt;&gt;"",Catalog!J86&lt;&gt;""),"; ","")&amp;IF(Catalog!J86="","",Catalog!J86)</f>
        <v/>
      </c>
      <c r="D113" s="16">
        <f>Catalog!Q86</f>
        <v>0</v>
      </c>
      <c r="E113" s="16">
        <f>Catalog!S86</f>
        <v>0</v>
      </c>
      <c r="F113" s="16">
        <f>Catalog!N86</f>
        <v>0</v>
      </c>
      <c r="G113" s="16" t="str">
        <f>Catalog!K86&amp;" / "&amp;Catalog!M86</f>
        <v xml:space="preserve"> / </v>
      </c>
      <c r="H113" s="16" t="str">
        <f t="shared" si="1"/>
        <v>Print</v>
      </c>
      <c r="I113" s="16" t="str">
        <f>IF(Catalog!T86&lt;&gt;"","ISBN:"&amp;Catalog!T86,IF(Catalog!U86&lt;&gt;"","ISSN:"&amp;Catalog!U86,"ACC:"&amp;Catalog!B86))</f>
        <v>ACC:</v>
      </c>
      <c r="J113" s="16">
        <f>Catalog!L86</f>
        <v>0</v>
      </c>
      <c r="K113" s="16">
        <f>IF(Catalog!AH86&lt;&gt;"",Catalog!AH86,Catalog!AF86)</f>
        <v>0</v>
      </c>
      <c r="L113" s="16">
        <f>Catalog!AE86</f>
        <v>0</v>
      </c>
      <c r="M113" s="16">
        <f>Catalog!W86</f>
        <v>0</v>
      </c>
      <c r="N113" s="16">
        <f>Catalog!R86</f>
        <v>0</v>
      </c>
      <c r="O113" s="16">
        <f>Catalog!AG86</f>
        <v>0</v>
      </c>
    </row>
    <row r="114" spans="1:15" ht="15.75" x14ac:dyDescent="0.25">
      <c r="A114" s="16">
        <f>Catalog!D87</f>
        <v>0</v>
      </c>
      <c r="B114" s="16">
        <f>Catalog!F87</f>
        <v>0</v>
      </c>
      <c r="C114" s="16" t="str">
        <f>IF(Catalog!I87="","",Catalog!I87)&amp;IF(AND(Catalog!I87&lt;&gt;"",Catalog!J87&lt;&gt;""),"; ","")&amp;IF(Catalog!J87="","",Catalog!J87)</f>
        <v/>
      </c>
      <c r="D114" s="16">
        <f>Catalog!Q87</f>
        <v>0</v>
      </c>
      <c r="E114" s="16">
        <f>Catalog!S87</f>
        <v>0</v>
      </c>
      <c r="F114" s="16">
        <f>Catalog!N87</f>
        <v>0</v>
      </c>
      <c r="G114" s="16" t="str">
        <f>Catalog!K87&amp;" / "&amp;Catalog!M87</f>
        <v xml:space="preserve"> / </v>
      </c>
      <c r="H114" s="16" t="str">
        <f t="shared" si="1"/>
        <v>Print</v>
      </c>
      <c r="I114" s="16" t="str">
        <f>IF(Catalog!T87&lt;&gt;"","ISBN:"&amp;Catalog!T87,IF(Catalog!U87&lt;&gt;"","ISSN:"&amp;Catalog!U87,"ACC:"&amp;Catalog!B87))</f>
        <v>ACC:</v>
      </c>
      <c r="J114" s="16">
        <f>Catalog!L87</f>
        <v>0</v>
      </c>
      <c r="K114" s="16">
        <f>IF(Catalog!AH87&lt;&gt;"",Catalog!AH87,Catalog!AF87)</f>
        <v>0</v>
      </c>
      <c r="L114" s="16">
        <f>Catalog!AE87</f>
        <v>0</v>
      </c>
      <c r="M114" s="16">
        <f>Catalog!W87</f>
        <v>0</v>
      </c>
      <c r="N114" s="16">
        <f>Catalog!R87</f>
        <v>0</v>
      </c>
      <c r="O114" s="16">
        <f>Catalog!AG87</f>
        <v>0</v>
      </c>
    </row>
    <row r="115" spans="1:15" ht="15.75" x14ac:dyDescent="0.25">
      <c r="A115" s="16">
        <f>Catalog!D88</f>
        <v>0</v>
      </c>
      <c r="B115" s="16">
        <f>Catalog!F88</f>
        <v>0</v>
      </c>
      <c r="C115" s="16" t="str">
        <f>IF(Catalog!I88="","",Catalog!I88)&amp;IF(AND(Catalog!I88&lt;&gt;"",Catalog!J88&lt;&gt;""),"; ","")&amp;IF(Catalog!J88="","",Catalog!J88)</f>
        <v/>
      </c>
      <c r="D115" s="16">
        <f>Catalog!Q88</f>
        <v>0</v>
      </c>
      <c r="E115" s="16">
        <f>Catalog!S88</f>
        <v>0</v>
      </c>
      <c r="F115" s="16">
        <f>Catalog!N88</f>
        <v>0</v>
      </c>
      <c r="G115" s="16" t="str">
        <f>Catalog!K88&amp;" / "&amp;Catalog!M88</f>
        <v xml:space="preserve"> / </v>
      </c>
      <c r="H115" s="16" t="str">
        <f t="shared" si="1"/>
        <v>Print</v>
      </c>
      <c r="I115" s="16" t="str">
        <f>IF(Catalog!T88&lt;&gt;"","ISBN:"&amp;Catalog!T88,IF(Catalog!U88&lt;&gt;"","ISSN:"&amp;Catalog!U88,"ACC:"&amp;Catalog!B88))</f>
        <v>ACC:</v>
      </c>
      <c r="J115" s="16">
        <f>Catalog!L88</f>
        <v>0</v>
      </c>
      <c r="K115" s="16">
        <f>IF(Catalog!AH88&lt;&gt;"",Catalog!AH88,Catalog!AF88)</f>
        <v>0</v>
      </c>
      <c r="L115" s="16">
        <f>Catalog!AE88</f>
        <v>0</v>
      </c>
      <c r="M115" s="16">
        <f>Catalog!W88</f>
        <v>0</v>
      </c>
      <c r="N115" s="16">
        <f>Catalog!R88</f>
        <v>0</v>
      </c>
      <c r="O115" s="16">
        <f>Catalog!AG88</f>
        <v>0</v>
      </c>
    </row>
    <row r="116" spans="1:15" ht="15.75" x14ac:dyDescent="0.25">
      <c r="A116" s="16">
        <f>Catalog!D89</f>
        <v>0</v>
      </c>
      <c r="B116" s="16">
        <f>Catalog!F89</f>
        <v>0</v>
      </c>
      <c r="C116" s="16" t="str">
        <f>IF(Catalog!I89="","",Catalog!I89)&amp;IF(AND(Catalog!I89&lt;&gt;"",Catalog!J89&lt;&gt;""),"; ","")&amp;IF(Catalog!J89="","",Catalog!J89)</f>
        <v/>
      </c>
      <c r="D116" s="16">
        <f>Catalog!Q89</f>
        <v>0</v>
      </c>
      <c r="E116" s="16">
        <f>Catalog!S89</f>
        <v>0</v>
      </c>
      <c r="F116" s="16">
        <f>Catalog!N89</f>
        <v>0</v>
      </c>
      <c r="G116" s="16" t="str">
        <f>Catalog!K89&amp;" / "&amp;Catalog!M89</f>
        <v xml:space="preserve"> / </v>
      </c>
      <c r="H116" s="16" t="str">
        <f t="shared" si="1"/>
        <v>Print</v>
      </c>
      <c r="I116" s="16" t="str">
        <f>IF(Catalog!T89&lt;&gt;"","ISBN:"&amp;Catalog!T89,IF(Catalog!U89&lt;&gt;"","ISSN:"&amp;Catalog!U89,"ACC:"&amp;Catalog!B89))</f>
        <v>ACC:</v>
      </c>
      <c r="J116" s="16">
        <f>Catalog!L89</f>
        <v>0</v>
      </c>
      <c r="K116" s="16">
        <f>IF(Catalog!AH89&lt;&gt;"",Catalog!AH89,Catalog!AF89)</f>
        <v>0</v>
      </c>
      <c r="L116" s="16">
        <f>Catalog!AE89</f>
        <v>0</v>
      </c>
      <c r="M116" s="16">
        <f>Catalog!W89</f>
        <v>0</v>
      </c>
      <c r="N116" s="16">
        <f>Catalog!R89</f>
        <v>0</v>
      </c>
      <c r="O116" s="16">
        <f>Catalog!AG89</f>
        <v>0</v>
      </c>
    </row>
    <row r="117" spans="1:15" ht="15.75" x14ac:dyDescent="0.25">
      <c r="A117" s="16">
        <f>Catalog!D90</f>
        <v>0</v>
      </c>
      <c r="B117" s="16">
        <f>Catalog!F90</f>
        <v>0</v>
      </c>
      <c r="C117" s="16" t="str">
        <f>IF(Catalog!I90="","",Catalog!I90)&amp;IF(AND(Catalog!I90&lt;&gt;"",Catalog!J90&lt;&gt;""),"; ","")&amp;IF(Catalog!J90="","",Catalog!J90)</f>
        <v/>
      </c>
      <c r="D117" s="16">
        <f>Catalog!Q90</f>
        <v>0</v>
      </c>
      <c r="E117" s="16">
        <f>Catalog!S90</f>
        <v>0</v>
      </c>
      <c r="F117" s="16">
        <f>Catalog!N90</f>
        <v>0</v>
      </c>
      <c r="G117" s="16" t="str">
        <f>Catalog!K90&amp;" / "&amp;Catalog!M90</f>
        <v xml:space="preserve"> / </v>
      </c>
      <c r="H117" s="16" t="str">
        <f t="shared" si="1"/>
        <v>Print</v>
      </c>
      <c r="I117" s="16" t="str">
        <f>IF(Catalog!T90&lt;&gt;"","ISBN:"&amp;Catalog!T90,IF(Catalog!U90&lt;&gt;"","ISSN:"&amp;Catalog!U90,"ACC:"&amp;Catalog!B90))</f>
        <v>ACC:</v>
      </c>
      <c r="J117" s="16">
        <f>Catalog!L90</f>
        <v>0</v>
      </c>
      <c r="K117" s="16">
        <f>IF(Catalog!AH90&lt;&gt;"",Catalog!AH90,Catalog!AF90)</f>
        <v>0</v>
      </c>
      <c r="L117" s="16">
        <f>Catalog!AE90</f>
        <v>0</v>
      </c>
      <c r="M117" s="16">
        <f>Catalog!W90</f>
        <v>0</v>
      </c>
      <c r="N117" s="16">
        <f>Catalog!R90</f>
        <v>0</v>
      </c>
      <c r="O117" s="16">
        <f>Catalog!AG90</f>
        <v>0</v>
      </c>
    </row>
    <row r="118" spans="1:15" ht="15.75" x14ac:dyDescent="0.25">
      <c r="A118" s="16">
        <f>Catalog!D91</f>
        <v>0</v>
      </c>
      <c r="B118" s="16">
        <f>Catalog!F91</f>
        <v>0</v>
      </c>
      <c r="C118" s="16" t="str">
        <f>IF(Catalog!I91="","",Catalog!I91)&amp;IF(AND(Catalog!I91&lt;&gt;"",Catalog!J91&lt;&gt;""),"; ","")&amp;IF(Catalog!J91="","",Catalog!J91)</f>
        <v/>
      </c>
      <c r="D118" s="16">
        <f>Catalog!Q91</f>
        <v>0</v>
      </c>
      <c r="E118" s="16">
        <f>Catalog!S91</f>
        <v>0</v>
      </c>
      <c r="F118" s="16">
        <f>Catalog!N91</f>
        <v>0</v>
      </c>
      <c r="G118" s="16" t="str">
        <f>Catalog!K91&amp;" / "&amp;Catalog!M91</f>
        <v xml:space="preserve"> / </v>
      </c>
      <c r="H118" s="16" t="str">
        <f t="shared" si="1"/>
        <v>Print</v>
      </c>
      <c r="I118" s="16" t="str">
        <f>IF(Catalog!T91&lt;&gt;"","ISBN:"&amp;Catalog!T91,IF(Catalog!U91&lt;&gt;"","ISSN:"&amp;Catalog!U91,"ACC:"&amp;Catalog!B91))</f>
        <v>ACC:</v>
      </c>
      <c r="J118" s="16">
        <f>Catalog!L91</f>
        <v>0</v>
      </c>
      <c r="K118" s="16">
        <f>IF(Catalog!AH91&lt;&gt;"",Catalog!AH91,Catalog!AF91)</f>
        <v>0</v>
      </c>
      <c r="L118" s="16">
        <f>Catalog!AE91</f>
        <v>0</v>
      </c>
      <c r="M118" s="16">
        <f>Catalog!W91</f>
        <v>0</v>
      </c>
      <c r="N118" s="16">
        <f>Catalog!R91</f>
        <v>0</v>
      </c>
      <c r="O118" s="16">
        <f>Catalog!AG91</f>
        <v>0</v>
      </c>
    </row>
    <row r="119" spans="1:15" ht="15.75" x14ac:dyDescent="0.25">
      <c r="A119" s="16">
        <f>Catalog!D92</f>
        <v>0</v>
      </c>
      <c r="B119" s="16">
        <f>Catalog!F92</f>
        <v>0</v>
      </c>
      <c r="C119" s="16" t="str">
        <f>IF(Catalog!I92="","",Catalog!I92)&amp;IF(AND(Catalog!I92&lt;&gt;"",Catalog!J92&lt;&gt;""),"; ","")&amp;IF(Catalog!J92="","",Catalog!J92)</f>
        <v/>
      </c>
      <c r="D119" s="16">
        <f>Catalog!Q92</f>
        <v>0</v>
      </c>
      <c r="E119" s="16">
        <f>Catalog!S92</f>
        <v>0</v>
      </c>
      <c r="F119" s="16">
        <f>Catalog!N92</f>
        <v>0</v>
      </c>
      <c r="G119" s="16" t="str">
        <f>Catalog!K92&amp;" / "&amp;Catalog!M92</f>
        <v xml:space="preserve"> / </v>
      </c>
      <c r="H119" s="16" t="str">
        <f t="shared" si="1"/>
        <v>Print</v>
      </c>
      <c r="I119" s="16" t="str">
        <f>IF(Catalog!T92&lt;&gt;"","ISBN:"&amp;Catalog!T92,IF(Catalog!U92&lt;&gt;"","ISSN:"&amp;Catalog!U92,"ACC:"&amp;Catalog!B92))</f>
        <v>ACC:</v>
      </c>
      <c r="J119" s="16">
        <f>Catalog!L92</f>
        <v>0</v>
      </c>
      <c r="K119" s="16">
        <f>IF(Catalog!AH92&lt;&gt;"",Catalog!AH92,Catalog!AF92)</f>
        <v>0</v>
      </c>
      <c r="L119" s="16">
        <f>Catalog!AE92</f>
        <v>0</v>
      </c>
      <c r="M119" s="16">
        <f>Catalog!W92</f>
        <v>0</v>
      </c>
      <c r="N119" s="16">
        <f>Catalog!R92</f>
        <v>0</v>
      </c>
      <c r="O119" s="16">
        <f>Catalog!AG92</f>
        <v>0</v>
      </c>
    </row>
    <row r="120" spans="1:15" ht="15.75" x14ac:dyDescent="0.25">
      <c r="A120" s="16">
        <f>Catalog!D93</f>
        <v>0</v>
      </c>
      <c r="B120" s="16">
        <f>Catalog!F93</f>
        <v>0</v>
      </c>
      <c r="C120" s="16" t="str">
        <f>IF(Catalog!I93="","",Catalog!I93)&amp;IF(AND(Catalog!I93&lt;&gt;"",Catalog!J93&lt;&gt;""),"; ","")&amp;IF(Catalog!J93="","",Catalog!J93)</f>
        <v/>
      </c>
      <c r="D120" s="16">
        <f>Catalog!Q93</f>
        <v>0</v>
      </c>
      <c r="E120" s="16">
        <f>Catalog!S93</f>
        <v>0</v>
      </c>
      <c r="F120" s="16">
        <f>Catalog!N93</f>
        <v>0</v>
      </c>
      <c r="G120" s="16" t="str">
        <f>Catalog!K93&amp;" / "&amp;Catalog!M93</f>
        <v xml:space="preserve"> / </v>
      </c>
      <c r="H120" s="16" t="str">
        <f t="shared" si="1"/>
        <v>Print</v>
      </c>
      <c r="I120" s="16" t="str">
        <f>IF(Catalog!T93&lt;&gt;"","ISBN:"&amp;Catalog!T93,IF(Catalog!U93&lt;&gt;"","ISSN:"&amp;Catalog!U93,"ACC:"&amp;Catalog!B93))</f>
        <v>ACC:</v>
      </c>
      <c r="J120" s="16">
        <f>Catalog!L93</f>
        <v>0</v>
      </c>
      <c r="K120" s="16">
        <f>IF(Catalog!AH93&lt;&gt;"",Catalog!AH93,Catalog!AF93)</f>
        <v>0</v>
      </c>
      <c r="L120" s="16">
        <f>Catalog!AE93</f>
        <v>0</v>
      </c>
      <c r="M120" s="16">
        <f>Catalog!W93</f>
        <v>0</v>
      </c>
      <c r="N120" s="16">
        <f>Catalog!R93</f>
        <v>0</v>
      </c>
      <c r="O120" s="16">
        <f>Catalog!AG93</f>
        <v>0</v>
      </c>
    </row>
    <row r="121" spans="1:15" ht="15.75" x14ac:dyDescent="0.25">
      <c r="A121" s="16">
        <f>Catalog!D94</f>
        <v>0</v>
      </c>
      <c r="B121" s="16">
        <f>Catalog!F94</f>
        <v>0</v>
      </c>
      <c r="C121" s="16" t="str">
        <f>IF(Catalog!I94="","",Catalog!I94)&amp;IF(AND(Catalog!I94&lt;&gt;"",Catalog!J94&lt;&gt;""),"; ","")&amp;IF(Catalog!J94="","",Catalog!J94)</f>
        <v/>
      </c>
      <c r="D121" s="16">
        <f>Catalog!Q94</f>
        <v>0</v>
      </c>
      <c r="E121" s="16">
        <f>Catalog!S94</f>
        <v>0</v>
      </c>
      <c r="F121" s="16">
        <f>Catalog!N94</f>
        <v>0</v>
      </c>
      <c r="G121" s="16" t="str">
        <f>Catalog!K94&amp;" / "&amp;Catalog!M94</f>
        <v xml:space="preserve"> / </v>
      </c>
      <c r="H121" s="16" t="str">
        <f t="shared" si="1"/>
        <v>Print</v>
      </c>
      <c r="I121" s="16" t="str">
        <f>IF(Catalog!T94&lt;&gt;"","ISBN:"&amp;Catalog!T94,IF(Catalog!U94&lt;&gt;"","ISSN:"&amp;Catalog!U94,"ACC:"&amp;Catalog!B94))</f>
        <v>ACC:</v>
      </c>
      <c r="J121" s="16">
        <f>Catalog!L94</f>
        <v>0</v>
      </c>
      <c r="K121" s="16">
        <f>IF(Catalog!AH94&lt;&gt;"",Catalog!AH94,Catalog!AF94)</f>
        <v>0</v>
      </c>
      <c r="L121" s="16">
        <f>Catalog!AE94</f>
        <v>0</v>
      </c>
      <c r="M121" s="16">
        <f>Catalog!W94</f>
        <v>0</v>
      </c>
      <c r="N121" s="16">
        <f>Catalog!R94</f>
        <v>0</v>
      </c>
      <c r="O121" s="16">
        <f>Catalog!AG94</f>
        <v>0</v>
      </c>
    </row>
    <row r="122" spans="1:15" ht="15.75" x14ac:dyDescent="0.25">
      <c r="A122" s="16">
        <f>Catalog!D95</f>
        <v>0</v>
      </c>
      <c r="B122" s="16">
        <f>Catalog!F95</f>
        <v>0</v>
      </c>
      <c r="C122" s="16" t="str">
        <f>IF(Catalog!I95="","",Catalog!I95)&amp;IF(AND(Catalog!I95&lt;&gt;"",Catalog!J95&lt;&gt;""),"; ","")&amp;IF(Catalog!J95="","",Catalog!J95)</f>
        <v/>
      </c>
      <c r="D122" s="16">
        <f>Catalog!Q95</f>
        <v>0</v>
      </c>
      <c r="E122" s="16">
        <f>Catalog!S95</f>
        <v>0</v>
      </c>
      <c r="F122" s="16">
        <f>Catalog!N95</f>
        <v>0</v>
      </c>
      <c r="G122" s="16" t="str">
        <f>Catalog!K95&amp;" / "&amp;Catalog!M95</f>
        <v xml:space="preserve"> / </v>
      </c>
      <c r="H122" s="16" t="str">
        <f t="shared" si="1"/>
        <v>Print</v>
      </c>
      <c r="I122" s="16" t="str">
        <f>IF(Catalog!T95&lt;&gt;"","ISBN:"&amp;Catalog!T95,IF(Catalog!U95&lt;&gt;"","ISSN:"&amp;Catalog!U95,"ACC:"&amp;Catalog!B95))</f>
        <v>ACC:</v>
      </c>
      <c r="J122" s="16">
        <f>Catalog!L95</f>
        <v>0</v>
      </c>
      <c r="K122" s="16">
        <f>IF(Catalog!AH95&lt;&gt;"",Catalog!AH95,Catalog!AF95)</f>
        <v>0</v>
      </c>
      <c r="L122" s="16">
        <f>Catalog!AE95</f>
        <v>0</v>
      </c>
      <c r="M122" s="16">
        <f>Catalog!W95</f>
        <v>0</v>
      </c>
      <c r="N122" s="16">
        <f>Catalog!R95</f>
        <v>0</v>
      </c>
      <c r="O122" s="16">
        <f>Catalog!AG95</f>
        <v>0</v>
      </c>
    </row>
    <row r="123" spans="1:15" ht="15.75" x14ac:dyDescent="0.25">
      <c r="A123" s="16">
        <f>Catalog!D96</f>
        <v>0</v>
      </c>
      <c r="B123" s="16">
        <f>Catalog!F96</f>
        <v>0</v>
      </c>
      <c r="C123" s="16" t="str">
        <f>IF(Catalog!I96="","",Catalog!I96)&amp;IF(AND(Catalog!I96&lt;&gt;"",Catalog!J96&lt;&gt;""),"; ","")&amp;IF(Catalog!J96="","",Catalog!J96)</f>
        <v/>
      </c>
      <c r="D123" s="16">
        <f>Catalog!Q96</f>
        <v>0</v>
      </c>
      <c r="E123" s="16">
        <f>Catalog!S96</f>
        <v>0</v>
      </c>
      <c r="F123" s="16">
        <f>Catalog!N96</f>
        <v>0</v>
      </c>
      <c r="G123" s="16" t="str">
        <f>Catalog!K96&amp;" / "&amp;Catalog!M96</f>
        <v xml:space="preserve"> / </v>
      </c>
      <c r="H123" s="16" t="str">
        <f t="shared" si="1"/>
        <v>Print</v>
      </c>
      <c r="I123" s="16" t="str">
        <f>IF(Catalog!T96&lt;&gt;"","ISBN:"&amp;Catalog!T96,IF(Catalog!U96&lt;&gt;"","ISSN:"&amp;Catalog!U96,"ACC:"&amp;Catalog!B96))</f>
        <v>ACC:</v>
      </c>
      <c r="J123" s="16">
        <f>Catalog!L96</f>
        <v>0</v>
      </c>
      <c r="K123" s="16">
        <f>IF(Catalog!AH96&lt;&gt;"",Catalog!AH96,Catalog!AF96)</f>
        <v>0</v>
      </c>
      <c r="L123" s="16">
        <f>Catalog!AE96</f>
        <v>0</v>
      </c>
      <c r="M123" s="16">
        <f>Catalog!W96</f>
        <v>0</v>
      </c>
      <c r="N123" s="16">
        <f>Catalog!R96</f>
        <v>0</v>
      </c>
      <c r="O123" s="16">
        <f>Catalog!AG96</f>
        <v>0</v>
      </c>
    </row>
    <row r="124" spans="1:15" ht="15.75" x14ac:dyDescent="0.25">
      <c r="A124" s="16">
        <f>Catalog!D97</f>
        <v>0</v>
      </c>
      <c r="B124" s="16">
        <f>Catalog!F97</f>
        <v>0</v>
      </c>
      <c r="C124" s="16" t="str">
        <f>IF(Catalog!I97="","",Catalog!I97)&amp;IF(AND(Catalog!I97&lt;&gt;"",Catalog!J97&lt;&gt;""),"; ","")&amp;IF(Catalog!J97="","",Catalog!J97)</f>
        <v/>
      </c>
      <c r="D124" s="16">
        <f>Catalog!Q97</f>
        <v>0</v>
      </c>
      <c r="E124" s="16">
        <f>Catalog!S97</f>
        <v>0</v>
      </c>
      <c r="F124" s="16">
        <f>Catalog!N97</f>
        <v>0</v>
      </c>
      <c r="G124" s="16" t="str">
        <f>Catalog!K97&amp;" / "&amp;Catalog!M97</f>
        <v xml:space="preserve"> / </v>
      </c>
      <c r="H124" s="16" t="str">
        <f t="shared" si="1"/>
        <v>Print</v>
      </c>
      <c r="I124" s="16" t="str">
        <f>IF(Catalog!T97&lt;&gt;"","ISBN:"&amp;Catalog!T97,IF(Catalog!U97&lt;&gt;"","ISSN:"&amp;Catalog!U97,"ACC:"&amp;Catalog!B97))</f>
        <v>ACC:</v>
      </c>
      <c r="J124" s="16">
        <f>Catalog!L97</f>
        <v>0</v>
      </c>
      <c r="K124" s="16">
        <f>IF(Catalog!AH97&lt;&gt;"",Catalog!AH97,Catalog!AF97)</f>
        <v>0</v>
      </c>
      <c r="L124" s="16">
        <f>Catalog!AE97</f>
        <v>0</v>
      </c>
      <c r="M124" s="16">
        <f>Catalog!W97</f>
        <v>0</v>
      </c>
      <c r="N124" s="16">
        <f>Catalog!R97</f>
        <v>0</v>
      </c>
      <c r="O124" s="16">
        <f>Catalog!AG97</f>
        <v>0</v>
      </c>
    </row>
    <row r="125" spans="1:15" ht="15.75" x14ac:dyDescent="0.25">
      <c r="A125" s="16">
        <f>Catalog!D98</f>
        <v>0</v>
      </c>
      <c r="B125" s="16">
        <f>Catalog!F98</f>
        <v>0</v>
      </c>
      <c r="C125" s="16" t="str">
        <f>IF(Catalog!I98="","",Catalog!I98)&amp;IF(AND(Catalog!I98&lt;&gt;"",Catalog!J98&lt;&gt;""),"; ","")&amp;IF(Catalog!J98="","",Catalog!J98)</f>
        <v/>
      </c>
      <c r="D125" s="16">
        <f>Catalog!Q98</f>
        <v>0</v>
      </c>
      <c r="E125" s="16">
        <f>Catalog!S98</f>
        <v>0</v>
      </c>
      <c r="F125" s="16">
        <f>Catalog!N98</f>
        <v>0</v>
      </c>
      <c r="G125" s="16" t="str">
        <f>Catalog!K98&amp;" / "&amp;Catalog!M98</f>
        <v xml:space="preserve"> / </v>
      </c>
      <c r="H125" s="16" t="str">
        <f t="shared" si="1"/>
        <v>Print</v>
      </c>
      <c r="I125" s="16" t="str">
        <f>IF(Catalog!T98&lt;&gt;"","ISBN:"&amp;Catalog!T98,IF(Catalog!U98&lt;&gt;"","ISSN:"&amp;Catalog!U98,"ACC:"&amp;Catalog!B98))</f>
        <v>ACC:</v>
      </c>
      <c r="J125" s="16">
        <f>Catalog!L98</f>
        <v>0</v>
      </c>
      <c r="K125" s="16">
        <f>IF(Catalog!AH98&lt;&gt;"",Catalog!AH98,Catalog!AF98)</f>
        <v>0</v>
      </c>
      <c r="L125" s="16">
        <f>Catalog!AE98</f>
        <v>0</v>
      </c>
      <c r="M125" s="16">
        <f>Catalog!W98</f>
        <v>0</v>
      </c>
      <c r="N125" s="16">
        <f>Catalog!R98</f>
        <v>0</v>
      </c>
      <c r="O125" s="16">
        <f>Catalog!AG98</f>
        <v>0</v>
      </c>
    </row>
    <row r="126" spans="1:15" ht="15.75" x14ac:dyDescent="0.25">
      <c r="A126" s="16">
        <f>Catalog!D99</f>
        <v>0</v>
      </c>
      <c r="B126" s="16">
        <f>Catalog!F99</f>
        <v>0</v>
      </c>
      <c r="C126" s="16" t="str">
        <f>IF(Catalog!I99="","",Catalog!I99)&amp;IF(AND(Catalog!I99&lt;&gt;"",Catalog!J99&lt;&gt;""),"; ","")&amp;IF(Catalog!J99="","",Catalog!J99)</f>
        <v/>
      </c>
      <c r="D126" s="16">
        <f>Catalog!Q99</f>
        <v>0</v>
      </c>
      <c r="E126" s="16">
        <f>Catalog!S99</f>
        <v>0</v>
      </c>
      <c r="F126" s="16">
        <f>Catalog!N99</f>
        <v>0</v>
      </c>
      <c r="G126" s="16" t="str">
        <f>Catalog!K99&amp;" / "&amp;Catalog!M99</f>
        <v xml:space="preserve"> / </v>
      </c>
      <c r="H126" s="16" t="str">
        <f t="shared" si="1"/>
        <v>Print</v>
      </c>
      <c r="I126" s="16" t="str">
        <f>IF(Catalog!T99&lt;&gt;"","ISBN:"&amp;Catalog!T99,IF(Catalog!U99&lt;&gt;"","ISSN:"&amp;Catalog!U99,"ACC:"&amp;Catalog!B99))</f>
        <v>ACC:</v>
      </c>
      <c r="J126" s="16">
        <f>Catalog!L99</f>
        <v>0</v>
      </c>
      <c r="K126" s="16">
        <f>IF(Catalog!AH99&lt;&gt;"",Catalog!AH99,Catalog!AF99)</f>
        <v>0</v>
      </c>
      <c r="L126" s="16">
        <f>Catalog!AE99</f>
        <v>0</v>
      </c>
      <c r="M126" s="16">
        <f>Catalog!W99</f>
        <v>0</v>
      </c>
      <c r="N126" s="16">
        <f>Catalog!R99</f>
        <v>0</v>
      </c>
      <c r="O126" s="16">
        <f>Catalog!AG99</f>
        <v>0</v>
      </c>
    </row>
    <row r="127" spans="1:15" ht="15.75" x14ac:dyDescent="0.25">
      <c r="A127" s="16">
        <f>Catalog!D100</f>
        <v>0</v>
      </c>
      <c r="B127" s="16">
        <f>Catalog!F100</f>
        <v>0</v>
      </c>
      <c r="C127" s="16" t="str">
        <f>IF(Catalog!I100="","",Catalog!I100)&amp;IF(AND(Catalog!I100&lt;&gt;"",Catalog!J100&lt;&gt;""),"; ","")&amp;IF(Catalog!J100="","",Catalog!J100)</f>
        <v/>
      </c>
      <c r="D127" s="16">
        <f>Catalog!Q100</f>
        <v>0</v>
      </c>
      <c r="E127" s="16">
        <f>Catalog!S100</f>
        <v>0</v>
      </c>
      <c r="F127" s="16">
        <f>Catalog!N100</f>
        <v>0</v>
      </c>
      <c r="G127" s="16" t="str">
        <f>Catalog!K100&amp;" / "&amp;Catalog!M100</f>
        <v xml:space="preserve"> / </v>
      </c>
      <c r="H127" s="16" t="str">
        <f t="shared" si="1"/>
        <v>Print</v>
      </c>
      <c r="I127" s="16" t="str">
        <f>IF(Catalog!T100&lt;&gt;"","ISBN:"&amp;Catalog!T100,IF(Catalog!U100&lt;&gt;"","ISSN:"&amp;Catalog!U100,"ACC:"&amp;Catalog!B100))</f>
        <v>ACC:</v>
      </c>
      <c r="J127" s="16">
        <f>Catalog!L100</f>
        <v>0</v>
      </c>
      <c r="K127" s="16">
        <f>IF(Catalog!AH100&lt;&gt;"",Catalog!AH100,Catalog!AF100)</f>
        <v>0</v>
      </c>
      <c r="L127" s="16">
        <f>Catalog!AE100</f>
        <v>0</v>
      </c>
      <c r="M127" s="16">
        <f>Catalog!W100</f>
        <v>0</v>
      </c>
      <c r="N127" s="16">
        <f>Catalog!R100</f>
        <v>0</v>
      </c>
      <c r="O127" s="16">
        <f>Catalog!AG100</f>
        <v>0</v>
      </c>
    </row>
    <row r="128" spans="1:15" ht="15.75" x14ac:dyDescent="0.25">
      <c r="A128" s="16">
        <f>Catalog!D101</f>
        <v>0</v>
      </c>
      <c r="B128" s="16">
        <f>Catalog!F101</f>
        <v>0</v>
      </c>
      <c r="C128" s="16" t="str">
        <f>IF(Catalog!I101="","",Catalog!I101)&amp;IF(AND(Catalog!I101&lt;&gt;"",Catalog!J101&lt;&gt;""),"; ","")&amp;IF(Catalog!J101="","",Catalog!J101)</f>
        <v/>
      </c>
      <c r="D128" s="16">
        <f>Catalog!Q101</f>
        <v>0</v>
      </c>
      <c r="E128" s="16">
        <f>Catalog!S101</f>
        <v>0</v>
      </c>
      <c r="F128" s="16">
        <f>Catalog!N101</f>
        <v>0</v>
      </c>
      <c r="G128" s="16" t="str">
        <f>Catalog!K101&amp;" / "&amp;Catalog!M101</f>
        <v xml:space="preserve"> / </v>
      </c>
      <c r="H128" s="16" t="str">
        <f t="shared" si="1"/>
        <v>Print</v>
      </c>
      <c r="I128" s="16" t="str">
        <f>IF(Catalog!T101&lt;&gt;"","ISBN:"&amp;Catalog!T101,IF(Catalog!U101&lt;&gt;"","ISSN:"&amp;Catalog!U101,"ACC:"&amp;Catalog!B101))</f>
        <v>ACC:</v>
      </c>
      <c r="J128" s="16">
        <f>Catalog!L101</f>
        <v>0</v>
      </c>
      <c r="K128" s="16">
        <f>IF(Catalog!AH101&lt;&gt;"",Catalog!AH101,Catalog!AF101)</f>
        <v>0</v>
      </c>
      <c r="L128" s="16">
        <f>Catalog!AE101</f>
        <v>0</v>
      </c>
      <c r="M128" s="16">
        <f>Catalog!W101</f>
        <v>0</v>
      </c>
      <c r="N128" s="16">
        <f>Catalog!R101</f>
        <v>0</v>
      </c>
      <c r="O128" s="16">
        <f>Catalog!AG101</f>
        <v>0</v>
      </c>
    </row>
    <row r="129" spans="1:15" ht="15.75" x14ac:dyDescent="0.25">
      <c r="A129" s="16">
        <f>Catalog!D102</f>
        <v>0</v>
      </c>
      <c r="B129" s="16">
        <f>Catalog!F102</f>
        <v>0</v>
      </c>
      <c r="C129" s="16" t="str">
        <f>IF(Catalog!I102="","",Catalog!I102)&amp;IF(AND(Catalog!I102&lt;&gt;"",Catalog!J102&lt;&gt;""),"; ","")&amp;IF(Catalog!J102="","",Catalog!J102)</f>
        <v/>
      </c>
      <c r="D129" s="16">
        <f>Catalog!Q102</f>
        <v>0</v>
      </c>
      <c r="E129" s="16">
        <f>Catalog!S102</f>
        <v>0</v>
      </c>
      <c r="F129" s="16">
        <f>Catalog!N102</f>
        <v>0</v>
      </c>
      <c r="G129" s="16" t="str">
        <f>Catalog!K102&amp;" / "&amp;Catalog!M102</f>
        <v xml:space="preserve"> / </v>
      </c>
      <c r="H129" s="16" t="str">
        <f t="shared" si="1"/>
        <v>Print</v>
      </c>
      <c r="I129" s="16" t="str">
        <f>IF(Catalog!T102&lt;&gt;"","ISBN:"&amp;Catalog!T102,IF(Catalog!U102&lt;&gt;"","ISSN:"&amp;Catalog!U102,"ACC:"&amp;Catalog!B102))</f>
        <v>ACC:</v>
      </c>
      <c r="J129" s="16">
        <f>Catalog!L102</f>
        <v>0</v>
      </c>
      <c r="K129" s="16">
        <f>IF(Catalog!AH102&lt;&gt;"",Catalog!AH102,Catalog!AF102)</f>
        <v>0</v>
      </c>
      <c r="L129" s="16">
        <f>Catalog!AE102</f>
        <v>0</v>
      </c>
      <c r="M129" s="16">
        <f>Catalog!W102</f>
        <v>0</v>
      </c>
      <c r="N129" s="16">
        <f>Catalog!R102</f>
        <v>0</v>
      </c>
      <c r="O129" s="16">
        <f>Catalog!AG102</f>
        <v>0</v>
      </c>
    </row>
    <row r="130" spans="1:15" ht="15.75" x14ac:dyDescent="0.25">
      <c r="A130" s="16">
        <f>Catalog!D103</f>
        <v>0</v>
      </c>
      <c r="B130" s="16">
        <f>Catalog!F103</f>
        <v>0</v>
      </c>
      <c r="C130" s="16" t="str">
        <f>IF(Catalog!I103="","",Catalog!I103)&amp;IF(AND(Catalog!I103&lt;&gt;"",Catalog!J103&lt;&gt;""),"; ","")&amp;IF(Catalog!J103="","",Catalog!J103)</f>
        <v/>
      </c>
      <c r="D130" s="16">
        <f>Catalog!Q103</f>
        <v>0</v>
      </c>
      <c r="E130" s="16">
        <f>Catalog!S103</f>
        <v>0</v>
      </c>
      <c r="F130" s="16">
        <f>Catalog!N103</f>
        <v>0</v>
      </c>
      <c r="G130" s="16" t="str">
        <f>Catalog!K103&amp;" / "&amp;Catalog!M103</f>
        <v xml:space="preserve"> / </v>
      </c>
      <c r="H130" s="16" t="str">
        <f t="shared" si="1"/>
        <v>Print</v>
      </c>
      <c r="I130" s="16" t="str">
        <f>IF(Catalog!T103&lt;&gt;"","ISBN:"&amp;Catalog!T103,IF(Catalog!U103&lt;&gt;"","ISSN:"&amp;Catalog!U103,"ACC:"&amp;Catalog!B103))</f>
        <v>ACC:</v>
      </c>
      <c r="J130" s="16">
        <f>Catalog!L103</f>
        <v>0</v>
      </c>
      <c r="K130" s="16">
        <f>IF(Catalog!AH103&lt;&gt;"",Catalog!AH103,Catalog!AF103)</f>
        <v>0</v>
      </c>
      <c r="L130" s="16">
        <f>Catalog!AE103</f>
        <v>0</v>
      </c>
      <c r="M130" s="16">
        <f>Catalog!W103</f>
        <v>0</v>
      </c>
      <c r="N130" s="16">
        <f>Catalog!R103</f>
        <v>0</v>
      </c>
      <c r="O130" s="16">
        <f>Catalog!AG103</f>
        <v>0</v>
      </c>
    </row>
    <row r="131" spans="1:15" ht="15.75" x14ac:dyDescent="0.25">
      <c r="A131" s="16">
        <f>Catalog!D104</f>
        <v>0</v>
      </c>
      <c r="B131" s="16">
        <f>Catalog!F104</f>
        <v>0</v>
      </c>
      <c r="C131" s="16" t="str">
        <f>IF(Catalog!I104="","",Catalog!I104)&amp;IF(AND(Catalog!I104&lt;&gt;"",Catalog!J104&lt;&gt;""),"; ","")&amp;IF(Catalog!J104="","",Catalog!J104)</f>
        <v/>
      </c>
      <c r="D131" s="16">
        <f>Catalog!Q104</f>
        <v>0</v>
      </c>
      <c r="E131" s="16">
        <f>Catalog!S104</f>
        <v>0</v>
      </c>
      <c r="F131" s="16">
        <f>Catalog!N104</f>
        <v>0</v>
      </c>
      <c r="G131" s="16" t="str">
        <f>Catalog!K104&amp;" / "&amp;Catalog!M104</f>
        <v xml:space="preserve"> / </v>
      </c>
      <c r="H131" s="16" t="str">
        <f t="shared" si="1"/>
        <v>Print</v>
      </c>
      <c r="I131" s="16" t="str">
        <f>IF(Catalog!T104&lt;&gt;"","ISBN:"&amp;Catalog!T104,IF(Catalog!U104&lt;&gt;"","ISSN:"&amp;Catalog!U104,"ACC:"&amp;Catalog!B104))</f>
        <v>ACC:</v>
      </c>
      <c r="J131" s="16">
        <f>Catalog!L104</f>
        <v>0</v>
      </c>
      <c r="K131" s="16">
        <f>IF(Catalog!AH104&lt;&gt;"",Catalog!AH104,Catalog!AF104)</f>
        <v>0</v>
      </c>
      <c r="L131" s="16">
        <f>Catalog!AE104</f>
        <v>0</v>
      </c>
      <c r="M131" s="16">
        <f>Catalog!W104</f>
        <v>0</v>
      </c>
      <c r="N131" s="16">
        <f>Catalog!R104</f>
        <v>0</v>
      </c>
      <c r="O131" s="16">
        <f>Catalog!AG104</f>
        <v>0</v>
      </c>
    </row>
    <row r="132" spans="1:15" ht="15.75" x14ac:dyDescent="0.25">
      <c r="A132" s="16">
        <f>Catalog!D105</f>
        <v>0</v>
      </c>
      <c r="B132" s="16">
        <f>Catalog!F105</f>
        <v>0</v>
      </c>
      <c r="C132" s="16" t="str">
        <f>IF(Catalog!I105="","",Catalog!I105)&amp;IF(AND(Catalog!I105&lt;&gt;"",Catalog!J105&lt;&gt;""),"; ","")&amp;IF(Catalog!J105="","",Catalog!J105)</f>
        <v/>
      </c>
      <c r="D132" s="16">
        <f>Catalog!Q105</f>
        <v>0</v>
      </c>
      <c r="E132" s="16">
        <f>Catalog!S105</f>
        <v>0</v>
      </c>
      <c r="F132" s="16">
        <f>Catalog!N105</f>
        <v>0</v>
      </c>
      <c r="G132" s="16" t="str">
        <f>Catalog!K105&amp;" / "&amp;Catalog!M105</f>
        <v xml:space="preserve"> / </v>
      </c>
      <c r="H132" s="16" t="str">
        <f t="shared" si="1"/>
        <v>Print</v>
      </c>
      <c r="I132" s="16" t="str">
        <f>IF(Catalog!T105&lt;&gt;"","ISBN:"&amp;Catalog!T105,IF(Catalog!U105&lt;&gt;"","ISSN:"&amp;Catalog!U105,"ACC:"&amp;Catalog!B105))</f>
        <v>ACC:</v>
      </c>
      <c r="J132" s="16">
        <f>Catalog!L105</f>
        <v>0</v>
      </c>
      <c r="K132" s="16">
        <f>IF(Catalog!AH105&lt;&gt;"",Catalog!AH105,Catalog!AF105)</f>
        <v>0</v>
      </c>
      <c r="L132" s="16">
        <f>Catalog!AE105</f>
        <v>0</v>
      </c>
      <c r="M132" s="16">
        <f>Catalog!W105</f>
        <v>0</v>
      </c>
      <c r="N132" s="16">
        <f>Catalog!R105</f>
        <v>0</v>
      </c>
      <c r="O132" s="16">
        <f>Catalog!AG105</f>
        <v>0</v>
      </c>
    </row>
    <row r="133" spans="1:15" ht="15.75" x14ac:dyDescent="0.25">
      <c r="A133" s="16">
        <f>Catalog!D106</f>
        <v>0</v>
      </c>
      <c r="B133" s="16">
        <f>Catalog!F106</f>
        <v>0</v>
      </c>
      <c r="C133" s="16" t="str">
        <f>IF(Catalog!I106="","",Catalog!I106)&amp;IF(AND(Catalog!I106&lt;&gt;"",Catalog!J106&lt;&gt;""),"; ","")&amp;IF(Catalog!J106="","",Catalog!J106)</f>
        <v/>
      </c>
      <c r="D133" s="16">
        <f>Catalog!Q106</f>
        <v>0</v>
      </c>
      <c r="E133" s="16">
        <f>Catalog!S106</f>
        <v>0</v>
      </c>
      <c r="F133" s="16">
        <f>Catalog!N106</f>
        <v>0</v>
      </c>
      <c r="G133" s="16" t="str">
        <f>Catalog!K106&amp;" / "&amp;Catalog!M106</f>
        <v xml:space="preserve"> / </v>
      </c>
      <c r="H133" s="16" t="str">
        <f t="shared" si="1"/>
        <v>Print</v>
      </c>
      <c r="I133" s="16" t="str">
        <f>IF(Catalog!T106&lt;&gt;"","ISBN:"&amp;Catalog!T106,IF(Catalog!U106&lt;&gt;"","ISSN:"&amp;Catalog!U106,"ACC:"&amp;Catalog!B106))</f>
        <v>ACC:</v>
      </c>
      <c r="J133" s="16">
        <f>Catalog!L106</f>
        <v>0</v>
      </c>
      <c r="K133" s="16">
        <f>IF(Catalog!AH106&lt;&gt;"",Catalog!AH106,Catalog!AF106)</f>
        <v>0</v>
      </c>
      <c r="L133" s="16">
        <f>Catalog!AE106</f>
        <v>0</v>
      </c>
      <c r="M133" s="16">
        <f>Catalog!W106</f>
        <v>0</v>
      </c>
      <c r="N133" s="16">
        <f>Catalog!R106</f>
        <v>0</v>
      </c>
      <c r="O133" s="16">
        <f>Catalog!AG106</f>
        <v>0</v>
      </c>
    </row>
    <row r="134" spans="1:15" ht="15.75" x14ac:dyDescent="0.25">
      <c r="A134" s="16">
        <f>Catalog!D107</f>
        <v>0</v>
      </c>
      <c r="B134" s="16">
        <f>Catalog!F107</f>
        <v>0</v>
      </c>
      <c r="C134" s="16" t="str">
        <f>IF(Catalog!I107="","",Catalog!I107)&amp;IF(AND(Catalog!I107&lt;&gt;"",Catalog!J107&lt;&gt;""),"; ","")&amp;IF(Catalog!J107="","",Catalog!J107)</f>
        <v/>
      </c>
      <c r="D134" s="16">
        <f>Catalog!Q107</f>
        <v>0</v>
      </c>
      <c r="E134" s="16">
        <f>Catalog!S107</f>
        <v>0</v>
      </c>
      <c r="F134" s="16">
        <f>Catalog!N107</f>
        <v>0</v>
      </c>
      <c r="G134" s="16" t="str">
        <f>Catalog!K107&amp;" / "&amp;Catalog!M107</f>
        <v xml:space="preserve"> / </v>
      </c>
      <c r="H134" s="16" t="str">
        <f t="shared" si="1"/>
        <v>Print</v>
      </c>
      <c r="I134" s="16" t="str">
        <f>IF(Catalog!T107&lt;&gt;"","ISBN:"&amp;Catalog!T107,IF(Catalog!U107&lt;&gt;"","ISSN:"&amp;Catalog!U107,"ACC:"&amp;Catalog!B107))</f>
        <v>ACC:</v>
      </c>
      <c r="J134" s="16">
        <f>Catalog!L107</f>
        <v>0</v>
      </c>
      <c r="K134" s="16">
        <f>IF(Catalog!AH107&lt;&gt;"",Catalog!AH107,Catalog!AF107)</f>
        <v>0</v>
      </c>
      <c r="L134" s="16">
        <f>Catalog!AE107</f>
        <v>0</v>
      </c>
      <c r="M134" s="16">
        <f>Catalog!W107</f>
        <v>0</v>
      </c>
      <c r="N134" s="16">
        <f>Catalog!R107</f>
        <v>0</v>
      </c>
      <c r="O134" s="16">
        <f>Catalog!AG107</f>
        <v>0</v>
      </c>
    </row>
    <row r="135" spans="1:15" ht="15.75" x14ac:dyDescent="0.25">
      <c r="A135" s="16">
        <f>Catalog!D108</f>
        <v>0</v>
      </c>
      <c r="B135" s="16">
        <f>Catalog!F108</f>
        <v>0</v>
      </c>
      <c r="C135" s="16" t="str">
        <f>IF(Catalog!I108="","",Catalog!I108)&amp;IF(AND(Catalog!I108&lt;&gt;"",Catalog!J108&lt;&gt;""),"; ","")&amp;IF(Catalog!J108="","",Catalog!J108)</f>
        <v/>
      </c>
      <c r="D135" s="16">
        <f>Catalog!Q108</f>
        <v>0</v>
      </c>
      <c r="E135" s="16">
        <f>Catalog!S108</f>
        <v>0</v>
      </c>
      <c r="F135" s="16">
        <f>Catalog!N108</f>
        <v>0</v>
      </c>
      <c r="G135" s="16" t="str">
        <f>Catalog!K108&amp;" / "&amp;Catalog!M108</f>
        <v xml:space="preserve"> / </v>
      </c>
      <c r="H135" s="16" t="str">
        <f t="shared" si="1"/>
        <v>Print</v>
      </c>
      <c r="I135" s="16" t="str">
        <f>IF(Catalog!T108&lt;&gt;"","ISBN:"&amp;Catalog!T108,IF(Catalog!U108&lt;&gt;"","ISSN:"&amp;Catalog!U108,"ACC:"&amp;Catalog!B108))</f>
        <v>ACC:</v>
      </c>
      <c r="J135" s="16">
        <f>Catalog!L108</f>
        <v>0</v>
      </c>
      <c r="K135" s="16">
        <f>IF(Catalog!AH108&lt;&gt;"",Catalog!AH108,Catalog!AF108)</f>
        <v>0</v>
      </c>
      <c r="L135" s="16">
        <f>Catalog!AE108</f>
        <v>0</v>
      </c>
      <c r="M135" s="16">
        <f>Catalog!W108</f>
        <v>0</v>
      </c>
      <c r="N135" s="16">
        <f>Catalog!R108</f>
        <v>0</v>
      </c>
      <c r="O135" s="16">
        <f>Catalog!AG108</f>
        <v>0</v>
      </c>
    </row>
    <row r="136" spans="1:15" ht="15.75" x14ac:dyDescent="0.25">
      <c r="A136" s="16">
        <f>Catalog!D109</f>
        <v>0</v>
      </c>
      <c r="B136" s="16">
        <f>Catalog!F109</f>
        <v>0</v>
      </c>
      <c r="C136" s="16" t="str">
        <f>IF(Catalog!I109="","",Catalog!I109)&amp;IF(AND(Catalog!I109&lt;&gt;"",Catalog!J109&lt;&gt;""),"; ","")&amp;IF(Catalog!J109="","",Catalog!J109)</f>
        <v/>
      </c>
      <c r="D136" s="16">
        <f>Catalog!Q109</f>
        <v>0</v>
      </c>
      <c r="E136" s="16">
        <f>Catalog!S109</f>
        <v>0</v>
      </c>
      <c r="F136" s="16">
        <f>Catalog!N109</f>
        <v>0</v>
      </c>
      <c r="G136" s="16" t="str">
        <f>Catalog!K109&amp;" / "&amp;Catalog!M109</f>
        <v xml:space="preserve"> / </v>
      </c>
      <c r="H136" s="16" t="str">
        <f t="shared" si="1"/>
        <v>Print</v>
      </c>
      <c r="I136" s="16" t="str">
        <f>IF(Catalog!T109&lt;&gt;"","ISBN:"&amp;Catalog!T109,IF(Catalog!U109&lt;&gt;"","ISSN:"&amp;Catalog!U109,"ACC:"&amp;Catalog!B109))</f>
        <v>ACC:</v>
      </c>
      <c r="J136" s="16">
        <f>Catalog!L109</f>
        <v>0</v>
      </c>
      <c r="K136" s="16">
        <f>IF(Catalog!AH109&lt;&gt;"",Catalog!AH109,Catalog!AF109)</f>
        <v>0</v>
      </c>
      <c r="L136" s="16">
        <f>Catalog!AE109</f>
        <v>0</v>
      </c>
      <c r="M136" s="16">
        <f>Catalog!W109</f>
        <v>0</v>
      </c>
      <c r="N136" s="16">
        <f>Catalog!R109</f>
        <v>0</v>
      </c>
      <c r="O136" s="16">
        <f>Catalog!AG109</f>
        <v>0</v>
      </c>
    </row>
    <row r="137" spans="1:15" ht="15.75" x14ac:dyDescent="0.25">
      <c r="A137" s="16">
        <f>Catalog!D110</f>
        <v>0</v>
      </c>
      <c r="B137" s="16">
        <f>Catalog!F110</f>
        <v>0</v>
      </c>
      <c r="C137" s="16" t="str">
        <f>IF(Catalog!I110="","",Catalog!I110)&amp;IF(AND(Catalog!I110&lt;&gt;"",Catalog!J110&lt;&gt;""),"; ","")&amp;IF(Catalog!J110="","",Catalog!J110)</f>
        <v/>
      </c>
      <c r="D137" s="16">
        <f>Catalog!Q110</f>
        <v>0</v>
      </c>
      <c r="E137" s="16">
        <f>Catalog!S110</f>
        <v>0</v>
      </c>
      <c r="F137" s="16">
        <f>Catalog!N110</f>
        <v>0</v>
      </c>
      <c r="G137" s="16" t="str">
        <f>Catalog!K110&amp;" / "&amp;Catalog!M110</f>
        <v xml:space="preserve"> / </v>
      </c>
      <c r="H137" s="16" t="str">
        <f t="shared" si="1"/>
        <v>Print</v>
      </c>
      <c r="I137" s="16" t="str">
        <f>IF(Catalog!T110&lt;&gt;"","ISBN:"&amp;Catalog!T110,IF(Catalog!U110&lt;&gt;"","ISSN:"&amp;Catalog!U110,"ACC:"&amp;Catalog!B110))</f>
        <v>ACC:</v>
      </c>
      <c r="J137" s="16">
        <f>Catalog!L110</f>
        <v>0</v>
      </c>
      <c r="K137" s="16">
        <f>IF(Catalog!AH110&lt;&gt;"",Catalog!AH110,Catalog!AF110)</f>
        <v>0</v>
      </c>
      <c r="L137" s="16">
        <f>Catalog!AE110</f>
        <v>0</v>
      </c>
      <c r="M137" s="16">
        <f>Catalog!W110</f>
        <v>0</v>
      </c>
      <c r="N137" s="16">
        <f>Catalog!R110</f>
        <v>0</v>
      </c>
      <c r="O137" s="16">
        <f>Catalog!AG110</f>
        <v>0</v>
      </c>
    </row>
    <row r="138" spans="1:15" ht="15.75" x14ac:dyDescent="0.25">
      <c r="A138" s="16">
        <f>Catalog!D111</f>
        <v>0</v>
      </c>
      <c r="B138" s="16">
        <f>Catalog!F111</f>
        <v>0</v>
      </c>
      <c r="C138" s="16" t="str">
        <f>IF(Catalog!I111="","",Catalog!I111)&amp;IF(AND(Catalog!I111&lt;&gt;"",Catalog!J111&lt;&gt;""),"; ","")&amp;IF(Catalog!J111="","",Catalog!J111)</f>
        <v/>
      </c>
      <c r="D138" s="16">
        <f>Catalog!Q111</f>
        <v>0</v>
      </c>
      <c r="E138" s="16">
        <f>Catalog!S111</f>
        <v>0</v>
      </c>
      <c r="F138" s="16">
        <f>Catalog!N111</f>
        <v>0</v>
      </c>
      <c r="G138" s="16" t="str">
        <f>Catalog!K111&amp;" / "&amp;Catalog!M111</f>
        <v xml:space="preserve"> / </v>
      </c>
      <c r="H138" s="16" t="str">
        <f t="shared" si="1"/>
        <v>Print</v>
      </c>
      <c r="I138" s="16" t="str">
        <f>IF(Catalog!T111&lt;&gt;"","ISBN:"&amp;Catalog!T111,IF(Catalog!U111&lt;&gt;"","ISSN:"&amp;Catalog!U111,"ACC:"&amp;Catalog!B111))</f>
        <v>ACC:</v>
      </c>
      <c r="J138" s="16">
        <f>Catalog!L111</f>
        <v>0</v>
      </c>
      <c r="K138" s="16">
        <f>IF(Catalog!AH111&lt;&gt;"",Catalog!AH111,Catalog!AF111)</f>
        <v>0</v>
      </c>
      <c r="L138" s="16">
        <f>Catalog!AE111</f>
        <v>0</v>
      </c>
      <c r="M138" s="16">
        <f>Catalog!W111</f>
        <v>0</v>
      </c>
      <c r="N138" s="16">
        <f>Catalog!R111</f>
        <v>0</v>
      </c>
      <c r="O138" s="16">
        <f>Catalog!AG111</f>
        <v>0</v>
      </c>
    </row>
    <row r="139" spans="1:15" ht="15.75" x14ac:dyDescent="0.25">
      <c r="A139" s="16">
        <f>Catalog!D112</f>
        <v>0</v>
      </c>
      <c r="B139" s="16">
        <f>Catalog!F112</f>
        <v>0</v>
      </c>
      <c r="C139" s="16" t="str">
        <f>IF(Catalog!I112="","",Catalog!I112)&amp;IF(AND(Catalog!I112&lt;&gt;"",Catalog!J112&lt;&gt;""),"; ","")&amp;IF(Catalog!J112="","",Catalog!J112)</f>
        <v/>
      </c>
      <c r="D139" s="16">
        <f>Catalog!Q112</f>
        <v>0</v>
      </c>
      <c r="E139" s="16">
        <f>Catalog!S112</f>
        <v>0</v>
      </c>
      <c r="F139" s="16">
        <f>Catalog!N112</f>
        <v>0</v>
      </c>
      <c r="G139" s="16" t="str">
        <f>Catalog!K112&amp;" / "&amp;Catalog!M112</f>
        <v xml:space="preserve"> / </v>
      </c>
      <c r="H139" s="16" t="str">
        <f t="shared" si="1"/>
        <v>Print</v>
      </c>
      <c r="I139" s="16" t="str">
        <f>IF(Catalog!T112&lt;&gt;"","ISBN:"&amp;Catalog!T112,IF(Catalog!U112&lt;&gt;"","ISSN:"&amp;Catalog!U112,"ACC:"&amp;Catalog!B112))</f>
        <v>ACC:</v>
      </c>
      <c r="J139" s="16">
        <f>Catalog!L112</f>
        <v>0</v>
      </c>
      <c r="K139" s="16">
        <f>IF(Catalog!AH112&lt;&gt;"",Catalog!AH112,Catalog!AF112)</f>
        <v>0</v>
      </c>
      <c r="L139" s="16">
        <f>Catalog!AE112</f>
        <v>0</v>
      </c>
      <c r="M139" s="16">
        <f>Catalog!W112</f>
        <v>0</v>
      </c>
      <c r="N139" s="16">
        <f>Catalog!R112</f>
        <v>0</v>
      </c>
      <c r="O139" s="16">
        <f>Catalog!AG112</f>
        <v>0</v>
      </c>
    </row>
    <row r="140" spans="1:15" ht="15.75" x14ac:dyDescent="0.25">
      <c r="A140" s="16">
        <f>Catalog!D113</f>
        <v>0</v>
      </c>
      <c r="B140" s="16">
        <f>Catalog!F113</f>
        <v>0</v>
      </c>
      <c r="C140" s="16" t="str">
        <f>IF(Catalog!I113="","",Catalog!I113)&amp;IF(AND(Catalog!I113&lt;&gt;"",Catalog!J113&lt;&gt;""),"; ","")&amp;IF(Catalog!J113="","",Catalog!J113)</f>
        <v/>
      </c>
      <c r="D140" s="16">
        <f>Catalog!Q113</f>
        <v>0</v>
      </c>
      <c r="E140" s="16">
        <f>Catalog!S113</f>
        <v>0</v>
      </c>
      <c r="F140" s="16">
        <f>Catalog!N113</f>
        <v>0</v>
      </c>
      <c r="G140" s="16" t="str">
        <f>Catalog!K113&amp;" / "&amp;Catalog!M113</f>
        <v xml:space="preserve"> / </v>
      </c>
      <c r="H140" s="16" t="str">
        <f t="shared" si="1"/>
        <v>Print</v>
      </c>
      <c r="I140" s="16" t="str">
        <f>IF(Catalog!T113&lt;&gt;"","ISBN:"&amp;Catalog!T113,IF(Catalog!U113&lt;&gt;"","ISSN:"&amp;Catalog!U113,"ACC:"&amp;Catalog!B113))</f>
        <v>ACC:</v>
      </c>
      <c r="J140" s="16">
        <f>Catalog!L113</f>
        <v>0</v>
      </c>
      <c r="K140" s="16">
        <f>IF(Catalog!AH113&lt;&gt;"",Catalog!AH113,Catalog!AF113)</f>
        <v>0</v>
      </c>
      <c r="L140" s="16">
        <f>Catalog!AE113</f>
        <v>0</v>
      </c>
      <c r="M140" s="16">
        <f>Catalog!W113</f>
        <v>0</v>
      </c>
      <c r="N140" s="16">
        <f>Catalog!R113</f>
        <v>0</v>
      </c>
      <c r="O140" s="16">
        <f>Catalog!AG113</f>
        <v>0</v>
      </c>
    </row>
    <row r="141" spans="1:15" ht="15.75" x14ac:dyDescent="0.25">
      <c r="A141" s="16">
        <f>Catalog!D114</f>
        <v>0</v>
      </c>
      <c r="B141" s="16">
        <f>Catalog!F114</f>
        <v>0</v>
      </c>
      <c r="C141" s="16" t="str">
        <f>IF(Catalog!I114="","",Catalog!I114)&amp;IF(AND(Catalog!I114&lt;&gt;"",Catalog!J114&lt;&gt;""),"; ","")&amp;IF(Catalog!J114="","",Catalog!J114)</f>
        <v/>
      </c>
      <c r="D141" s="16">
        <f>Catalog!Q114</f>
        <v>0</v>
      </c>
      <c r="E141" s="16">
        <f>Catalog!S114</f>
        <v>0</v>
      </c>
      <c r="F141" s="16">
        <f>Catalog!N114</f>
        <v>0</v>
      </c>
      <c r="G141" s="16" t="str">
        <f>Catalog!K114&amp;" / "&amp;Catalog!M114</f>
        <v xml:space="preserve"> / </v>
      </c>
      <c r="H141" s="16" t="str">
        <f t="shared" si="1"/>
        <v>Print</v>
      </c>
      <c r="I141" s="16" t="str">
        <f>IF(Catalog!T114&lt;&gt;"","ISBN:"&amp;Catalog!T114,IF(Catalog!U114&lt;&gt;"","ISSN:"&amp;Catalog!U114,"ACC:"&amp;Catalog!B114))</f>
        <v>ACC:</v>
      </c>
      <c r="J141" s="16">
        <f>Catalog!L114</f>
        <v>0</v>
      </c>
      <c r="K141" s="16">
        <f>IF(Catalog!AH114&lt;&gt;"",Catalog!AH114,Catalog!AF114)</f>
        <v>0</v>
      </c>
      <c r="L141" s="16">
        <f>Catalog!AE114</f>
        <v>0</v>
      </c>
      <c r="M141" s="16">
        <f>Catalog!W114</f>
        <v>0</v>
      </c>
      <c r="N141" s="16">
        <f>Catalog!R114</f>
        <v>0</v>
      </c>
      <c r="O141" s="16">
        <f>Catalog!AG114</f>
        <v>0</v>
      </c>
    </row>
    <row r="142" spans="1:15" ht="15.75" x14ac:dyDescent="0.25">
      <c r="A142" s="16">
        <f>Catalog!D115</f>
        <v>0</v>
      </c>
      <c r="B142" s="16">
        <f>Catalog!F115</f>
        <v>0</v>
      </c>
      <c r="C142" s="16" t="str">
        <f>IF(Catalog!I115="","",Catalog!I115)&amp;IF(AND(Catalog!I115&lt;&gt;"",Catalog!J115&lt;&gt;""),"; ","")&amp;IF(Catalog!J115="","",Catalog!J115)</f>
        <v/>
      </c>
      <c r="D142" s="16">
        <f>Catalog!Q115</f>
        <v>0</v>
      </c>
      <c r="E142" s="16">
        <f>Catalog!S115</f>
        <v>0</v>
      </c>
      <c r="F142" s="16">
        <f>Catalog!N115</f>
        <v>0</v>
      </c>
      <c r="G142" s="16" t="str">
        <f>Catalog!K115&amp;" / "&amp;Catalog!M115</f>
        <v xml:space="preserve"> / </v>
      </c>
      <c r="H142" s="16" t="str">
        <f t="shared" si="1"/>
        <v>Print</v>
      </c>
      <c r="I142" s="16" t="str">
        <f>IF(Catalog!T115&lt;&gt;"","ISBN:"&amp;Catalog!T115,IF(Catalog!U115&lt;&gt;"","ISSN:"&amp;Catalog!U115,"ACC:"&amp;Catalog!B115))</f>
        <v>ACC:</v>
      </c>
      <c r="J142" s="16">
        <f>Catalog!L115</f>
        <v>0</v>
      </c>
      <c r="K142" s="16">
        <f>IF(Catalog!AH115&lt;&gt;"",Catalog!AH115,Catalog!AF115)</f>
        <v>0</v>
      </c>
      <c r="L142" s="16">
        <f>Catalog!AE115</f>
        <v>0</v>
      </c>
      <c r="M142" s="16">
        <f>Catalog!W115</f>
        <v>0</v>
      </c>
      <c r="N142" s="16">
        <f>Catalog!R115</f>
        <v>0</v>
      </c>
      <c r="O142" s="16">
        <f>Catalog!AG115</f>
        <v>0</v>
      </c>
    </row>
    <row r="143" spans="1:15" ht="15.75" x14ac:dyDescent="0.25">
      <c r="A143" s="16">
        <f>Catalog!D116</f>
        <v>0</v>
      </c>
      <c r="B143" s="16">
        <f>Catalog!F116</f>
        <v>0</v>
      </c>
      <c r="C143" s="16" t="str">
        <f>IF(Catalog!I116="","",Catalog!I116)&amp;IF(AND(Catalog!I116&lt;&gt;"",Catalog!J116&lt;&gt;""),"; ","")&amp;IF(Catalog!J116="","",Catalog!J116)</f>
        <v/>
      </c>
      <c r="D143" s="16">
        <f>Catalog!Q116</f>
        <v>0</v>
      </c>
      <c r="E143" s="16">
        <f>Catalog!S116</f>
        <v>0</v>
      </c>
      <c r="F143" s="16">
        <f>Catalog!N116</f>
        <v>0</v>
      </c>
      <c r="G143" s="16" t="str">
        <f>Catalog!K116&amp;" / "&amp;Catalog!M116</f>
        <v xml:space="preserve"> / </v>
      </c>
      <c r="H143" s="16" t="str">
        <f t="shared" si="1"/>
        <v>Print</v>
      </c>
      <c r="I143" s="16" t="str">
        <f>IF(Catalog!T116&lt;&gt;"","ISBN:"&amp;Catalog!T116,IF(Catalog!U116&lt;&gt;"","ISSN:"&amp;Catalog!U116,"ACC:"&amp;Catalog!B116))</f>
        <v>ACC:</v>
      </c>
      <c r="J143" s="16">
        <f>Catalog!L116</f>
        <v>0</v>
      </c>
      <c r="K143" s="16">
        <f>IF(Catalog!AH116&lt;&gt;"",Catalog!AH116,Catalog!AF116)</f>
        <v>0</v>
      </c>
      <c r="L143" s="16">
        <f>Catalog!AE116</f>
        <v>0</v>
      </c>
      <c r="M143" s="16">
        <f>Catalog!W116</f>
        <v>0</v>
      </c>
      <c r="N143" s="16">
        <f>Catalog!R116</f>
        <v>0</v>
      </c>
      <c r="O143" s="16">
        <f>Catalog!AG116</f>
        <v>0</v>
      </c>
    </row>
    <row r="144" spans="1:15" ht="15.75" x14ac:dyDescent="0.25">
      <c r="A144" s="16">
        <f>Catalog!D117</f>
        <v>0</v>
      </c>
      <c r="B144" s="16">
        <f>Catalog!F117</f>
        <v>0</v>
      </c>
      <c r="C144" s="16" t="str">
        <f>IF(Catalog!I117="","",Catalog!I117)&amp;IF(AND(Catalog!I117&lt;&gt;"",Catalog!J117&lt;&gt;""),"; ","")&amp;IF(Catalog!J117="","",Catalog!J117)</f>
        <v/>
      </c>
      <c r="D144" s="16">
        <f>Catalog!Q117</f>
        <v>0</v>
      </c>
      <c r="E144" s="16">
        <f>Catalog!S117</f>
        <v>0</v>
      </c>
      <c r="F144" s="16">
        <f>Catalog!N117</f>
        <v>0</v>
      </c>
      <c r="G144" s="16" t="str">
        <f>Catalog!K117&amp;" / "&amp;Catalog!M117</f>
        <v xml:space="preserve"> / </v>
      </c>
      <c r="H144" s="16" t="str">
        <f t="shared" si="1"/>
        <v>Print</v>
      </c>
      <c r="I144" s="16" t="str">
        <f>IF(Catalog!T117&lt;&gt;"","ISBN:"&amp;Catalog!T117,IF(Catalog!U117&lt;&gt;"","ISSN:"&amp;Catalog!U117,"ACC:"&amp;Catalog!B117))</f>
        <v>ACC:</v>
      </c>
      <c r="J144" s="16">
        <f>Catalog!L117</f>
        <v>0</v>
      </c>
      <c r="K144" s="16">
        <f>IF(Catalog!AH117&lt;&gt;"",Catalog!AH117,Catalog!AF117)</f>
        <v>0</v>
      </c>
      <c r="L144" s="16">
        <f>Catalog!AE117</f>
        <v>0</v>
      </c>
      <c r="M144" s="16">
        <f>Catalog!W117</f>
        <v>0</v>
      </c>
      <c r="N144" s="16">
        <f>Catalog!R117</f>
        <v>0</v>
      </c>
      <c r="O144" s="16">
        <f>Catalog!AG117</f>
        <v>0</v>
      </c>
    </row>
    <row r="145" spans="1:15" ht="15.75" x14ac:dyDescent="0.25">
      <c r="A145" s="16">
        <f>Catalog!D118</f>
        <v>0</v>
      </c>
      <c r="B145" s="16">
        <f>Catalog!F118</f>
        <v>0</v>
      </c>
      <c r="C145" s="16" t="str">
        <f>IF(Catalog!I118="","",Catalog!I118)&amp;IF(AND(Catalog!I118&lt;&gt;"",Catalog!J118&lt;&gt;""),"; ","")&amp;IF(Catalog!J118="","",Catalog!J118)</f>
        <v/>
      </c>
      <c r="D145" s="16">
        <f>Catalog!Q118</f>
        <v>0</v>
      </c>
      <c r="E145" s="16">
        <f>Catalog!S118</f>
        <v>0</v>
      </c>
      <c r="F145" s="16">
        <f>Catalog!N118</f>
        <v>0</v>
      </c>
      <c r="G145" s="16" t="str">
        <f>Catalog!K118&amp;" / "&amp;Catalog!M118</f>
        <v xml:space="preserve"> / </v>
      </c>
      <c r="H145" s="16" t="str">
        <f t="shared" si="1"/>
        <v>Print</v>
      </c>
      <c r="I145" s="16" t="str">
        <f>IF(Catalog!T118&lt;&gt;"","ISBN:"&amp;Catalog!T118,IF(Catalog!U118&lt;&gt;"","ISSN:"&amp;Catalog!U118,"ACC:"&amp;Catalog!B118))</f>
        <v>ACC:</v>
      </c>
      <c r="J145" s="16">
        <f>Catalog!L118</f>
        <v>0</v>
      </c>
      <c r="K145" s="16">
        <f>IF(Catalog!AH118&lt;&gt;"",Catalog!AH118,Catalog!AF118)</f>
        <v>0</v>
      </c>
      <c r="L145" s="16">
        <f>Catalog!AE118</f>
        <v>0</v>
      </c>
      <c r="M145" s="16">
        <f>Catalog!W118</f>
        <v>0</v>
      </c>
      <c r="N145" s="16">
        <f>Catalog!R118</f>
        <v>0</v>
      </c>
      <c r="O145" s="16">
        <f>Catalog!AG118</f>
        <v>0</v>
      </c>
    </row>
    <row r="146" spans="1:15" ht="15.75" x14ac:dyDescent="0.25">
      <c r="A146" s="16">
        <f>Catalog!D119</f>
        <v>0</v>
      </c>
      <c r="B146" s="16">
        <f>Catalog!F119</f>
        <v>0</v>
      </c>
      <c r="C146" s="16" t="str">
        <f>IF(Catalog!I119="","",Catalog!I119)&amp;IF(AND(Catalog!I119&lt;&gt;"",Catalog!J119&lt;&gt;""),"; ","")&amp;IF(Catalog!J119="","",Catalog!J119)</f>
        <v/>
      </c>
      <c r="D146" s="16">
        <f>Catalog!Q119</f>
        <v>0</v>
      </c>
      <c r="E146" s="16">
        <f>Catalog!S119</f>
        <v>0</v>
      </c>
      <c r="F146" s="16">
        <f>Catalog!N119</f>
        <v>0</v>
      </c>
      <c r="G146" s="16" t="str">
        <f>Catalog!K119&amp;" / "&amp;Catalog!M119</f>
        <v xml:space="preserve"> / </v>
      </c>
      <c r="H146" s="16" t="str">
        <f t="shared" si="1"/>
        <v>Print</v>
      </c>
      <c r="I146" s="16" t="str">
        <f>IF(Catalog!T119&lt;&gt;"","ISBN:"&amp;Catalog!T119,IF(Catalog!U119&lt;&gt;"","ISSN:"&amp;Catalog!U119,"ACC:"&amp;Catalog!B119))</f>
        <v>ACC:</v>
      </c>
      <c r="J146" s="16">
        <f>Catalog!L119</f>
        <v>0</v>
      </c>
      <c r="K146" s="16">
        <f>IF(Catalog!AH119&lt;&gt;"",Catalog!AH119,Catalog!AF119)</f>
        <v>0</v>
      </c>
      <c r="L146" s="16">
        <f>Catalog!AE119</f>
        <v>0</v>
      </c>
      <c r="M146" s="16">
        <f>Catalog!W119</f>
        <v>0</v>
      </c>
      <c r="N146" s="16">
        <f>Catalog!R119</f>
        <v>0</v>
      </c>
      <c r="O146" s="16">
        <f>Catalog!AG119</f>
        <v>0</v>
      </c>
    </row>
    <row r="147" spans="1:15" ht="15.75" x14ac:dyDescent="0.25">
      <c r="A147" s="16">
        <f>Catalog!D120</f>
        <v>0</v>
      </c>
      <c r="B147" s="16">
        <f>Catalog!F120</f>
        <v>0</v>
      </c>
      <c r="C147" s="16" t="str">
        <f>IF(Catalog!I120="","",Catalog!I120)&amp;IF(AND(Catalog!I120&lt;&gt;"",Catalog!J120&lt;&gt;""),"; ","")&amp;IF(Catalog!J120="","",Catalog!J120)</f>
        <v/>
      </c>
      <c r="D147" s="16">
        <f>Catalog!Q120</f>
        <v>0</v>
      </c>
      <c r="E147" s="16">
        <f>Catalog!S120</f>
        <v>0</v>
      </c>
      <c r="F147" s="16">
        <f>Catalog!N120</f>
        <v>0</v>
      </c>
      <c r="G147" s="16" t="str">
        <f>Catalog!K120&amp;" / "&amp;Catalog!M120</f>
        <v xml:space="preserve"> / </v>
      </c>
      <c r="H147" s="16" t="str">
        <f t="shared" si="1"/>
        <v>Print</v>
      </c>
      <c r="I147" s="16" t="str">
        <f>IF(Catalog!T120&lt;&gt;"","ISBN:"&amp;Catalog!T120,IF(Catalog!U120&lt;&gt;"","ISSN:"&amp;Catalog!U120,"ACC:"&amp;Catalog!B120))</f>
        <v>ACC:</v>
      </c>
      <c r="J147" s="16">
        <f>Catalog!L120</f>
        <v>0</v>
      </c>
      <c r="K147" s="16">
        <f>IF(Catalog!AH120&lt;&gt;"",Catalog!AH120,Catalog!AF120)</f>
        <v>0</v>
      </c>
      <c r="L147" s="16">
        <f>Catalog!AE120</f>
        <v>0</v>
      </c>
      <c r="M147" s="16">
        <f>Catalog!W120</f>
        <v>0</v>
      </c>
      <c r="N147" s="16">
        <f>Catalog!R120</f>
        <v>0</v>
      </c>
      <c r="O147" s="16">
        <f>Catalog!AG120</f>
        <v>0</v>
      </c>
    </row>
    <row r="148" spans="1:15" ht="15.75" x14ac:dyDescent="0.25">
      <c r="A148" s="16">
        <f>Catalog!D121</f>
        <v>0</v>
      </c>
      <c r="B148" s="16">
        <f>Catalog!F121</f>
        <v>0</v>
      </c>
      <c r="C148" s="16" t="str">
        <f>IF(Catalog!I121="","",Catalog!I121)&amp;IF(AND(Catalog!I121&lt;&gt;"",Catalog!J121&lt;&gt;""),"; ","")&amp;IF(Catalog!J121="","",Catalog!J121)</f>
        <v/>
      </c>
      <c r="D148" s="16">
        <f>Catalog!Q121</f>
        <v>0</v>
      </c>
      <c r="E148" s="16">
        <f>Catalog!S121</f>
        <v>0</v>
      </c>
      <c r="F148" s="16">
        <f>Catalog!N121</f>
        <v>0</v>
      </c>
      <c r="G148" s="16" t="str">
        <f>Catalog!K121&amp;" / "&amp;Catalog!M121</f>
        <v xml:space="preserve"> / </v>
      </c>
      <c r="H148" s="16" t="str">
        <f t="shared" si="1"/>
        <v>Print</v>
      </c>
      <c r="I148" s="16" t="str">
        <f>IF(Catalog!T121&lt;&gt;"","ISBN:"&amp;Catalog!T121,IF(Catalog!U121&lt;&gt;"","ISSN:"&amp;Catalog!U121,"ACC:"&amp;Catalog!B121))</f>
        <v>ACC:</v>
      </c>
      <c r="J148" s="16">
        <f>Catalog!L121</f>
        <v>0</v>
      </c>
      <c r="K148" s="16">
        <f>IF(Catalog!AH121&lt;&gt;"",Catalog!AH121,Catalog!AF121)</f>
        <v>0</v>
      </c>
      <c r="L148" s="16">
        <f>Catalog!AE121</f>
        <v>0</v>
      </c>
      <c r="M148" s="16">
        <f>Catalog!W121</f>
        <v>0</v>
      </c>
      <c r="N148" s="16">
        <f>Catalog!R121</f>
        <v>0</v>
      </c>
      <c r="O148" s="16">
        <f>Catalog!AG121</f>
        <v>0</v>
      </c>
    </row>
    <row r="149" spans="1:15" ht="15.75" x14ac:dyDescent="0.25">
      <c r="A149" s="16">
        <f>Catalog!D122</f>
        <v>0</v>
      </c>
      <c r="B149" s="16">
        <f>Catalog!F122</f>
        <v>0</v>
      </c>
      <c r="C149" s="16" t="str">
        <f>IF(Catalog!I122="","",Catalog!I122)&amp;IF(AND(Catalog!I122&lt;&gt;"",Catalog!J122&lt;&gt;""),"; ","")&amp;IF(Catalog!J122="","",Catalog!J122)</f>
        <v/>
      </c>
      <c r="D149" s="16">
        <f>Catalog!Q122</f>
        <v>0</v>
      </c>
      <c r="E149" s="16">
        <f>Catalog!S122</f>
        <v>0</v>
      </c>
      <c r="F149" s="16">
        <f>Catalog!N122</f>
        <v>0</v>
      </c>
      <c r="G149" s="16" t="str">
        <f>Catalog!K122&amp;" / "&amp;Catalog!M122</f>
        <v xml:space="preserve"> / </v>
      </c>
      <c r="H149" s="16" t="str">
        <f t="shared" si="1"/>
        <v>Print</v>
      </c>
      <c r="I149" s="16" t="str">
        <f>IF(Catalog!T122&lt;&gt;"","ISBN:"&amp;Catalog!T122,IF(Catalog!U122&lt;&gt;"","ISSN:"&amp;Catalog!U122,"ACC:"&amp;Catalog!B122))</f>
        <v>ACC:</v>
      </c>
      <c r="J149" s="16">
        <f>Catalog!L122</f>
        <v>0</v>
      </c>
      <c r="K149" s="16">
        <f>IF(Catalog!AH122&lt;&gt;"",Catalog!AH122,Catalog!AF122)</f>
        <v>0</v>
      </c>
      <c r="L149" s="16">
        <f>Catalog!AE122</f>
        <v>0</v>
      </c>
      <c r="M149" s="16">
        <f>Catalog!W122</f>
        <v>0</v>
      </c>
      <c r="N149" s="16">
        <f>Catalog!R122</f>
        <v>0</v>
      </c>
      <c r="O149" s="16">
        <f>Catalog!AG122</f>
        <v>0</v>
      </c>
    </row>
    <row r="150" spans="1:15" ht="15.75" x14ac:dyDescent="0.25">
      <c r="A150" s="16">
        <f>Catalog!D123</f>
        <v>0</v>
      </c>
      <c r="B150" s="16">
        <f>Catalog!F123</f>
        <v>0</v>
      </c>
      <c r="C150" s="16" t="str">
        <f>IF(Catalog!I123="","",Catalog!I123)&amp;IF(AND(Catalog!I123&lt;&gt;"",Catalog!J123&lt;&gt;""),"; ","")&amp;IF(Catalog!J123="","",Catalog!J123)</f>
        <v/>
      </c>
      <c r="D150" s="16">
        <f>Catalog!Q123</f>
        <v>0</v>
      </c>
      <c r="E150" s="16">
        <f>Catalog!S123</f>
        <v>0</v>
      </c>
      <c r="F150" s="16">
        <f>Catalog!N123</f>
        <v>0</v>
      </c>
      <c r="G150" s="16" t="str">
        <f>Catalog!K123&amp;" / "&amp;Catalog!M123</f>
        <v xml:space="preserve"> / </v>
      </c>
      <c r="H150" s="16" t="str">
        <f t="shared" si="1"/>
        <v>Print</v>
      </c>
      <c r="I150" s="16" t="str">
        <f>IF(Catalog!T123&lt;&gt;"","ISBN:"&amp;Catalog!T123,IF(Catalog!U123&lt;&gt;"","ISSN:"&amp;Catalog!U123,"ACC:"&amp;Catalog!B123))</f>
        <v>ACC:</v>
      </c>
      <c r="J150" s="16">
        <f>Catalog!L123</f>
        <v>0</v>
      </c>
      <c r="K150" s="16">
        <f>IF(Catalog!AH123&lt;&gt;"",Catalog!AH123,Catalog!AF123)</f>
        <v>0</v>
      </c>
      <c r="L150" s="16">
        <f>Catalog!AE123</f>
        <v>0</v>
      </c>
      <c r="M150" s="16">
        <f>Catalog!W123</f>
        <v>0</v>
      </c>
      <c r="N150" s="16">
        <f>Catalog!R123</f>
        <v>0</v>
      </c>
      <c r="O150" s="16">
        <f>Catalog!AG123</f>
        <v>0</v>
      </c>
    </row>
    <row r="151" spans="1:15" ht="15.75" x14ac:dyDescent="0.25">
      <c r="A151" s="16">
        <f>Catalog!D124</f>
        <v>0</v>
      </c>
      <c r="B151" s="16">
        <f>Catalog!F124</f>
        <v>0</v>
      </c>
      <c r="C151" s="16" t="str">
        <f>IF(Catalog!I124="","",Catalog!I124)&amp;IF(AND(Catalog!I124&lt;&gt;"",Catalog!J124&lt;&gt;""),"; ","")&amp;IF(Catalog!J124="","",Catalog!J124)</f>
        <v/>
      </c>
      <c r="D151" s="16">
        <f>Catalog!Q124</f>
        <v>0</v>
      </c>
      <c r="E151" s="16">
        <f>Catalog!S124</f>
        <v>0</v>
      </c>
      <c r="F151" s="16">
        <f>Catalog!N124</f>
        <v>0</v>
      </c>
      <c r="G151" s="16" t="str">
        <f>Catalog!K124&amp;" / "&amp;Catalog!M124</f>
        <v xml:space="preserve"> / </v>
      </c>
      <c r="H151" s="16" t="str">
        <f t="shared" si="1"/>
        <v>Print</v>
      </c>
      <c r="I151" s="16" t="str">
        <f>IF(Catalog!T124&lt;&gt;"","ISBN:"&amp;Catalog!T124,IF(Catalog!U124&lt;&gt;"","ISSN:"&amp;Catalog!U124,"ACC:"&amp;Catalog!B124))</f>
        <v>ACC:</v>
      </c>
      <c r="J151" s="16">
        <f>Catalog!L124</f>
        <v>0</v>
      </c>
      <c r="K151" s="16">
        <f>IF(Catalog!AH124&lt;&gt;"",Catalog!AH124,Catalog!AF124)</f>
        <v>0</v>
      </c>
      <c r="L151" s="16">
        <f>Catalog!AE124</f>
        <v>0</v>
      </c>
      <c r="M151" s="16">
        <f>Catalog!W124</f>
        <v>0</v>
      </c>
      <c r="N151" s="16">
        <f>Catalog!R124</f>
        <v>0</v>
      </c>
      <c r="O151" s="16">
        <f>Catalog!AG124</f>
        <v>0</v>
      </c>
    </row>
    <row r="152" spans="1:15" ht="15.75" x14ac:dyDescent="0.25">
      <c r="A152" s="16">
        <f>Catalog!D125</f>
        <v>0</v>
      </c>
      <c r="B152" s="16">
        <f>Catalog!F125</f>
        <v>0</v>
      </c>
      <c r="C152" s="16" t="str">
        <f>IF(Catalog!I125="","",Catalog!I125)&amp;IF(AND(Catalog!I125&lt;&gt;"",Catalog!J125&lt;&gt;""),"; ","")&amp;IF(Catalog!J125="","",Catalog!J125)</f>
        <v/>
      </c>
      <c r="D152" s="16">
        <f>Catalog!Q125</f>
        <v>0</v>
      </c>
      <c r="E152" s="16">
        <f>Catalog!S125</f>
        <v>0</v>
      </c>
      <c r="F152" s="16">
        <f>Catalog!N125</f>
        <v>0</v>
      </c>
      <c r="G152" s="16" t="str">
        <f>Catalog!K125&amp;" / "&amp;Catalog!M125</f>
        <v xml:space="preserve"> / </v>
      </c>
      <c r="H152" s="16" t="str">
        <f t="shared" si="1"/>
        <v>Print</v>
      </c>
      <c r="I152" s="16" t="str">
        <f>IF(Catalog!T125&lt;&gt;"","ISBN:"&amp;Catalog!T125,IF(Catalog!U125&lt;&gt;"","ISSN:"&amp;Catalog!U125,"ACC:"&amp;Catalog!B125))</f>
        <v>ACC:</v>
      </c>
      <c r="J152" s="16">
        <f>Catalog!L125</f>
        <v>0</v>
      </c>
      <c r="K152" s="16">
        <f>IF(Catalog!AH125&lt;&gt;"",Catalog!AH125,Catalog!AF125)</f>
        <v>0</v>
      </c>
      <c r="L152" s="16">
        <f>Catalog!AE125</f>
        <v>0</v>
      </c>
      <c r="M152" s="16">
        <f>Catalog!W125</f>
        <v>0</v>
      </c>
      <c r="N152" s="16">
        <f>Catalog!R125</f>
        <v>0</v>
      </c>
      <c r="O152" s="16">
        <f>Catalog!AG125</f>
        <v>0</v>
      </c>
    </row>
    <row r="153" spans="1:15" ht="15.75" x14ac:dyDescent="0.25">
      <c r="A153" s="16">
        <f>Catalog!D126</f>
        <v>0</v>
      </c>
      <c r="B153" s="16">
        <f>Catalog!F126</f>
        <v>0</v>
      </c>
      <c r="C153" s="16" t="str">
        <f>IF(Catalog!I126="","",Catalog!I126)&amp;IF(AND(Catalog!I126&lt;&gt;"",Catalog!J126&lt;&gt;""),"; ","")&amp;IF(Catalog!J126="","",Catalog!J126)</f>
        <v/>
      </c>
      <c r="D153" s="16">
        <f>Catalog!Q126</f>
        <v>0</v>
      </c>
      <c r="E153" s="16">
        <f>Catalog!S126</f>
        <v>0</v>
      </c>
      <c r="F153" s="16">
        <f>Catalog!N126</f>
        <v>0</v>
      </c>
      <c r="G153" s="16" t="str">
        <f>Catalog!K126&amp;" / "&amp;Catalog!M126</f>
        <v xml:space="preserve"> / </v>
      </c>
      <c r="H153" s="16" t="str">
        <f t="shared" si="1"/>
        <v>Print</v>
      </c>
      <c r="I153" s="16" t="str">
        <f>IF(Catalog!T126&lt;&gt;"","ISBN:"&amp;Catalog!T126,IF(Catalog!U126&lt;&gt;"","ISSN:"&amp;Catalog!U126,"ACC:"&amp;Catalog!B126))</f>
        <v>ACC:</v>
      </c>
      <c r="J153" s="16">
        <f>Catalog!L126</f>
        <v>0</v>
      </c>
      <c r="K153" s="16">
        <f>IF(Catalog!AH126&lt;&gt;"",Catalog!AH126,Catalog!AF126)</f>
        <v>0</v>
      </c>
      <c r="L153" s="16">
        <f>Catalog!AE126</f>
        <v>0</v>
      </c>
      <c r="M153" s="16">
        <f>Catalog!W126</f>
        <v>0</v>
      </c>
      <c r="N153" s="16">
        <f>Catalog!R126</f>
        <v>0</v>
      </c>
      <c r="O153" s="16">
        <f>Catalog!AG126</f>
        <v>0</v>
      </c>
    </row>
    <row r="154" spans="1:15" ht="15.75" x14ac:dyDescent="0.25">
      <c r="A154" s="16">
        <f>Catalog!D127</f>
        <v>0</v>
      </c>
      <c r="B154" s="16">
        <f>Catalog!F127</f>
        <v>0</v>
      </c>
      <c r="C154" s="16" t="str">
        <f>IF(Catalog!I127="","",Catalog!I127)&amp;IF(AND(Catalog!I127&lt;&gt;"",Catalog!J127&lt;&gt;""),"; ","")&amp;IF(Catalog!J127="","",Catalog!J127)</f>
        <v/>
      </c>
      <c r="D154" s="16">
        <f>Catalog!Q127</f>
        <v>0</v>
      </c>
      <c r="E154" s="16">
        <f>Catalog!S127</f>
        <v>0</v>
      </c>
      <c r="F154" s="16">
        <f>Catalog!N127</f>
        <v>0</v>
      </c>
      <c r="G154" s="16" t="str">
        <f>Catalog!K127&amp;" / "&amp;Catalog!M127</f>
        <v xml:space="preserve"> / </v>
      </c>
      <c r="H154" s="16" t="str">
        <f t="shared" si="1"/>
        <v>Print</v>
      </c>
      <c r="I154" s="16" t="str">
        <f>IF(Catalog!T127&lt;&gt;"","ISBN:"&amp;Catalog!T127,IF(Catalog!U127&lt;&gt;"","ISSN:"&amp;Catalog!U127,"ACC:"&amp;Catalog!B127))</f>
        <v>ACC:</v>
      </c>
      <c r="J154" s="16">
        <f>Catalog!L127</f>
        <v>0</v>
      </c>
      <c r="K154" s="16">
        <f>IF(Catalog!AH127&lt;&gt;"",Catalog!AH127,Catalog!AF127)</f>
        <v>0</v>
      </c>
      <c r="L154" s="16">
        <f>Catalog!AE127</f>
        <v>0</v>
      </c>
      <c r="M154" s="16">
        <f>Catalog!W127</f>
        <v>0</v>
      </c>
      <c r="N154" s="16">
        <f>Catalog!R127</f>
        <v>0</v>
      </c>
      <c r="O154" s="16">
        <f>Catalog!AG127</f>
        <v>0</v>
      </c>
    </row>
    <row r="155" spans="1:15" ht="15.75" x14ac:dyDescent="0.25">
      <c r="A155" s="16">
        <f>Catalog!D128</f>
        <v>0</v>
      </c>
      <c r="B155" s="16">
        <f>Catalog!F128</f>
        <v>0</v>
      </c>
      <c r="C155" s="16" t="str">
        <f>IF(Catalog!I128="","",Catalog!I128)&amp;IF(AND(Catalog!I128&lt;&gt;"",Catalog!J128&lt;&gt;""),"; ","")&amp;IF(Catalog!J128="","",Catalog!J128)</f>
        <v/>
      </c>
      <c r="D155" s="16">
        <f>Catalog!Q128</f>
        <v>0</v>
      </c>
      <c r="E155" s="16">
        <f>Catalog!S128</f>
        <v>0</v>
      </c>
      <c r="F155" s="16">
        <f>Catalog!N128</f>
        <v>0</v>
      </c>
      <c r="G155" s="16" t="str">
        <f>Catalog!K128&amp;" / "&amp;Catalog!M128</f>
        <v xml:space="preserve"> / </v>
      </c>
      <c r="H155" s="16" t="str">
        <f t="shared" si="1"/>
        <v>Print</v>
      </c>
      <c r="I155" s="16" t="str">
        <f>IF(Catalog!T128&lt;&gt;"","ISBN:"&amp;Catalog!T128,IF(Catalog!U128&lt;&gt;"","ISSN:"&amp;Catalog!U128,"ACC:"&amp;Catalog!B128))</f>
        <v>ACC:</v>
      </c>
      <c r="J155" s="16">
        <f>Catalog!L128</f>
        <v>0</v>
      </c>
      <c r="K155" s="16">
        <f>IF(Catalog!AH128&lt;&gt;"",Catalog!AH128,Catalog!AF128)</f>
        <v>0</v>
      </c>
      <c r="L155" s="16">
        <f>Catalog!AE128</f>
        <v>0</v>
      </c>
      <c r="M155" s="16">
        <f>Catalog!W128</f>
        <v>0</v>
      </c>
      <c r="N155" s="16">
        <f>Catalog!R128</f>
        <v>0</v>
      </c>
      <c r="O155" s="16">
        <f>Catalog!AG128</f>
        <v>0</v>
      </c>
    </row>
    <row r="156" spans="1:15" ht="15.75" x14ac:dyDescent="0.25">
      <c r="A156" s="16">
        <f>Catalog!D129</f>
        <v>0</v>
      </c>
      <c r="B156" s="16">
        <f>Catalog!F129</f>
        <v>0</v>
      </c>
      <c r="C156" s="16" t="str">
        <f>IF(Catalog!I129="","",Catalog!I129)&amp;IF(AND(Catalog!I129&lt;&gt;"",Catalog!J129&lt;&gt;""),"; ","")&amp;IF(Catalog!J129="","",Catalog!J129)</f>
        <v/>
      </c>
      <c r="D156" s="16">
        <f>Catalog!Q129</f>
        <v>0</v>
      </c>
      <c r="E156" s="16">
        <f>Catalog!S129</f>
        <v>0</v>
      </c>
      <c r="F156" s="16">
        <f>Catalog!N129</f>
        <v>0</v>
      </c>
      <c r="G156" s="16" t="str">
        <f>Catalog!K129&amp;" / "&amp;Catalog!M129</f>
        <v xml:space="preserve"> / </v>
      </c>
      <c r="H156" s="16" t="str">
        <f t="shared" si="1"/>
        <v>Print</v>
      </c>
      <c r="I156" s="16" t="str">
        <f>IF(Catalog!T129&lt;&gt;"","ISBN:"&amp;Catalog!T129,IF(Catalog!U129&lt;&gt;"","ISSN:"&amp;Catalog!U129,"ACC:"&amp;Catalog!B129))</f>
        <v>ACC:</v>
      </c>
      <c r="J156" s="16">
        <f>Catalog!L129</f>
        <v>0</v>
      </c>
      <c r="K156" s="16">
        <f>IF(Catalog!AH129&lt;&gt;"",Catalog!AH129,Catalog!AF129)</f>
        <v>0</v>
      </c>
      <c r="L156" s="16">
        <f>Catalog!AE129</f>
        <v>0</v>
      </c>
      <c r="M156" s="16">
        <f>Catalog!W129</f>
        <v>0</v>
      </c>
      <c r="N156" s="16">
        <f>Catalog!R129</f>
        <v>0</v>
      </c>
      <c r="O156" s="16">
        <f>Catalog!AG129</f>
        <v>0</v>
      </c>
    </row>
    <row r="157" spans="1:15" ht="15.75" x14ac:dyDescent="0.25">
      <c r="A157" s="16">
        <f>Catalog!D130</f>
        <v>0</v>
      </c>
      <c r="B157" s="16">
        <f>Catalog!F130</f>
        <v>0</v>
      </c>
      <c r="C157" s="16" t="str">
        <f>IF(Catalog!I130="","",Catalog!I130)&amp;IF(AND(Catalog!I130&lt;&gt;"",Catalog!J130&lt;&gt;""),"; ","")&amp;IF(Catalog!J130="","",Catalog!J130)</f>
        <v/>
      </c>
      <c r="D157" s="16">
        <f>Catalog!Q130</f>
        <v>0</v>
      </c>
      <c r="E157" s="16">
        <f>Catalog!S130</f>
        <v>0</v>
      </c>
      <c r="F157" s="16">
        <f>Catalog!N130</f>
        <v>0</v>
      </c>
      <c r="G157" s="16" t="str">
        <f>Catalog!K130&amp;" / "&amp;Catalog!M130</f>
        <v xml:space="preserve"> / </v>
      </c>
      <c r="H157" s="16" t="str">
        <f t="shared" ref="H157:H220" si="2">"Print"</f>
        <v>Print</v>
      </c>
      <c r="I157" s="16" t="str">
        <f>IF(Catalog!T130&lt;&gt;"","ISBN:"&amp;Catalog!T130,IF(Catalog!U130&lt;&gt;"","ISSN:"&amp;Catalog!U130,"ACC:"&amp;Catalog!B130))</f>
        <v>ACC:</v>
      </c>
      <c r="J157" s="16">
        <f>Catalog!L130</f>
        <v>0</v>
      </c>
      <c r="K157" s="16">
        <f>IF(Catalog!AH130&lt;&gt;"",Catalog!AH130,Catalog!AF130)</f>
        <v>0</v>
      </c>
      <c r="L157" s="16">
        <f>Catalog!AE130</f>
        <v>0</v>
      </c>
      <c r="M157" s="16">
        <f>Catalog!W130</f>
        <v>0</v>
      </c>
      <c r="N157" s="16">
        <f>Catalog!R130</f>
        <v>0</v>
      </c>
      <c r="O157" s="16">
        <f>Catalog!AG130</f>
        <v>0</v>
      </c>
    </row>
    <row r="158" spans="1:15" ht="15.75" x14ac:dyDescent="0.25">
      <c r="A158" s="16">
        <f>Catalog!D131</f>
        <v>0</v>
      </c>
      <c r="B158" s="16">
        <f>Catalog!F131</f>
        <v>0</v>
      </c>
      <c r="C158" s="16" t="str">
        <f>IF(Catalog!I131="","",Catalog!I131)&amp;IF(AND(Catalog!I131&lt;&gt;"",Catalog!J131&lt;&gt;""),"; ","")&amp;IF(Catalog!J131="","",Catalog!J131)</f>
        <v/>
      </c>
      <c r="D158" s="16">
        <f>Catalog!Q131</f>
        <v>0</v>
      </c>
      <c r="E158" s="16">
        <f>Catalog!S131</f>
        <v>0</v>
      </c>
      <c r="F158" s="16">
        <f>Catalog!N131</f>
        <v>0</v>
      </c>
      <c r="G158" s="16" t="str">
        <f>Catalog!K131&amp;" / "&amp;Catalog!M131</f>
        <v xml:space="preserve"> / </v>
      </c>
      <c r="H158" s="16" t="str">
        <f t="shared" si="2"/>
        <v>Print</v>
      </c>
      <c r="I158" s="16" t="str">
        <f>IF(Catalog!T131&lt;&gt;"","ISBN:"&amp;Catalog!T131,IF(Catalog!U131&lt;&gt;"","ISSN:"&amp;Catalog!U131,"ACC:"&amp;Catalog!B131))</f>
        <v>ACC:</v>
      </c>
      <c r="J158" s="16">
        <f>Catalog!L131</f>
        <v>0</v>
      </c>
      <c r="K158" s="16">
        <f>IF(Catalog!AH131&lt;&gt;"",Catalog!AH131,Catalog!AF131)</f>
        <v>0</v>
      </c>
      <c r="L158" s="16">
        <f>Catalog!AE131</f>
        <v>0</v>
      </c>
      <c r="M158" s="16">
        <f>Catalog!W131</f>
        <v>0</v>
      </c>
      <c r="N158" s="16">
        <f>Catalog!R131</f>
        <v>0</v>
      </c>
      <c r="O158" s="16">
        <f>Catalog!AG131</f>
        <v>0</v>
      </c>
    </row>
    <row r="159" spans="1:15" ht="15.75" x14ac:dyDescent="0.25">
      <c r="A159" s="16">
        <f>Catalog!D132</f>
        <v>0</v>
      </c>
      <c r="B159" s="16">
        <f>Catalog!F132</f>
        <v>0</v>
      </c>
      <c r="C159" s="16" t="str">
        <f>IF(Catalog!I132="","",Catalog!I132)&amp;IF(AND(Catalog!I132&lt;&gt;"",Catalog!J132&lt;&gt;""),"; ","")&amp;IF(Catalog!J132="","",Catalog!J132)</f>
        <v/>
      </c>
      <c r="D159" s="16">
        <f>Catalog!Q132</f>
        <v>0</v>
      </c>
      <c r="E159" s="16">
        <f>Catalog!S132</f>
        <v>0</v>
      </c>
      <c r="F159" s="16">
        <f>Catalog!N132</f>
        <v>0</v>
      </c>
      <c r="G159" s="16" t="str">
        <f>Catalog!K132&amp;" / "&amp;Catalog!M132</f>
        <v xml:space="preserve"> / </v>
      </c>
      <c r="H159" s="16" t="str">
        <f t="shared" si="2"/>
        <v>Print</v>
      </c>
      <c r="I159" s="16" t="str">
        <f>IF(Catalog!T132&lt;&gt;"","ISBN:"&amp;Catalog!T132,IF(Catalog!U132&lt;&gt;"","ISSN:"&amp;Catalog!U132,"ACC:"&amp;Catalog!B132))</f>
        <v>ACC:</v>
      </c>
      <c r="J159" s="16">
        <f>Catalog!L132</f>
        <v>0</v>
      </c>
      <c r="K159" s="16">
        <f>IF(Catalog!AH132&lt;&gt;"",Catalog!AH132,Catalog!AF132)</f>
        <v>0</v>
      </c>
      <c r="L159" s="16">
        <f>Catalog!AE132</f>
        <v>0</v>
      </c>
      <c r="M159" s="16">
        <f>Catalog!W132</f>
        <v>0</v>
      </c>
      <c r="N159" s="16">
        <f>Catalog!R132</f>
        <v>0</v>
      </c>
      <c r="O159" s="16">
        <f>Catalog!AG132</f>
        <v>0</v>
      </c>
    </row>
    <row r="160" spans="1:15" ht="15.75" x14ac:dyDescent="0.25">
      <c r="A160" s="16">
        <f>Catalog!D133</f>
        <v>0</v>
      </c>
      <c r="B160" s="16">
        <f>Catalog!F133</f>
        <v>0</v>
      </c>
      <c r="C160" s="16" t="str">
        <f>IF(Catalog!I133="","",Catalog!I133)&amp;IF(AND(Catalog!I133&lt;&gt;"",Catalog!J133&lt;&gt;""),"; ","")&amp;IF(Catalog!J133="","",Catalog!J133)</f>
        <v/>
      </c>
      <c r="D160" s="16">
        <f>Catalog!Q133</f>
        <v>0</v>
      </c>
      <c r="E160" s="16">
        <f>Catalog!S133</f>
        <v>0</v>
      </c>
      <c r="F160" s="16">
        <f>Catalog!N133</f>
        <v>0</v>
      </c>
      <c r="G160" s="16" t="str">
        <f>Catalog!K133&amp;" / "&amp;Catalog!M133</f>
        <v xml:space="preserve"> / </v>
      </c>
      <c r="H160" s="16" t="str">
        <f t="shared" si="2"/>
        <v>Print</v>
      </c>
      <c r="I160" s="16" t="str">
        <f>IF(Catalog!T133&lt;&gt;"","ISBN:"&amp;Catalog!T133,IF(Catalog!U133&lt;&gt;"","ISSN:"&amp;Catalog!U133,"ACC:"&amp;Catalog!B133))</f>
        <v>ACC:</v>
      </c>
      <c r="J160" s="16">
        <f>Catalog!L133</f>
        <v>0</v>
      </c>
      <c r="K160" s="16">
        <f>IF(Catalog!AH133&lt;&gt;"",Catalog!AH133,Catalog!AF133)</f>
        <v>0</v>
      </c>
      <c r="L160" s="16">
        <f>Catalog!AE133</f>
        <v>0</v>
      </c>
      <c r="M160" s="16">
        <f>Catalog!W133</f>
        <v>0</v>
      </c>
      <c r="N160" s="16">
        <f>Catalog!R133</f>
        <v>0</v>
      </c>
      <c r="O160" s="16">
        <f>Catalog!AG133</f>
        <v>0</v>
      </c>
    </row>
    <row r="161" spans="1:15" ht="15.75" x14ac:dyDescent="0.25">
      <c r="A161" s="16">
        <f>Catalog!D134</f>
        <v>0</v>
      </c>
      <c r="B161" s="16">
        <f>Catalog!F134</f>
        <v>0</v>
      </c>
      <c r="C161" s="16" t="str">
        <f>IF(Catalog!I134="","",Catalog!I134)&amp;IF(AND(Catalog!I134&lt;&gt;"",Catalog!J134&lt;&gt;""),"; ","")&amp;IF(Catalog!J134="","",Catalog!J134)</f>
        <v/>
      </c>
      <c r="D161" s="16">
        <f>Catalog!Q134</f>
        <v>0</v>
      </c>
      <c r="E161" s="16">
        <f>Catalog!S134</f>
        <v>0</v>
      </c>
      <c r="F161" s="16">
        <f>Catalog!N134</f>
        <v>0</v>
      </c>
      <c r="G161" s="16" t="str">
        <f>Catalog!K134&amp;" / "&amp;Catalog!M134</f>
        <v xml:space="preserve"> / </v>
      </c>
      <c r="H161" s="16" t="str">
        <f t="shared" si="2"/>
        <v>Print</v>
      </c>
      <c r="I161" s="16" t="str">
        <f>IF(Catalog!T134&lt;&gt;"","ISBN:"&amp;Catalog!T134,IF(Catalog!U134&lt;&gt;"","ISSN:"&amp;Catalog!U134,"ACC:"&amp;Catalog!B134))</f>
        <v>ACC:</v>
      </c>
      <c r="J161" s="16">
        <f>Catalog!L134</f>
        <v>0</v>
      </c>
      <c r="K161" s="16">
        <f>IF(Catalog!AH134&lt;&gt;"",Catalog!AH134,Catalog!AF134)</f>
        <v>0</v>
      </c>
      <c r="L161" s="16">
        <f>Catalog!AE134</f>
        <v>0</v>
      </c>
      <c r="M161" s="16">
        <f>Catalog!W134</f>
        <v>0</v>
      </c>
      <c r="N161" s="16">
        <f>Catalog!R134</f>
        <v>0</v>
      </c>
      <c r="O161" s="16">
        <f>Catalog!AG134</f>
        <v>0</v>
      </c>
    </row>
    <row r="162" spans="1:15" ht="15.75" x14ac:dyDescent="0.25">
      <c r="A162" s="16">
        <f>Catalog!D135</f>
        <v>0</v>
      </c>
      <c r="B162" s="16">
        <f>Catalog!F135</f>
        <v>0</v>
      </c>
      <c r="C162" s="16" t="str">
        <f>IF(Catalog!I135="","",Catalog!I135)&amp;IF(AND(Catalog!I135&lt;&gt;"",Catalog!J135&lt;&gt;""),"; ","")&amp;IF(Catalog!J135="","",Catalog!J135)</f>
        <v/>
      </c>
      <c r="D162" s="16">
        <f>Catalog!Q135</f>
        <v>0</v>
      </c>
      <c r="E162" s="16">
        <f>Catalog!S135</f>
        <v>0</v>
      </c>
      <c r="F162" s="16">
        <f>Catalog!N135</f>
        <v>0</v>
      </c>
      <c r="G162" s="16" t="str">
        <f>Catalog!K135&amp;" / "&amp;Catalog!M135</f>
        <v xml:space="preserve"> / </v>
      </c>
      <c r="H162" s="16" t="str">
        <f t="shared" si="2"/>
        <v>Print</v>
      </c>
      <c r="I162" s="16" t="str">
        <f>IF(Catalog!T135&lt;&gt;"","ISBN:"&amp;Catalog!T135,IF(Catalog!U135&lt;&gt;"","ISSN:"&amp;Catalog!U135,"ACC:"&amp;Catalog!B135))</f>
        <v>ACC:</v>
      </c>
      <c r="J162" s="16">
        <f>Catalog!L135</f>
        <v>0</v>
      </c>
      <c r="K162" s="16">
        <f>IF(Catalog!AH135&lt;&gt;"",Catalog!AH135,Catalog!AF135)</f>
        <v>0</v>
      </c>
      <c r="L162" s="16">
        <f>Catalog!AE135</f>
        <v>0</v>
      </c>
      <c r="M162" s="16">
        <f>Catalog!W135</f>
        <v>0</v>
      </c>
      <c r="N162" s="16">
        <f>Catalog!R135</f>
        <v>0</v>
      </c>
      <c r="O162" s="16">
        <f>Catalog!AG135</f>
        <v>0</v>
      </c>
    </row>
    <row r="163" spans="1:15" ht="15.75" x14ac:dyDescent="0.25">
      <c r="A163" s="16">
        <f>Catalog!D136</f>
        <v>0</v>
      </c>
      <c r="B163" s="16">
        <f>Catalog!F136</f>
        <v>0</v>
      </c>
      <c r="C163" s="16" t="str">
        <f>IF(Catalog!I136="","",Catalog!I136)&amp;IF(AND(Catalog!I136&lt;&gt;"",Catalog!J136&lt;&gt;""),"; ","")&amp;IF(Catalog!J136="","",Catalog!J136)</f>
        <v/>
      </c>
      <c r="D163" s="16">
        <f>Catalog!Q136</f>
        <v>0</v>
      </c>
      <c r="E163" s="16">
        <f>Catalog!S136</f>
        <v>0</v>
      </c>
      <c r="F163" s="16">
        <f>Catalog!N136</f>
        <v>0</v>
      </c>
      <c r="G163" s="16" t="str">
        <f>Catalog!K136&amp;" / "&amp;Catalog!M136</f>
        <v xml:space="preserve"> / </v>
      </c>
      <c r="H163" s="16" t="str">
        <f t="shared" si="2"/>
        <v>Print</v>
      </c>
      <c r="I163" s="16" t="str">
        <f>IF(Catalog!T136&lt;&gt;"","ISBN:"&amp;Catalog!T136,IF(Catalog!U136&lt;&gt;"","ISSN:"&amp;Catalog!U136,"ACC:"&amp;Catalog!B136))</f>
        <v>ACC:</v>
      </c>
      <c r="J163" s="16">
        <f>Catalog!L136</f>
        <v>0</v>
      </c>
      <c r="K163" s="16">
        <f>IF(Catalog!AH136&lt;&gt;"",Catalog!AH136,Catalog!AF136)</f>
        <v>0</v>
      </c>
      <c r="L163" s="16">
        <f>Catalog!AE136</f>
        <v>0</v>
      </c>
      <c r="M163" s="16">
        <f>Catalog!W136</f>
        <v>0</v>
      </c>
      <c r="N163" s="16">
        <f>Catalog!R136</f>
        <v>0</v>
      </c>
      <c r="O163" s="16">
        <f>Catalog!AG136</f>
        <v>0</v>
      </c>
    </row>
    <row r="164" spans="1:15" ht="15.75" x14ac:dyDescent="0.25">
      <c r="A164" s="16">
        <f>Catalog!D137</f>
        <v>0</v>
      </c>
      <c r="B164" s="16">
        <f>Catalog!F137</f>
        <v>0</v>
      </c>
      <c r="C164" s="16" t="str">
        <f>IF(Catalog!I137="","",Catalog!I137)&amp;IF(AND(Catalog!I137&lt;&gt;"",Catalog!J137&lt;&gt;""),"; ","")&amp;IF(Catalog!J137="","",Catalog!J137)</f>
        <v/>
      </c>
      <c r="D164" s="16">
        <f>Catalog!Q137</f>
        <v>0</v>
      </c>
      <c r="E164" s="16">
        <f>Catalog!S137</f>
        <v>0</v>
      </c>
      <c r="F164" s="16">
        <f>Catalog!N137</f>
        <v>0</v>
      </c>
      <c r="G164" s="16" t="str">
        <f>Catalog!K137&amp;" / "&amp;Catalog!M137</f>
        <v xml:space="preserve"> / </v>
      </c>
      <c r="H164" s="16" t="str">
        <f t="shared" si="2"/>
        <v>Print</v>
      </c>
      <c r="I164" s="16" t="str">
        <f>IF(Catalog!T137&lt;&gt;"","ISBN:"&amp;Catalog!T137,IF(Catalog!U137&lt;&gt;"","ISSN:"&amp;Catalog!U137,"ACC:"&amp;Catalog!B137))</f>
        <v>ACC:</v>
      </c>
      <c r="J164" s="16">
        <f>Catalog!L137</f>
        <v>0</v>
      </c>
      <c r="K164" s="16">
        <f>IF(Catalog!AH137&lt;&gt;"",Catalog!AH137,Catalog!AF137)</f>
        <v>0</v>
      </c>
      <c r="L164" s="16">
        <f>Catalog!AE137</f>
        <v>0</v>
      </c>
      <c r="M164" s="16">
        <f>Catalog!W137</f>
        <v>0</v>
      </c>
      <c r="N164" s="16">
        <f>Catalog!R137</f>
        <v>0</v>
      </c>
      <c r="O164" s="16">
        <f>Catalog!AG137</f>
        <v>0</v>
      </c>
    </row>
    <row r="165" spans="1:15" ht="15.75" x14ac:dyDescent="0.25">
      <c r="A165" s="16">
        <f>Catalog!D138</f>
        <v>0</v>
      </c>
      <c r="B165" s="16">
        <f>Catalog!F138</f>
        <v>0</v>
      </c>
      <c r="C165" s="16" t="str">
        <f>IF(Catalog!I138="","",Catalog!I138)&amp;IF(AND(Catalog!I138&lt;&gt;"",Catalog!J138&lt;&gt;""),"; ","")&amp;IF(Catalog!J138="","",Catalog!J138)</f>
        <v/>
      </c>
      <c r="D165" s="16">
        <f>Catalog!Q138</f>
        <v>0</v>
      </c>
      <c r="E165" s="16">
        <f>Catalog!S138</f>
        <v>0</v>
      </c>
      <c r="F165" s="16">
        <f>Catalog!N138</f>
        <v>0</v>
      </c>
      <c r="G165" s="16" t="str">
        <f>Catalog!K138&amp;" / "&amp;Catalog!M138</f>
        <v xml:space="preserve"> / </v>
      </c>
      <c r="H165" s="16" t="str">
        <f t="shared" si="2"/>
        <v>Print</v>
      </c>
      <c r="I165" s="16" t="str">
        <f>IF(Catalog!T138&lt;&gt;"","ISBN:"&amp;Catalog!T138,IF(Catalog!U138&lt;&gt;"","ISSN:"&amp;Catalog!U138,"ACC:"&amp;Catalog!B138))</f>
        <v>ACC:</v>
      </c>
      <c r="J165" s="16">
        <f>Catalog!L138</f>
        <v>0</v>
      </c>
      <c r="K165" s="16">
        <f>IF(Catalog!AH138&lt;&gt;"",Catalog!AH138,Catalog!AF138)</f>
        <v>0</v>
      </c>
      <c r="L165" s="16">
        <f>Catalog!AE138</f>
        <v>0</v>
      </c>
      <c r="M165" s="16">
        <f>Catalog!W138</f>
        <v>0</v>
      </c>
      <c r="N165" s="16">
        <f>Catalog!R138</f>
        <v>0</v>
      </c>
      <c r="O165" s="16">
        <f>Catalog!AG138</f>
        <v>0</v>
      </c>
    </row>
    <row r="166" spans="1:15" ht="15.75" x14ac:dyDescent="0.25">
      <c r="A166" s="16">
        <f>Catalog!D139</f>
        <v>0</v>
      </c>
      <c r="B166" s="16">
        <f>Catalog!F139</f>
        <v>0</v>
      </c>
      <c r="C166" s="16" t="str">
        <f>IF(Catalog!I139="","",Catalog!I139)&amp;IF(AND(Catalog!I139&lt;&gt;"",Catalog!J139&lt;&gt;""),"; ","")&amp;IF(Catalog!J139="","",Catalog!J139)</f>
        <v/>
      </c>
      <c r="D166" s="16">
        <f>Catalog!Q139</f>
        <v>0</v>
      </c>
      <c r="E166" s="16">
        <f>Catalog!S139</f>
        <v>0</v>
      </c>
      <c r="F166" s="16">
        <f>Catalog!N139</f>
        <v>0</v>
      </c>
      <c r="G166" s="16" t="str">
        <f>Catalog!K139&amp;" / "&amp;Catalog!M139</f>
        <v xml:space="preserve"> / </v>
      </c>
      <c r="H166" s="16" t="str">
        <f t="shared" si="2"/>
        <v>Print</v>
      </c>
      <c r="I166" s="16" t="str">
        <f>IF(Catalog!T139&lt;&gt;"","ISBN:"&amp;Catalog!T139,IF(Catalog!U139&lt;&gt;"","ISSN:"&amp;Catalog!U139,"ACC:"&amp;Catalog!B139))</f>
        <v>ACC:</v>
      </c>
      <c r="J166" s="16">
        <f>Catalog!L139</f>
        <v>0</v>
      </c>
      <c r="K166" s="16">
        <f>IF(Catalog!AH139&lt;&gt;"",Catalog!AH139,Catalog!AF139)</f>
        <v>0</v>
      </c>
      <c r="L166" s="16">
        <f>Catalog!AE139</f>
        <v>0</v>
      </c>
      <c r="M166" s="16">
        <f>Catalog!W139</f>
        <v>0</v>
      </c>
      <c r="N166" s="16">
        <f>Catalog!R139</f>
        <v>0</v>
      </c>
      <c r="O166" s="16">
        <f>Catalog!AG139</f>
        <v>0</v>
      </c>
    </row>
    <row r="167" spans="1:15" ht="15.75" x14ac:dyDescent="0.25">
      <c r="A167" s="16">
        <f>Catalog!D140</f>
        <v>0</v>
      </c>
      <c r="B167" s="16">
        <f>Catalog!F140</f>
        <v>0</v>
      </c>
      <c r="C167" s="16" t="str">
        <f>IF(Catalog!I140="","",Catalog!I140)&amp;IF(AND(Catalog!I140&lt;&gt;"",Catalog!J140&lt;&gt;""),"; ","")&amp;IF(Catalog!J140="","",Catalog!J140)</f>
        <v/>
      </c>
      <c r="D167" s="16">
        <f>Catalog!Q140</f>
        <v>0</v>
      </c>
      <c r="E167" s="16">
        <f>Catalog!S140</f>
        <v>0</v>
      </c>
      <c r="F167" s="16">
        <f>Catalog!N140</f>
        <v>0</v>
      </c>
      <c r="G167" s="16" t="str">
        <f>Catalog!K140&amp;" / "&amp;Catalog!M140</f>
        <v xml:space="preserve"> / </v>
      </c>
      <c r="H167" s="16" t="str">
        <f t="shared" si="2"/>
        <v>Print</v>
      </c>
      <c r="I167" s="16" t="str">
        <f>IF(Catalog!T140&lt;&gt;"","ISBN:"&amp;Catalog!T140,IF(Catalog!U140&lt;&gt;"","ISSN:"&amp;Catalog!U140,"ACC:"&amp;Catalog!B140))</f>
        <v>ACC:</v>
      </c>
      <c r="J167" s="16">
        <f>Catalog!L140</f>
        <v>0</v>
      </c>
      <c r="K167" s="16">
        <f>IF(Catalog!AH140&lt;&gt;"",Catalog!AH140,Catalog!AF140)</f>
        <v>0</v>
      </c>
      <c r="L167" s="16">
        <f>Catalog!AE140</f>
        <v>0</v>
      </c>
      <c r="M167" s="16">
        <f>Catalog!W140</f>
        <v>0</v>
      </c>
      <c r="N167" s="16">
        <f>Catalog!R140</f>
        <v>0</v>
      </c>
      <c r="O167" s="16">
        <f>Catalog!AG140</f>
        <v>0</v>
      </c>
    </row>
    <row r="168" spans="1:15" ht="15.75" x14ac:dyDescent="0.25">
      <c r="A168" s="16">
        <f>Catalog!D141</f>
        <v>0</v>
      </c>
      <c r="B168" s="16">
        <f>Catalog!F141</f>
        <v>0</v>
      </c>
      <c r="C168" s="16" t="str">
        <f>IF(Catalog!I141="","",Catalog!I141)&amp;IF(AND(Catalog!I141&lt;&gt;"",Catalog!J141&lt;&gt;""),"; ","")&amp;IF(Catalog!J141="","",Catalog!J141)</f>
        <v/>
      </c>
      <c r="D168" s="16">
        <f>Catalog!Q141</f>
        <v>0</v>
      </c>
      <c r="E168" s="16">
        <f>Catalog!S141</f>
        <v>0</v>
      </c>
      <c r="F168" s="16">
        <f>Catalog!N141</f>
        <v>0</v>
      </c>
      <c r="G168" s="16" t="str">
        <f>Catalog!K141&amp;" / "&amp;Catalog!M141</f>
        <v xml:space="preserve"> / </v>
      </c>
      <c r="H168" s="16" t="str">
        <f t="shared" si="2"/>
        <v>Print</v>
      </c>
      <c r="I168" s="16" t="str">
        <f>IF(Catalog!T141&lt;&gt;"","ISBN:"&amp;Catalog!T141,IF(Catalog!U141&lt;&gt;"","ISSN:"&amp;Catalog!U141,"ACC:"&amp;Catalog!B141))</f>
        <v>ACC:</v>
      </c>
      <c r="J168" s="16">
        <f>Catalog!L141</f>
        <v>0</v>
      </c>
      <c r="K168" s="16">
        <f>IF(Catalog!AH141&lt;&gt;"",Catalog!AH141,Catalog!AF141)</f>
        <v>0</v>
      </c>
      <c r="L168" s="16">
        <f>Catalog!AE141</f>
        <v>0</v>
      </c>
      <c r="M168" s="16">
        <f>Catalog!W141</f>
        <v>0</v>
      </c>
      <c r="N168" s="16">
        <f>Catalog!R141</f>
        <v>0</v>
      </c>
      <c r="O168" s="16">
        <f>Catalog!AG141</f>
        <v>0</v>
      </c>
    </row>
    <row r="169" spans="1:15" ht="15.75" x14ac:dyDescent="0.25">
      <c r="A169" s="16">
        <f>Catalog!D142</f>
        <v>0</v>
      </c>
      <c r="B169" s="16">
        <f>Catalog!F142</f>
        <v>0</v>
      </c>
      <c r="C169" s="16" t="str">
        <f>IF(Catalog!I142="","",Catalog!I142)&amp;IF(AND(Catalog!I142&lt;&gt;"",Catalog!J142&lt;&gt;""),"; ","")&amp;IF(Catalog!J142="","",Catalog!J142)</f>
        <v/>
      </c>
      <c r="D169" s="16">
        <f>Catalog!Q142</f>
        <v>0</v>
      </c>
      <c r="E169" s="16">
        <f>Catalog!S142</f>
        <v>0</v>
      </c>
      <c r="F169" s="16">
        <f>Catalog!N142</f>
        <v>0</v>
      </c>
      <c r="G169" s="16" t="str">
        <f>Catalog!K142&amp;" / "&amp;Catalog!M142</f>
        <v xml:space="preserve"> / </v>
      </c>
      <c r="H169" s="16" t="str">
        <f t="shared" si="2"/>
        <v>Print</v>
      </c>
      <c r="I169" s="16" t="str">
        <f>IF(Catalog!T142&lt;&gt;"","ISBN:"&amp;Catalog!T142,IF(Catalog!U142&lt;&gt;"","ISSN:"&amp;Catalog!U142,"ACC:"&amp;Catalog!B142))</f>
        <v>ACC:</v>
      </c>
      <c r="J169" s="16">
        <f>Catalog!L142</f>
        <v>0</v>
      </c>
      <c r="K169" s="16">
        <f>IF(Catalog!AH142&lt;&gt;"",Catalog!AH142,Catalog!AF142)</f>
        <v>0</v>
      </c>
      <c r="L169" s="16">
        <f>Catalog!AE142</f>
        <v>0</v>
      </c>
      <c r="M169" s="16">
        <f>Catalog!W142</f>
        <v>0</v>
      </c>
      <c r="N169" s="16">
        <f>Catalog!R142</f>
        <v>0</v>
      </c>
      <c r="O169" s="16">
        <f>Catalog!AG142</f>
        <v>0</v>
      </c>
    </row>
    <row r="170" spans="1:15" ht="15.75" x14ac:dyDescent="0.25">
      <c r="A170" s="16">
        <f>Catalog!D143</f>
        <v>0</v>
      </c>
      <c r="B170" s="16">
        <f>Catalog!F143</f>
        <v>0</v>
      </c>
      <c r="C170" s="16" t="str">
        <f>IF(Catalog!I143="","",Catalog!I143)&amp;IF(AND(Catalog!I143&lt;&gt;"",Catalog!J143&lt;&gt;""),"; ","")&amp;IF(Catalog!J143="","",Catalog!J143)</f>
        <v/>
      </c>
      <c r="D170" s="16">
        <f>Catalog!Q143</f>
        <v>0</v>
      </c>
      <c r="E170" s="16">
        <f>Catalog!S143</f>
        <v>0</v>
      </c>
      <c r="F170" s="16">
        <f>Catalog!N143</f>
        <v>0</v>
      </c>
      <c r="G170" s="16" t="str">
        <f>Catalog!K143&amp;" / "&amp;Catalog!M143</f>
        <v xml:space="preserve"> / </v>
      </c>
      <c r="H170" s="16" t="str">
        <f t="shared" si="2"/>
        <v>Print</v>
      </c>
      <c r="I170" s="16" t="str">
        <f>IF(Catalog!T143&lt;&gt;"","ISBN:"&amp;Catalog!T143,IF(Catalog!U143&lt;&gt;"","ISSN:"&amp;Catalog!U143,"ACC:"&amp;Catalog!B143))</f>
        <v>ACC:</v>
      </c>
      <c r="J170" s="16">
        <f>Catalog!L143</f>
        <v>0</v>
      </c>
      <c r="K170" s="16">
        <f>IF(Catalog!AH143&lt;&gt;"",Catalog!AH143,Catalog!AF143)</f>
        <v>0</v>
      </c>
      <c r="L170" s="16">
        <f>Catalog!AE143</f>
        <v>0</v>
      </c>
      <c r="M170" s="16">
        <f>Catalog!W143</f>
        <v>0</v>
      </c>
      <c r="N170" s="16">
        <f>Catalog!R143</f>
        <v>0</v>
      </c>
      <c r="O170" s="16">
        <f>Catalog!AG143</f>
        <v>0</v>
      </c>
    </row>
    <row r="171" spans="1:15" ht="15.75" x14ac:dyDescent="0.25">
      <c r="A171" s="16">
        <f>Catalog!D144</f>
        <v>0</v>
      </c>
      <c r="B171" s="16">
        <f>Catalog!F144</f>
        <v>0</v>
      </c>
      <c r="C171" s="16" t="str">
        <f>IF(Catalog!I144="","",Catalog!I144)&amp;IF(AND(Catalog!I144&lt;&gt;"",Catalog!J144&lt;&gt;""),"; ","")&amp;IF(Catalog!J144="","",Catalog!J144)</f>
        <v/>
      </c>
      <c r="D171" s="16">
        <f>Catalog!Q144</f>
        <v>0</v>
      </c>
      <c r="E171" s="16">
        <f>Catalog!S144</f>
        <v>0</v>
      </c>
      <c r="F171" s="16">
        <f>Catalog!N144</f>
        <v>0</v>
      </c>
      <c r="G171" s="16" t="str">
        <f>Catalog!K144&amp;" / "&amp;Catalog!M144</f>
        <v xml:space="preserve"> / </v>
      </c>
      <c r="H171" s="16" t="str">
        <f t="shared" si="2"/>
        <v>Print</v>
      </c>
      <c r="I171" s="16" t="str">
        <f>IF(Catalog!T144&lt;&gt;"","ISBN:"&amp;Catalog!T144,IF(Catalog!U144&lt;&gt;"","ISSN:"&amp;Catalog!U144,"ACC:"&amp;Catalog!B144))</f>
        <v>ACC:</v>
      </c>
      <c r="J171" s="16">
        <f>Catalog!L144</f>
        <v>0</v>
      </c>
      <c r="K171" s="16">
        <f>IF(Catalog!AH144&lt;&gt;"",Catalog!AH144,Catalog!AF144)</f>
        <v>0</v>
      </c>
      <c r="L171" s="16">
        <f>Catalog!AE144</f>
        <v>0</v>
      </c>
      <c r="M171" s="16">
        <f>Catalog!W144</f>
        <v>0</v>
      </c>
      <c r="N171" s="16">
        <f>Catalog!R144</f>
        <v>0</v>
      </c>
      <c r="O171" s="16">
        <f>Catalog!AG144</f>
        <v>0</v>
      </c>
    </row>
    <row r="172" spans="1:15" ht="15.75" x14ac:dyDescent="0.25">
      <c r="A172" s="16">
        <f>Catalog!D145</f>
        <v>0</v>
      </c>
      <c r="B172" s="16">
        <f>Catalog!F145</f>
        <v>0</v>
      </c>
      <c r="C172" s="16" t="str">
        <f>IF(Catalog!I145="","",Catalog!I145)&amp;IF(AND(Catalog!I145&lt;&gt;"",Catalog!J145&lt;&gt;""),"; ","")&amp;IF(Catalog!J145="","",Catalog!J145)</f>
        <v/>
      </c>
      <c r="D172" s="16">
        <f>Catalog!Q145</f>
        <v>0</v>
      </c>
      <c r="E172" s="16">
        <f>Catalog!S145</f>
        <v>0</v>
      </c>
      <c r="F172" s="16">
        <f>Catalog!N145</f>
        <v>0</v>
      </c>
      <c r="G172" s="16" t="str">
        <f>Catalog!K145&amp;" / "&amp;Catalog!M145</f>
        <v xml:space="preserve"> / </v>
      </c>
      <c r="H172" s="16" t="str">
        <f t="shared" si="2"/>
        <v>Print</v>
      </c>
      <c r="I172" s="16" t="str">
        <f>IF(Catalog!T145&lt;&gt;"","ISBN:"&amp;Catalog!T145,IF(Catalog!U145&lt;&gt;"","ISSN:"&amp;Catalog!U145,"ACC:"&amp;Catalog!B145))</f>
        <v>ACC:</v>
      </c>
      <c r="J172" s="16">
        <f>Catalog!L145</f>
        <v>0</v>
      </c>
      <c r="K172" s="16">
        <f>IF(Catalog!AH145&lt;&gt;"",Catalog!AH145,Catalog!AF145)</f>
        <v>0</v>
      </c>
      <c r="L172" s="16">
        <f>Catalog!AE145</f>
        <v>0</v>
      </c>
      <c r="M172" s="16">
        <f>Catalog!W145</f>
        <v>0</v>
      </c>
      <c r="N172" s="16">
        <f>Catalog!R145</f>
        <v>0</v>
      </c>
      <c r="O172" s="16">
        <f>Catalog!AG145</f>
        <v>0</v>
      </c>
    </row>
    <row r="173" spans="1:15" ht="15.75" x14ac:dyDescent="0.25">
      <c r="A173" s="16">
        <f>Catalog!D146</f>
        <v>0</v>
      </c>
      <c r="B173" s="16">
        <f>Catalog!F146</f>
        <v>0</v>
      </c>
      <c r="C173" s="16" t="str">
        <f>IF(Catalog!I146="","",Catalog!I146)&amp;IF(AND(Catalog!I146&lt;&gt;"",Catalog!J146&lt;&gt;""),"; ","")&amp;IF(Catalog!J146="","",Catalog!J146)</f>
        <v/>
      </c>
      <c r="D173" s="16">
        <f>Catalog!Q146</f>
        <v>0</v>
      </c>
      <c r="E173" s="16">
        <f>Catalog!S146</f>
        <v>0</v>
      </c>
      <c r="F173" s="16">
        <f>Catalog!N146</f>
        <v>0</v>
      </c>
      <c r="G173" s="16" t="str">
        <f>Catalog!K146&amp;" / "&amp;Catalog!M146</f>
        <v xml:space="preserve"> / </v>
      </c>
      <c r="H173" s="16" t="str">
        <f t="shared" si="2"/>
        <v>Print</v>
      </c>
      <c r="I173" s="16" t="str">
        <f>IF(Catalog!T146&lt;&gt;"","ISBN:"&amp;Catalog!T146,IF(Catalog!U146&lt;&gt;"","ISSN:"&amp;Catalog!U146,"ACC:"&amp;Catalog!B146))</f>
        <v>ACC:</v>
      </c>
      <c r="J173" s="16">
        <f>Catalog!L146</f>
        <v>0</v>
      </c>
      <c r="K173" s="16">
        <f>IF(Catalog!AH146&lt;&gt;"",Catalog!AH146,Catalog!AF146)</f>
        <v>0</v>
      </c>
      <c r="L173" s="16">
        <f>Catalog!AE146</f>
        <v>0</v>
      </c>
      <c r="M173" s="16">
        <f>Catalog!W146</f>
        <v>0</v>
      </c>
      <c r="N173" s="16">
        <f>Catalog!R146</f>
        <v>0</v>
      </c>
      <c r="O173" s="16">
        <f>Catalog!AG146</f>
        <v>0</v>
      </c>
    </row>
    <row r="174" spans="1:15" ht="15.75" x14ac:dyDescent="0.25">
      <c r="A174" s="16">
        <f>Catalog!D147</f>
        <v>0</v>
      </c>
      <c r="B174" s="16">
        <f>Catalog!F147</f>
        <v>0</v>
      </c>
      <c r="C174" s="16" t="str">
        <f>IF(Catalog!I147="","",Catalog!I147)&amp;IF(AND(Catalog!I147&lt;&gt;"",Catalog!J147&lt;&gt;""),"; ","")&amp;IF(Catalog!J147="","",Catalog!J147)</f>
        <v/>
      </c>
      <c r="D174" s="16">
        <f>Catalog!Q147</f>
        <v>0</v>
      </c>
      <c r="E174" s="16">
        <f>Catalog!S147</f>
        <v>0</v>
      </c>
      <c r="F174" s="16">
        <f>Catalog!N147</f>
        <v>0</v>
      </c>
      <c r="G174" s="16" t="str">
        <f>Catalog!K147&amp;" / "&amp;Catalog!M147</f>
        <v xml:space="preserve"> / </v>
      </c>
      <c r="H174" s="16" t="str">
        <f t="shared" si="2"/>
        <v>Print</v>
      </c>
      <c r="I174" s="16" t="str">
        <f>IF(Catalog!T147&lt;&gt;"","ISBN:"&amp;Catalog!T147,IF(Catalog!U147&lt;&gt;"","ISSN:"&amp;Catalog!U147,"ACC:"&amp;Catalog!B147))</f>
        <v>ACC:</v>
      </c>
      <c r="J174" s="16">
        <f>Catalog!L147</f>
        <v>0</v>
      </c>
      <c r="K174" s="16">
        <f>IF(Catalog!AH147&lt;&gt;"",Catalog!AH147,Catalog!AF147)</f>
        <v>0</v>
      </c>
      <c r="L174" s="16">
        <f>Catalog!AE147</f>
        <v>0</v>
      </c>
      <c r="M174" s="16">
        <f>Catalog!W147</f>
        <v>0</v>
      </c>
      <c r="N174" s="16">
        <f>Catalog!R147</f>
        <v>0</v>
      </c>
      <c r="O174" s="16">
        <f>Catalog!AG147</f>
        <v>0</v>
      </c>
    </row>
    <row r="175" spans="1:15" ht="15.75" x14ac:dyDescent="0.25">
      <c r="A175" s="16">
        <f>Catalog!D148</f>
        <v>0</v>
      </c>
      <c r="B175" s="16">
        <f>Catalog!F148</f>
        <v>0</v>
      </c>
      <c r="C175" s="16" t="str">
        <f>IF(Catalog!I148="","",Catalog!I148)&amp;IF(AND(Catalog!I148&lt;&gt;"",Catalog!J148&lt;&gt;""),"; ","")&amp;IF(Catalog!J148="","",Catalog!J148)</f>
        <v/>
      </c>
      <c r="D175" s="16">
        <f>Catalog!Q148</f>
        <v>0</v>
      </c>
      <c r="E175" s="16">
        <f>Catalog!S148</f>
        <v>0</v>
      </c>
      <c r="F175" s="16">
        <f>Catalog!N148</f>
        <v>0</v>
      </c>
      <c r="G175" s="16" t="str">
        <f>Catalog!K148&amp;" / "&amp;Catalog!M148</f>
        <v xml:space="preserve"> / </v>
      </c>
      <c r="H175" s="16" t="str">
        <f t="shared" si="2"/>
        <v>Print</v>
      </c>
      <c r="I175" s="16" t="str">
        <f>IF(Catalog!T148&lt;&gt;"","ISBN:"&amp;Catalog!T148,IF(Catalog!U148&lt;&gt;"","ISSN:"&amp;Catalog!U148,"ACC:"&amp;Catalog!B148))</f>
        <v>ACC:</v>
      </c>
      <c r="J175" s="16">
        <f>Catalog!L148</f>
        <v>0</v>
      </c>
      <c r="K175" s="16">
        <f>IF(Catalog!AH148&lt;&gt;"",Catalog!AH148,Catalog!AF148)</f>
        <v>0</v>
      </c>
      <c r="L175" s="16">
        <f>Catalog!AE148</f>
        <v>0</v>
      </c>
      <c r="M175" s="16">
        <f>Catalog!W148</f>
        <v>0</v>
      </c>
      <c r="N175" s="16">
        <f>Catalog!R148</f>
        <v>0</v>
      </c>
      <c r="O175" s="16">
        <f>Catalog!AG148</f>
        <v>0</v>
      </c>
    </row>
    <row r="176" spans="1:15" ht="15.75" x14ac:dyDescent="0.25">
      <c r="A176" s="16">
        <f>Catalog!D149</f>
        <v>0</v>
      </c>
      <c r="B176" s="16">
        <f>Catalog!F149</f>
        <v>0</v>
      </c>
      <c r="C176" s="16" t="str">
        <f>IF(Catalog!I149="","",Catalog!I149)&amp;IF(AND(Catalog!I149&lt;&gt;"",Catalog!J149&lt;&gt;""),"; ","")&amp;IF(Catalog!J149="","",Catalog!J149)</f>
        <v/>
      </c>
      <c r="D176" s="16">
        <f>Catalog!Q149</f>
        <v>0</v>
      </c>
      <c r="E176" s="16">
        <f>Catalog!S149</f>
        <v>0</v>
      </c>
      <c r="F176" s="16">
        <f>Catalog!N149</f>
        <v>0</v>
      </c>
      <c r="G176" s="16" t="str">
        <f>Catalog!K149&amp;" / "&amp;Catalog!M149</f>
        <v xml:space="preserve"> / </v>
      </c>
      <c r="H176" s="16" t="str">
        <f t="shared" si="2"/>
        <v>Print</v>
      </c>
      <c r="I176" s="16" t="str">
        <f>IF(Catalog!T149&lt;&gt;"","ISBN:"&amp;Catalog!T149,IF(Catalog!U149&lt;&gt;"","ISSN:"&amp;Catalog!U149,"ACC:"&amp;Catalog!B149))</f>
        <v>ACC:</v>
      </c>
      <c r="J176" s="16">
        <f>Catalog!L149</f>
        <v>0</v>
      </c>
      <c r="K176" s="16">
        <f>IF(Catalog!AH149&lt;&gt;"",Catalog!AH149,Catalog!AF149)</f>
        <v>0</v>
      </c>
      <c r="L176" s="16">
        <f>Catalog!AE149</f>
        <v>0</v>
      </c>
      <c r="M176" s="16">
        <f>Catalog!W149</f>
        <v>0</v>
      </c>
      <c r="N176" s="16">
        <f>Catalog!R149</f>
        <v>0</v>
      </c>
      <c r="O176" s="16">
        <f>Catalog!AG149</f>
        <v>0</v>
      </c>
    </row>
    <row r="177" spans="1:15" ht="15.75" x14ac:dyDescent="0.25">
      <c r="A177" s="16">
        <f>Catalog!D150</f>
        <v>0</v>
      </c>
      <c r="B177" s="16">
        <f>Catalog!F150</f>
        <v>0</v>
      </c>
      <c r="C177" s="16" t="str">
        <f>IF(Catalog!I150="","",Catalog!I150)&amp;IF(AND(Catalog!I150&lt;&gt;"",Catalog!J150&lt;&gt;""),"; ","")&amp;IF(Catalog!J150="","",Catalog!J150)</f>
        <v/>
      </c>
      <c r="D177" s="16">
        <f>Catalog!Q150</f>
        <v>0</v>
      </c>
      <c r="E177" s="16">
        <f>Catalog!S150</f>
        <v>0</v>
      </c>
      <c r="F177" s="16">
        <f>Catalog!N150</f>
        <v>0</v>
      </c>
      <c r="G177" s="16" t="str">
        <f>Catalog!K150&amp;" / "&amp;Catalog!M150</f>
        <v xml:space="preserve"> / </v>
      </c>
      <c r="H177" s="16" t="str">
        <f t="shared" si="2"/>
        <v>Print</v>
      </c>
      <c r="I177" s="16" t="str">
        <f>IF(Catalog!T150&lt;&gt;"","ISBN:"&amp;Catalog!T150,IF(Catalog!U150&lt;&gt;"","ISSN:"&amp;Catalog!U150,"ACC:"&amp;Catalog!B150))</f>
        <v>ACC:</v>
      </c>
      <c r="J177" s="16">
        <f>Catalog!L150</f>
        <v>0</v>
      </c>
      <c r="K177" s="16">
        <f>IF(Catalog!AH150&lt;&gt;"",Catalog!AH150,Catalog!AF150)</f>
        <v>0</v>
      </c>
      <c r="L177" s="16">
        <f>Catalog!AE150</f>
        <v>0</v>
      </c>
      <c r="M177" s="16">
        <f>Catalog!W150</f>
        <v>0</v>
      </c>
      <c r="N177" s="16">
        <f>Catalog!R150</f>
        <v>0</v>
      </c>
      <c r="O177" s="16">
        <f>Catalog!AG150</f>
        <v>0</v>
      </c>
    </row>
    <row r="178" spans="1:15" ht="15.75" x14ac:dyDescent="0.25">
      <c r="A178" s="16">
        <f>Catalog!D151</f>
        <v>0</v>
      </c>
      <c r="B178" s="16">
        <f>Catalog!F151</f>
        <v>0</v>
      </c>
      <c r="C178" s="16" t="str">
        <f>IF(Catalog!I151="","",Catalog!I151)&amp;IF(AND(Catalog!I151&lt;&gt;"",Catalog!J151&lt;&gt;""),"; ","")&amp;IF(Catalog!J151="","",Catalog!J151)</f>
        <v/>
      </c>
      <c r="D178" s="16">
        <f>Catalog!Q151</f>
        <v>0</v>
      </c>
      <c r="E178" s="16">
        <f>Catalog!S151</f>
        <v>0</v>
      </c>
      <c r="F178" s="16">
        <f>Catalog!N151</f>
        <v>0</v>
      </c>
      <c r="G178" s="16" t="str">
        <f>Catalog!K151&amp;" / "&amp;Catalog!M151</f>
        <v xml:space="preserve"> / </v>
      </c>
      <c r="H178" s="16" t="str">
        <f t="shared" si="2"/>
        <v>Print</v>
      </c>
      <c r="I178" s="16" t="str">
        <f>IF(Catalog!T151&lt;&gt;"","ISBN:"&amp;Catalog!T151,IF(Catalog!U151&lt;&gt;"","ISSN:"&amp;Catalog!U151,"ACC:"&amp;Catalog!B151))</f>
        <v>ACC:</v>
      </c>
      <c r="J178" s="16">
        <f>Catalog!L151</f>
        <v>0</v>
      </c>
      <c r="K178" s="16">
        <f>IF(Catalog!AH151&lt;&gt;"",Catalog!AH151,Catalog!AF151)</f>
        <v>0</v>
      </c>
      <c r="L178" s="16">
        <f>Catalog!AE151</f>
        <v>0</v>
      </c>
      <c r="M178" s="16">
        <f>Catalog!W151</f>
        <v>0</v>
      </c>
      <c r="N178" s="16">
        <f>Catalog!R151</f>
        <v>0</v>
      </c>
      <c r="O178" s="16">
        <f>Catalog!AG151</f>
        <v>0</v>
      </c>
    </row>
    <row r="179" spans="1:15" ht="15.75" x14ac:dyDescent="0.25">
      <c r="A179" s="16">
        <f>Catalog!D152</f>
        <v>0</v>
      </c>
      <c r="B179" s="16">
        <f>Catalog!F152</f>
        <v>0</v>
      </c>
      <c r="C179" s="16" t="str">
        <f>IF(Catalog!I152="","",Catalog!I152)&amp;IF(AND(Catalog!I152&lt;&gt;"",Catalog!J152&lt;&gt;""),"; ","")&amp;IF(Catalog!J152="","",Catalog!J152)</f>
        <v/>
      </c>
      <c r="D179" s="16">
        <f>Catalog!Q152</f>
        <v>0</v>
      </c>
      <c r="E179" s="16">
        <f>Catalog!S152</f>
        <v>0</v>
      </c>
      <c r="F179" s="16">
        <f>Catalog!N152</f>
        <v>0</v>
      </c>
      <c r="G179" s="16" t="str">
        <f>Catalog!K152&amp;" / "&amp;Catalog!M152</f>
        <v xml:space="preserve"> / </v>
      </c>
      <c r="H179" s="16" t="str">
        <f t="shared" si="2"/>
        <v>Print</v>
      </c>
      <c r="I179" s="16" t="str">
        <f>IF(Catalog!T152&lt;&gt;"","ISBN:"&amp;Catalog!T152,IF(Catalog!U152&lt;&gt;"","ISSN:"&amp;Catalog!U152,"ACC:"&amp;Catalog!B152))</f>
        <v>ACC:</v>
      </c>
      <c r="J179" s="16">
        <f>Catalog!L152</f>
        <v>0</v>
      </c>
      <c r="K179" s="16">
        <f>IF(Catalog!AH152&lt;&gt;"",Catalog!AH152,Catalog!AF152)</f>
        <v>0</v>
      </c>
      <c r="L179" s="16">
        <f>Catalog!AE152</f>
        <v>0</v>
      </c>
      <c r="M179" s="16">
        <f>Catalog!W152</f>
        <v>0</v>
      </c>
      <c r="N179" s="16">
        <f>Catalog!R152</f>
        <v>0</v>
      </c>
      <c r="O179" s="16">
        <f>Catalog!AG152</f>
        <v>0</v>
      </c>
    </row>
    <row r="180" spans="1:15" ht="15.75" x14ac:dyDescent="0.25">
      <c r="A180" s="16">
        <f>Catalog!D153</f>
        <v>0</v>
      </c>
      <c r="B180" s="16">
        <f>Catalog!F153</f>
        <v>0</v>
      </c>
      <c r="C180" s="16" t="str">
        <f>IF(Catalog!I153="","",Catalog!I153)&amp;IF(AND(Catalog!I153&lt;&gt;"",Catalog!J153&lt;&gt;""),"; ","")&amp;IF(Catalog!J153="","",Catalog!J153)</f>
        <v/>
      </c>
      <c r="D180" s="16">
        <f>Catalog!Q153</f>
        <v>0</v>
      </c>
      <c r="E180" s="16">
        <f>Catalog!S153</f>
        <v>0</v>
      </c>
      <c r="F180" s="16">
        <f>Catalog!N153</f>
        <v>0</v>
      </c>
      <c r="G180" s="16" t="str">
        <f>Catalog!K153&amp;" / "&amp;Catalog!M153</f>
        <v xml:space="preserve"> / </v>
      </c>
      <c r="H180" s="16" t="str">
        <f t="shared" si="2"/>
        <v>Print</v>
      </c>
      <c r="I180" s="16" t="str">
        <f>IF(Catalog!T153&lt;&gt;"","ISBN:"&amp;Catalog!T153,IF(Catalog!U153&lt;&gt;"","ISSN:"&amp;Catalog!U153,"ACC:"&amp;Catalog!B153))</f>
        <v>ACC:</v>
      </c>
      <c r="J180" s="16">
        <f>Catalog!L153</f>
        <v>0</v>
      </c>
      <c r="K180" s="16">
        <f>IF(Catalog!AH153&lt;&gt;"",Catalog!AH153,Catalog!AF153)</f>
        <v>0</v>
      </c>
      <c r="L180" s="16">
        <f>Catalog!AE153</f>
        <v>0</v>
      </c>
      <c r="M180" s="16">
        <f>Catalog!W153</f>
        <v>0</v>
      </c>
      <c r="N180" s="16">
        <f>Catalog!R153</f>
        <v>0</v>
      </c>
      <c r="O180" s="16">
        <f>Catalog!AG153</f>
        <v>0</v>
      </c>
    </row>
    <row r="181" spans="1:15" ht="15.75" x14ac:dyDescent="0.25">
      <c r="A181" s="16">
        <f>Catalog!D154</f>
        <v>0</v>
      </c>
      <c r="B181" s="16">
        <f>Catalog!F154</f>
        <v>0</v>
      </c>
      <c r="C181" s="16" t="str">
        <f>IF(Catalog!I154="","",Catalog!I154)&amp;IF(AND(Catalog!I154&lt;&gt;"",Catalog!J154&lt;&gt;""),"; ","")&amp;IF(Catalog!J154="","",Catalog!J154)</f>
        <v/>
      </c>
      <c r="D181" s="16">
        <f>Catalog!Q154</f>
        <v>0</v>
      </c>
      <c r="E181" s="16">
        <f>Catalog!S154</f>
        <v>0</v>
      </c>
      <c r="F181" s="16">
        <f>Catalog!N154</f>
        <v>0</v>
      </c>
      <c r="G181" s="16" t="str">
        <f>Catalog!K154&amp;" / "&amp;Catalog!M154</f>
        <v xml:space="preserve"> / </v>
      </c>
      <c r="H181" s="16" t="str">
        <f t="shared" si="2"/>
        <v>Print</v>
      </c>
      <c r="I181" s="16" t="str">
        <f>IF(Catalog!T154&lt;&gt;"","ISBN:"&amp;Catalog!T154,IF(Catalog!U154&lt;&gt;"","ISSN:"&amp;Catalog!U154,"ACC:"&amp;Catalog!B154))</f>
        <v>ACC:</v>
      </c>
      <c r="J181" s="16">
        <f>Catalog!L154</f>
        <v>0</v>
      </c>
      <c r="K181" s="16">
        <f>IF(Catalog!AH154&lt;&gt;"",Catalog!AH154,Catalog!AF154)</f>
        <v>0</v>
      </c>
      <c r="L181" s="16">
        <f>Catalog!AE154</f>
        <v>0</v>
      </c>
      <c r="M181" s="16">
        <f>Catalog!W154</f>
        <v>0</v>
      </c>
      <c r="N181" s="16">
        <f>Catalog!R154</f>
        <v>0</v>
      </c>
      <c r="O181" s="16">
        <f>Catalog!AG154</f>
        <v>0</v>
      </c>
    </row>
    <row r="182" spans="1:15" ht="15.75" x14ac:dyDescent="0.25">
      <c r="A182" s="16">
        <f>Catalog!D155</f>
        <v>0</v>
      </c>
      <c r="B182" s="16">
        <f>Catalog!F155</f>
        <v>0</v>
      </c>
      <c r="C182" s="16" t="str">
        <f>IF(Catalog!I155="","",Catalog!I155)&amp;IF(AND(Catalog!I155&lt;&gt;"",Catalog!J155&lt;&gt;""),"; ","")&amp;IF(Catalog!J155="","",Catalog!J155)</f>
        <v/>
      </c>
      <c r="D182" s="16">
        <f>Catalog!Q155</f>
        <v>0</v>
      </c>
      <c r="E182" s="16">
        <f>Catalog!S155</f>
        <v>0</v>
      </c>
      <c r="F182" s="16">
        <f>Catalog!N155</f>
        <v>0</v>
      </c>
      <c r="G182" s="16" t="str">
        <f>Catalog!K155&amp;" / "&amp;Catalog!M155</f>
        <v xml:space="preserve"> / </v>
      </c>
      <c r="H182" s="16" t="str">
        <f t="shared" si="2"/>
        <v>Print</v>
      </c>
      <c r="I182" s="16" t="str">
        <f>IF(Catalog!T155&lt;&gt;"","ISBN:"&amp;Catalog!T155,IF(Catalog!U155&lt;&gt;"","ISSN:"&amp;Catalog!U155,"ACC:"&amp;Catalog!B155))</f>
        <v>ACC:</v>
      </c>
      <c r="J182" s="16">
        <f>Catalog!L155</f>
        <v>0</v>
      </c>
      <c r="K182" s="16">
        <f>IF(Catalog!AH155&lt;&gt;"",Catalog!AH155,Catalog!AF155)</f>
        <v>0</v>
      </c>
      <c r="L182" s="16">
        <f>Catalog!AE155</f>
        <v>0</v>
      </c>
      <c r="M182" s="16">
        <f>Catalog!W155</f>
        <v>0</v>
      </c>
      <c r="N182" s="16">
        <f>Catalog!R155</f>
        <v>0</v>
      </c>
      <c r="O182" s="16">
        <f>Catalog!AG155</f>
        <v>0</v>
      </c>
    </row>
    <row r="183" spans="1:15" ht="15.75" x14ac:dyDescent="0.25">
      <c r="A183" s="16">
        <f>Catalog!D156</f>
        <v>0</v>
      </c>
      <c r="B183" s="16">
        <f>Catalog!F156</f>
        <v>0</v>
      </c>
      <c r="C183" s="16" t="str">
        <f>IF(Catalog!I156="","",Catalog!I156)&amp;IF(AND(Catalog!I156&lt;&gt;"",Catalog!J156&lt;&gt;""),"; ","")&amp;IF(Catalog!J156="","",Catalog!J156)</f>
        <v/>
      </c>
      <c r="D183" s="16">
        <f>Catalog!Q156</f>
        <v>0</v>
      </c>
      <c r="E183" s="16">
        <f>Catalog!S156</f>
        <v>0</v>
      </c>
      <c r="F183" s="16">
        <f>Catalog!N156</f>
        <v>0</v>
      </c>
      <c r="G183" s="16" t="str">
        <f>Catalog!K156&amp;" / "&amp;Catalog!M156</f>
        <v xml:space="preserve"> / </v>
      </c>
      <c r="H183" s="16" t="str">
        <f t="shared" si="2"/>
        <v>Print</v>
      </c>
      <c r="I183" s="16" t="str">
        <f>IF(Catalog!T156&lt;&gt;"","ISBN:"&amp;Catalog!T156,IF(Catalog!U156&lt;&gt;"","ISSN:"&amp;Catalog!U156,"ACC:"&amp;Catalog!B156))</f>
        <v>ACC:</v>
      </c>
      <c r="J183" s="16">
        <f>Catalog!L156</f>
        <v>0</v>
      </c>
      <c r="K183" s="16">
        <f>IF(Catalog!AH156&lt;&gt;"",Catalog!AH156,Catalog!AF156)</f>
        <v>0</v>
      </c>
      <c r="L183" s="16">
        <f>Catalog!AE156</f>
        <v>0</v>
      </c>
      <c r="M183" s="16">
        <f>Catalog!W156</f>
        <v>0</v>
      </c>
      <c r="N183" s="16">
        <f>Catalog!R156</f>
        <v>0</v>
      </c>
      <c r="O183" s="16">
        <f>Catalog!AG156</f>
        <v>0</v>
      </c>
    </row>
    <row r="184" spans="1:15" ht="15.75" x14ac:dyDescent="0.25">
      <c r="A184" s="16">
        <f>Catalog!D157</f>
        <v>0</v>
      </c>
      <c r="B184" s="16">
        <f>Catalog!F157</f>
        <v>0</v>
      </c>
      <c r="C184" s="16" t="str">
        <f>IF(Catalog!I157="","",Catalog!I157)&amp;IF(AND(Catalog!I157&lt;&gt;"",Catalog!J157&lt;&gt;""),"; ","")&amp;IF(Catalog!J157="","",Catalog!J157)</f>
        <v/>
      </c>
      <c r="D184" s="16">
        <f>Catalog!Q157</f>
        <v>0</v>
      </c>
      <c r="E184" s="16">
        <f>Catalog!S157</f>
        <v>0</v>
      </c>
      <c r="F184" s="16">
        <f>Catalog!N157</f>
        <v>0</v>
      </c>
      <c r="G184" s="16" t="str">
        <f>Catalog!K157&amp;" / "&amp;Catalog!M157</f>
        <v xml:space="preserve"> / </v>
      </c>
      <c r="H184" s="16" t="str">
        <f t="shared" si="2"/>
        <v>Print</v>
      </c>
      <c r="I184" s="16" t="str">
        <f>IF(Catalog!T157&lt;&gt;"","ISBN:"&amp;Catalog!T157,IF(Catalog!U157&lt;&gt;"","ISSN:"&amp;Catalog!U157,"ACC:"&amp;Catalog!B157))</f>
        <v>ACC:</v>
      </c>
      <c r="J184" s="16">
        <f>Catalog!L157</f>
        <v>0</v>
      </c>
      <c r="K184" s="16">
        <f>IF(Catalog!AH157&lt;&gt;"",Catalog!AH157,Catalog!AF157)</f>
        <v>0</v>
      </c>
      <c r="L184" s="16">
        <f>Catalog!AE157</f>
        <v>0</v>
      </c>
      <c r="M184" s="16">
        <f>Catalog!W157</f>
        <v>0</v>
      </c>
      <c r="N184" s="16">
        <f>Catalog!R157</f>
        <v>0</v>
      </c>
      <c r="O184" s="16">
        <f>Catalog!AG157</f>
        <v>0</v>
      </c>
    </row>
    <row r="185" spans="1:15" ht="15.75" x14ac:dyDescent="0.25">
      <c r="A185" s="16">
        <f>Catalog!D158</f>
        <v>0</v>
      </c>
      <c r="B185" s="16">
        <f>Catalog!F158</f>
        <v>0</v>
      </c>
      <c r="C185" s="16" t="str">
        <f>IF(Catalog!I158="","",Catalog!I158)&amp;IF(AND(Catalog!I158&lt;&gt;"",Catalog!J158&lt;&gt;""),"; ","")&amp;IF(Catalog!J158="","",Catalog!J158)</f>
        <v/>
      </c>
      <c r="D185" s="16">
        <f>Catalog!Q158</f>
        <v>0</v>
      </c>
      <c r="E185" s="16">
        <f>Catalog!S158</f>
        <v>0</v>
      </c>
      <c r="F185" s="16">
        <f>Catalog!N158</f>
        <v>0</v>
      </c>
      <c r="G185" s="16" t="str">
        <f>Catalog!K158&amp;" / "&amp;Catalog!M158</f>
        <v xml:space="preserve"> / </v>
      </c>
      <c r="H185" s="16" t="str">
        <f t="shared" si="2"/>
        <v>Print</v>
      </c>
      <c r="I185" s="16" t="str">
        <f>IF(Catalog!T158&lt;&gt;"","ISBN:"&amp;Catalog!T158,IF(Catalog!U158&lt;&gt;"","ISSN:"&amp;Catalog!U158,"ACC:"&amp;Catalog!B158))</f>
        <v>ACC:</v>
      </c>
      <c r="J185" s="16">
        <f>Catalog!L158</f>
        <v>0</v>
      </c>
      <c r="K185" s="16">
        <f>IF(Catalog!AH158&lt;&gt;"",Catalog!AH158,Catalog!AF158)</f>
        <v>0</v>
      </c>
      <c r="L185" s="16">
        <f>Catalog!AE158</f>
        <v>0</v>
      </c>
      <c r="M185" s="16">
        <f>Catalog!W158</f>
        <v>0</v>
      </c>
      <c r="N185" s="16">
        <f>Catalog!R158</f>
        <v>0</v>
      </c>
      <c r="O185" s="16">
        <f>Catalog!AG158</f>
        <v>0</v>
      </c>
    </row>
    <row r="186" spans="1:15" ht="15.75" x14ac:dyDescent="0.25">
      <c r="A186" s="16">
        <f>Catalog!D159</f>
        <v>0</v>
      </c>
      <c r="B186" s="16">
        <f>Catalog!F159</f>
        <v>0</v>
      </c>
      <c r="C186" s="16" t="str">
        <f>IF(Catalog!I159="","",Catalog!I159)&amp;IF(AND(Catalog!I159&lt;&gt;"",Catalog!J159&lt;&gt;""),"; ","")&amp;IF(Catalog!J159="","",Catalog!J159)</f>
        <v/>
      </c>
      <c r="D186" s="16">
        <f>Catalog!Q159</f>
        <v>0</v>
      </c>
      <c r="E186" s="16">
        <f>Catalog!S159</f>
        <v>0</v>
      </c>
      <c r="F186" s="16">
        <f>Catalog!N159</f>
        <v>0</v>
      </c>
      <c r="G186" s="16" t="str">
        <f>Catalog!K159&amp;" / "&amp;Catalog!M159</f>
        <v xml:space="preserve"> / </v>
      </c>
      <c r="H186" s="16" t="str">
        <f t="shared" si="2"/>
        <v>Print</v>
      </c>
      <c r="I186" s="16" t="str">
        <f>IF(Catalog!T159&lt;&gt;"","ISBN:"&amp;Catalog!T159,IF(Catalog!U159&lt;&gt;"","ISSN:"&amp;Catalog!U159,"ACC:"&amp;Catalog!B159))</f>
        <v>ACC:</v>
      </c>
      <c r="J186" s="16">
        <f>Catalog!L159</f>
        <v>0</v>
      </c>
      <c r="K186" s="16">
        <f>IF(Catalog!AH159&lt;&gt;"",Catalog!AH159,Catalog!AF159)</f>
        <v>0</v>
      </c>
      <c r="L186" s="16">
        <f>Catalog!AE159</f>
        <v>0</v>
      </c>
      <c r="M186" s="16">
        <f>Catalog!W159</f>
        <v>0</v>
      </c>
      <c r="N186" s="16">
        <f>Catalog!R159</f>
        <v>0</v>
      </c>
      <c r="O186" s="16">
        <f>Catalog!AG159</f>
        <v>0</v>
      </c>
    </row>
    <row r="187" spans="1:15" ht="15.75" x14ac:dyDescent="0.25">
      <c r="A187" s="16">
        <f>Catalog!D160</f>
        <v>0</v>
      </c>
      <c r="B187" s="16">
        <f>Catalog!F160</f>
        <v>0</v>
      </c>
      <c r="C187" s="16" t="str">
        <f>IF(Catalog!I160="","",Catalog!I160)&amp;IF(AND(Catalog!I160&lt;&gt;"",Catalog!J160&lt;&gt;""),"; ","")&amp;IF(Catalog!J160="","",Catalog!J160)</f>
        <v/>
      </c>
      <c r="D187" s="16">
        <f>Catalog!Q160</f>
        <v>0</v>
      </c>
      <c r="E187" s="16">
        <f>Catalog!S160</f>
        <v>0</v>
      </c>
      <c r="F187" s="16">
        <f>Catalog!N160</f>
        <v>0</v>
      </c>
      <c r="G187" s="16" t="str">
        <f>Catalog!K160&amp;" / "&amp;Catalog!M160</f>
        <v xml:space="preserve"> / </v>
      </c>
      <c r="H187" s="16" t="str">
        <f t="shared" si="2"/>
        <v>Print</v>
      </c>
      <c r="I187" s="16" t="str">
        <f>IF(Catalog!T160&lt;&gt;"","ISBN:"&amp;Catalog!T160,IF(Catalog!U160&lt;&gt;"","ISSN:"&amp;Catalog!U160,"ACC:"&amp;Catalog!B160))</f>
        <v>ACC:</v>
      </c>
      <c r="J187" s="16">
        <f>Catalog!L160</f>
        <v>0</v>
      </c>
      <c r="K187" s="16">
        <f>IF(Catalog!AH160&lt;&gt;"",Catalog!AH160,Catalog!AF160)</f>
        <v>0</v>
      </c>
      <c r="L187" s="16">
        <f>Catalog!AE160</f>
        <v>0</v>
      </c>
      <c r="M187" s="16">
        <f>Catalog!W160</f>
        <v>0</v>
      </c>
      <c r="N187" s="16">
        <f>Catalog!R160</f>
        <v>0</v>
      </c>
      <c r="O187" s="16">
        <f>Catalog!AG160</f>
        <v>0</v>
      </c>
    </row>
    <row r="188" spans="1:15" ht="15.75" x14ac:dyDescent="0.25">
      <c r="A188" s="16">
        <f>Catalog!D161</f>
        <v>0</v>
      </c>
      <c r="B188" s="16">
        <f>Catalog!F161</f>
        <v>0</v>
      </c>
      <c r="C188" s="16" t="str">
        <f>IF(Catalog!I161="","",Catalog!I161)&amp;IF(AND(Catalog!I161&lt;&gt;"",Catalog!J161&lt;&gt;""),"; ","")&amp;IF(Catalog!J161="","",Catalog!J161)</f>
        <v/>
      </c>
      <c r="D188" s="16">
        <f>Catalog!Q161</f>
        <v>0</v>
      </c>
      <c r="E188" s="16">
        <f>Catalog!S161</f>
        <v>0</v>
      </c>
      <c r="F188" s="16">
        <f>Catalog!N161</f>
        <v>0</v>
      </c>
      <c r="G188" s="16" t="str">
        <f>Catalog!K161&amp;" / "&amp;Catalog!M161</f>
        <v xml:space="preserve"> / </v>
      </c>
      <c r="H188" s="16" t="str">
        <f t="shared" si="2"/>
        <v>Print</v>
      </c>
      <c r="I188" s="16" t="str">
        <f>IF(Catalog!T161&lt;&gt;"","ISBN:"&amp;Catalog!T161,IF(Catalog!U161&lt;&gt;"","ISSN:"&amp;Catalog!U161,"ACC:"&amp;Catalog!B161))</f>
        <v>ACC:</v>
      </c>
      <c r="J188" s="16">
        <f>Catalog!L161</f>
        <v>0</v>
      </c>
      <c r="K188" s="16">
        <f>IF(Catalog!AH161&lt;&gt;"",Catalog!AH161,Catalog!AF161)</f>
        <v>0</v>
      </c>
      <c r="L188" s="16">
        <f>Catalog!AE161</f>
        <v>0</v>
      </c>
      <c r="M188" s="16">
        <f>Catalog!W161</f>
        <v>0</v>
      </c>
      <c r="N188" s="16">
        <f>Catalog!R161</f>
        <v>0</v>
      </c>
      <c r="O188" s="16">
        <f>Catalog!AG161</f>
        <v>0</v>
      </c>
    </row>
    <row r="189" spans="1:15" ht="15.75" x14ac:dyDescent="0.25">
      <c r="A189" s="16">
        <f>Catalog!D162</f>
        <v>0</v>
      </c>
      <c r="B189" s="16">
        <f>Catalog!F162</f>
        <v>0</v>
      </c>
      <c r="C189" s="16" t="str">
        <f>IF(Catalog!I162="","",Catalog!I162)&amp;IF(AND(Catalog!I162&lt;&gt;"",Catalog!J162&lt;&gt;""),"; ","")&amp;IF(Catalog!J162="","",Catalog!J162)</f>
        <v/>
      </c>
      <c r="D189" s="16">
        <f>Catalog!Q162</f>
        <v>0</v>
      </c>
      <c r="E189" s="16">
        <f>Catalog!S162</f>
        <v>0</v>
      </c>
      <c r="F189" s="16">
        <f>Catalog!N162</f>
        <v>0</v>
      </c>
      <c r="G189" s="16" t="str">
        <f>Catalog!K162&amp;" / "&amp;Catalog!M162</f>
        <v xml:space="preserve"> / </v>
      </c>
      <c r="H189" s="16" t="str">
        <f t="shared" si="2"/>
        <v>Print</v>
      </c>
      <c r="I189" s="16" t="str">
        <f>IF(Catalog!T162&lt;&gt;"","ISBN:"&amp;Catalog!T162,IF(Catalog!U162&lt;&gt;"","ISSN:"&amp;Catalog!U162,"ACC:"&amp;Catalog!B162))</f>
        <v>ACC:</v>
      </c>
      <c r="J189" s="16">
        <f>Catalog!L162</f>
        <v>0</v>
      </c>
      <c r="K189" s="16">
        <f>IF(Catalog!AH162&lt;&gt;"",Catalog!AH162,Catalog!AF162)</f>
        <v>0</v>
      </c>
      <c r="L189" s="16">
        <f>Catalog!AE162</f>
        <v>0</v>
      </c>
      <c r="M189" s="16">
        <f>Catalog!W162</f>
        <v>0</v>
      </c>
      <c r="N189" s="16">
        <f>Catalog!R162</f>
        <v>0</v>
      </c>
      <c r="O189" s="16">
        <f>Catalog!AG162</f>
        <v>0</v>
      </c>
    </row>
    <row r="190" spans="1:15" ht="15.75" x14ac:dyDescent="0.25">
      <c r="A190" s="16">
        <f>Catalog!D163</f>
        <v>0</v>
      </c>
      <c r="B190" s="16">
        <f>Catalog!F163</f>
        <v>0</v>
      </c>
      <c r="C190" s="16" t="str">
        <f>IF(Catalog!I163="","",Catalog!I163)&amp;IF(AND(Catalog!I163&lt;&gt;"",Catalog!J163&lt;&gt;""),"; ","")&amp;IF(Catalog!J163="","",Catalog!J163)</f>
        <v/>
      </c>
      <c r="D190" s="16">
        <f>Catalog!Q163</f>
        <v>0</v>
      </c>
      <c r="E190" s="16">
        <f>Catalog!S163</f>
        <v>0</v>
      </c>
      <c r="F190" s="16">
        <f>Catalog!N163</f>
        <v>0</v>
      </c>
      <c r="G190" s="16" t="str">
        <f>Catalog!K163&amp;" / "&amp;Catalog!M163</f>
        <v xml:space="preserve"> / </v>
      </c>
      <c r="H190" s="16" t="str">
        <f t="shared" si="2"/>
        <v>Print</v>
      </c>
      <c r="I190" s="16" t="str">
        <f>IF(Catalog!T163&lt;&gt;"","ISBN:"&amp;Catalog!T163,IF(Catalog!U163&lt;&gt;"","ISSN:"&amp;Catalog!U163,"ACC:"&amp;Catalog!B163))</f>
        <v>ACC:</v>
      </c>
      <c r="J190" s="16">
        <f>Catalog!L163</f>
        <v>0</v>
      </c>
      <c r="K190" s="16">
        <f>IF(Catalog!AH163&lt;&gt;"",Catalog!AH163,Catalog!AF163)</f>
        <v>0</v>
      </c>
      <c r="L190" s="16">
        <f>Catalog!AE163</f>
        <v>0</v>
      </c>
      <c r="M190" s="16">
        <f>Catalog!W163</f>
        <v>0</v>
      </c>
      <c r="N190" s="16">
        <f>Catalog!R163</f>
        <v>0</v>
      </c>
      <c r="O190" s="16">
        <f>Catalog!AG163</f>
        <v>0</v>
      </c>
    </row>
    <row r="191" spans="1:15" ht="15.75" x14ac:dyDescent="0.25">
      <c r="A191" s="16">
        <f>Catalog!D164</f>
        <v>0</v>
      </c>
      <c r="B191" s="16">
        <f>Catalog!F164</f>
        <v>0</v>
      </c>
      <c r="C191" s="16" t="str">
        <f>IF(Catalog!I164="","",Catalog!I164)&amp;IF(AND(Catalog!I164&lt;&gt;"",Catalog!J164&lt;&gt;""),"; ","")&amp;IF(Catalog!J164="","",Catalog!J164)</f>
        <v/>
      </c>
      <c r="D191" s="16">
        <f>Catalog!Q164</f>
        <v>0</v>
      </c>
      <c r="E191" s="16">
        <f>Catalog!S164</f>
        <v>0</v>
      </c>
      <c r="F191" s="16">
        <f>Catalog!N164</f>
        <v>0</v>
      </c>
      <c r="G191" s="16" t="str">
        <f>Catalog!K164&amp;" / "&amp;Catalog!M164</f>
        <v xml:space="preserve"> / </v>
      </c>
      <c r="H191" s="16" t="str">
        <f t="shared" si="2"/>
        <v>Print</v>
      </c>
      <c r="I191" s="16" t="str">
        <f>IF(Catalog!T164&lt;&gt;"","ISBN:"&amp;Catalog!T164,IF(Catalog!U164&lt;&gt;"","ISSN:"&amp;Catalog!U164,"ACC:"&amp;Catalog!B164))</f>
        <v>ACC:</v>
      </c>
      <c r="J191" s="16">
        <f>Catalog!L164</f>
        <v>0</v>
      </c>
      <c r="K191" s="16">
        <f>IF(Catalog!AH164&lt;&gt;"",Catalog!AH164,Catalog!AF164)</f>
        <v>0</v>
      </c>
      <c r="L191" s="16">
        <f>Catalog!AE164</f>
        <v>0</v>
      </c>
      <c r="M191" s="16">
        <f>Catalog!W164</f>
        <v>0</v>
      </c>
      <c r="N191" s="16">
        <f>Catalog!R164</f>
        <v>0</v>
      </c>
      <c r="O191" s="16">
        <f>Catalog!AG164</f>
        <v>0</v>
      </c>
    </row>
    <row r="192" spans="1:15" ht="15.75" x14ac:dyDescent="0.25">
      <c r="A192" s="16">
        <f>Catalog!D165</f>
        <v>0</v>
      </c>
      <c r="B192" s="16">
        <f>Catalog!F165</f>
        <v>0</v>
      </c>
      <c r="C192" s="16" t="str">
        <f>IF(Catalog!I165="","",Catalog!I165)&amp;IF(AND(Catalog!I165&lt;&gt;"",Catalog!J165&lt;&gt;""),"; ","")&amp;IF(Catalog!J165="","",Catalog!J165)</f>
        <v/>
      </c>
      <c r="D192" s="16">
        <f>Catalog!Q165</f>
        <v>0</v>
      </c>
      <c r="E192" s="16">
        <f>Catalog!S165</f>
        <v>0</v>
      </c>
      <c r="F192" s="16">
        <f>Catalog!N165</f>
        <v>0</v>
      </c>
      <c r="G192" s="16" t="str">
        <f>Catalog!K165&amp;" / "&amp;Catalog!M165</f>
        <v xml:space="preserve"> / </v>
      </c>
      <c r="H192" s="16" t="str">
        <f t="shared" si="2"/>
        <v>Print</v>
      </c>
      <c r="I192" s="16" t="str">
        <f>IF(Catalog!T165&lt;&gt;"","ISBN:"&amp;Catalog!T165,IF(Catalog!U165&lt;&gt;"","ISSN:"&amp;Catalog!U165,"ACC:"&amp;Catalog!B165))</f>
        <v>ACC:</v>
      </c>
      <c r="J192" s="16">
        <f>Catalog!L165</f>
        <v>0</v>
      </c>
      <c r="K192" s="16">
        <f>IF(Catalog!AH165&lt;&gt;"",Catalog!AH165,Catalog!AF165)</f>
        <v>0</v>
      </c>
      <c r="L192" s="16">
        <f>Catalog!AE165</f>
        <v>0</v>
      </c>
      <c r="M192" s="16">
        <f>Catalog!W165</f>
        <v>0</v>
      </c>
      <c r="N192" s="16">
        <f>Catalog!R165</f>
        <v>0</v>
      </c>
      <c r="O192" s="16">
        <f>Catalog!AG165</f>
        <v>0</v>
      </c>
    </row>
    <row r="193" spans="1:15" ht="15.75" x14ac:dyDescent="0.25">
      <c r="A193" s="16">
        <f>Catalog!D166</f>
        <v>0</v>
      </c>
      <c r="B193" s="16">
        <f>Catalog!F166</f>
        <v>0</v>
      </c>
      <c r="C193" s="16" t="str">
        <f>IF(Catalog!I166="","",Catalog!I166)&amp;IF(AND(Catalog!I166&lt;&gt;"",Catalog!J166&lt;&gt;""),"; ","")&amp;IF(Catalog!J166="","",Catalog!J166)</f>
        <v/>
      </c>
      <c r="D193" s="16">
        <f>Catalog!Q166</f>
        <v>0</v>
      </c>
      <c r="E193" s="16">
        <f>Catalog!S166</f>
        <v>0</v>
      </c>
      <c r="F193" s="16">
        <f>Catalog!N166</f>
        <v>0</v>
      </c>
      <c r="G193" s="16" t="str">
        <f>Catalog!K166&amp;" / "&amp;Catalog!M166</f>
        <v xml:space="preserve"> / </v>
      </c>
      <c r="H193" s="16" t="str">
        <f t="shared" si="2"/>
        <v>Print</v>
      </c>
      <c r="I193" s="16" t="str">
        <f>IF(Catalog!T166&lt;&gt;"","ISBN:"&amp;Catalog!T166,IF(Catalog!U166&lt;&gt;"","ISSN:"&amp;Catalog!U166,"ACC:"&amp;Catalog!B166))</f>
        <v>ACC:</v>
      </c>
      <c r="J193" s="16">
        <f>Catalog!L166</f>
        <v>0</v>
      </c>
      <c r="K193" s="16">
        <f>IF(Catalog!AH166&lt;&gt;"",Catalog!AH166,Catalog!AF166)</f>
        <v>0</v>
      </c>
      <c r="L193" s="16">
        <f>Catalog!AE166</f>
        <v>0</v>
      </c>
      <c r="M193" s="16">
        <f>Catalog!W166</f>
        <v>0</v>
      </c>
      <c r="N193" s="16">
        <f>Catalog!R166</f>
        <v>0</v>
      </c>
      <c r="O193" s="16">
        <f>Catalog!AG166</f>
        <v>0</v>
      </c>
    </row>
    <row r="194" spans="1:15" ht="15.75" x14ac:dyDescent="0.25">
      <c r="A194" s="16">
        <f>Catalog!D167</f>
        <v>0</v>
      </c>
      <c r="B194" s="16">
        <f>Catalog!F167</f>
        <v>0</v>
      </c>
      <c r="C194" s="16" t="str">
        <f>IF(Catalog!I167="","",Catalog!I167)&amp;IF(AND(Catalog!I167&lt;&gt;"",Catalog!J167&lt;&gt;""),"; ","")&amp;IF(Catalog!J167="","",Catalog!J167)</f>
        <v/>
      </c>
      <c r="D194" s="16">
        <f>Catalog!Q167</f>
        <v>0</v>
      </c>
      <c r="E194" s="16">
        <f>Catalog!S167</f>
        <v>0</v>
      </c>
      <c r="F194" s="16">
        <f>Catalog!N167</f>
        <v>0</v>
      </c>
      <c r="G194" s="16" t="str">
        <f>Catalog!K167&amp;" / "&amp;Catalog!M167</f>
        <v xml:space="preserve"> / </v>
      </c>
      <c r="H194" s="16" t="str">
        <f t="shared" si="2"/>
        <v>Print</v>
      </c>
      <c r="I194" s="16" t="str">
        <f>IF(Catalog!T167&lt;&gt;"","ISBN:"&amp;Catalog!T167,IF(Catalog!U167&lt;&gt;"","ISSN:"&amp;Catalog!U167,"ACC:"&amp;Catalog!B167))</f>
        <v>ACC:</v>
      </c>
      <c r="J194" s="16">
        <f>Catalog!L167</f>
        <v>0</v>
      </c>
      <c r="K194" s="16">
        <f>IF(Catalog!AH167&lt;&gt;"",Catalog!AH167,Catalog!AF167)</f>
        <v>0</v>
      </c>
      <c r="L194" s="16">
        <f>Catalog!AE167</f>
        <v>0</v>
      </c>
      <c r="M194" s="16">
        <f>Catalog!W167</f>
        <v>0</v>
      </c>
      <c r="N194" s="16">
        <f>Catalog!R167</f>
        <v>0</v>
      </c>
      <c r="O194" s="16">
        <f>Catalog!AG167</f>
        <v>0</v>
      </c>
    </row>
    <row r="195" spans="1:15" ht="15.75" x14ac:dyDescent="0.25">
      <c r="A195" s="16">
        <f>Catalog!D168</f>
        <v>0</v>
      </c>
      <c r="B195" s="16">
        <f>Catalog!F168</f>
        <v>0</v>
      </c>
      <c r="C195" s="16" t="str">
        <f>IF(Catalog!I168="","",Catalog!I168)&amp;IF(AND(Catalog!I168&lt;&gt;"",Catalog!J168&lt;&gt;""),"; ","")&amp;IF(Catalog!J168="","",Catalog!J168)</f>
        <v/>
      </c>
      <c r="D195" s="16">
        <f>Catalog!Q168</f>
        <v>0</v>
      </c>
      <c r="E195" s="16">
        <f>Catalog!S168</f>
        <v>0</v>
      </c>
      <c r="F195" s="16">
        <f>Catalog!N168</f>
        <v>0</v>
      </c>
      <c r="G195" s="16" t="str">
        <f>Catalog!K168&amp;" / "&amp;Catalog!M168</f>
        <v xml:space="preserve"> / </v>
      </c>
      <c r="H195" s="16" t="str">
        <f t="shared" si="2"/>
        <v>Print</v>
      </c>
      <c r="I195" s="16" t="str">
        <f>IF(Catalog!T168&lt;&gt;"","ISBN:"&amp;Catalog!T168,IF(Catalog!U168&lt;&gt;"","ISSN:"&amp;Catalog!U168,"ACC:"&amp;Catalog!B168))</f>
        <v>ACC:</v>
      </c>
      <c r="J195" s="16">
        <f>Catalog!L168</f>
        <v>0</v>
      </c>
      <c r="K195" s="16">
        <f>IF(Catalog!AH168&lt;&gt;"",Catalog!AH168,Catalog!AF168)</f>
        <v>0</v>
      </c>
      <c r="L195" s="16">
        <f>Catalog!AE168</f>
        <v>0</v>
      </c>
      <c r="M195" s="16">
        <f>Catalog!W168</f>
        <v>0</v>
      </c>
      <c r="N195" s="16">
        <f>Catalog!R168</f>
        <v>0</v>
      </c>
      <c r="O195" s="16">
        <f>Catalog!AG168</f>
        <v>0</v>
      </c>
    </row>
    <row r="196" spans="1:15" ht="15.75" x14ac:dyDescent="0.25">
      <c r="A196" s="16">
        <f>Catalog!D169</f>
        <v>0</v>
      </c>
      <c r="B196" s="16">
        <f>Catalog!F169</f>
        <v>0</v>
      </c>
      <c r="C196" s="16" t="str">
        <f>IF(Catalog!I169="","",Catalog!I169)&amp;IF(AND(Catalog!I169&lt;&gt;"",Catalog!J169&lt;&gt;""),"; ","")&amp;IF(Catalog!J169="","",Catalog!J169)</f>
        <v/>
      </c>
      <c r="D196" s="16">
        <f>Catalog!Q169</f>
        <v>0</v>
      </c>
      <c r="E196" s="16">
        <f>Catalog!S169</f>
        <v>0</v>
      </c>
      <c r="F196" s="16">
        <f>Catalog!N169</f>
        <v>0</v>
      </c>
      <c r="G196" s="16" t="str">
        <f>Catalog!K169&amp;" / "&amp;Catalog!M169</f>
        <v xml:space="preserve"> / </v>
      </c>
      <c r="H196" s="16" t="str">
        <f t="shared" si="2"/>
        <v>Print</v>
      </c>
      <c r="I196" s="16" t="str">
        <f>IF(Catalog!T169&lt;&gt;"","ISBN:"&amp;Catalog!T169,IF(Catalog!U169&lt;&gt;"","ISSN:"&amp;Catalog!U169,"ACC:"&amp;Catalog!B169))</f>
        <v>ACC:</v>
      </c>
      <c r="J196" s="16">
        <f>Catalog!L169</f>
        <v>0</v>
      </c>
      <c r="K196" s="16">
        <f>IF(Catalog!AH169&lt;&gt;"",Catalog!AH169,Catalog!AF169)</f>
        <v>0</v>
      </c>
      <c r="L196" s="16">
        <f>Catalog!AE169</f>
        <v>0</v>
      </c>
      <c r="M196" s="16">
        <f>Catalog!W169</f>
        <v>0</v>
      </c>
      <c r="N196" s="16">
        <f>Catalog!R169</f>
        <v>0</v>
      </c>
      <c r="O196" s="16">
        <f>Catalog!AG169</f>
        <v>0</v>
      </c>
    </row>
    <row r="197" spans="1:15" ht="15.75" x14ac:dyDescent="0.25">
      <c r="A197" s="16">
        <f>Catalog!D170</f>
        <v>0</v>
      </c>
      <c r="B197" s="16">
        <f>Catalog!F170</f>
        <v>0</v>
      </c>
      <c r="C197" s="16" t="str">
        <f>IF(Catalog!I170="","",Catalog!I170)&amp;IF(AND(Catalog!I170&lt;&gt;"",Catalog!J170&lt;&gt;""),"; ","")&amp;IF(Catalog!J170="","",Catalog!J170)</f>
        <v/>
      </c>
      <c r="D197" s="16">
        <f>Catalog!Q170</f>
        <v>0</v>
      </c>
      <c r="E197" s="16">
        <f>Catalog!S170</f>
        <v>0</v>
      </c>
      <c r="F197" s="16">
        <f>Catalog!N170</f>
        <v>0</v>
      </c>
      <c r="G197" s="16" t="str">
        <f>Catalog!K170&amp;" / "&amp;Catalog!M170</f>
        <v xml:space="preserve"> / </v>
      </c>
      <c r="H197" s="16" t="str">
        <f t="shared" si="2"/>
        <v>Print</v>
      </c>
      <c r="I197" s="16" t="str">
        <f>IF(Catalog!T170&lt;&gt;"","ISBN:"&amp;Catalog!T170,IF(Catalog!U170&lt;&gt;"","ISSN:"&amp;Catalog!U170,"ACC:"&amp;Catalog!B170))</f>
        <v>ACC:</v>
      </c>
      <c r="J197" s="16">
        <f>Catalog!L170</f>
        <v>0</v>
      </c>
      <c r="K197" s="16">
        <f>IF(Catalog!AH170&lt;&gt;"",Catalog!AH170,Catalog!AF170)</f>
        <v>0</v>
      </c>
      <c r="L197" s="16">
        <f>Catalog!AE170</f>
        <v>0</v>
      </c>
      <c r="M197" s="16">
        <f>Catalog!W170</f>
        <v>0</v>
      </c>
      <c r="N197" s="16">
        <f>Catalog!R170</f>
        <v>0</v>
      </c>
      <c r="O197" s="16">
        <f>Catalog!AG170</f>
        <v>0</v>
      </c>
    </row>
    <row r="198" spans="1:15" ht="15.75" x14ac:dyDescent="0.25">
      <c r="A198" s="16">
        <f>Catalog!D171</f>
        <v>0</v>
      </c>
      <c r="B198" s="16">
        <f>Catalog!F171</f>
        <v>0</v>
      </c>
      <c r="C198" s="16" t="str">
        <f>IF(Catalog!I171="","",Catalog!I171)&amp;IF(AND(Catalog!I171&lt;&gt;"",Catalog!J171&lt;&gt;""),"; ","")&amp;IF(Catalog!J171="","",Catalog!J171)</f>
        <v/>
      </c>
      <c r="D198" s="16">
        <f>Catalog!Q171</f>
        <v>0</v>
      </c>
      <c r="E198" s="16">
        <f>Catalog!S171</f>
        <v>0</v>
      </c>
      <c r="F198" s="16">
        <f>Catalog!N171</f>
        <v>0</v>
      </c>
      <c r="G198" s="16" t="str">
        <f>Catalog!K171&amp;" / "&amp;Catalog!M171</f>
        <v xml:space="preserve"> / </v>
      </c>
      <c r="H198" s="16" t="str">
        <f t="shared" si="2"/>
        <v>Print</v>
      </c>
      <c r="I198" s="16" t="str">
        <f>IF(Catalog!T171&lt;&gt;"","ISBN:"&amp;Catalog!T171,IF(Catalog!U171&lt;&gt;"","ISSN:"&amp;Catalog!U171,"ACC:"&amp;Catalog!B171))</f>
        <v>ACC:</v>
      </c>
      <c r="J198" s="16">
        <f>Catalog!L171</f>
        <v>0</v>
      </c>
      <c r="K198" s="16">
        <f>IF(Catalog!AH171&lt;&gt;"",Catalog!AH171,Catalog!AF171)</f>
        <v>0</v>
      </c>
      <c r="L198" s="16">
        <f>Catalog!AE171</f>
        <v>0</v>
      </c>
      <c r="M198" s="16">
        <f>Catalog!W171</f>
        <v>0</v>
      </c>
      <c r="N198" s="16">
        <f>Catalog!R171</f>
        <v>0</v>
      </c>
      <c r="O198" s="16">
        <f>Catalog!AG171</f>
        <v>0</v>
      </c>
    </row>
    <row r="199" spans="1:15" ht="15.75" x14ac:dyDescent="0.25">
      <c r="A199" s="16">
        <f>Catalog!D172</f>
        <v>0</v>
      </c>
      <c r="B199" s="16">
        <f>Catalog!F172</f>
        <v>0</v>
      </c>
      <c r="C199" s="16" t="str">
        <f>IF(Catalog!I172="","",Catalog!I172)&amp;IF(AND(Catalog!I172&lt;&gt;"",Catalog!J172&lt;&gt;""),"; ","")&amp;IF(Catalog!J172="","",Catalog!J172)</f>
        <v/>
      </c>
      <c r="D199" s="16">
        <f>Catalog!Q172</f>
        <v>0</v>
      </c>
      <c r="E199" s="16">
        <f>Catalog!S172</f>
        <v>0</v>
      </c>
      <c r="F199" s="16">
        <f>Catalog!N172</f>
        <v>0</v>
      </c>
      <c r="G199" s="16" t="str">
        <f>Catalog!K172&amp;" / "&amp;Catalog!M172</f>
        <v xml:space="preserve"> / </v>
      </c>
      <c r="H199" s="16" t="str">
        <f t="shared" si="2"/>
        <v>Print</v>
      </c>
      <c r="I199" s="16" t="str">
        <f>IF(Catalog!T172&lt;&gt;"","ISBN:"&amp;Catalog!T172,IF(Catalog!U172&lt;&gt;"","ISSN:"&amp;Catalog!U172,"ACC:"&amp;Catalog!B172))</f>
        <v>ACC:</v>
      </c>
      <c r="J199" s="16">
        <f>Catalog!L172</f>
        <v>0</v>
      </c>
      <c r="K199" s="16">
        <f>IF(Catalog!AH172&lt;&gt;"",Catalog!AH172,Catalog!AF172)</f>
        <v>0</v>
      </c>
      <c r="L199" s="16">
        <f>Catalog!AE172</f>
        <v>0</v>
      </c>
      <c r="M199" s="16">
        <f>Catalog!W172</f>
        <v>0</v>
      </c>
      <c r="N199" s="16">
        <f>Catalog!R172</f>
        <v>0</v>
      </c>
      <c r="O199" s="16">
        <f>Catalog!AG172</f>
        <v>0</v>
      </c>
    </row>
    <row r="200" spans="1:15" ht="15.75" x14ac:dyDescent="0.25">
      <c r="A200" s="16">
        <f>Catalog!D173</f>
        <v>0</v>
      </c>
      <c r="B200" s="16">
        <f>Catalog!F173</f>
        <v>0</v>
      </c>
      <c r="C200" s="16" t="str">
        <f>IF(Catalog!I173="","",Catalog!I173)&amp;IF(AND(Catalog!I173&lt;&gt;"",Catalog!J173&lt;&gt;""),"; ","")&amp;IF(Catalog!J173="","",Catalog!J173)</f>
        <v/>
      </c>
      <c r="D200" s="16">
        <f>Catalog!Q173</f>
        <v>0</v>
      </c>
      <c r="E200" s="16">
        <f>Catalog!S173</f>
        <v>0</v>
      </c>
      <c r="F200" s="16">
        <f>Catalog!N173</f>
        <v>0</v>
      </c>
      <c r="G200" s="16" t="str">
        <f>Catalog!K173&amp;" / "&amp;Catalog!M173</f>
        <v xml:space="preserve"> / </v>
      </c>
      <c r="H200" s="16" t="str">
        <f t="shared" si="2"/>
        <v>Print</v>
      </c>
      <c r="I200" s="16" t="str">
        <f>IF(Catalog!T173&lt;&gt;"","ISBN:"&amp;Catalog!T173,IF(Catalog!U173&lt;&gt;"","ISSN:"&amp;Catalog!U173,"ACC:"&amp;Catalog!B173))</f>
        <v>ACC:</v>
      </c>
      <c r="J200" s="16">
        <f>Catalog!L173</f>
        <v>0</v>
      </c>
      <c r="K200" s="16">
        <f>IF(Catalog!AH173&lt;&gt;"",Catalog!AH173,Catalog!AF173)</f>
        <v>0</v>
      </c>
      <c r="L200" s="16">
        <f>Catalog!AE173</f>
        <v>0</v>
      </c>
      <c r="M200" s="16">
        <f>Catalog!W173</f>
        <v>0</v>
      </c>
      <c r="N200" s="16">
        <f>Catalog!R173</f>
        <v>0</v>
      </c>
      <c r="O200" s="16">
        <f>Catalog!AG173</f>
        <v>0</v>
      </c>
    </row>
    <row r="201" spans="1:15" ht="15.75" x14ac:dyDescent="0.25">
      <c r="A201" s="16">
        <f>Catalog!D174</f>
        <v>0</v>
      </c>
      <c r="B201" s="16">
        <f>Catalog!F174</f>
        <v>0</v>
      </c>
      <c r="C201" s="16" t="str">
        <f>IF(Catalog!I174="","",Catalog!I174)&amp;IF(AND(Catalog!I174&lt;&gt;"",Catalog!J174&lt;&gt;""),"; ","")&amp;IF(Catalog!J174="","",Catalog!J174)</f>
        <v/>
      </c>
      <c r="D201" s="16">
        <f>Catalog!Q174</f>
        <v>0</v>
      </c>
      <c r="E201" s="16">
        <f>Catalog!S174</f>
        <v>0</v>
      </c>
      <c r="F201" s="16">
        <f>Catalog!N174</f>
        <v>0</v>
      </c>
      <c r="G201" s="16" t="str">
        <f>Catalog!K174&amp;" / "&amp;Catalog!M174</f>
        <v xml:space="preserve"> / </v>
      </c>
      <c r="H201" s="16" t="str">
        <f t="shared" si="2"/>
        <v>Print</v>
      </c>
      <c r="I201" s="16" t="str">
        <f>IF(Catalog!T174&lt;&gt;"","ISBN:"&amp;Catalog!T174,IF(Catalog!U174&lt;&gt;"","ISSN:"&amp;Catalog!U174,"ACC:"&amp;Catalog!B174))</f>
        <v>ACC:</v>
      </c>
      <c r="J201" s="16">
        <f>Catalog!L174</f>
        <v>0</v>
      </c>
      <c r="K201" s="16">
        <f>IF(Catalog!AH174&lt;&gt;"",Catalog!AH174,Catalog!AF174)</f>
        <v>0</v>
      </c>
      <c r="L201" s="16">
        <f>Catalog!AE174</f>
        <v>0</v>
      </c>
      <c r="M201" s="16">
        <f>Catalog!W174</f>
        <v>0</v>
      </c>
      <c r="N201" s="16">
        <f>Catalog!R174</f>
        <v>0</v>
      </c>
      <c r="O201" s="16">
        <f>Catalog!AG174</f>
        <v>0</v>
      </c>
    </row>
    <row r="202" spans="1:15" ht="15.75" x14ac:dyDescent="0.25">
      <c r="A202" s="16">
        <f>Catalog!D175</f>
        <v>0</v>
      </c>
      <c r="B202" s="16">
        <f>Catalog!F175</f>
        <v>0</v>
      </c>
      <c r="C202" s="16" t="str">
        <f>IF(Catalog!I175="","",Catalog!I175)&amp;IF(AND(Catalog!I175&lt;&gt;"",Catalog!J175&lt;&gt;""),"; ","")&amp;IF(Catalog!J175="","",Catalog!J175)</f>
        <v/>
      </c>
      <c r="D202" s="16">
        <f>Catalog!Q175</f>
        <v>0</v>
      </c>
      <c r="E202" s="16">
        <f>Catalog!S175</f>
        <v>0</v>
      </c>
      <c r="F202" s="16">
        <f>Catalog!N175</f>
        <v>0</v>
      </c>
      <c r="G202" s="16" t="str">
        <f>Catalog!K175&amp;" / "&amp;Catalog!M175</f>
        <v xml:space="preserve"> / </v>
      </c>
      <c r="H202" s="16" t="str">
        <f t="shared" si="2"/>
        <v>Print</v>
      </c>
      <c r="I202" s="16" t="str">
        <f>IF(Catalog!T175&lt;&gt;"","ISBN:"&amp;Catalog!T175,IF(Catalog!U175&lt;&gt;"","ISSN:"&amp;Catalog!U175,"ACC:"&amp;Catalog!B175))</f>
        <v>ACC:</v>
      </c>
      <c r="J202" s="16">
        <f>Catalog!L175</f>
        <v>0</v>
      </c>
      <c r="K202" s="16">
        <f>IF(Catalog!AH175&lt;&gt;"",Catalog!AH175,Catalog!AF175)</f>
        <v>0</v>
      </c>
      <c r="L202" s="16">
        <f>Catalog!AE175</f>
        <v>0</v>
      </c>
      <c r="M202" s="16">
        <f>Catalog!W175</f>
        <v>0</v>
      </c>
      <c r="N202" s="16">
        <f>Catalog!R175</f>
        <v>0</v>
      </c>
      <c r="O202" s="16">
        <f>Catalog!AG175</f>
        <v>0</v>
      </c>
    </row>
    <row r="203" spans="1:15" ht="15.75" x14ac:dyDescent="0.25">
      <c r="A203" s="16">
        <f>Catalog!D176</f>
        <v>0</v>
      </c>
      <c r="B203" s="16">
        <f>Catalog!F176</f>
        <v>0</v>
      </c>
      <c r="C203" s="16" t="str">
        <f>IF(Catalog!I176="","",Catalog!I176)&amp;IF(AND(Catalog!I176&lt;&gt;"",Catalog!J176&lt;&gt;""),"; ","")&amp;IF(Catalog!J176="","",Catalog!J176)</f>
        <v/>
      </c>
      <c r="D203" s="16">
        <f>Catalog!Q176</f>
        <v>0</v>
      </c>
      <c r="E203" s="16">
        <f>Catalog!S176</f>
        <v>0</v>
      </c>
      <c r="F203" s="16">
        <f>Catalog!N176</f>
        <v>0</v>
      </c>
      <c r="G203" s="16" t="str">
        <f>Catalog!K176&amp;" / "&amp;Catalog!M176</f>
        <v xml:space="preserve"> / </v>
      </c>
      <c r="H203" s="16" t="str">
        <f t="shared" si="2"/>
        <v>Print</v>
      </c>
      <c r="I203" s="16" t="str">
        <f>IF(Catalog!T176&lt;&gt;"","ISBN:"&amp;Catalog!T176,IF(Catalog!U176&lt;&gt;"","ISSN:"&amp;Catalog!U176,"ACC:"&amp;Catalog!B176))</f>
        <v>ACC:</v>
      </c>
      <c r="J203" s="16">
        <f>Catalog!L176</f>
        <v>0</v>
      </c>
      <c r="K203" s="16">
        <f>IF(Catalog!AH176&lt;&gt;"",Catalog!AH176,Catalog!AF176)</f>
        <v>0</v>
      </c>
      <c r="L203" s="16">
        <f>Catalog!AE176</f>
        <v>0</v>
      </c>
      <c r="M203" s="16">
        <f>Catalog!W176</f>
        <v>0</v>
      </c>
      <c r="N203" s="16">
        <f>Catalog!R176</f>
        <v>0</v>
      </c>
      <c r="O203" s="16">
        <f>Catalog!AG176</f>
        <v>0</v>
      </c>
    </row>
    <row r="204" spans="1:15" ht="15.75" x14ac:dyDescent="0.25">
      <c r="A204" s="16">
        <f>Catalog!D177</f>
        <v>0</v>
      </c>
      <c r="B204" s="16">
        <f>Catalog!F177</f>
        <v>0</v>
      </c>
      <c r="C204" s="16" t="str">
        <f>IF(Catalog!I177="","",Catalog!I177)&amp;IF(AND(Catalog!I177&lt;&gt;"",Catalog!J177&lt;&gt;""),"; ","")&amp;IF(Catalog!J177="","",Catalog!J177)</f>
        <v/>
      </c>
      <c r="D204" s="16">
        <f>Catalog!Q177</f>
        <v>0</v>
      </c>
      <c r="E204" s="16">
        <f>Catalog!S177</f>
        <v>0</v>
      </c>
      <c r="F204" s="16">
        <f>Catalog!N177</f>
        <v>0</v>
      </c>
      <c r="G204" s="16" t="str">
        <f>Catalog!K177&amp;" / "&amp;Catalog!M177</f>
        <v xml:space="preserve"> / </v>
      </c>
      <c r="H204" s="16" t="str">
        <f t="shared" si="2"/>
        <v>Print</v>
      </c>
      <c r="I204" s="16" t="str">
        <f>IF(Catalog!T177&lt;&gt;"","ISBN:"&amp;Catalog!T177,IF(Catalog!U177&lt;&gt;"","ISSN:"&amp;Catalog!U177,"ACC:"&amp;Catalog!B177))</f>
        <v>ACC:</v>
      </c>
      <c r="J204" s="16">
        <f>Catalog!L177</f>
        <v>0</v>
      </c>
      <c r="K204" s="16">
        <f>IF(Catalog!AH177&lt;&gt;"",Catalog!AH177,Catalog!AF177)</f>
        <v>0</v>
      </c>
      <c r="L204" s="16">
        <f>Catalog!AE177</f>
        <v>0</v>
      </c>
      <c r="M204" s="16">
        <f>Catalog!W177</f>
        <v>0</v>
      </c>
      <c r="N204" s="16">
        <f>Catalog!R177</f>
        <v>0</v>
      </c>
      <c r="O204" s="16">
        <f>Catalog!AG177</f>
        <v>0</v>
      </c>
    </row>
    <row r="205" spans="1:15" ht="15.75" x14ac:dyDescent="0.25">
      <c r="A205" s="16">
        <f>Catalog!D178</f>
        <v>0</v>
      </c>
      <c r="B205" s="16">
        <f>Catalog!F178</f>
        <v>0</v>
      </c>
      <c r="C205" s="16" t="str">
        <f>IF(Catalog!I178="","",Catalog!I178)&amp;IF(AND(Catalog!I178&lt;&gt;"",Catalog!J178&lt;&gt;""),"; ","")&amp;IF(Catalog!J178="","",Catalog!J178)</f>
        <v/>
      </c>
      <c r="D205" s="16">
        <f>Catalog!Q178</f>
        <v>0</v>
      </c>
      <c r="E205" s="16">
        <f>Catalog!S178</f>
        <v>0</v>
      </c>
      <c r="F205" s="16">
        <f>Catalog!N178</f>
        <v>0</v>
      </c>
      <c r="G205" s="16" t="str">
        <f>Catalog!K178&amp;" / "&amp;Catalog!M178</f>
        <v xml:space="preserve"> / </v>
      </c>
      <c r="H205" s="16" t="str">
        <f t="shared" si="2"/>
        <v>Print</v>
      </c>
      <c r="I205" s="16" t="str">
        <f>IF(Catalog!T178&lt;&gt;"","ISBN:"&amp;Catalog!T178,IF(Catalog!U178&lt;&gt;"","ISSN:"&amp;Catalog!U178,"ACC:"&amp;Catalog!B178))</f>
        <v>ACC:</v>
      </c>
      <c r="J205" s="16">
        <f>Catalog!L178</f>
        <v>0</v>
      </c>
      <c r="K205" s="16">
        <f>IF(Catalog!AH178&lt;&gt;"",Catalog!AH178,Catalog!AF178)</f>
        <v>0</v>
      </c>
      <c r="L205" s="16">
        <f>Catalog!AE178</f>
        <v>0</v>
      </c>
      <c r="M205" s="16">
        <f>Catalog!W178</f>
        <v>0</v>
      </c>
      <c r="N205" s="16">
        <f>Catalog!R178</f>
        <v>0</v>
      </c>
      <c r="O205" s="16">
        <f>Catalog!AG178</f>
        <v>0</v>
      </c>
    </row>
    <row r="206" spans="1:15" ht="15.75" x14ac:dyDescent="0.25">
      <c r="A206" s="16">
        <f>Catalog!D179</f>
        <v>0</v>
      </c>
      <c r="B206" s="16">
        <f>Catalog!F179</f>
        <v>0</v>
      </c>
      <c r="C206" s="16" t="str">
        <f>IF(Catalog!I179="","",Catalog!I179)&amp;IF(AND(Catalog!I179&lt;&gt;"",Catalog!J179&lt;&gt;""),"; ","")&amp;IF(Catalog!J179="","",Catalog!J179)</f>
        <v/>
      </c>
      <c r="D206" s="16">
        <f>Catalog!Q179</f>
        <v>0</v>
      </c>
      <c r="E206" s="16">
        <f>Catalog!S179</f>
        <v>0</v>
      </c>
      <c r="F206" s="16">
        <f>Catalog!N179</f>
        <v>0</v>
      </c>
      <c r="G206" s="16" t="str">
        <f>Catalog!K179&amp;" / "&amp;Catalog!M179</f>
        <v xml:space="preserve"> / </v>
      </c>
      <c r="H206" s="16" t="str">
        <f t="shared" si="2"/>
        <v>Print</v>
      </c>
      <c r="I206" s="16" t="str">
        <f>IF(Catalog!T179&lt;&gt;"","ISBN:"&amp;Catalog!T179,IF(Catalog!U179&lt;&gt;"","ISSN:"&amp;Catalog!U179,"ACC:"&amp;Catalog!B179))</f>
        <v>ACC:</v>
      </c>
      <c r="J206" s="16">
        <f>Catalog!L179</f>
        <v>0</v>
      </c>
      <c r="K206" s="16">
        <f>IF(Catalog!AH179&lt;&gt;"",Catalog!AH179,Catalog!AF179)</f>
        <v>0</v>
      </c>
      <c r="L206" s="16">
        <f>Catalog!AE179</f>
        <v>0</v>
      </c>
      <c r="M206" s="16">
        <f>Catalog!W179</f>
        <v>0</v>
      </c>
      <c r="N206" s="16">
        <f>Catalog!R179</f>
        <v>0</v>
      </c>
      <c r="O206" s="16">
        <f>Catalog!AG179</f>
        <v>0</v>
      </c>
    </row>
    <row r="207" spans="1:15" ht="15.75" x14ac:dyDescent="0.25">
      <c r="A207" s="16">
        <f>Catalog!D180</f>
        <v>0</v>
      </c>
      <c r="B207" s="16">
        <f>Catalog!F180</f>
        <v>0</v>
      </c>
      <c r="C207" s="16" t="str">
        <f>IF(Catalog!I180="","",Catalog!I180)&amp;IF(AND(Catalog!I180&lt;&gt;"",Catalog!J180&lt;&gt;""),"; ","")&amp;IF(Catalog!J180="","",Catalog!J180)</f>
        <v/>
      </c>
      <c r="D207" s="16">
        <f>Catalog!Q180</f>
        <v>0</v>
      </c>
      <c r="E207" s="16">
        <f>Catalog!S180</f>
        <v>0</v>
      </c>
      <c r="F207" s="16">
        <f>Catalog!N180</f>
        <v>0</v>
      </c>
      <c r="G207" s="16" t="str">
        <f>Catalog!K180&amp;" / "&amp;Catalog!M180</f>
        <v xml:space="preserve"> / </v>
      </c>
      <c r="H207" s="16" t="str">
        <f t="shared" si="2"/>
        <v>Print</v>
      </c>
      <c r="I207" s="16" t="str">
        <f>IF(Catalog!T180&lt;&gt;"","ISBN:"&amp;Catalog!T180,IF(Catalog!U180&lt;&gt;"","ISSN:"&amp;Catalog!U180,"ACC:"&amp;Catalog!B180))</f>
        <v>ACC:</v>
      </c>
      <c r="J207" s="16">
        <f>Catalog!L180</f>
        <v>0</v>
      </c>
      <c r="K207" s="16">
        <f>IF(Catalog!AH180&lt;&gt;"",Catalog!AH180,Catalog!AF180)</f>
        <v>0</v>
      </c>
      <c r="L207" s="16">
        <f>Catalog!AE180</f>
        <v>0</v>
      </c>
      <c r="M207" s="16">
        <f>Catalog!W180</f>
        <v>0</v>
      </c>
      <c r="N207" s="16">
        <f>Catalog!R180</f>
        <v>0</v>
      </c>
      <c r="O207" s="16">
        <f>Catalog!AG180</f>
        <v>0</v>
      </c>
    </row>
    <row r="208" spans="1:15" ht="15.75" x14ac:dyDescent="0.25">
      <c r="A208" s="16">
        <f>Catalog!D181</f>
        <v>0</v>
      </c>
      <c r="B208" s="16">
        <f>Catalog!F181</f>
        <v>0</v>
      </c>
      <c r="C208" s="16" t="str">
        <f>IF(Catalog!I181="","",Catalog!I181)&amp;IF(AND(Catalog!I181&lt;&gt;"",Catalog!J181&lt;&gt;""),"; ","")&amp;IF(Catalog!J181="","",Catalog!J181)</f>
        <v/>
      </c>
      <c r="D208" s="16">
        <f>Catalog!Q181</f>
        <v>0</v>
      </c>
      <c r="E208" s="16">
        <f>Catalog!S181</f>
        <v>0</v>
      </c>
      <c r="F208" s="16">
        <f>Catalog!N181</f>
        <v>0</v>
      </c>
      <c r="G208" s="16" t="str">
        <f>Catalog!K181&amp;" / "&amp;Catalog!M181</f>
        <v xml:space="preserve"> / </v>
      </c>
      <c r="H208" s="16" t="str">
        <f t="shared" si="2"/>
        <v>Print</v>
      </c>
      <c r="I208" s="16" t="str">
        <f>IF(Catalog!T181&lt;&gt;"","ISBN:"&amp;Catalog!T181,IF(Catalog!U181&lt;&gt;"","ISSN:"&amp;Catalog!U181,"ACC:"&amp;Catalog!B181))</f>
        <v>ACC:</v>
      </c>
      <c r="J208" s="16">
        <f>Catalog!L181</f>
        <v>0</v>
      </c>
      <c r="K208" s="16">
        <f>IF(Catalog!AH181&lt;&gt;"",Catalog!AH181,Catalog!AF181)</f>
        <v>0</v>
      </c>
      <c r="L208" s="16">
        <f>Catalog!AE181</f>
        <v>0</v>
      </c>
      <c r="M208" s="16">
        <f>Catalog!W181</f>
        <v>0</v>
      </c>
      <c r="N208" s="16">
        <f>Catalog!R181</f>
        <v>0</v>
      </c>
      <c r="O208" s="16">
        <f>Catalog!AG181</f>
        <v>0</v>
      </c>
    </row>
    <row r="209" spans="1:15" ht="15.75" x14ac:dyDescent="0.25">
      <c r="A209" s="16">
        <f>Catalog!D182</f>
        <v>0</v>
      </c>
      <c r="B209" s="16">
        <f>Catalog!F182</f>
        <v>0</v>
      </c>
      <c r="C209" s="16" t="str">
        <f>IF(Catalog!I182="","",Catalog!I182)&amp;IF(AND(Catalog!I182&lt;&gt;"",Catalog!J182&lt;&gt;""),"; ","")&amp;IF(Catalog!J182="","",Catalog!J182)</f>
        <v/>
      </c>
      <c r="D209" s="16">
        <f>Catalog!Q182</f>
        <v>0</v>
      </c>
      <c r="E209" s="16">
        <f>Catalog!S182</f>
        <v>0</v>
      </c>
      <c r="F209" s="16">
        <f>Catalog!N182</f>
        <v>0</v>
      </c>
      <c r="G209" s="16" t="str">
        <f>Catalog!K182&amp;" / "&amp;Catalog!M182</f>
        <v xml:space="preserve"> / </v>
      </c>
      <c r="H209" s="16" t="str">
        <f t="shared" si="2"/>
        <v>Print</v>
      </c>
      <c r="I209" s="16" t="str">
        <f>IF(Catalog!T182&lt;&gt;"","ISBN:"&amp;Catalog!T182,IF(Catalog!U182&lt;&gt;"","ISSN:"&amp;Catalog!U182,"ACC:"&amp;Catalog!B182))</f>
        <v>ACC:</v>
      </c>
      <c r="J209" s="16">
        <f>Catalog!L182</f>
        <v>0</v>
      </c>
      <c r="K209" s="16">
        <f>IF(Catalog!AH182&lt;&gt;"",Catalog!AH182,Catalog!AF182)</f>
        <v>0</v>
      </c>
      <c r="L209" s="16">
        <f>Catalog!AE182</f>
        <v>0</v>
      </c>
      <c r="M209" s="16">
        <f>Catalog!W182</f>
        <v>0</v>
      </c>
      <c r="N209" s="16">
        <f>Catalog!R182</f>
        <v>0</v>
      </c>
      <c r="O209" s="16">
        <f>Catalog!AG182</f>
        <v>0</v>
      </c>
    </row>
    <row r="210" spans="1:15" ht="15.75" x14ac:dyDescent="0.25">
      <c r="A210" s="16">
        <f>Catalog!D183</f>
        <v>0</v>
      </c>
      <c r="B210" s="16">
        <f>Catalog!F183</f>
        <v>0</v>
      </c>
      <c r="C210" s="16" t="str">
        <f>IF(Catalog!I183="","",Catalog!I183)&amp;IF(AND(Catalog!I183&lt;&gt;"",Catalog!J183&lt;&gt;""),"; ","")&amp;IF(Catalog!J183="","",Catalog!J183)</f>
        <v/>
      </c>
      <c r="D210" s="16">
        <f>Catalog!Q183</f>
        <v>0</v>
      </c>
      <c r="E210" s="16">
        <f>Catalog!S183</f>
        <v>0</v>
      </c>
      <c r="F210" s="16">
        <f>Catalog!N183</f>
        <v>0</v>
      </c>
      <c r="G210" s="16" t="str">
        <f>Catalog!K183&amp;" / "&amp;Catalog!M183</f>
        <v xml:space="preserve"> / </v>
      </c>
      <c r="H210" s="16" t="str">
        <f t="shared" si="2"/>
        <v>Print</v>
      </c>
      <c r="I210" s="16" t="str">
        <f>IF(Catalog!T183&lt;&gt;"","ISBN:"&amp;Catalog!T183,IF(Catalog!U183&lt;&gt;"","ISSN:"&amp;Catalog!U183,"ACC:"&amp;Catalog!B183))</f>
        <v>ACC:</v>
      </c>
      <c r="J210" s="16">
        <f>Catalog!L183</f>
        <v>0</v>
      </c>
      <c r="K210" s="16">
        <f>IF(Catalog!AH183&lt;&gt;"",Catalog!AH183,Catalog!AF183)</f>
        <v>0</v>
      </c>
      <c r="L210" s="16">
        <f>Catalog!AE183</f>
        <v>0</v>
      </c>
      <c r="M210" s="16">
        <f>Catalog!W183</f>
        <v>0</v>
      </c>
      <c r="N210" s="16">
        <f>Catalog!R183</f>
        <v>0</v>
      </c>
      <c r="O210" s="16">
        <f>Catalog!AG183</f>
        <v>0</v>
      </c>
    </row>
    <row r="211" spans="1:15" ht="15.75" x14ac:dyDescent="0.25">
      <c r="A211" s="16">
        <f>Catalog!D184</f>
        <v>0</v>
      </c>
      <c r="B211" s="16">
        <f>Catalog!F184</f>
        <v>0</v>
      </c>
      <c r="C211" s="16" t="str">
        <f>IF(Catalog!I184="","",Catalog!I184)&amp;IF(AND(Catalog!I184&lt;&gt;"",Catalog!J184&lt;&gt;""),"; ","")&amp;IF(Catalog!J184="","",Catalog!J184)</f>
        <v/>
      </c>
      <c r="D211" s="16">
        <f>Catalog!Q184</f>
        <v>0</v>
      </c>
      <c r="E211" s="16">
        <f>Catalog!S184</f>
        <v>0</v>
      </c>
      <c r="F211" s="16">
        <f>Catalog!N184</f>
        <v>0</v>
      </c>
      <c r="G211" s="16" t="str">
        <f>Catalog!K184&amp;" / "&amp;Catalog!M184</f>
        <v xml:space="preserve"> / </v>
      </c>
      <c r="H211" s="16" t="str">
        <f t="shared" si="2"/>
        <v>Print</v>
      </c>
      <c r="I211" s="16" t="str">
        <f>IF(Catalog!T184&lt;&gt;"","ISBN:"&amp;Catalog!T184,IF(Catalog!U184&lt;&gt;"","ISSN:"&amp;Catalog!U184,"ACC:"&amp;Catalog!B184))</f>
        <v>ACC:</v>
      </c>
      <c r="J211" s="16">
        <f>Catalog!L184</f>
        <v>0</v>
      </c>
      <c r="K211" s="16">
        <f>IF(Catalog!AH184&lt;&gt;"",Catalog!AH184,Catalog!AF184)</f>
        <v>0</v>
      </c>
      <c r="L211" s="16">
        <f>Catalog!AE184</f>
        <v>0</v>
      </c>
      <c r="M211" s="16">
        <f>Catalog!W184</f>
        <v>0</v>
      </c>
      <c r="N211" s="16">
        <f>Catalog!R184</f>
        <v>0</v>
      </c>
      <c r="O211" s="16">
        <f>Catalog!AG184</f>
        <v>0</v>
      </c>
    </row>
    <row r="212" spans="1:15" ht="15.75" x14ac:dyDescent="0.25">
      <c r="A212" s="16">
        <f>Catalog!D185</f>
        <v>0</v>
      </c>
      <c r="B212" s="16">
        <f>Catalog!F185</f>
        <v>0</v>
      </c>
      <c r="C212" s="16" t="str">
        <f>IF(Catalog!I185="","",Catalog!I185)&amp;IF(AND(Catalog!I185&lt;&gt;"",Catalog!J185&lt;&gt;""),"; ","")&amp;IF(Catalog!J185="","",Catalog!J185)</f>
        <v/>
      </c>
      <c r="D212" s="16">
        <f>Catalog!Q185</f>
        <v>0</v>
      </c>
      <c r="E212" s="16">
        <f>Catalog!S185</f>
        <v>0</v>
      </c>
      <c r="F212" s="16">
        <f>Catalog!N185</f>
        <v>0</v>
      </c>
      <c r="G212" s="16" t="str">
        <f>Catalog!K185&amp;" / "&amp;Catalog!M185</f>
        <v xml:space="preserve"> / </v>
      </c>
      <c r="H212" s="16" t="str">
        <f t="shared" si="2"/>
        <v>Print</v>
      </c>
      <c r="I212" s="16" t="str">
        <f>IF(Catalog!T185&lt;&gt;"","ISBN:"&amp;Catalog!T185,IF(Catalog!U185&lt;&gt;"","ISSN:"&amp;Catalog!U185,"ACC:"&amp;Catalog!B185))</f>
        <v>ACC:</v>
      </c>
      <c r="J212" s="16">
        <f>Catalog!L185</f>
        <v>0</v>
      </c>
      <c r="K212" s="16">
        <f>IF(Catalog!AH185&lt;&gt;"",Catalog!AH185,Catalog!AF185)</f>
        <v>0</v>
      </c>
      <c r="L212" s="16">
        <f>Catalog!AE185</f>
        <v>0</v>
      </c>
      <c r="M212" s="16">
        <f>Catalog!W185</f>
        <v>0</v>
      </c>
      <c r="N212" s="16">
        <f>Catalog!R185</f>
        <v>0</v>
      </c>
      <c r="O212" s="16">
        <f>Catalog!AG185</f>
        <v>0</v>
      </c>
    </row>
    <row r="213" spans="1:15" ht="15.75" x14ac:dyDescent="0.25">
      <c r="A213" s="16">
        <f>Catalog!D186</f>
        <v>0</v>
      </c>
      <c r="B213" s="16">
        <f>Catalog!F186</f>
        <v>0</v>
      </c>
      <c r="C213" s="16" t="str">
        <f>IF(Catalog!I186="","",Catalog!I186)&amp;IF(AND(Catalog!I186&lt;&gt;"",Catalog!J186&lt;&gt;""),"; ","")&amp;IF(Catalog!J186="","",Catalog!J186)</f>
        <v/>
      </c>
      <c r="D213" s="16">
        <f>Catalog!Q186</f>
        <v>0</v>
      </c>
      <c r="E213" s="16">
        <f>Catalog!S186</f>
        <v>0</v>
      </c>
      <c r="F213" s="16">
        <f>Catalog!N186</f>
        <v>0</v>
      </c>
      <c r="G213" s="16" t="str">
        <f>Catalog!K186&amp;" / "&amp;Catalog!M186</f>
        <v xml:space="preserve"> / </v>
      </c>
      <c r="H213" s="16" t="str">
        <f t="shared" si="2"/>
        <v>Print</v>
      </c>
      <c r="I213" s="16" t="str">
        <f>IF(Catalog!T186&lt;&gt;"","ISBN:"&amp;Catalog!T186,IF(Catalog!U186&lt;&gt;"","ISSN:"&amp;Catalog!U186,"ACC:"&amp;Catalog!B186))</f>
        <v>ACC:</v>
      </c>
      <c r="J213" s="16">
        <f>Catalog!L186</f>
        <v>0</v>
      </c>
      <c r="K213" s="16">
        <f>IF(Catalog!AH186&lt;&gt;"",Catalog!AH186,Catalog!AF186)</f>
        <v>0</v>
      </c>
      <c r="L213" s="16">
        <f>Catalog!AE186</f>
        <v>0</v>
      </c>
      <c r="M213" s="16">
        <f>Catalog!W186</f>
        <v>0</v>
      </c>
      <c r="N213" s="16">
        <f>Catalog!R186</f>
        <v>0</v>
      </c>
      <c r="O213" s="16">
        <f>Catalog!AG186</f>
        <v>0</v>
      </c>
    </row>
    <row r="214" spans="1:15" ht="15.75" x14ac:dyDescent="0.25">
      <c r="A214" s="16">
        <f>Catalog!D187</f>
        <v>0</v>
      </c>
      <c r="B214" s="16">
        <f>Catalog!F187</f>
        <v>0</v>
      </c>
      <c r="C214" s="16" t="str">
        <f>IF(Catalog!I187="","",Catalog!I187)&amp;IF(AND(Catalog!I187&lt;&gt;"",Catalog!J187&lt;&gt;""),"; ","")&amp;IF(Catalog!J187="","",Catalog!J187)</f>
        <v/>
      </c>
      <c r="D214" s="16">
        <f>Catalog!Q187</f>
        <v>0</v>
      </c>
      <c r="E214" s="16">
        <f>Catalog!S187</f>
        <v>0</v>
      </c>
      <c r="F214" s="16">
        <f>Catalog!N187</f>
        <v>0</v>
      </c>
      <c r="G214" s="16" t="str">
        <f>Catalog!K187&amp;" / "&amp;Catalog!M187</f>
        <v xml:space="preserve"> / </v>
      </c>
      <c r="H214" s="16" t="str">
        <f t="shared" si="2"/>
        <v>Print</v>
      </c>
      <c r="I214" s="16" t="str">
        <f>IF(Catalog!T187&lt;&gt;"","ISBN:"&amp;Catalog!T187,IF(Catalog!U187&lt;&gt;"","ISSN:"&amp;Catalog!U187,"ACC:"&amp;Catalog!B187))</f>
        <v>ACC:</v>
      </c>
      <c r="J214" s="16">
        <f>Catalog!L187</f>
        <v>0</v>
      </c>
      <c r="K214" s="16">
        <f>IF(Catalog!AH187&lt;&gt;"",Catalog!AH187,Catalog!AF187)</f>
        <v>0</v>
      </c>
      <c r="L214" s="16">
        <f>Catalog!AE187</f>
        <v>0</v>
      </c>
      <c r="M214" s="16">
        <f>Catalog!W187</f>
        <v>0</v>
      </c>
      <c r="N214" s="16">
        <f>Catalog!R187</f>
        <v>0</v>
      </c>
      <c r="O214" s="16">
        <f>Catalog!AG187</f>
        <v>0</v>
      </c>
    </row>
    <row r="215" spans="1:15" ht="15.75" x14ac:dyDescent="0.25">
      <c r="A215" s="16">
        <f>Catalog!D188</f>
        <v>0</v>
      </c>
      <c r="B215" s="16">
        <f>Catalog!F188</f>
        <v>0</v>
      </c>
      <c r="C215" s="16" t="str">
        <f>IF(Catalog!I188="","",Catalog!I188)&amp;IF(AND(Catalog!I188&lt;&gt;"",Catalog!J188&lt;&gt;""),"; ","")&amp;IF(Catalog!J188="","",Catalog!J188)</f>
        <v/>
      </c>
      <c r="D215" s="16">
        <f>Catalog!Q188</f>
        <v>0</v>
      </c>
      <c r="E215" s="16">
        <f>Catalog!S188</f>
        <v>0</v>
      </c>
      <c r="F215" s="16">
        <f>Catalog!N188</f>
        <v>0</v>
      </c>
      <c r="G215" s="16" t="str">
        <f>Catalog!K188&amp;" / "&amp;Catalog!M188</f>
        <v xml:space="preserve"> / </v>
      </c>
      <c r="H215" s="16" t="str">
        <f t="shared" si="2"/>
        <v>Print</v>
      </c>
      <c r="I215" s="16" t="str">
        <f>IF(Catalog!T188&lt;&gt;"","ISBN:"&amp;Catalog!T188,IF(Catalog!U188&lt;&gt;"","ISSN:"&amp;Catalog!U188,"ACC:"&amp;Catalog!B188))</f>
        <v>ACC:</v>
      </c>
      <c r="J215" s="16">
        <f>Catalog!L188</f>
        <v>0</v>
      </c>
      <c r="K215" s="16">
        <f>IF(Catalog!AH188&lt;&gt;"",Catalog!AH188,Catalog!AF188)</f>
        <v>0</v>
      </c>
      <c r="L215" s="16">
        <f>Catalog!AE188</f>
        <v>0</v>
      </c>
      <c r="M215" s="16">
        <f>Catalog!W188</f>
        <v>0</v>
      </c>
      <c r="N215" s="16">
        <f>Catalog!R188</f>
        <v>0</v>
      </c>
      <c r="O215" s="16">
        <f>Catalog!AG188</f>
        <v>0</v>
      </c>
    </row>
    <row r="216" spans="1:15" ht="15.75" x14ac:dyDescent="0.25">
      <c r="A216" s="16">
        <f>Catalog!D189</f>
        <v>0</v>
      </c>
      <c r="B216" s="16">
        <f>Catalog!F189</f>
        <v>0</v>
      </c>
      <c r="C216" s="16" t="str">
        <f>IF(Catalog!I189="","",Catalog!I189)&amp;IF(AND(Catalog!I189&lt;&gt;"",Catalog!J189&lt;&gt;""),"; ","")&amp;IF(Catalog!J189="","",Catalog!J189)</f>
        <v/>
      </c>
      <c r="D216" s="16">
        <f>Catalog!Q189</f>
        <v>0</v>
      </c>
      <c r="E216" s="16">
        <f>Catalog!S189</f>
        <v>0</v>
      </c>
      <c r="F216" s="16">
        <f>Catalog!N189</f>
        <v>0</v>
      </c>
      <c r="G216" s="16" t="str">
        <f>Catalog!K189&amp;" / "&amp;Catalog!M189</f>
        <v xml:space="preserve"> / </v>
      </c>
      <c r="H216" s="16" t="str">
        <f t="shared" si="2"/>
        <v>Print</v>
      </c>
      <c r="I216" s="16" t="str">
        <f>IF(Catalog!T189&lt;&gt;"","ISBN:"&amp;Catalog!T189,IF(Catalog!U189&lt;&gt;"","ISSN:"&amp;Catalog!U189,"ACC:"&amp;Catalog!B189))</f>
        <v>ACC:</v>
      </c>
      <c r="J216" s="16">
        <f>Catalog!L189</f>
        <v>0</v>
      </c>
      <c r="K216" s="16">
        <f>IF(Catalog!AH189&lt;&gt;"",Catalog!AH189,Catalog!AF189)</f>
        <v>0</v>
      </c>
      <c r="L216" s="16">
        <f>Catalog!AE189</f>
        <v>0</v>
      </c>
      <c r="M216" s="16">
        <f>Catalog!W189</f>
        <v>0</v>
      </c>
      <c r="N216" s="16">
        <f>Catalog!R189</f>
        <v>0</v>
      </c>
      <c r="O216" s="16">
        <f>Catalog!AG189</f>
        <v>0</v>
      </c>
    </row>
    <row r="217" spans="1:15" ht="15.75" x14ac:dyDescent="0.25">
      <c r="A217" s="16">
        <f>Catalog!D190</f>
        <v>0</v>
      </c>
      <c r="B217" s="16">
        <f>Catalog!F190</f>
        <v>0</v>
      </c>
      <c r="C217" s="16" t="str">
        <f>IF(Catalog!I190="","",Catalog!I190)&amp;IF(AND(Catalog!I190&lt;&gt;"",Catalog!J190&lt;&gt;""),"; ","")&amp;IF(Catalog!J190="","",Catalog!J190)</f>
        <v/>
      </c>
      <c r="D217" s="16">
        <f>Catalog!Q190</f>
        <v>0</v>
      </c>
      <c r="E217" s="16">
        <f>Catalog!S190</f>
        <v>0</v>
      </c>
      <c r="F217" s="16">
        <f>Catalog!N190</f>
        <v>0</v>
      </c>
      <c r="G217" s="16" t="str">
        <f>Catalog!K190&amp;" / "&amp;Catalog!M190</f>
        <v xml:space="preserve"> / </v>
      </c>
      <c r="H217" s="16" t="str">
        <f t="shared" si="2"/>
        <v>Print</v>
      </c>
      <c r="I217" s="16" t="str">
        <f>IF(Catalog!T190&lt;&gt;"","ISBN:"&amp;Catalog!T190,IF(Catalog!U190&lt;&gt;"","ISSN:"&amp;Catalog!U190,"ACC:"&amp;Catalog!B190))</f>
        <v>ACC:</v>
      </c>
      <c r="J217" s="16">
        <f>Catalog!L190</f>
        <v>0</v>
      </c>
      <c r="K217" s="16">
        <f>IF(Catalog!AH190&lt;&gt;"",Catalog!AH190,Catalog!AF190)</f>
        <v>0</v>
      </c>
      <c r="L217" s="16">
        <f>Catalog!AE190</f>
        <v>0</v>
      </c>
      <c r="M217" s="16">
        <f>Catalog!W190</f>
        <v>0</v>
      </c>
      <c r="N217" s="16">
        <f>Catalog!R190</f>
        <v>0</v>
      </c>
      <c r="O217" s="16">
        <f>Catalog!AG190</f>
        <v>0</v>
      </c>
    </row>
    <row r="218" spans="1:15" ht="15.75" x14ac:dyDescent="0.25">
      <c r="A218" s="16">
        <f>Catalog!D191</f>
        <v>0</v>
      </c>
      <c r="B218" s="16">
        <f>Catalog!F191</f>
        <v>0</v>
      </c>
      <c r="C218" s="16" t="str">
        <f>IF(Catalog!I191="","",Catalog!I191)&amp;IF(AND(Catalog!I191&lt;&gt;"",Catalog!J191&lt;&gt;""),"; ","")&amp;IF(Catalog!J191="","",Catalog!J191)</f>
        <v/>
      </c>
      <c r="D218" s="16">
        <f>Catalog!Q191</f>
        <v>0</v>
      </c>
      <c r="E218" s="16">
        <f>Catalog!S191</f>
        <v>0</v>
      </c>
      <c r="F218" s="16">
        <f>Catalog!N191</f>
        <v>0</v>
      </c>
      <c r="G218" s="16" t="str">
        <f>Catalog!K191&amp;" / "&amp;Catalog!M191</f>
        <v xml:space="preserve"> / </v>
      </c>
      <c r="H218" s="16" t="str">
        <f t="shared" si="2"/>
        <v>Print</v>
      </c>
      <c r="I218" s="16" t="str">
        <f>IF(Catalog!T191&lt;&gt;"","ISBN:"&amp;Catalog!T191,IF(Catalog!U191&lt;&gt;"","ISSN:"&amp;Catalog!U191,"ACC:"&amp;Catalog!B191))</f>
        <v>ACC:</v>
      </c>
      <c r="J218" s="16">
        <f>Catalog!L191</f>
        <v>0</v>
      </c>
      <c r="K218" s="16">
        <f>IF(Catalog!AH191&lt;&gt;"",Catalog!AH191,Catalog!AF191)</f>
        <v>0</v>
      </c>
      <c r="L218" s="16">
        <f>Catalog!AE191</f>
        <v>0</v>
      </c>
      <c r="M218" s="16">
        <f>Catalog!W191</f>
        <v>0</v>
      </c>
      <c r="N218" s="16">
        <f>Catalog!R191</f>
        <v>0</v>
      </c>
      <c r="O218" s="16">
        <f>Catalog!AG191</f>
        <v>0</v>
      </c>
    </row>
    <row r="219" spans="1:15" ht="15.75" x14ac:dyDescent="0.25">
      <c r="A219" s="16">
        <f>Catalog!D192</f>
        <v>0</v>
      </c>
      <c r="B219" s="16">
        <f>Catalog!F192</f>
        <v>0</v>
      </c>
      <c r="C219" s="16" t="str">
        <f>IF(Catalog!I192="","",Catalog!I192)&amp;IF(AND(Catalog!I192&lt;&gt;"",Catalog!J192&lt;&gt;""),"; ","")&amp;IF(Catalog!J192="","",Catalog!J192)</f>
        <v/>
      </c>
      <c r="D219" s="16">
        <f>Catalog!Q192</f>
        <v>0</v>
      </c>
      <c r="E219" s="16">
        <f>Catalog!S192</f>
        <v>0</v>
      </c>
      <c r="F219" s="16">
        <f>Catalog!N192</f>
        <v>0</v>
      </c>
      <c r="G219" s="16" t="str">
        <f>Catalog!K192&amp;" / "&amp;Catalog!M192</f>
        <v xml:space="preserve"> / </v>
      </c>
      <c r="H219" s="16" t="str">
        <f t="shared" si="2"/>
        <v>Print</v>
      </c>
      <c r="I219" s="16" t="str">
        <f>IF(Catalog!T192&lt;&gt;"","ISBN:"&amp;Catalog!T192,IF(Catalog!U192&lt;&gt;"","ISSN:"&amp;Catalog!U192,"ACC:"&amp;Catalog!B192))</f>
        <v>ACC:</v>
      </c>
      <c r="J219" s="16">
        <f>Catalog!L192</f>
        <v>0</v>
      </c>
      <c r="K219" s="16">
        <f>IF(Catalog!AH192&lt;&gt;"",Catalog!AH192,Catalog!AF192)</f>
        <v>0</v>
      </c>
      <c r="L219" s="16">
        <f>Catalog!AE192</f>
        <v>0</v>
      </c>
      <c r="M219" s="16">
        <f>Catalog!W192</f>
        <v>0</v>
      </c>
      <c r="N219" s="16">
        <f>Catalog!R192</f>
        <v>0</v>
      </c>
      <c r="O219" s="16">
        <f>Catalog!AG192</f>
        <v>0</v>
      </c>
    </row>
    <row r="220" spans="1:15" ht="15.75" x14ac:dyDescent="0.25">
      <c r="A220" s="16">
        <f>Catalog!D193</f>
        <v>0</v>
      </c>
      <c r="B220" s="16">
        <f>Catalog!F193</f>
        <v>0</v>
      </c>
      <c r="C220" s="16" t="str">
        <f>IF(Catalog!I193="","",Catalog!I193)&amp;IF(AND(Catalog!I193&lt;&gt;"",Catalog!J193&lt;&gt;""),"; ","")&amp;IF(Catalog!J193="","",Catalog!J193)</f>
        <v/>
      </c>
      <c r="D220" s="16">
        <f>Catalog!Q193</f>
        <v>0</v>
      </c>
      <c r="E220" s="16">
        <f>Catalog!S193</f>
        <v>0</v>
      </c>
      <c r="F220" s="16">
        <f>Catalog!N193</f>
        <v>0</v>
      </c>
      <c r="G220" s="16" t="str">
        <f>Catalog!K193&amp;" / "&amp;Catalog!M193</f>
        <v xml:space="preserve"> / </v>
      </c>
      <c r="H220" s="16" t="str">
        <f t="shared" si="2"/>
        <v>Print</v>
      </c>
      <c r="I220" s="16" t="str">
        <f>IF(Catalog!T193&lt;&gt;"","ISBN:"&amp;Catalog!T193,IF(Catalog!U193&lt;&gt;"","ISSN:"&amp;Catalog!U193,"ACC:"&amp;Catalog!B193))</f>
        <v>ACC:</v>
      </c>
      <c r="J220" s="16">
        <f>Catalog!L193</f>
        <v>0</v>
      </c>
      <c r="K220" s="16">
        <f>IF(Catalog!AH193&lt;&gt;"",Catalog!AH193,Catalog!AF193)</f>
        <v>0</v>
      </c>
      <c r="L220" s="16">
        <f>Catalog!AE193</f>
        <v>0</v>
      </c>
      <c r="M220" s="16">
        <f>Catalog!W193</f>
        <v>0</v>
      </c>
      <c r="N220" s="16">
        <f>Catalog!R193</f>
        <v>0</v>
      </c>
      <c r="O220" s="16">
        <f>Catalog!AG193</f>
        <v>0</v>
      </c>
    </row>
    <row r="221" spans="1:15" ht="15.75" x14ac:dyDescent="0.25">
      <c r="A221" s="16">
        <f>Catalog!D194</f>
        <v>0</v>
      </c>
      <c r="B221" s="16">
        <f>Catalog!F194</f>
        <v>0</v>
      </c>
      <c r="C221" s="16" t="str">
        <f>IF(Catalog!I194="","",Catalog!I194)&amp;IF(AND(Catalog!I194&lt;&gt;"",Catalog!J194&lt;&gt;""),"; ","")&amp;IF(Catalog!J194="","",Catalog!J194)</f>
        <v/>
      </c>
      <c r="D221" s="16">
        <f>Catalog!Q194</f>
        <v>0</v>
      </c>
      <c r="E221" s="16">
        <f>Catalog!S194</f>
        <v>0</v>
      </c>
      <c r="F221" s="16">
        <f>Catalog!N194</f>
        <v>0</v>
      </c>
      <c r="G221" s="16" t="str">
        <f>Catalog!K194&amp;" / "&amp;Catalog!M194</f>
        <v xml:space="preserve"> / </v>
      </c>
      <c r="H221" s="16" t="str">
        <f t="shared" ref="H221:H284" si="3">"Print"</f>
        <v>Print</v>
      </c>
      <c r="I221" s="16" t="str">
        <f>IF(Catalog!T194&lt;&gt;"","ISBN:"&amp;Catalog!T194,IF(Catalog!U194&lt;&gt;"","ISSN:"&amp;Catalog!U194,"ACC:"&amp;Catalog!B194))</f>
        <v>ACC:</v>
      </c>
      <c r="J221" s="16">
        <f>Catalog!L194</f>
        <v>0</v>
      </c>
      <c r="K221" s="16">
        <f>IF(Catalog!AH194&lt;&gt;"",Catalog!AH194,Catalog!AF194)</f>
        <v>0</v>
      </c>
      <c r="L221" s="16">
        <f>Catalog!AE194</f>
        <v>0</v>
      </c>
      <c r="M221" s="16">
        <f>Catalog!W194</f>
        <v>0</v>
      </c>
      <c r="N221" s="16">
        <f>Catalog!R194</f>
        <v>0</v>
      </c>
      <c r="O221" s="16">
        <f>Catalog!AG194</f>
        <v>0</v>
      </c>
    </row>
    <row r="222" spans="1:15" ht="15.75" x14ac:dyDescent="0.25">
      <c r="A222" s="16">
        <f>Catalog!D195</f>
        <v>0</v>
      </c>
      <c r="B222" s="16">
        <f>Catalog!F195</f>
        <v>0</v>
      </c>
      <c r="C222" s="16" t="str">
        <f>IF(Catalog!I195="","",Catalog!I195)&amp;IF(AND(Catalog!I195&lt;&gt;"",Catalog!J195&lt;&gt;""),"; ","")&amp;IF(Catalog!J195="","",Catalog!J195)</f>
        <v/>
      </c>
      <c r="D222" s="16">
        <f>Catalog!Q195</f>
        <v>0</v>
      </c>
      <c r="E222" s="16">
        <f>Catalog!S195</f>
        <v>0</v>
      </c>
      <c r="F222" s="16">
        <f>Catalog!N195</f>
        <v>0</v>
      </c>
      <c r="G222" s="16" t="str">
        <f>Catalog!K195&amp;" / "&amp;Catalog!M195</f>
        <v xml:space="preserve"> / </v>
      </c>
      <c r="H222" s="16" t="str">
        <f t="shared" si="3"/>
        <v>Print</v>
      </c>
      <c r="I222" s="16" t="str">
        <f>IF(Catalog!T195&lt;&gt;"","ISBN:"&amp;Catalog!T195,IF(Catalog!U195&lt;&gt;"","ISSN:"&amp;Catalog!U195,"ACC:"&amp;Catalog!B195))</f>
        <v>ACC:</v>
      </c>
      <c r="J222" s="16">
        <f>Catalog!L195</f>
        <v>0</v>
      </c>
      <c r="K222" s="16">
        <f>IF(Catalog!AH195&lt;&gt;"",Catalog!AH195,Catalog!AF195)</f>
        <v>0</v>
      </c>
      <c r="L222" s="16">
        <f>Catalog!AE195</f>
        <v>0</v>
      </c>
      <c r="M222" s="16">
        <f>Catalog!W195</f>
        <v>0</v>
      </c>
      <c r="N222" s="16">
        <f>Catalog!R195</f>
        <v>0</v>
      </c>
      <c r="O222" s="16">
        <f>Catalog!AG195</f>
        <v>0</v>
      </c>
    </row>
    <row r="223" spans="1:15" ht="15.75" x14ac:dyDescent="0.25">
      <c r="A223" s="16">
        <f>Catalog!D196</f>
        <v>0</v>
      </c>
      <c r="B223" s="16">
        <f>Catalog!F196</f>
        <v>0</v>
      </c>
      <c r="C223" s="16" t="str">
        <f>IF(Catalog!I196="","",Catalog!I196)&amp;IF(AND(Catalog!I196&lt;&gt;"",Catalog!J196&lt;&gt;""),"; ","")&amp;IF(Catalog!J196="","",Catalog!J196)</f>
        <v/>
      </c>
      <c r="D223" s="16">
        <f>Catalog!Q196</f>
        <v>0</v>
      </c>
      <c r="E223" s="16">
        <f>Catalog!S196</f>
        <v>0</v>
      </c>
      <c r="F223" s="16">
        <f>Catalog!N196</f>
        <v>0</v>
      </c>
      <c r="G223" s="16" t="str">
        <f>Catalog!K196&amp;" / "&amp;Catalog!M196</f>
        <v xml:space="preserve"> / </v>
      </c>
      <c r="H223" s="16" t="str">
        <f t="shared" si="3"/>
        <v>Print</v>
      </c>
      <c r="I223" s="16" t="str">
        <f>IF(Catalog!T196&lt;&gt;"","ISBN:"&amp;Catalog!T196,IF(Catalog!U196&lt;&gt;"","ISSN:"&amp;Catalog!U196,"ACC:"&amp;Catalog!B196))</f>
        <v>ACC:</v>
      </c>
      <c r="J223" s="16">
        <f>Catalog!L196</f>
        <v>0</v>
      </c>
      <c r="K223" s="16">
        <f>IF(Catalog!AH196&lt;&gt;"",Catalog!AH196,Catalog!AF196)</f>
        <v>0</v>
      </c>
      <c r="L223" s="16">
        <f>Catalog!AE196</f>
        <v>0</v>
      </c>
      <c r="M223" s="16">
        <f>Catalog!W196</f>
        <v>0</v>
      </c>
      <c r="N223" s="16">
        <f>Catalog!R196</f>
        <v>0</v>
      </c>
      <c r="O223" s="16">
        <f>Catalog!AG196</f>
        <v>0</v>
      </c>
    </row>
    <row r="224" spans="1:15" ht="15.75" x14ac:dyDescent="0.25">
      <c r="A224" s="16">
        <f>Catalog!D197</f>
        <v>0</v>
      </c>
      <c r="B224" s="16">
        <f>Catalog!F197</f>
        <v>0</v>
      </c>
      <c r="C224" s="16" t="str">
        <f>IF(Catalog!I197="","",Catalog!I197)&amp;IF(AND(Catalog!I197&lt;&gt;"",Catalog!J197&lt;&gt;""),"; ","")&amp;IF(Catalog!J197="","",Catalog!J197)</f>
        <v/>
      </c>
      <c r="D224" s="16">
        <f>Catalog!Q197</f>
        <v>0</v>
      </c>
      <c r="E224" s="16">
        <f>Catalog!S197</f>
        <v>0</v>
      </c>
      <c r="F224" s="16">
        <f>Catalog!N197</f>
        <v>0</v>
      </c>
      <c r="G224" s="16" t="str">
        <f>Catalog!K197&amp;" / "&amp;Catalog!M197</f>
        <v xml:space="preserve"> / </v>
      </c>
      <c r="H224" s="16" t="str">
        <f t="shared" si="3"/>
        <v>Print</v>
      </c>
      <c r="I224" s="16" t="str">
        <f>IF(Catalog!T197&lt;&gt;"","ISBN:"&amp;Catalog!T197,IF(Catalog!U197&lt;&gt;"","ISSN:"&amp;Catalog!U197,"ACC:"&amp;Catalog!B197))</f>
        <v>ACC:</v>
      </c>
      <c r="J224" s="16">
        <f>Catalog!L197</f>
        <v>0</v>
      </c>
      <c r="K224" s="16">
        <f>IF(Catalog!AH197&lt;&gt;"",Catalog!AH197,Catalog!AF197)</f>
        <v>0</v>
      </c>
      <c r="L224" s="16">
        <f>Catalog!AE197</f>
        <v>0</v>
      </c>
      <c r="M224" s="16">
        <f>Catalog!W197</f>
        <v>0</v>
      </c>
      <c r="N224" s="16">
        <f>Catalog!R197</f>
        <v>0</v>
      </c>
      <c r="O224" s="16">
        <f>Catalog!AG197</f>
        <v>0</v>
      </c>
    </row>
    <row r="225" spans="1:15" ht="15.75" x14ac:dyDescent="0.25">
      <c r="A225" s="16">
        <f>Catalog!D198</f>
        <v>0</v>
      </c>
      <c r="B225" s="16">
        <f>Catalog!F198</f>
        <v>0</v>
      </c>
      <c r="C225" s="16" t="str">
        <f>IF(Catalog!I198="","",Catalog!I198)&amp;IF(AND(Catalog!I198&lt;&gt;"",Catalog!J198&lt;&gt;""),"; ","")&amp;IF(Catalog!J198="","",Catalog!J198)</f>
        <v/>
      </c>
      <c r="D225" s="16">
        <f>Catalog!Q198</f>
        <v>0</v>
      </c>
      <c r="E225" s="16">
        <f>Catalog!S198</f>
        <v>0</v>
      </c>
      <c r="F225" s="16">
        <f>Catalog!N198</f>
        <v>0</v>
      </c>
      <c r="G225" s="16" t="str">
        <f>Catalog!K198&amp;" / "&amp;Catalog!M198</f>
        <v xml:space="preserve"> / </v>
      </c>
      <c r="H225" s="16" t="str">
        <f t="shared" si="3"/>
        <v>Print</v>
      </c>
      <c r="I225" s="16" t="str">
        <f>IF(Catalog!T198&lt;&gt;"","ISBN:"&amp;Catalog!T198,IF(Catalog!U198&lt;&gt;"","ISSN:"&amp;Catalog!U198,"ACC:"&amp;Catalog!B198))</f>
        <v>ACC:</v>
      </c>
      <c r="J225" s="16">
        <f>Catalog!L198</f>
        <v>0</v>
      </c>
      <c r="K225" s="16">
        <f>IF(Catalog!AH198&lt;&gt;"",Catalog!AH198,Catalog!AF198)</f>
        <v>0</v>
      </c>
      <c r="L225" s="16">
        <f>Catalog!AE198</f>
        <v>0</v>
      </c>
      <c r="M225" s="16">
        <f>Catalog!W198</f>
        <v>0</v>
      </c>
      <c r="N225" s="16">
        <f>Catalog!R198</f>
        <v>0</v>
      </c>
      <c r="O225" s="16">
        <f>Catalog!AG198</f>
        <v>0</v>
      </c>
    </row>
    <row r="226" spans="1:15" ht="15.75" x14ac:dyDescent="0.25">
      <c r="A226" s="16">
        <f>Catalog!D199</f>
        <v>0</v>
      </c>
      <c r="B226" s="16">
        <f>Catalog!F199</f>
        <v>0</v>
      </c>
      <c r="C226" s="16" t="str">
        <f>IF(Catalog!I199="","",Catalog!I199)&amp;IF(AND(Catalog!I199&lt;&gt;"",Catalog!J199&lt;&gt;""),"; ","")&amp;IF(Catalog!J199="","",Catalog!J199)</f>
        <v/>
      </c>
      <c r="D226" s="16">
        <f>Catalog!Q199</f>
        <v>0</v>
      </c>
      <c r="E226" s="16">
        <f>Catalog!S199</f>
        <v>0</v>
      </c>
      <c r="F226" s="16">
        <f>Catalog!N199</f>
        <v>0</v>
      </c>
      <c r="G226" s="16" t="str">
        <f>Catalog!K199&amp;" / "&amp;Catalog!M199</f>
        <v xml:space="preserve"> / </v>
      </c>
      <c r="H226" s="16" t="str">
        <f t="shared" si="3"/>
        <v>Print</v>
      </c>
      <c r="I226" s="16" t="str">
        <f>IF(Catalog!T199&lt;&gt;"","ISBN:"&amp;Catalog!T199,IF(Catalog!U199&lt;&gt;"","ISSN:"&amp;Catalog!U199,"ACC:"&amp;Catalog!B199))</f>
        <v>ACC:</v>
      </c>
      <c r="J226" s="16">
        <f>Catalog!L199</f>
        <v>0</v>
      </c>
      <c r="K226" s="16">
        <f>IF(Catalog!AH199&lt;&gt;"",Catalog!AH199,Catalog!AF199)</f>
        <v>0</v>
      </c>
      <c r="L226" s="16">
        <f>Catalog!AE199</f>
        <v>0</v>
      </c>
      <c r="M226" s="16">
        <f>Catalog!W199</f>
        <v>0</v>
      </c>
      <c r="N226" s="16">
        <f>Catalog!R199</f>
        <v>0</v>
      </c>
      <c r="O226" s="16">
        <f>Catalog!AG199</f>
        <v>0</v>
      </c>
    </row>
    <row r="227" spans="1:15" ht="15.75" x14ac:dyDescent="0.25">
      <c r="A227" s="16">
        <f>Catalog!D200</f>
        <v>0</v>
      </c>
      <c r="B227" s="16">
        <f>Catalog!F200</f>
        <v>0</v>
      </c>
      <c r="C227" s="16" t="str">
        <f>IF(Catalog!I200="","",Catalog!I200)&amp;IF(AND(Catalog!I200&lt;&gt;"",Catalog!J200&lt;&gt;""),"; ","")&amp;IF(Catalog!J200="","",Catalog!J200)</f>
        <v/>
      </c>
      <c r="D227" s="16">
        <f>Catalog!Q200</f>
        <v>0</v>
      </c>
      <c r="E227" s="16">
        <f>Catalog!S200</f>
        <v>0</v>
      </c>
      <c r="F227" s="16">
        <f>Catalog!N200</f>
        <v>0</v>
      </c>
      <c r="G227" s="16" t="str">
        <f>Catalog!K200&amp;" / "&amp;Catalog!M200</f>
        <v xml:space="preserve"> / </v>
      </c>
      <c r="H227" s="16" t="str">
        <f t="shared" si="3"/>
        <v>Print</v>
      </c>
      <c r="I227" s="16" t="str">
        <f>IF(Catalog!T200&lt;&gt;"","ISBN:"&amp;Catalog!T200,IF(Catalog!U200&lt;&gt;"","ISSN:"&amp;Catalog!U200,"ACC:"&amp;Catalog!B200))</f>
        <v>ACC:</v>
      </c>
      <c r="J227" s="16">
        <f>Catalog!L200</f>
        <v>0</v>
      </c>
      <c r="K227" s="16">
        <f>IF(Catalog!AH200&lt;&gt;"",Catalog!AH200,Catalog!AF200)</f>
        <v>0</v>
      </c>
      <c r="L227" s="16">
        <f>Catalog!AE200</f>
        <v>0</v>
      </c>
      <c r="M227" s="16">
        <f>Catalog!W200</f>
        <v>0</v>
      </c>
      <c r="N227" s="16">
        <f>Catalog!R200</f>
        <v>0</v>
      </c>
      <c r="O227" s="16">
        <f>Catalog!AG200</f>
        <v>0</v>
      </c>
    </row>
    <row r="228" spans="1:15" ht="15.75" x14ac:dyDescent="0.25">
      <c r="A228" s="16">
        <f>Catalog!D201</f>
        <v>0</v>
      </c>
      <c r="B228" s="16">
        <f>Catalog!F201</f>
        <v>0</v>
      </c>
      <c r="C228" s="16" t="str">
        <f>IF(Catalog!I201="","",Catalog!I201)&amp;IF(AND(Catalog!I201&lt;&gt;"",Catalog!J201&lt;&gt;""),"; ","")&amp;IF(Catalog!J201="","",Catalog!J201)</f>
        <v/>
      </c>
      <c r="D228" s="16">
        <f>Catalog!Q201</f>
        <v>0</v>
      </c>
      <c r="E228" s="16">
        <f>Catalog!S201</f>
        <v>0</v>
      </c>
      <c r="F228" s="16">
        <f>Catalog!N201</f>
        <v>0</v>
      </c>
      <c r="G228" s="16" t="str">
        <f>Catalog!K201&amp;" / "&amp;Catalog!M201</f>
        <v xml:space="preserve"> / </v>
      </c>
      <c r="H228" s="16" t="str">
        <f t="shared" si="3"/>
        <v>Print</v>
      </c>
      <c r="I228" s="16" t="str">
        <f>IF(Catalog!T201&lt;&gt;"","ISBN:"&amp;Catalog!T201,IF(Catalog!U201&lt;&gt;"","ISSN:"&amp;Catalog!U201,"ACC:"&amp;Catalog!B201))</f>
        <v>ACC:</v>
      </c>
      <c r="J228" s="16">
        <f>Catalog!L201</f>
        <v>0</v>
      </c>
      <c r="K228" s="16">
        <f>IF(Catalog!AH201&lt;&gt;"",Catalog!AH201,Catalog!AF201)</f>
        <v>0</v>
      </c>
      <c r="L228" s="16">
        <f>Catalog!AE201</f>
        <v>0</v>
      </c>
      <c r="M228" s="16">
        <f>Catalog!W201</f>
        <v>0</v>
      </c>
      <c r="N228" s="16">
        <f>Catalog!R201</f>
        <v>0</v>
      </c>
      <c r="O228" s="16">
        <f>Catalog!AG201</f>
        <v>0</v>
      </c>
    </row>
    <row r="229" spans="1:15" ht="15.75" x14ac:dyDescent="0.25">
      <c r="A229" s="16">
        <f>Catalog!D202</f>
        <v>0</v>
      </c>
      <c r="B229" s="16">
        <f>Catalog!F202</f>
        <v>0</v>
      </c>
      <c r="C229" s="16" t="str">
        <f>IF(Catalog!I202="","",Catalog!I202)&amp;IF(AND(Catalog!I202&lt;&gt;"",Catalog!J202&lt;&gt;""),"; ","")&amp;IF(Catalog!J202="","",Catalog!J202)</f>
        <v/>
      </c>
      <c r="D229" s="16">
        <f>Catalog!Q202</f>
        <v>0</v>
      </c>
      <c r="E229" s="16">
        <f>Catalog!S202</f>
        <v>0</v>
      </c>
      <c r="F229" s="16">
        <f>Catalog!N202</f>
        <v>0</v>
      </c>
      <c r="G229" s="16" t="str">
        <f>Catalog!K202&amp;" / "&amp;Catalog!M202</f>
        <v xml:space="preserve"> / </v>
      </c>
      <c r="H229" s="16" t="str">
        <f t="shared" si="3"/>
        <v>Print</v>
      </c>
      <c r="I229" s="16" t="str">
        <f>IF(Catalog!T202&lt;&gt;"","ISBN:"&amp;Catalog!T202,IF(Catalog!U202&lt;&gt;"","ISSN:"&amp;Catalog!U202,"ACC:"&amp;Catalog!B202))</f>
        <v>ACC:</v>
      </c>
      <c r="J229" s="16">
        <f>Catalog!L202</f>
        <v>0</v>
      </c>
      <c r="K229" s="16">
        <f>IF(Catalog!AH202&lt;&gt;"",Catalog!AH202,Catalog!AF202)</f>
        <v>0</v>
      </c>
      <c r="L229" s="16">
        <f>Catalog!AE202</f>
        <v>0</v>
      </c>
      <c r="M229" s="16">
        <f>Catalog!W202</f>
        <v>0</v>
      </c>
      <c r="N229" s="16">
        <f>Catalog!R202</f>
        <v>0</v>
      </c>
      <c r="O229" s="16">
        <f>Catalog!AG202</f>
        <v>0</v>
      </c>
    </row>
    <row r="230" spans="1:15" ht="15.75" x14ac:dyDescent="0.25">
      <c r="A230" s="16">
        <f>Catalog!D203</f>
        <v>0</v>
      </c>
      <c r="B230" s="16">
        <f>Catalog!F203</f>
        <v>0</v>
      </c>
      <c r="C230" s="16" t="str">
        <f>IF(Catalog!I203="","",Catalog!I203)&amp;IF(AND(Catalog!I203&lt;&gt;"",Catalog!J203&lt;&gt;""),"; ","")&amp;IF(Catalog!J203="","",Catalog!J203)</f>
        <v/>
      </c>
      <c r="D230" s="16">
        <f>Catalog!Q203</f>
        <v>0</v>
      </c>
      <c r="E230" s="16">
        <f>Catalog!S203</f>
        <v>0</v>
      </c>
      <c r="F230" s="16">
        <f>Catalog!N203</f>
        <v>0</v>
      </c>
      <c r="G230" s="16" t="str">
        <f>Catalog!K203&amp;" / "&amp;Catalog!M203</f>
        <v xml:space="preserve"> / </v>
      </c>
      <c r="H230" s="16" t="str">
        <f t="shared" si="3"/>
        <v>Print</v>
      </c>
      <c r="I230" s="16" t="str">
        <f>IF(Catalog!T203&lt;&gt;"","ISBN:"&amp;Catalog!T203,IF(Catalog!U203&lt;&gt;"","ISSN:"&amp;Catalog!U203,"ACC:"&amp;Catalog!B203))</f>
        <v>ACC:</v>
      </c>
      <c r="J230" s="16">
        <f>Catalog!L203</f>
        <v>0</v>
      </c>
      <c r="K230" s="16">
        <f>IF(Catalog!AH203&lt;&gt;"",Catalog!AH203,Catalog!AF203)</f>
        <v>0</v>
      </c>
      <c r="L230" s="16">
        <f>Catalog!AE203</f>
        <v>0</v>
      </c>
      <c r="M230" s="16">
        <f>Catalog!W203</f>
        <v>0</v>
      </c>
      <c r="N230" s="16">
        <f>Catalog!R203</f>
        <v>0</v>
      </c>
      <c r="O230" s="16">
        <f>Catalog!AG203</f>
        <v>0</v>
      </c>
    </row>
    <row r="231" spans="1:15" ht="15.75" x14ac:dyDescent="0.25">
      <c r="A231" s="16">
        <f>Catalog!D204</f>
        <v>0</v>
      </c>
      <c r="B231" s="16">
        <f>Catalog!F204</f>
        <v>0</v>
      </c>
      <c r="C231" s="16" t="str">
        <f>IF(Catalog!I204="","",Catalog!I204)&amp;IF(AND(Catalog!I204&lt;&gt;"",Catalog!J204&lt;&gt;""),"; ","")&amp;IF(Catalog!J204="","",Catalog!J204)</f>
        <v/>
      </c>
      <c r="D231" s="16">
        <f>Catalog!Q204</f>
        <v>0</v>
      </c>
      <c r="E231" s="16">
        <f>Catalog!S204</f>
        <v>0</v>
      </c>
      <c r="F231" s="16">
        <f>Catalog!N204</f>
        <v>0</v>
      </c>
      <c r="G231" s="16" t="str">
        <f>Catalog!K204&amp;" / "&amp;Catalog!M204</f>
        <v xml:space="preserve"> / </v>
      </c>
      <c r="H231" s="16" t="str">
        <f t="shared" si="3"/>
        <v>Print</v>
      </c>
      <c r="I231" s="16" t="str">
        <f>IF(Catalog!T204&lt;&gt;"","ISBN:"&amp;Catalog!T204,IF(Catalog!U204&lt;&gt;"","ISSN:"&amp;Catalog!U204,"ACC:"&amp;Catalog!B204))</f>
        <v>ACC:</v>
      </c>
      <c r="J231" s="16">
        <f>Catalog!L204</f>
        <v>0</v>
      </c>
      <c r="K231" s="16">
        <f>IF(Catalog!AH204&lt;&gt;"",Catalog!AH204,Catalog!AF204)</f>
        <v>0</v>
      </c>
      <c r="L231" s="16">
        <f>Catalog!AE204</f>
        <v>0</v>
      </c>
      <c r="M231" s="16">
        <f>Catalog!W204</f>
        <v>0</v>
      </c>
      <c r="N231" s="16">
        <f>Catalog!R204</f>
        <v>0</v>
      </c>
      <c r="O231" s="16">
        <f>Catalog!AG204</f>
        <v>0</v>
      </c>
    </row>
    <row r="232" spans="1:15" ht="15.75" x14ac:dyDescent="0.25">
      <c r="A232" s="16">
        <f>Catalog!D205</f>
        <v>0</v>
      </c>
      <c r="B232" s="16">
        <f>Catalog!F205</f>
        <v>0</v>
      </c>
      <c r="C232" s="16" t="str">
        <f>IF(Catalog!I205="","",Catalog!I205)&amp;IF(AND(Catalog!I205&lt;&gt;"",Catalog!J205&lt;&gt;""),"; ","")&amp;IF(Catalog!J205="","",Catalog!J205)</f>
        <v/>
      </c>
      <c r="D232" s="16">
        <f>Catalog!Q205</f>
        <v>0</v>
      </c>
      <c r="E232" s="16">
        <f>Catalog!S205</f>
        <v>0</v>
      </c>
      <c r="F232" s="16">
        <f>Catalog!N205</f>
        <v>0</v>
      </c>
      <c r="G232" s="16" t="str">
        <f>Catalog!K205&amp;" / "&amp;Catalog!M205</f>
        <v xml:space="preserve"> / </v>
      </c>
      <c r="H232" s="16" t="str">
        <f t="shared" si="3"/>
        <v>Print</v>
      </c>
      <c r="I232" s="16" t="str">
        <f>IF(Catalog!T205&lt;&gt;"","ISBN:"&amp;Catalog!T205,IF(Catalog!U205&lt;&gt;"","ISSN:"&amp;Catalog!U205,"ACC:"&amp;Catalog!B205))</f>
        <v>ACC:</v>
      </c>
      <c r="J232" s="16">
        <f>Catalog!L205</f>
        <v>0</v>
      </c>
      <c r="K232" s="16">
        <f>IF(Catalog!AH205&lt;&gt;"",Catalog!AH205,Catalog!AF205)</f>
        <v>0</v>
      </c>
      <c r="L232" s="16">
        <f>Catalog!AE205</f>
        <v>0</v>
      </c>
      <c r="M232" s="16">
        <f>Catalog!W205</f>
        <v>0</v>
      </c>
      <c r="N232" s="16">
        <f>Catalog!R205</f>
        <v>0</v>
      </c>
      <c r="O232" s="16">
        <f>Catalog!AG205</f>
        <v>0</v>
      </c>
    </row>
    <row r="233" spans="1:15" ht="15.75" x14ac:dyDescent="0.25">
      <c r="A233" s="16">
        <f>Catalog!D206</f>
        <v>0</v>
      </c>
      <c r="B233" s="16">
        <f>Catalog!F206</f>
        <v>0</v>
      </c>
      <c r="C233" s="16" t="str">
        <f>IF(Catalog!I206="","",Catalog!I206)&amp;IF(AND(Catalog!I206&lt;&gt;"",Catalog!J206&lt;&gt;""),"; ","")&amp;IF(Catalog!J206="","",Catalog!J206)</f>
        <v/>
      </c>
      <c r="D233" s="16">
        <f>Catalog!Q206</f>
        <v>0</v>
      </c>
      <c r="E233" s="16">
        <f>Catalog!S206</f>
        <v>0</v>
      </c>
      <c r="F233" s="16">
        <f>Catalog!N206</f>
        <v>0</v>
      </c>
      <c r="G233" s="16" t="str">
        <f>Catalog!K206&amp;" / "&amp;Catalog!M206</f>
        <v xml:space="preserve"> / </v>
      </c>
      <c r="H233" s="16" t="str">
        <f t="shared" si="3"/>
        <v>Print</v>
      </c>
      <c r="I233" s="16" t="str">
        <f>IF(Catalog!T206&lt;&gt;"","ISBN:"&amp;Catalog!T206,IF(Catalog!U206&lt;&gt;"","ISSN:"&amp;Catalog!U206,"ACC:"&amp;Catalog!B206))</f>
        <v>ACC:</v>
      </c>
      <c r="J233" s="16">
        <f>Catalog!L206</f>
        <v>0</v>
      </c>
      <c r="K233" s="16">
        <f>IF(Catalog!AH206&lt;&gt;"",Catalog!AH206,Catalog!AF206)</f>
        <v>0</v>
      </c>
      <c r="L233" s="16">
        <f>Catalog!AE206</f>
        <v>0</v>
      </c>
      <c r="M233" s="16">
        <f>Catalog!W206</f>
        <v>0</v>
      </c>
      <c r="N233" s="16">
        <f>Catalog!R206</f>
        <v>0</v>
      </c>
      <c r="O233" s="16">
        <f>Catalog!AG206</f>
        <v>0</v>
      </c>
    </row>
    <row r="234" spans="1:15" ht="15.75" x14ac:dyDescent="0.25">
      <c r="A234" s="16">
        <f>Catalog!D207</f>
        <v>0</v>
      </c>
      <c r="B234" s="16">
        <f>Catalog!F207</f>
        <v>0</v>
      </c>
      <c r="C234" s="16" t="str">
        <f>IF(Catalog!I207="","",Catalog!I207)&amp;IF(AND(Catalog!I207&lt;&gt;"",Catalog!J207&lt;&gt;""),"; ","")&amp;IF(Catalog!J207="","",Catalog!J207)</f>
        <v/>
      </c>
      <c r="D234" s="16">
        <f>Catalog!Q207</f>
        <v>0</v>
      </c>
      <c r="E234" s="16">
        <f>Catalog!S207</f>
        <v>0</v>
      </c>
      <c r="F234" s="16">
        <f>Catalog!N207</f>
        <v>0</v>
      </c>
      <c r="G234" s="16" t="str">
        <f>Catalog!K207&amp;" / "&amp;Catalog!M207</f>
        <v xml:space="preserve"> / </v>
      </c>
      <c r="H234" s="16" t="str">
        <f t="shared" si="3"/>
        <v>Print</v>
      </c>
      <c r="I234" s="16" t="str">
        <f>IF(Catalog!T207&lt;&gt;"","ISBN:"&amp;Catalog!T207,IF(Catalog!U207&lt;&gt;"","ISSN:"&amp;Catalog!U207,"ACC:"&amp;Catalog!B207))</f>
        <v>ACC:</v>
      </c>
      <c r="J234" s="16">
        <f>Catalog!L207</f>
        <v>0</v>
      </c>
      <c r="K234" s="16">
        <f>IF(Catalog!AH207&lt;&gt;"",Catalog!AH207,Catalog!AF207)</f>
        <v>0</v>
      </c>
      <c r="L234" s="16">
        <f>Catalog!AE207</f>
        <v>0</v>
      </c>
      <c r="M234" s="16">
        <f>Catalog!W207</f>
        <v>0</v>
      </c>
      <c r="N234" s="16">
        <f>Catalog!R207</f>
        <v>0</v>
      </c>
      <c r="O234" s="16">
        <f>Catalog!AG207</f>
        <v>0</v>
      </c>
    </row>
    <row r="235" spans="1:15" ht="15.75" x14ac:dyDescent="0.25">
      <c r="A235" s="16">
        <f>Catalog!D208</f>
        <v>0</v>
      </c>
      <c r="B235" s="16">
        <f>Catalog!F208</f>
        <v>0</v>
      </c>
      <c r="C235" s="16" t="str">
        <f>IF(Catalog!I208="","",Catalog!I208)&amp;IF(AND(Catalog!I208&lt;&gt;"",Catalog!J208&lt;&gt;""),"; ","")&amp;IF(Catalog!J208="","",Catalog!J208)</f>
        <v/>
      </c>
      <c r="D235" s="16">
        <f>Catalog!Q208</f>
        <v>0</v>
      </c>
      <c r="E235" s="16">
        <f>Catalog!S208</f>
        <v>0</v>
      </c>
      <c r="F235" s="16">
        <f>Catalog!N208</f>
        <v>0</v>
      </c>
      <c r="G235" s="16" t="str">
        <f>Catalog!K208&amp;" / "&amp;Catalog!M208</f>
        <v xml:space="preserve"> / </v>
      </c>
      <c r="H235" s="16" t="str">
        <f t="shared" si="3"/>
        <v>Print</v>
      </c>
      <c r="I235" s="16" t="str">
        <f>IF(Catalog!T208&lt;&gt;"","ISBN:"&amp;Catalog!T208,IF(Catalog!U208&lt;&gt;"","ISSN:"&amp;Catalog!U208,"ACC:"&amp;Catalog!B208))</f>
        <v>ACC:</v>
      </c>
      <c r="J235" s="16">
        <f>Catalog!L208</f>
        <v>0</v>
      </c>
      <c r="K235" s="16">
        <f>IF(Catalog!AH208&lt;&gt;"",Catalog!AH208,Catalog!AF208)</f>
        <v>0</v>
      </c>
      <c r="L235" s="16">
        <f>Catalog!AE208</f>
        <v>0</v>
      </c>
      <c r="M235" s="16">
        <f>Catalog!W208</f>
        <v>0</v>
      </c>
      <c r="N235" s="16">
        <f>Catalog!R208</f>
        <v>0</v>
      </c>
      <c r="O235" s="16">
        <f>Catalog!AG208</f>
        <v>0</v>
      </c>
    </row>
    <row r="236" spans="1:15" ht="15.75" x14ac:dyDescent="0.25">
      <c r="A236" s="16">
        <f>Catalog!D209</f>
        <v>0</v>
      </c>
      <c r="B236" s="16">
        <f>Catalog!F209</f>
        <v>0</v>
      </c>
      <c r="C236" s="16" t="str">
        <f>IF(Catalog!I209="","",Catalog!I209)&amp;IF(AND(Catalog!I209&lt;&gt;"",Catalog!J209&lt;&gt;""),"; ","")&amp;IF(Catalog!J209="","",Catalog!J209)</f>
        <v/>
      </c>
      <c r="D236" s="16">
        <f>Catalog!Q209</f>
        <v>0</v>
      </c>
      <c r="E236" s="16">
        <f>Catalog!S209</f>
        <v>0</v>
      </c>
      <c r="F236" s="16">
        <f>Catalog!N209</f>
        <v>0</v>
      </c>
      <c r="G236" s="16" t="str">
        <f>Catalog!K209&amp;" / "&amp;Catalog!M209</f>
        <v xml:space="preserve"> / </v>
      </c>
      <c r="H236" s="16" t="str">
        <f t="shared" si="3"/>
        <v>Print</v>
      </c>
      <c r="I236" s="16" t="str">
        <f>IF(Catalog!T209&lt;&gt;"","ISBN:"&amp;Catalog!T209,IF(Catalog!U209&lt;&gt;"","ISSN:"&amp;Catalog!U209,"ACC:"&amp;Catalog!B209))</f>
        <v>ACC:</v>
      </c>
      <c r="J236" s="16">
        <f>Catalog!L209</f>
        <v>0</v>
      </c>
      <c r="K236" s="16">
        <f>IF(Catalog!AH209&lt;&gt;"",Catalog!AH209,Catalog!AF209)</f>
        <v>0</v>
      </c>
      <c r="L236" s="16">
        <f>Catalog!AE209</f>
        <v>0</v>
      </c>
      <c r="M236" s="16">
        <f>Catalog!W209</f>
        <v>0</v>
      </c>
      <c r="N236" s="16">
        <f>Catalog!R209</f>
        <v>0</v>
      </c>
      <c r="O236" s="16">
        <f>Catalog!AG209</f>
        <v>0</v>
      </c>
    </row>
    <row r="237" spans="1:15" ht="15.75" x14ac:dyDescent="0.25">
      <c r="A237" s="16">
        <f>Catalog!D210</f>
        <v>0</v>
      </c>
      <c r="B237" s="16">
        <f>Catalog!F210</f>
        <v>0</v>
      </c>
      <c r="C237" s="16" t="str">
        <f>IF(Catalog!I210="","",Catalog!I210)&amp;IF(AND(Catalog!I210&lt;&gt;"",Catalog!J210&lt;&gt;""),"; ","")&amp;IF(Catalog!J210="","",Catalog!J210)</f>
        <v/>
      </c>
      <c r="D237" s="16">
        <f>Catalog!Q210</f>
        <v>0</v>
      </c>
      <c r="E237" s="16">
        <f>Catalog!S210</f>
        <v>0</v>
      </c>
      <c r="F237" s="16">
        <f>Catalog!N210</f>
        <v>0</v>
      </c>
      <c r="G237" s="16" t="str">
        <f>Catalog!K210&amp;" / "&amp;Catalog!M210</f>
        <v xml:space="preserve"> / </v>
      </c>
      <c r="H237" s="16" t="str">
        <f t="shared" si="3"/>
        <v>Print</v>
      </c>
      <c r="I237" s="16" t="str">
        <f>IF(Catalog!T210&lt;&gt;"","ISBN:"&amp;Catalog!T210,IF(Catalog!U210&lt;&gt;"","ISSN:"&amp;Catalog!U210,"ACC:"&amp;Catalog!B210))</f>
        <v>ACC:</v>
      </c>
      <c r="J237" s="16">
        <f>Catalog!L210</f>
        <v>0</v>
      </c>
      <c r="K237" s="16">
        <f>IF(Catalog!AH210&lt;&gt;"",Catalog!AH210,Catalog!AF210)</f>
        <v>0</v>
      </c>
      <c r="L237" s="16">
        <f>Catalog!AE210</f>
        <v>0</v>
      </c>
      <c r="M237" s="16">
        <f>Catalog!W210</f>
        <v>0</v>
      </c>
      <c r="N237" s="16">
        <f>Catalog!R210</f>
        <v>0</v>
      </c>
      <c r="O237" s="16">
        <f>Catalog!AG210</f>
        <v>0</v>
      </c>
    </row>
    <row r="238" spans="1:15" ht="15.75" x14ac:dyDescent="0.25">
      <c r="A238" s="16">
        <f>Catalog!D211</f>
        <v>0</v>
      </c>
      <c r="B238" s="16">
        <f>Catalog!F211</f>
        <v>0</v>
      </c>
      <c r="C238" s="16" t="str">
        <f>IF(Catalog!I211="","",Catalog!I211)&amp;IF(AND(Catalog!I211&lt;&gt;"",Catalog!J211&lt;&gt;""),"; ","")&amp;IF(Catalog!J211="","",Catalog!J211)</f>
        <v/>
      </c>
      <c r="D238" s="16">
        <f>Catalog!Q211</f>
        <v>0</v>
      </c>
      <c r="E238" s="16">
        <f>Catalog!S211</f>
        <v>0</v>
      </c>
      <c r="F238" s="16">
        <f>Catalog!N211</f>
        <v>0</v>
      </c>
      <c r="G238" s="16" t="str">
        <f>Catalog!K211&amp;" / "&amp;Catalog!M211</f>
        <v xml:space="preserve"> / </v>
      </c>
      <c r="H238" s="16" t="str">
        <f t="shared" si="3"/>
        <v>Print</v>
      </c>
      <c r="I238" s="16" t="str">
        <f>IF(Catalog!T211&lt;&gt;"","ISBN:"&amp;Catalog!T211,IF(Catalog!U211&lt;&gt;"","ISSN:"&amp;Catalog!U211,"ACC:"&amp;Catalog!B211))</f>
        <v>ACC:</v>
      </c>
      <c r="J238" s="16">
        <f>Catalog!L211</f>
        <v>0</v>
      </c>
      <c r="K238" s="16">
        <f>IF(Catalog!AH211&lt;&gt;"",Catalog!AH211,Catalog!AF211)</f>
        <v>0</v>
      </c>
      <c r="L238" s="16">
        <f>Catalog!AE211</f>
        <v>0</v>
      </c>
      <c r="M238" s="16">
        <f>Catalog!W211</f>
        <v>0</v>
      </c>
      <c r="N238" s="16">
        <f>Catalog!R211</f>
        <v>0</v>
      </c>
      <c r="O238" s="16">
        <f>Catalog!AG211</f>
        <v>0</v>
      </c>
    </row>
    <row r="239" spans="1:15" ht="15.75" x14ac:dyDescent="0.25">
      <c r="A239" s="16">
        <f>Catalog!D212</f>
        <v>0</v>
      </c>
      <c r="B239" s="16">
        <f>Catalog!F212</f>
        <v>0</v>
      </c>
      <c r="C239" s="16" t="str">
        <f>IF(Catalog!I212="","",Catalog!I212)&amp;IF(AND(Catalog!I212&lt;&gt;"",Catalog!J212&lt;&gt;""),"; ","")&amp;IF(Catalog!J212="","",Catalog!J212)</f>
        <v/>
      </c>
      <c r="D239" s="16">
        <f>Catalog!Q212</f>
        <v>0</v>
      </c>
      <c r="E239" s="16">
        <f>Catalog!S212</f>
        <v>0</v>
      </c>
      <c r="F239" s="16">
        <f>Catalog!N212</f>
        <v>0</v>
      </c>
      <c r="G239" s="16" t="str">
        <f>Catalog!K212&amp;" / "&amp;Catalog!M212</f>
        <v xml:space="preserve"> / </v>
      </c>
      <c r="H239" s="16" t="str">
        <f t="shared" si="3"/>
        <v>Print</v>
      </c>
      <c r="I239" s="16" t="str">
        <f>IF(Catalog!T212&lt;&gt;"","ISBN:"&amp;Catalog!T212,IF(Catalog!U212&lt;&gt;"","ISSN:"&amp;Catalog!U212,"ACC:"&amp;Catalog!B212))</f>
        <v>ACC:</v>
      </c>
      <c r="J239" s="16">
        <f>Catalog!L212</f>
        <v>0</v>
      </c>
      <c r="K239" s="16">
        <f>IF(Catalog!AH212&lt;&gt;"",Catalog!AH212,Catalog!AF212)</f>
        <v>0</v>
      </c>
      <c r="L239" s="16">
        <f>Catalog!AE212</f>
        <v>0</v>
      </c>
      <c r="M239" s="16">
        <f>Catalog!W212</f>
        <v>0</v>
      </c>
      <c r="N239" s="16">
        <f>Catalog!R212</f>
        <v>0</v>
      </c>
      <c r="O239" s="16">
        <f>Catalog!AG212</f>
        <v>0</v>
      </c>
    </row>
    <row r="240" spans="1:15" ht="15.75" x14ac:dyDescent="0.25">
      <c r="A240" s="16">
        <f>Catalog!D213</f>
        <v>0</v>
      </c>
      <c r="B240" s="16">
        <f>Catalog!F213</f>
        <v>0</v>
      </c>
      <c r="C240" s="16" t="str">
        <f>IF(Catalog!I213="","",Catalog!I213)&amp;IF(AND(Catalog!I213&lt;&gt;"",Catalog!J213&lt;&gt;""),"; ","")&amp;IF(Catalog!J213="","",Catalog!J213)</f>
        <v/>
      </c>
      <c r="D240" s="16">
        <f>Catalog!Q213</f>
        <v>0</v>
      </c>
      <c r="E240" s="16">
        <f>Catalog!S213</f>
        <v>0</v>
      </c>
      <c r="F240" s="16">
        <f>Catalog!N213</f>
        <v>0</v>
      </c>
      <c r="G240" s="16" t="str">
        <f>Catalog!K213&amp;" / "&amp;Catalog!M213</f>
        <v xml:space="preserve"> / </v>
      </c>
      <c r="H240" s="16" t="str">
        <f t="shared" si="3"/>
        <v>Print</v>
      </c>
      <c r="I240" s="16" t="str">
        <f>IF(Catalog!T213&lt;&gt;"","ISBN:"&amp;Catalog!T213,IF(Catalog!U213&lt;&gt;"","ISSN:"&amp;Catalog!U213,"ACC:"&amp;Catalog!B213))</f>
        <v>ACC:</v>
      </c>
      <c r="J240" s="16">
        <f>Catalog!L213</f>
        <v>0</v>
      </c>
      <c r="K240" s="16">
        <f>IF(Catalog!AH213&lt;&gt;"",Catalog!AH213,Catalog!AF213)</f>
        <v>0</v>
      </c>
      <c r="L240" s="16">
        <f>Catalog!AE213</f>
        <v>0</v>
      </c>
      <c r="M240" s="16">
        <f>Catalog!W213</f>
        <v>0</v>
      </c>
      <c r="N240" s="16">
        <f>Catalog!R213</f>
        <v>0</v>
      </c>
      <c r="O240" s="16">
        <f>Catalog!AG213</f>
        <v>0</v>
      </c>
    </row>
    <row r="241" spans="1:15" ht="15.75" x14ac:dyDescent="0.25">
      <c r="A241" s="16">
        <f>Catalog!D214</f>
        <v>0</v>
      </c>
      <c r="B241" s="16">
        <f>Catalog!F214</f>
        <v>0</v>
      </c>
      <c r="C241" s="16" t="str">
        <f>IF(Catalog!I214="","",Catalog!I214)&amp;IF(AND(Catalog!I214&lt;&gt;"",Catalog!J214&lt;&gt;""),"; ","")&amp;IF(Catalog!J214="","",Catalog!J214)</f>
        <v/>
      </c>
      <c r="D241" s="16">
        <f>Catalog!Q214</f>
        <v>0</v>
      </c>
      <c r="E241" s="16">
        <f>Catalog!S214</f>
        <v>0</v>
      </c>
      <c r="F241" s="16">
        <f>Catalog!N214</f>
        <v>0</v>
      </c>
      <c r="G241" s="16" t="str">
        <f>Catalog!K214&amp;" / "&amp;Catalog!M214</f>
        <v xml:space="preserve"> / </v>
      </c>
      <c r="H241" s="16" t="str">
        <f t="shared" si="3"/>
        <v>Print</v>
      </c>
      <c r="I241" s="16" t="str">
        <f>IF(Catalog!T214&lt;&gt;"","ISBN:"&amp;Catalog!T214,IF(Catalog!U214&lt;&gt;"","ISSN:"&amp;Catalog!U214,"ACC:"&amp;Catalog!B214))</f>
        <v>ACC:</v>
      </c>
      <c r="J241" s="16">
        <f>Catalog!L214</f>
        <v>0</v>
      </c>
      <c r="K241" s="16">
        <f>IF(Catalog!AH214&lt;&gt;"",Catalog!AH214,Catalog!AF214)</f>
        <v>0</v>
      </c>
      <c r="L241" s="16">
        <f>Catalog!AE214</f>
        <v>0</v>
      </c>
      <c r="M241" s="16">
        <f>Catalog!W214</f>
        <v>0</v>
      </c>
      <c r="N241" s="16">
        <f>Catalog!R214</f>
        <v>0</v>
      </c>
      <c r="O241" s="16">
        <f>Catalog!AG214</f>
        <v>0</v>
      </c>
    </row>
    <row r="242" spans="1:15" ht="15.75" x14ac:dyDescent="0.25">
      <c r="A242" s="16">
        <f>Catalog!D215</f>
        <v>0</v>
      </c>
      <c r="B242" s="16">
        <f>Catalog!F215</f>
        <v>0</v>
      </c>
      <c r="C242" s="16" t="str">
        <f>IF(Catalog!I215="","",Catalog!I215)&amp;IF(AND(Catalog!I215&lt;&gt;"",Catalog!J215&lt;&gt;""),"; ","")&amp;IF(Catalog!J215="","",Catalog!J215)</f>
        <v/>
      </c>
      <c r="D242" s="16">
        <f>Catalog!Q215</f>
        <v>0</v>
      </c>
      <c r="E242" s="16">
        <f>Catalog!S215</f>
        <v>0</v>
      </c>
      <c r="F242" s="16">
        <f>Catalog!N215</f>
        <v>0</v>
      </c>
      <c r="G242" s="16" t="str">
        <f>Catalog!K215&amp;" / "&amp;Catalog!M215</f>
        <v xml:space="preserve"> / </v>
      </c>
      <c r="H242" s="16" t="str">
        <f t="shared" si="3"/>
        <v>Print</v>
      </c>
      <c r="I242" s="16" t="str">
        <f>IF(Catalog!T215&lt;&gt;"","ISBN:"&amp;Catalog!T215,IF(Catalog!U215&lt;&gt;"","ISSN:"&amp;Catalog!U215,"ACC:"&amp;Catalog!B215))</f>
        <v>ACC:</v>
      </c>
      <c r="J242" s="16">
        <f>Catalog!L215</f>
        <v>0</v>
      </c>
      <c r="K242" s="16">
        <f>IF(Catalog!AH215&lt;&gt;"",Catalog!AH215,Catalog!AF215)</f>
        <v>0</v>
      </c>
      <c r="L242" s="16">
        <f>Catalog!AE215</f>
        <v>0</v>
      </c>
      <c r="M242" s="16">
        <f>Catalog!W215</f>
        <v>0</v>
      </c>
      <c r="N242" s="16">
        <f>Catalog!R215</f>
        <v>0</v>
      </c>
      <c r="O242" s="16">
        <f>Catalog!AG215</f>
        <v>0</v>
      </c>
    </row>
    <row r="243" spans="1:15" ht="15.75" x14ac:dyDescent="0.25">
      <c r="A243" s="16">
        <f>Catalog!D216</f>
        <v>0</v>
      </c>
      <c r="B243" s="16">
        <f>Catalog!F216</f>
        <v>0</v>
      </c>
      <c r="C243" s="16" t="str">
        <f>IF(Catalog!I216="","",Catalog!I216)&amp;IF(AND(Catalog!I216&lt;&gt;"",Catalog!J216&lt;&gt;""),"; ","")&amp;IF(Catalog!J216="","",Catalog!J216)</f>
        <v/>
      </c>
      <c r="D243" s="16">
        <f>Catalog!Q216</f>
        <v>0</v>
      </c>
      <c r="E243" s="16">
        <f>Catalog!S216</f>
        <v>0</v>
      </c>
      <c r="F243" s="16">
        <f>Catalog!N216</f>
        <v>0</v>
      </c>
      <c r="G243" s="16" t="str">
        <f>Catalog!K216&amp;" / "&amp;Catalog!M216</f>
        <v xml:space="preserve"> / </v>
      </c>
      <c r="H243" s="16" t="str">
        <f t="shared" si="3"/>
        <v>Print</v>
      </c>
      <c r="I243" s="16" t="str">
        <f>IF(Catalog!T216&lt;&gt;"","ISBN:"&amp;Catalog!T216,IF(Catalog!U216&lt;&gt;"","ISSN:"&amp;Catalog!U216,"ACC:"&amp;Catalog!B216))</f>
        <v>ACC:</v>
      </c>
      <c r="J243" s="16">
        <f>Catalog!L216</f>
        <v>0</v>
      </c>
      <c r="K243" s="16">
        <f>IF(Catalog!AH216&lt;&gt;"",Catalog!AH216,Catalog!AF216)</f>
        <v>0</v>
      </c>
      <c r="L243" s="16">
        <f>Catalog!AE216</f>
        <v>0</v>
      </c>
      <c r="M243" s="16">
        <f>Catalog!W216</f>
        <v>0</v>
      </c>
      <c r="N243" s="16">
        <f>Catalog!R216</f>
        <v>0</v>
      </c>
      <c r="O243" s="16">
        <f>Catalog!AG216</f>
        <v>0</v>
      </c>
    </row>
    <row r="244" spans="1:15" ht="15.75" x14ac:dyDescent="0.25">
      <c r="A244" s="16">
        <f>Catalog!D217</f>
        <v>0</v>
      </c>
      <c r="B244" s="16">
        <f>Catalog!F217</f>
        <v>0</v>
      </c>
      <c r="C244" s="16" t="str">
        <f>IF(Catalog!I217="","",Catalog!I217)&amp;IF(AND(Catalog!I217&lt;&gt;"",Catalog!J217&lt;&gt;""),"; ","")&amp;IF(Catalog!J217="","",Catalog!J217)</f>
        <v/>
      </c>
      <c r="D244" s="16">
        <f>Catalog!Q217</f>
        <v>0</v>
      </c>
      <c r="E244" s="16">
        <f>Catalog!S217</f>
        <v>0</v>
      </c>
      <c r="F244" s="16">
        <f>Catalog!N217</f>
        <v>0</v>
      </c>
      <c r="G244" s="16" t="str">
        <f>Catalog!K217&amp;" / "&amp;Catalog!M217</f>
        <v xml:space="preserve"> / </v>
      </c>
      <c r="H244" s="16" t="str">
        <f t="shared" si="3"/>
        <v>Print</v>
      </c>
      <c r="I244" s="16" t="str">
        <f>IF(Catalog!T217&lt;&gt;"","ISBN:"&amp;Catalog!T217,IF(Catalog!U217&lt;&gt;"","ISSN:"&amp;Catalog!U217,"ACC:"&amp;Catalog!B217))</f>
        <v>ACC:</v>
      </c>
      <c r="J244" s="16">
        <f>Catalog!L217</f>
        <v>0</v>
      </c>
      <c r="K244" s="16">
        <f>IF(Catalog!AH217&lt;&gt;"",Catalog!AH217,Catalog!AF217)</f>
        <v>0</v>
      </c>
      <c r="L244" s="16">
        <f>Catalog!AE217</f>
        <v>0</v>
      </c>
      <c r="M244" s="16">
        <f>Catalog!W217</f>
        <v>0</v>
      </c>
      <c r="N244" s="16">
        <f>Catalog!R217</f>
        <v>0</v>
      </c>
      <c r="O244" s="16">
        <f>Catalog!AG217</f>
        <v>0</v>
      </c>
    </row>
    <row r="245" spans="1:15" ht="15.75" x14ac:dyDescent="0.25">
      <c r="A245" s="16">
        <f>Catalog!D218</f>
        <v>0</v>
      </c>
      <c r="B245" s="16">
        <f>Catalog!F218</f>
        <v>0</v>
      </c>
      <c r="C245" s="16" t="str">
        <f>IF(Catalog!I218="","",Catalog!I218)&amp;IF(AND(Catalog!I218&lt;&gt;"",Catalog!J218&lt;&gt;""),"; ","")&amp;IF(Catalog!J218="","",Catalog!J218)</f>
        <v/>
      </c>
      <c r="D245" s="16">
        <f>Catalog!Q218</f>
        <v>0</v>
      </c>
      <c r="E245" s="16">
        <f>Catalog!S218</f>
        <v>0</v>
      </c>
      <c r="F245" s="16">
        <f>Catalog!N218</f>
        <v>0</v>
      </c>
      <c r="G245" s="16" t="str">
        <f>Catalog!K218&amp;" / "&amp;Catalog!M218</f>
        <v xml:space="preserve"> / </v>
      </c>
      <c r="H245" s="16" t="str">
        <f t="shared" si="3"/>
        <v>Print</v>
      </c>
      <c r="I245" s="16" t="str">
        <f>IF(Catalog!T218&lt;&gt;"","ISBN:"&amp;Catalog!T218,IF(Catalog!U218&lt;&gt;"","ISSN:"&amp;Catalog!U218,"ACC:"&amp;Catalog!B218))</f>
        <v>ACC:</v>
      </c>
      <c r="J245" s="16">
        <f>Catalog!L218</f>
        <v>0</v>
      </c>
      <c r="K245" s="16">
        <f>IF(Catalog!AH218&lt;&gt;"",Catalog!AH218,Catalog!AF218)</f>
        <v>0</v>
      </c>
      <c r="L245" s="16">
        <f>Catalog!AE218</f>
        <v>0</v>
      </c>
      <c r="M245" s="16">
        <f>Catalog!W218</f>
        <v>0</v>
      </c>
      <c r="N245" s="16">
        <f>Catalog!R218</f>
        <v>0</v>
      </c>
      <c r="O245" s="16">
        <f>Catalog!AG218</f>
        <v>0</v>
      </c>
    </row>
    <row r="246" spans="1:15" ht="15.75" x14ac:dyDescent="0.25">
      <c r="A246" s="16">
        <f>Catalog!D219</f>
        <v>0</v>
      </c>
      <c r="B246" s="16">
        <f>Catalog!F219</f>
        <v>0</v>
      </c>
      <c r="C246" s="16" t="str">
        <f>IF(Catalog!I219="","",Catalog!I219)&amp;IF(AND(Catalog!I219&lt;&gt;"",Catalog!J219&lt;&gt;""),"; ","")&amp;IF(Catalog!J219="","",Catalog!J219)</f>
        <v/>
      </c>
      <c r="D246" s="16">
        <f>Catalog!Q219</f>
        <v>0</v>
      </c>
      <c r="E246" s="16">
        <f>Catalog!S219</f>
        <v>0</v>
      </c>
      <c r="F246" s="16">
        <f>Catalog!N219</f>
        <v>0</v>
      </c>
      <c r="G246" s="16" t="str">
        <f>Catalog!K219&amp;" / "&amp;Catalog!M219</f>
        <v xml:space="preserve"> / </v>
      </c>
      <c r="H246" s="16" t="str">
        <f t="shared" si="3"/>
        <v>Print</v>
      </c>
      <c r="I246" s="16" t="str">
        <f>IF(Catalog!T219&lt;&gt;"","ISBN:"&amp;Catalog!T219,IF(Catalog!U219&lt;&gt;"","ISSN:"&amp;Catalog!U219,"ACC:"&amp;Catalog!B219))</f>
        <v>ACC:</v>
      </c>
      <c r="J246" s="16">
        <f>Catalog!L219</f>
        <v>0</v>
      </c>
      <c r="K246" s="16">
        <f>IF(Catalog!AH219&lt;&gt;"",Catalog!AH219,Catalog!AF219)</f>
        <v>0</v>
      </c>
      <c r="L246" s="16">
        <f>Catalog!AE219</f>
        <v>0</v>
      </c>
      <c r="M246" s="16">
        <f>Catalog!W219</f>
        <v>0</v>
      </c>
      <c r="N246" s="16">
        <f>Catalog!R219</f>
        <v>0</v>
      </c>
      <c r="O246" s="16">
        <f>Catalog!AG219</f>
        <v>0</v>
      </c>
    </row>
    <row r="247" spans="1:15" ht="15.75" x14ac:dyDescent="0.25">
      <c r="A247" s="16">
        <f>Catalog!D220</f>
        <v>0</v>
      </c>
      <c r="B247" s="16">
        <f>Catalog!F220</f>
        <v>0</v>
      </c>
      <c r="C247" s="16" t="str">
        <f>IF(Catalog!I220="","",Catalog!I220)&amp;IF(AND(Catalog!I220&lt;&gt;"",Catalog!J220&lt;&gt;""),"; ","")&amp;IF(Catalog!J220="","",Catalog!J220)</f>
        <v/>
      </c>
      <c r="D247" s="16">
        <f>Catalog!Q220</f>
        <v>0</v>
      </c>
      <c r="E247" s="16">
        <f>Catalog!S220</f>
        <v>0</v>
      </c>
      <c r="F247" s="16">
        <f>Catalog!N220</f>
        <v>0</v>
      </c>
      <c r="G247" s="16" t="str">
        <f>Catalog!K220&amp;" / "&amp;Catalog!M220</f>
        <v xml:space="preserve"> / </v>
      </c>
      <c r="H247" s="16" t="str">
        <f t="shared" si="3"/>
        <v>Print</v>
      </c>
      <c r="I247" s="16" t="str">
        <f>IF(Catalog!T220&lt;&gt;"","ISBN:"&amp;Catalog!T220,IF(Catalog!U220&lt;&gt;"","ISSN:"&amp;Catalog!U220,"ACC:"&amp;Catalog!B220))</f>
        <v>ACC:</v>
      </c>
      <c r="J247" s="16">
        <f>Catalog!L220</f>
        <v>0</v>
      </c>
      <c r="K247" s="16">
        <f>IF(Catalog!AH220&lt;&gt;"",Catalog!AH220,Catalog!AF220)</f>
        <v>0</v>
      </c>
      <c r="L247" s="16">
        <f>Catalog!AE220</f>
        <v>0</v>
      </c>
      <c r="M247" s="16">
        <f>Catalog!W220</f>
        <v>0</v>
      </c>
      <c r="N247" s="16">
        <f>Catalog!R220</f>
        <v>0</v>
      </c>
      <c r="O247" s="16">
        <f>Catalog!AG220</f>
        <v>0</v>
      </c>
    </row>
    <row r="248" spans="1:15" ht="15.75" x14ac:dyDescent="0.25">
      <c r="A248" s="16">
        <f>Catalog!D221</f>
        <v>0</v>
      </c>
      <c r="B248" s="16">
        <f>Catalog!F221</f>
        <v>0</v>
      </c>
      <c r="C248" s="16" t="str">
        <f>IF(Catalog!I221="","",Catalog!I221)&amp;IF(AND(Catalog!I221&lt;&gt;"",Catalog!J221&lt;&gt;""),"; ","")&amp;IF(Catalog!J221="","",Catalog!J221)</f>
        <v/>
      </c>
      <c r="D248" s="16">
        <f>Catalog!Q221</f>
        <v>0</v>
      </c>
      <c r="E248" s="16">
        <f>Catalog!S221</f>
        <v>0</v>
      </c>
      <c r="F248" s="16">
        <f>Catalog!N221</f>
        <v>0</v>
      </c>
      <c r="G248" s="16" t="str">
        <f>Catalog!K221&amp;" / "&amp;Catalog!M221</f>
        <v xml:space="preserve"> / </v>
      </c>
      <c r="H248" s="16" t="str">
        <f t="shared" si="3"/>
        <v>Print</v>
      </c>
      <c r="I248" s="16" t="str">
        <f>IF(Catalog!T221&lt;&gt;"","ISBN:"&amp;Catalog!T221,IF(Catalog!U221&lt;&gt;"","ISSN:"&amp;Catalog!U221,"ACC:"&amp;Catalog!B221))</f>
        <v>ACC:</v>
      </c>
      <c r="J248" s="16">
        <f>Catalog!L221</f>
        <v>0</v>
      </c>
      <c r="K248" s="16">
        <f>IF(Catalog!AH221&lt;&gt;"",Catalog!AH221,Catalog!AF221)</f>
        <v>0</v>
      </c>
      <c r="L248" s="16">
        <f>Catalog!AE221</f>
        <v>0</v>
      </c>
      <c r="M248" s="16">
        <f>Catalog!W221</f>
        <v>0</v>
      </c>
      <c r="N248" s="16">
        <f>Catalog!R221</f>
        <v>0</v>
      </c>
      <c r="O248" s="16">
        <f>Catalog!AG221</f>
        <v>0</v>
      </c>
    </row>
    <row r="249" spans="1:15" ht="15.75" x14ac:dyDescent="0.25">
      <c r="A249" s="16">
        <f>Catalog!D222</f>
        <v>0</v>
      </c>
      <c r="B249" s="16">
        <f>Catalog!F222</f>
        <v>0</v>
      </c>
      <c r="C249" s="16" t="str">
        <f>IF(Catalog!I222="","",Catalog!I222)&amp;IF(AND(Catalog!I222&lt;&gt;"",Catalog!J222&lt;&gt;""),"; ","")&amp;IF(Catalog!J222="","",Catalog!J222)</f>
        <v/>
      </c>
      <c r="D249" s="16">
        <f>Catalog!Q222</f>
        <v>0</v>
      </c>
      <c r="E249" s="16">
        <f>Catalog!S222</f>
        <v>0</v>
      </c>
      <c r="F249" s="16">
        <f>Catalog!N222</f>
        <v>0</v>
      </c>
      <c r="G249" s="16" t="str">
        <f>Catalog!K222&amp;" / "&amp;Catalog!M222</f>
        <v xml:space="preserve"> / </v>
      </c>
      <c r="H249" s="16" t="str">
        <f t="shared" si="3"/>
        <v>Print</v>
      </c>
      <c r="I249" s="16" t="str">
        <f>IF(Catalog!T222&lt;&gt;"","ISBN:"&amp;Catalog!T222,IF(Catalog!U222&lt;&gt;"","ISSN:"&amp;Catalog!U222,"ACC:"&amp;Catalog!B222))</f>
        <v>ACC:</v>
      </c>
      <c r="J249" s="16">
        <f>Catalog!L222</f>
        <v>0</v>
      </c>
      <c r="K249" s="16">
        <f>IF(Catalog!AH222&lt;&gt;"",Catalog!AH222,Catalog!AF222)</f>
        <v>0</v>
      </c>
      <c r="L249" s="16">
        <f>Catalog!AE222</f>
        <v>0</v>
      </c>
      <c r="M249" s="16">
        <f>Catalog!W222</f>
        <v>0</v>
      </c>
      <c r="N249" s="16">
        <f>Catalog!R222</f>
        <v>0</v>
      </c>
      <c r="O249" s="16">
        <f>Catalog!AG222</f>
        <v>0</v>
      </c>
    </row>
    <row r="250" spans="1:15" ht="15.75" x14ac:dyDescent="0.25">
      <c r="A250" s="16">
        <f>Catalog!D223</f>
        <v>0</v>
      </c>
      <c r="B250" s="16">
        <f>Catalog!F223</f>
        <v>0</v>
      </c>
      <c r="C250" s="16" t="str">
        <f>IF(Catalog!I223="","",Catalog!I223)&amp;IF(AND(Catalog!I223&lt;&gt;"",Catalog!J223&lt;&gt;""),"; ","")&amp;IF(Catalog!J223="","",Catalog!J223)</f>
        <v/>
      </c>
      <c r="D250" s="16">
        <f>Catalog!Q223</f>
        <v>0</v>
      </c>
      <c r="E250" s="16">
        <f>Catalog!S223</f>
        <v>0</v>
      </c>
      <c r="F250" s="16">
        <f>Catalog!N223</f>
        <v>0</v>
      </c>
      <c r="G250" s="16" t="str">
        <f>Catalog!K223&amp;" / "&amp;Catalog!M223</f>
        <v xml:space="preserve"> / </v>
      </c>
      <c r="H250" s="16" t="str">
        <f t="shared" si="3"/>
        <v>Print</v>
      </c>
      <c r="I250" s="16" t="str">
        <f>IF(Catalog!T223&lt;&gt;"","ISBN:"&amp;Catalog!T223,IF(Catalog!U223&lt;&gt;"","ISSN:"&amp;Catalog!U223,"ACC:"&amp;Catalog!B223))</f>
        <v>ACC:</v>
      </c>
      <c r="J250" s="16">
        <f>Catalog!L223</f>
        <v>0</v>
      </c>
      <c r="K250" s="16">
        <f>IF(Catalog!AH223&lt;&gt;"",Catalog!AH223,Catalog!AF223)</f>
        <v>0</v>
      </c>
      <c r="L250" s="16">
        <f>Catalog!AE223</f>
        <v>0</v>
      </c>
      <c r="M250" s="16">
        <f>Catalog!W223</f>
        <v>0</v>
      </c>
      <c r="N250" s="16">
        <f>Catalog!R223</f>
        <v>0</v>
      </c>
      <c r="O250" s="16">
        <f>Catalog!AG223</f>
        <v>0</v>
      </c>
    </row>
    <row r="251" spans="1:15" ht="15.75" x14ac:dyDescent="0.25">
      <c r="A251" s="16">
        <f>Catalog!D224</f>
        <v>0</v>
      </c>
      <c r="B251" s="16">
        <f>Catalog!F224</f>
        <v>0</v>
      </c>
      <c r="C251" s="16" t="str">
        <f>IF(Catalog!I224="","",Catalog!I224)&amp;IF(AND(Catalog!I224&lt;&gt;"",Catalog!J224&lt;&gt;""),"; ","")&amp;IF(Catalog!J224="","",Catalog!J224)</f>
        <v/>
      </c>
      <c r="D251" s="16">
        <f>Catalog!Q224</f>
        <v>0</v>
      </c>
      <c r="E251" s="16">
        <f>Catalog!S224</f>
        <v>0</v>
      </c>
      <c r="F251" s="16">
        <f>Catalog!N224</f>
        <v>0</v>
      </c>
      <c r="G251" s="16" t="str">
        <f>Catalog!K224&amp;" / "&amp;Catalog!M224</f>
        <v xml:space="preserve"> / </v>
      </c>
      <c r="H251" s="16" t="str">
        <f t="shared" si="3"/>
        <v>Print</v>
      </c>
      <c r="I251" s="16" t="str">
        <f>IF(Catalog!T224&lt;&gt;"","ISBN:"&amp;Catalog!T224,IF(Catalog!U224&lt;&gt;"","ISSN:"&amp;Catalog!U224,"ACC:"&amp;Catalog!B224))</f>
        <v>ACC:</v>
      </c>
      <c r="J251" s="16">
        <f>Catalog!L224</f>
        <v>0</v>
      </c>
      <c r="K251" s="16">
        <f>IF(Catalog!AH224&lt;&gt;"",Catalog!AH224,Catalog!AF224)</f>
        <v>0</v>
      </c>
      <c r="L251" s="16">
        <f>Catalog!AE224</f>
        <v>0</v>
      </c>
      <c r="M251" s="16">
        <f>Catalog!W224</f>
        <v>0</v>
      </c>
      <c r="N251" s="16">
        <f>Catalog!R224</f>
        <v>0</v>
      </c>
      <c r="O251" s="16">
        <f>Catalog!AG224</f>
        <v>0</v>
      </c>
    </row>
    <row r="252" spans="1:15" ht="15.75" x14ac:dyDescent="0.25">
      <c r="A252" s="16">
        <f>Catalog!D225</f>
        <v>0</v>
      </c>
      <c r="B252" s="16">
        <f>Catalog!F225</f>
        <v>0</v>
      </c>
      <c r="C252" s="16" t="str">
        <f>IF(Catalog!I225="","",Catalog!I225)&amp;IF(AND(Catalog!I225&lt;&gt;"",Catalog!J225&lt;&gt;""),"; ","")&amp;IF(Catalog!J225="","",Catalog!J225)</f>
        <v/>
      </c>
      <c r="D252" s="16">
        <f>Catalog!Q225</f>
        <v>0</v>
      </c>
      <c r="E252" s="16">
        <f>Catalog!S225</f>
        <v>0</v>
      </c>
      <c r="F252" s="16">
        <f>Catalog!N225</f>
        <v>0</v>
      </c>
      <c r="G252" s="16" t="str">
        <f>Catalog!K225&amp;" / "&amp;Catalog!M225</f>
        <v xml:space="preserve"> / </v>
      </c>
      <c r="H252" s="16" t="str">
        <f t="shared" si="3"/>
        <v>Print</v>
      </c>
      <c r="I252" s="16" t="str">
        <f>IF(Catalog!T225&lt;&gt;"","ISBN:"&amp;Catalog!T225,IF(Catalog!U225&lt;&gt;"","ISSN:"&amp;Catalog!U225,"ACC:"&amp;Catalog!B225))</f>
        <v>ACC:</v>
      </c>
      <c r="J252" s="16">
        <f>Catalog!L225</f>
        <v>0</v>
      </c>
      <c r="K252" s="16">
        <f>IF(Catalog!AH225&lt;&gt;"",Catalog!AH225,Catalog!AF225)</f>
        <v>0</v>
      </c>
      <c r="L252" s="16">
        <f>Catalog!AE225</f>
        <v>0</v>
      </c>
      <c r="M252" s="16">
        <f>Catalog!W225</f>
        <v>0</v>
      </c>
      <c r="N252" s="16">
        <f>Catalog!R225</f>
        <v>0</v>
      </c>
      <c r="O252" s="16">
        <f>Catalog!AG225</f>
        <v>0</v>
      </c>
    </row>
    <row r="253" spans="1:15" ht="15.75" x14ac:dyDescent="0.25">
      <c r="A253" s="16">
        <f>Catalog!D226</f>
        <v>0</v>
      </c>
      <c r="B253" s="16">
        <f>Catalog!F226</f>
        <v>0</v>
      </c>
      <c r="C253" s="16" t="str">
        <f>IF(Catalog!I226="","",Catalog!I226)&amp;IF(AND(Catalog!I226&lt;&gt;"",Catalog!J226&lt;&gt;""),"; ","")&amp;IF(Catalog!J226="","",Catalog!J226)</f>
        <v/>
      </c>
      <c r="D253" s="16">
        <f>Catalog!Q226</f>
        <v>0</v>
      </c>
      <c r="E253" s="16">
        <f>Catalog!S226</f>
        <v>0</v>
      </c>
      <c r="F253" s="16">
        <f>Catalog!N226</f>
        <v>0</v>
      </c>
      <c r="G253" s="16" t="str">
        <f>Catalog!K226&amp;" / "&amp;Catalog!M226</f>
        <v xml:space="preserve"> / </v>
      </c>
      <c r="H253" s="16" t="str">
        <f t="shared" si="3"/>
        <v>Print</v>
      </c>
      <c r="I253" s="16" t="str">
        <f>IF(Catalog!T226&lt;&gt;"","ISBN:"&amp;Catalog!T226,IF(Catalog!U226&lt;&gt;"","ISSN:"&amp;Catalog!U226,"ACC:"&amp;Catalog!B226))</f>
        <v>ACC:</v>
      </c>
      <c r="J253" s="16">
        <f>Catalog!L226</f>
        <v>0</v>
      </c>
      <c r="K253" s="16">
        <f>IF(Catalog!AH226&lt;&gt;"",Catalog!AH226,Catalog!AF226)</f>
        <v>0</v>
      </c>
      <c r="L253" s="16">
        <f>Catalog!AE226</f>
        <v>0</v>
      </c>
      <c r="M253" s="16">
        <f>Catalog!W226</f>
        <v>0</v>
      </c>
      <c r="N253" s="16">
        <f>Catalog!R226</f>
        <v>0</v>
      </c>
      <c r="O253" s="16">
        <f>Catalog!AG226</f>
        <v>0</v>
      </c>
    </row>
    <row r="254" spans="1:15" ht="15.75" x14ac:dyDescent="0.25">
      <c r="A254" s="16">
        <f>Catalog!D227</f>
        <v>0</v>
      </c>
      <c r="B254" s="16">
        <f>Catalog!F227</f>
        <v>0</v>
      </c>
      <c r="C254" s="16" t="str">
        <f>IF(Catalog!I227="","",Catalog!I227)&amp;IF(AND(Catalog!I227&lt;&gt;"",Catalog!J227&lt;&gt;""),"; ","")&amp;IF(Catalog!J227="","",Catalog!J227)</f>
        <v/>
      </c>
      <c r="D254" s="16">
        <f>Catalog!Q227</f>
        <v>0</v>
      </c>
      <c r="E254" s="16">
        <f>Catalog!S227</f>
        <v>0</v>
      </c>
      <c r="F254" s="16">
        <f>Catalog!N227</f>
        <v>0</v>
      </c>
      <c r="G254" s="16" t="str">
        <f>Catalog!K227&amp;" / "&amp;Catalog!M227</f>
        <v xml:space="preserve"> / </v>
      </c>
      <c r="H254" s="16" t="str">
        <f t="shared" si="3"/>
        <v>Print</v>
      </c>
      <c r="I254" s="16" t="str">
        <f>IF(Catalog!T227&lt;&gt;"","ISBN:"&amp;Catalog!T227,IF(Catalog!U227&lt;&gt;"","ISSN:"&amp;Catalog!U227,"ACC:"&amp;Catalog!B227))</f>
        <v>ACC:</v>
      </c>
      <c r="J254" s="16">
        <f>Catalog!L227</f>
        <v>0</v>
      </c>
      <c r="K254" s="16">
        <f>IF(Catalog!AH227&lt;&gt;"",Catalog!AH227,Catalog!AF227)</f>
        <v>0</v>
      </c>
      <c r="L254" s="16">
        <f>Catalog!AE227</f>
        <v>0</v>
      </c>
      <c r="M254" s="16">
        <f>Catalog!W227</f>
        <v>0</v>
      </c>
      <c r="N254" s="16">
        <f>Catalog!R227</f>
        <v>0</v>
      </c>
      <c r="O254" s="16">
        <f>Catalog!AG227</f>
        <v>0</v>
      </c>
    </row>
    <row r="255" spans="1:15" ht="15.75" x14ac:dyDescent="0.25">
      <c r="A255" s="16">
        <f>Catalog!D228</f>
        <v>0</v>
      </c>
      <c r="B255" s="16">
        <f>Catalog!F228</f>
        <v>0</v>
      </c>
      <c r="C255" s="16" t="str">
        <f>IF(Catalog!I228="","",Catalog!I228)&amp;IF(AND(Catalog!I228&lt;&gt;"",Catalog!J228&lt;&gt;""),"; ","")&amp;IF(Catalog!J228="","",Catalog!J228)</f>
        <v/>
      </c>
      <c r="D255" s="16">
        <f>Catalog!Q228</f>
        <v>0</v>
      </c>
      <c r="E255" s="16">
        <f>Catalog!S228</f>
        <v>0</v>
      </c>
      <c r="F255" s="16">
        <f>Catalog!N228</f>
        <v>0</v>
      </c>
      <c r="G255" s="16" t="str">
        <f>Catalog!K228&amp;" / "&amp;Catalog!M228</f>
        <v xml:space="preserve"> / </v>
      </c>
      <c r="H255" s="16" t="str">
        <f t="shared" si="3"/>
        <v>Print</v>
      </c>
      <c r="I255" s="16" t="str">
        <f>IF(Catalog!T228&lt;&gt;"","ISBN:"&amp;Catalog!T228,IF(Catalog!U228&lt;&gt;"","ISSN:"&amp;Catalog!U228,"ACC:"&amp;Catalog!B228))</f>
        <v>ACC:</v>
      </c>
      <c r="J255" s="16">
        <f>Catalog!L228</f>
        <v>0</v>
      </c>
      <c r="K255" s="16">
        <f>IF(Catalog!AH228&lt;&gt;"",Catalog!AH228,Catalog!AF228)</f>
        <v>0</v>
      </c>
      <c r="L255" s="16">
        <f>Catalog!AE228</f>
        <v>0</v>
      </c>
      <c r="M255" s="16">
        <f>Catalog!W228</f>
        <v>0</v>
      </c>
      <c r="N255" s="16">
        <f>Catalog!R228</f>
        <v>0</v>
      </c>
      <c r="O255" s="16">
        <f>Catalog!AG228</f>
        <v>0</v>
      </c>
    </row>
    <row r="256" spans="1:15" ht="15.75" x14ac:dyDescent="0.25">
      <c r="A256" s="16">
        <f>Catalog!D229</f>
        <v>0</v>
      </c>
      <c r="B256" s="16">
        <f>Catalog!F229</f>
        <v>0</v>
      </c>
      <c r="C256" s="16" t="str">
        <f>IF(Catalog!I229="","",Catalog!I229)&amp;IF(AND(Catalog!I229&lt;&gt;"",Catalog!J229&lt;&gt;""),"; ","")&amp;IF(Catalog!J229="","",Catalog!J229)</f>
        <v/>
      </c>
      <c r="D256" s="16">
        <f>Catalog!Q229</f>
        <v>0</v>
      </c>
      <c r="E256" s="16">
        <f>Catalog!S229</f>
        <v>0</v>
      </c>
      <c r="F256" s="16">
        <f>Catalog!N229</f>
        <v>0</v>
      </c>
      <c r="G256" s="16" t="str">
        <f>Catalog!K229&amp;" / "&amp;Catalog!M229</f>
        <v xml:space="preserve"> / </v>
      </c>
      <c r="H256" s="16" t="str">
        <f t="shared" si="3"/>
        <v>Print</v>
      </c>
      <c r="I256" s="16" t="str">
        <f>IF(Catalog!T229&lt;&gt;"","ISBN:"&amp;Catalog!T229,IF(Catalog!U229&lt;&gt;"","ISSN:"&amp;Catalog!U229,"ACC:"&amp;Catalog!B229))</f>
        <v>ACC:</v>
      </c>
      <c r="J256" s="16">
        <f>Catalog!L229</f>
        <v>0</v>
      </c>
      <c r="K256" s="16">
        <f>IF(Catalog!AH229&lt;&gt;"",Catalog!AH229,Catalog!AF229)</f>
        <v>0</v>
      </c>
      <c r="L256" s="16">
        <f>Catalog!AE229</f>
        <v>0</v>
      </c>
      <c r="M256" s="16">
        <f>Catalog!W229</f>
        <v>0</v>
      </c>
      <c r="N256" s="16">
        <f>Catalog!R229</f>
        <v>0</v>
      </c>
      <c r="O256" s="16">
        <f>Catalog!AG229</f>
        <v>0</v>
      </c>
    </row>
    <row r="257" spans="1:15" ht="15.75" x14ac:dyDescent="0.25">
      <c r="A257" s="16">
        <f>Catalog!D230</f>
        <v>0</v>
      </c>
      <c r="B257" s="16">
        <f>Catalog!F230</f>
        <v>0</v>
      </c>
      <c r="C257" s="16" t="str">
        <f>IF(Catalog!I230="","",Catalog!I230)&amp;IF(AND(Catalog!I230&lt;&gt;"",Catalog!J230&lt;&gt;""),"; ","")&amp;IF(Catalog!J230="","",Catalog!J230)</f>
        <v/>
      </c>
      <c r="D257" s="16">
        <f>Catalog!Q230</f>
        <v>0</v>
      </c>
      <c r="E257" s="16">
        <f>Catalog!S230</f>
        <v>0</v>
      </c>
      <c r="F257" s="16">
        <f>Catalog!N230</f>
        <v>0</v>
      </c>
      <c r="G257" s="16" t="str">
        <f>Catalog!K230&amp;" / "&amp;Catalog!M230</f>
        <v xml:space="preserve"> / </v>
      </c>
      <c r="H257" s="16" t="str">
        <f t="shared" si="3"/>
        <v>Print</v>
      </c>
      <c r="I257" s="16" t="str">
        <f>IF(Catalog!T230&lt;&gt;"","ISBN:"&amp;Catalog!T230,IF(Catalog!U230&lt;&gt;"","ISSN:"&amp;Catalog!U230,"ACC:"&amp;Catalog!B230))</f>
        <v>ACC:</v>
      </c>
      <c r="J257" s="16">
        <f>Catalog!L230</f>
        <v>0</v>
      </c>
      <c r="K257" s="16">
        <f>IF(Catalog!AH230&lt;&gt;"",Catalog!AH230,Catalog!AF230)</f>
        <v>0</v>
      </c>
      <c r="L257" s="16">
        <f>Catalog!AE230</f>
        <v>0</v>
      </c>
      <c r="M257" s="16">
        <f>Catalog!W230</f>
        <v>0</v>
      </c>
      <c r="N257" s="16">
        <f>Catalog!R230</f>
        <v>0</v>
      </c>
      <c r="O257" s="16">
        <f>Catalog!AG230</f>
        <v>0</v>
      </c>
    </row>
    <row r="258" spans="1:15" ht="15.75" x14ac:dyDescent="0.25">
      <c r="A258" s="16">
        <f>Catalog!D231</f>
        <v>0</v>
      </c>
      <c r="B258" s="16">
        <f>Catalog!F231</f>
        <v>0</v>
      </c>
      <c r="C258" s="16" t="str">
        <f>IF(Catalog!I231="","",Catalog!I231)&amp;IF(AND(Catalog!I231&lt;&gt;"",Catalog!J231&lt;&gt;""),"; ","")&amp;IF(Catalog!J231="","",Catalog!J231)</f>
        <v/>
      </c>
      <c r="D258" s="16">
        <f>Catalog!Q231</f>
        <v>0</v>
      </c>
      <c r="E258" s="16">
        <f>Catalog!S231</f>
        <v>0</v>
      </c>
      <c r="F258" s="16">
        <f>Catalog!N231</f>
        <v>0</v>
      </c>
      <c r="G258" s="16" t="str">
        <f>Catalog!K231&amp;" / "&amp;Catalog!M231</f>
        <v xml:space="preserve"> / </v>
      </c>
      <c r="H258" s="16" t="str">
        <f t="shared" si="3"/>
        <v>Print</v>
      </c>
      <c r="I258" s="16" t="str">
        <f>IF(Catalog!T231&lt;&gt;"","ISBN:"&amp;Catalog!T231,IF(Catalog!U231&lt;&gt;"","ISSN:"&amp;Catalog!U231,"ACC:"&amp;Catalog!B231))</f>
        <v>ACC:</v>
      </c>
      <c r="J258" s="16">
        <f>Catalog!L231</f>
        <v>0</v>
      </c>
      <c r="K258" s="16">
        <f>IF(Catalog!AH231&lt;&gt;"",Catalog!AH231,Catalog!AF231)</f>
        <v>0</v>
      </c>
      <c r="L258" s="16">
        <f>Catalog!AE231</f>
        <v>0</v>
      </c>
      <c r="M258" s="16">
        <f>Catalog!W231</f>
        <v>0</v>
      </c>
      <c r="N258" s="16">
        <f>Catalog!R231</f>
        <v>0</v>
      </c>
      <c r="O258" s="16">
        <f>Catalog!AG231</f>
        <v>0</v>
      </c>
    </row>
    <row r="259" spans="1:15" ht="15.75" x14ac:dyDescent="0.25">
      <c r="A259" s="16">
        <f>Catalog!D232</f>
        <v>0</v>
      </c>
      <c r="B259" s="16">
        <f>Catalog!F232</f>
        <v>0</v>
      </c>
      <c r="C259" s="16" t="str">
        <f>IF(Catalog!I232="","",Catalog!I232)&amp;IF(AND(Catalog!I232&lt;&gt;"",Catalog!J232&lt;&gt;""),"; ","")&amp;IF(Catalog!J232="","",Catalog!J232)</f>
        <v/>
      </c>
      <c r="D259" s="16">
        <f>Catalog!Q232</f>
        <v>0</v>
      </c>
      <c r="E259" s="16">
        <f>Catalog!S232</f>
        <v>0</v>
      </c>
      <c r="F259" s="16">
        <f>Catalog!N232</f>
        <v>0</v>
      </c>
      <c r="G259" s="16" t="str">
        <f>Catalog!K232&amp;" / "&amp;Catalog!M232</f>
        <v xml:space="preserve"> / </v>
      </c>
      <c r="H259" s="16" t="str">
        <f t="shared" si="3"/>
        <v>Print</v>
      </c>
      <c r="I259" s="16" t="str">
        <f>IF(Catalog!T232&lt;&gt;"","ISBN:"&amp;Catalog!T232,IF(Catalog!U232&lt;&gt;"","ISSN:"&amp;Catalog!U232,"ACC:"&amp;Catalog!B232))</f>
        <v>ACC:</v>
      </c>
      <c r="J259" s="16">
        <f>Catalog!L232</f>
        <v>0</v>
      </c>
      <c r="K259" s="16">
        <f>IF(Catalog!AH232&lt;&gt;"",Catalog!AH232,Catalog!AF232)</f>
        <v>0</v>
      </c>
      <c r="L259" s="16">
        <f>Catalog!AE232</f>
        <v>0</v>
      </c>
      <c r="M259" s="16">
        <f>Catalog!W232</f>
        <v>0</v>
      </c>
      <c r="N259" s="16">
        <f>Catalog!R232</f>
        <v>0</v>
      </c>
      <c r="O259" s="16">
        <f>Catalog!AG232</f>
        <v>0</v>
      </c>
    </row>
    <row r="260" spans="1:15" ht="15.75" x14ac:dyDescent="0.25">
      <c r="A260" s="16">
        <f>Catalog!D233</f>
        <v>0</v>
      </c>
      <c r="B260" s="16">
        <f>Catalog!F233</f>
        <v>0</v>
      </c>
      <c r="C260" s="16" t="str">
        <f>IF(Catalog!I233="","",Catalog!I233)&amp;IF(AND(Catalog!I233&lt;&gt;"",Catalog!J233&lt;&gt;""),"; ","")&amp;IF(Catalog!J233="","",Catalog!J233)</f>
        <v/>
      </c>
      <c r="D260" s="16">
        <f>Catalog!Q233</f>
        <v>0</v>
      </c>
      <c r="E260" s="16">
        <f>Catalog!S233</f>
        <v>0</v>
      </c>
      <c r="F260" s="16">
        <f>Catalog!N233</f>
        <v>0</v>
      </c>
      <c r="G260" s="16" t="str">
        <f>Catalog!K233&amp;" / "&amp;Catalog!M233</f>
        <v xml:space="preserve"> / </v>
      </c>
      <c r="H260" s="16" t="str">
        <f t="shared" si="3"/>
        <v>Print</v>
      </c>
      <c r="I260" s="16" t="str">
        <f>IF(Catalog!T233&lt;&gt;"","ISBN:"&amp;Catalog!T233,IF(Catalog!U233&lt;&gt;"","ISSN:"&amp;Catalog!U233,"ACC:"&amp;Catalog!B233))</f>
        <v>ACC:</v>
      </c>
      <c r="J260" s="16">
        <f>Catalog!L233</f>
        <v>0</v>
      </c>
      <c r="K260" s="16">
        <f>IF(Catalog!AH233&lt;&gt;"",Catalog!AH233,Catalog!AF233)</f>
        <v>0</v>
      </c>
      <c r="L260" s="16">
        <f>Catalog!AE233</f>
        <v>0</v>
      </c>
      <c r="M260" s="16">
        <f>Catalog!W233</f>
        <v>0</v>
      </c>
      <c r="N260" s="16">
        <f>Catalog!R233</f>
        <v>0</v>
      </c>
      <c r="O260" s="16">
        <f>Catalog!AG233</f>
        <v>0</v>
      </c>
    </row>
    <row r="261" spans="1:15" ht="15.75" x14ac:dyDescent="0.25">
      <c r="A261" s="16">
        <f>Catalog!D234</f>
        <v>0</v>
      </c>
      <c r="B261" s="16">
        <f>Catalog!F234</f>
        <v>0</v>
      </c>
      <c r="C261" s="16" t="str">
        <f>IF(Catalog!I234="","",Catalog!I234)&amp;IF(AND(Catalog!I234&lt;&gt;"",Catalog!J234&lt;&gt;""),"; ","")&amp;IF(Catalog!J234="","",Catalog!J234)</f>
        <v/>
      </c>
      <c r="D261" s="16">
        <f>Catalog!Q234</f>
        <v>0</v>
      </c>
      <c r="E261" s="16">
        <f>Catalog!S234</f>
        <v>0</v>
      </c>
      <c r="F261" s="16">
        <f>Catalog!N234</f>
        <v>0</v>
      </c>
      <c r="G261" s="16" t="str">
        <f>Catalog!K234&amp;" / "&amp;Catalog!M234</f>
        <v xml:space="preserve"> / </v>
      </c>
      <c r="H261" s="16" t="str">
        <f t="shared" si="3"/>
        <v>Print</v>
      </c>
      <c r="I261" s="16" t="str">
        <f>IF(Catalog!T234&lt;&gt;"","ISBN:"&amp;Catalog!T234,IF(Catalog!U234&lt;&gt;"","ISSN:"&amp;Catalog!U234,"ACC:"&amp;Catalog!B234))</f>
        <v>ACC:</v>
      </c>
      <c r="J261" s="16">
        <f>Catalog!L234</f>
        <v>0</v>
      </c>
      <c r="K261" s="16">
        <f>IF(Catalog!AH234&lt;&gt;"",Catalog!AH234,Catalog!AF234)</f>
        <v>0</v>
      </c>
      <c r="L261" s="16">
        <f>Catalog!AE234</f>
        <v>0</v>
      </c>
      <c r="M261" s="16">
        <f>Catalog!W234</f>
        <v>0</v>
      </c>
      <c r="N261" s="16">
        <f>Catalog!R234</f>
        <v>0</v>
      </c>
      <c r="O261" s="16">
        <f>Catalog!AG234</f>
        <v>0</v>
      </c>
    </row>
    <row r="262" spans="1:15" ht="15.75" x14ac:dyDescent="0.25">
      <c r="A262" s="16">
        <f>Catalog!D235</f>
        <v>0</v>
      </c>
      <c r="B262" s="16">
        <f>Catalog!F235</f>
        <v>0</v>
      </c>
      <c r="C262" s="16" t="str">
        <f>IF(Catalog!I235="","",Catalog!I235)&amp;IF(AND(Catalog!I235&lt;&gt;"",Catalog!J235&lt;&gt;""),"; ","")&amp;IF(Catalog!J235="","",Catalog!J235)</f>
        <v/>
      </c>
      <c r="D262" s="16">
        <f>Catalog!Q235</f>
        <v>0</v>
      </c>
      <c r="E262" s="16">
        <f>Catalog!S235</f>
        <v>0</v>
      </c>
      <c r="F262" s="16">
        <f>Catalog!N235</f>
        <v>0</v>
      </c>
      <c r="G262" s="16" t="str">
        <f>Catalog!K235&amp;" / "&amp;Catalog!M235</f>
        <v xml:space="preserve"> / </v>
      </c>
      <c r="H262" s="16" t="str">
        <f t="shared" si="3"/>
        <v>Print</v>
      </c>
      <c r="I262" s="16" t="str">
        <f>IF(Catalog!T235&lt;&gt;"","ISBN:"&amp;Catalog!T235,IF(Catalog!U235&lt;&gt;"","ISSN:"&amp;Catalog!U235,"ACC:"&amp;Catalog!B235))</f>
        <v>ACC:</v>
      </c>
      <c r="J262" s="16">
        <f>Catalog!L235</f>
        <v>0</v>
      </c>
      <c r="K262" s="16">
        <f>IF(Catalog!AH235&lt;&gt;"",Catalog!AH235,Catalog!AF235)</f>
        <v>0</v>
      </c>
      <c r="L262" s="16">
        <f>Catalog!AE235</f>
        <v>0</v>
      </c>
      <c r="M262" s="16">
        <f>Catalog!W235</f>
        <v>0</v>
      </c>
      <c r="N262" s="16">
        <f>Catalog!R235</f>
        <v>0</v>
      </c>
      <c r="O262" s="16">
        <f>Catalog!AG235</f>
        <v>0</v>
      </c>
    </row>
    <row r="263" spans="1:15" ht="15.75" x14ac:dyDescent="0.25">
      <c r="A263" s="16">
        <f>Catalog!D236</f>
        <v>0</v>
      </c>
      <c r="B263" s="16">
        <f>Catalog!F236</f>
        <v>0</v>
      </c>
      <c r="C263" s="16" t="str">
        <f>IF(Catalog!I236="","",Catalog!I236)&amp;IF(AND(Catalog!I236&lt;&gt;"",Catalog!J236&lt;&gt;""),"; ","")&amp;IF(Catalog!J236="","",Catalog!J236)</f>
        <v/>
      </c>
      <c r="D263" s="16">
        <f>Catalog!Q236</f>
        <v>0</v>
      </c>
      <c r="E263" s="16">
        <f>Catalog!S236</f>
        <v>0</v>
      </c>
      <c r="F263" s="16">
        <f>Catalog!N236</f>
        <v>0</v>
      </c>
      <c r="G263" s="16" t="str">
        <f>Catalog!K236&amp;" / "&amp;Catalog!M236</f>
        <v xml:space="preserve"> / </v>
      </c>
      <c r="H263" s="16" t="str">
        <f t="shared" si="3"/>
        <v>Print</v>
      </c>
      <c r="I263" s="16" t="str">
        <f>IF(Catalog!T236&lt;&gt;"","ISBN:"&amp;Catalog!T236,IF(Catalog!U236&lt;&gt;"","ISSN:"&amp;Catalog!U236,"ACC:"&amp;Catalog!B236))</f>
        <v>ACC:</v>
      </c>
      <c r="J263" s="16">
        <f>Catalog!L236</f>
        <v>0</v>
      </c>
      <c r="K263" s="16">
        <f>IF(Catalog!AH236&lt;&gt;"",Catalog!AH236,Catalog!AF236)</f>
        <v>0</v>
      </c>
      <c r="L263" s="16">
        <f>Catalog!AE236</f>
        <v>0</v>
      </c>
      <c r="M263" s="16">
        <f>Catalog!W236</f>
        <v>0</v>
      </c>
      <c r="N263" s="16">
        <f>Catalog!R236</f>
        <v>0</v>
      </c>
      <c r="O263" s="16">
        <f>Catalog!AG236</f>
        <v>0</v>
      </c>
    </row>
    <row r="264" spans="1:15" ht="15.75" x14ac:dyDescent="0.25">
      <c r="A264" s="16">
        <f>Catalog!D237</f>
        <v>0</v>
      </c>
      <c r="B264" s="16">
        <f>Catalog!F237</f>
        <v>0</v>
      </c>
      <c r="C264" s="16" t="str">
        <f>IF(Catalog!I237="","",Catalog!I237)&amp;IF(AND(Catalog!I237&lt;&gt;"",Catalog!J237&lt;&gt;""),"; ","")&amp;IF(Catalog!J237="","",Catalog!J237)</f>
        <v/>
      </c>
      <c r="D264" s="16">
        <f>Catalog!Q237</f>
        <v>0</v>
      </c>
      <c r="E264" s="16">
        <f>Catalog!S237</f>
        <v>0</v>
      </c>
      <c r="F264" s="16">
        <f>Catalog!N237</f>
        <v>0</v>
      </c>
      <c r="G264" s="16" t="str">
        <f>Catalog!K237&amp;" / "&amp;Catalog!M237</f>
        <v xml:space="preserve"> / </v>
      </c>
      <c r="H264" s="16" t="str">
        <f t="shared" si="3"/>
        <v>Print</v>
      </c>
      <c r="I264" s="16" t="str">
        <f>IF(Catalog!T237&lt;&gt;"","ISBN:"&amp;Catalog!T237,IF(Catalog!U237&lt;&gt;"","ISSN:"&amp;Catalog!U237,"ACC:"&amp;Catalog!B237))</f>
        <v>ACC:</v>
      </c>
      <c r="J264" s="16">
        <f>Catalog!L237</f>
        <v>0</v>
      </c>
      <c r="K264" s="16">
        <f>IF(Catalog!AH237&lt;&gt;"",Catalog!AH237,Catalog!AF237)</f>
        <v>0</v>
      </c>
      <c r="L264" s="16">
        <f>Catalog!AE237</f>
        <v>0</v>
      </c>
      <c r="M264" s="16">
        <f>Catalog!W237</f>
        <v>0</v>
      </c>
      <c r="N264" s="16">
        <f>Catalog!R237</f>
        <v>0</v>
      </c>
      <c r="O264" s="16">
        <f>Catalog!AG237</f>
        <v>0</v>
      </c>
    </row>
    <row r="265" spans="1:15" ht="15.75" x14ac:dyDescent="0.25">
      <c r="A265" s="16">
        <f>Catalog!D238</f>
        <v>0</v>
      </c>
      <c r="B265" s="16">
        <f>Catalog!F238</f>
        <v>0</v>
      </c>
      <c r="C265" s="16" t="str">
        <f>IF(Catalog!I238="","",Catalog!I238)&amp;IF(AND(Catalog!I238&lt;&gt;"",Catalog!J238&lt;&gt;""),"; ","")&amp;IF(Catalog!J238="","",Catalog!J238)</f>
        <v/>
      </c>
      <c r="D265" s="16">
        <f>Catalog!Q238</f>
        <v>0</v>
      </c>
      <c r="E265" s="16">
        <f>Catalog!S238</f>
        <v>0</v>
      </c>
      <c r="F265" s="16">
        <f>Catalog!N238</f>
        <v>0</v>
      </c>
      <c r="G265" s="16" t="str">
        <f>Catalog!K238&amp;" / "&amp;Catalog!M238</f>
        <v xml:space="preserve"> / </v>
      </c>
      <c r="H265" s="16" t="str">
        <f t="shared" si="3"/>
        <v>Print</v>
      </c>
      <c r="I265" s="16" t="str">
        <f>IF(Catalog!T238&lt;&gt;"","ISBN:"&amp;Catalog!T238,IF(Catalog!U238&lt;&gt;"","ISSN:"&amp;Catalog!U238,"ACC:"&amp;Catalog!B238))</f>
        <v>ACC:</v>
      </c>
      <c r="J265" s="16">
        <f>Catalog!L238</f>
        <v>0</v>
      </c>
      <c r="K265" s="16">
        <f>IF(Catalog!AH238&lt;&gt;"",Catalog!AH238,Catalog!AF238)</f>
        <v>0</v>
      </c>
      <c r="L265" s="16">
        <f>Catalog!AE238</f>
        <v>0</v>
      </c>
      <c r="M265" s="16">
        <f>Catalog!W238</f>
        <v>0</v>
      </c>
      <c r="N265" s="16">
        <f>Catalog!R238</f>
        <v>0</v>
      </c>
      <c r="O265" s="16">
        <f>Catalog!AG238</f>
        <v>0</v>
      </c>
    </row>
    <row r="266" spans="1:15" ht="15.75" x14ac:dyDescent="0.25">
      <c r="A266" s="16">
        <f>Catalog!D239</f>
        <v>0</v>
      </c>
      <c r="B266" s="16">
        <f>Catalog!F239</f>
        <v>0</v>
      </c>
      <c r="C266" s="16" t="str">
        <f>IF(Catalog!I239="","",Catalog!I239)&amp;IF(AND(Catalog!I239&lt;&gt;"",Catalog!J239&lt;&gt;""),"; ","")&amp;IF(Catalog!J239="","",Catalog!J239)</f>
        <v/>
      </c>
      <c r="D266" s="16">
        <f>Catalog!Q239</f>
        <v>0</v>
      </c>
      <c r="E266" s="16">
        <f>Catalog!S239</f>
        <v>0</v>
      </c>
      <c r="F266" s="16">
        <f>Catalog!N239</f>
        <v>0</v>
      </c>
      <c r="G266" s="16" t="str">
        <f>Catalog!K239&amp;" / "&amp;Catalog!M239</f>
        <v xml:space="preserve"> / </v>
      </c>
      <c r="H266" s="16" t="str">
        <f t="shared" si="3"/>
        <v>Print</v>
      </c>
      <c r="I266" s="16" t="str">
        <f>IF(Catalog!T239&lt;&gt;"","ISBN:"&amp;Catalog!T239,IF(Catalog!U239&lt;&gt;"","ISSN:"&amp;Catalog!U239,"ACC:"&amp;Catalog!B239))</f>
        <v>ACC:</v>
      </c>
      <c r="J266" s="16">
        <f>Catalog!L239</f>
        <v>0</v>
      </c>
      <c r="K266" s="16">
        <f>IF(Catalog!AH239&lt;&gt;"",Catalog!AH239,Catalog!AF239)</f>
        <v>0</v>
      </c>
      <c r="L266" s="16">
        <f>Catalog!AE239</f>
        <v>0</v>
      </c>
      <c r="M266" s="16">
        <f>Catalog!W239</f>
        <v>0</v>
      </c>
      <c r="N266" s="16">
        <f>Catalog!R239</f>
        <v>0</v>
      </c>
      <c r="O266" s="16">
        <f>Catalog!AG239</f>
        <v>0</v>
      </c>
    </row>
    <row r="267" spans="1:15" ht="15.75" x14ac:dyDescent="0.25">
      <c r="A267" s="16">
        <f>Catalog!D240</f>
        <v>0</v>
      </c>
      <c r="B267" s="16">
        <f>Catalog!F240</f>
        <v>0</v>
      </c>
      <c r="C267" s="16" t="str">
        <f>IF(Catalog!I240="","",Catalog!I240)&amp;IF(AND(Catalog!I240&lt;&gt;"",Catalog!J240&lt;&gt;""),"; ","")&amp;IF(Catalog!J240="","",Catalog!J240)</f>
        <v/>
      </c>
      <c r="D267" s="16">
        <f>Catalog!Q240</f>
        <v>0</v>
      </c>
      <c r="E267" s="16">
        <f>Catalog!S240</f>
        <v>0</v>
      </c>
      <c r="F267" s="16">
        <f>Catalog!N240</f>
        <v>0</v>
      </c>
      <c r="G267" s="16" t="str">
        <f>Catalog!K240&amp;" / "&amp;Catalog!M240</f>
        <v xml:space="preserve"> / </v>
      </c>
      <c r="H267" s="16" t="str">
        <f t="shared" si="3"/>
        <v>Print</v>
      </c>
      <c r="I267" s="16" t="str">
        <f>IF(Catalog!T240&lt;&gt;"","ISBN:"&amp;Catalog!T240,IF(Catalog!U240&lt;&gt;"","ISSN:"&amp;Catalog!U240,"ACC:"&amp;Catalog!B240))</f>
        <v>ACC:</v>
      </c>
      <c r="J267" s="16">
        <f>Catalog!L240</f>
        <v>0</v>
      </c>
      <c r="K267" s="16">
        <f>IF(Catalog!AH240&lt;&gt;"",Catalog!AH240,Catalog!AF240)</f>
        <v>0</v>
      </c>
      <c r="L267" s="16">
        <f>Catalog!AE240</f>
        <v>0</v>
      </c>
      <c r="M267" s="16">
        <f>Catalog!W240</f>
        <v>0</v>
      </c>
      <c r="N267" s="16">
        <f>Catalog!R240</f>
        <v>0</v>
      </c>
      <c r="O267" s="16">
        <f>Catalog!AG240</f>
        <v>0</v>
      </c>
    </row>
    <row r="268" spans="1:15" ht="15.75" x14ac:dyDescent="0.25">
      <c r="A268" s="16">
        <f>Catalog!D241</f>
        <v>0</v>
      </c>
      <c r="B268" s="16">
        <f>Catalog!F241</f>
        <v>0</v>
      </c>
      <c r="C268" s="16" t="str">
        <f>IF(Catalog!I241="","",Catalog!I241)&amp;IF(AND(Catalog!I241&lt;&gt;"",Catalog!J241&lt;&gt;""),"; ","")&amp;IF(Catalog!J241="","",Catalog!J241)</f>
        <v/>
      </c>
      <c r="D268" s="16">
        <f>Catalog!Q241</f>
        <v>0</v>
      </c>
      <c r="E268" s="16">
        <f>Catalog!S241</f>
        <v>0</v>
      </c>
      <c r="F268" s="16">
        <f>Catalog!N241</f>
        <v>0</v>
      </c>
      <c r="G268" s="16" t="str">
        <f>Catalog!K241&amp;" / "&amp;Catalog!M241</f>
        <v xml:space="preserve"> / </v>
      </c>
      <c r="H268" s="16" t="str">
        <f t="shared" si="3"/>
        <v>Print</v>
      </c>
      <c r="I268" s="16" t="str">
        <f>IF(Catalog!T241&lt;&gt;"","ISBN:"&amp;Catalog!T241,IF(Catalog!U241&lt;&gt;"","ISSN:"&amp;Catalog!U241,"ACC:"&amp;Catalog!B241))</f>
        <v>ACC:</v>
      </c>
      <c r="J268" s="16">
        <f>Catalog!L241</f>
        <v>0</v>
      </c>
      <c r="K268" s="16">
        <f>IF(Catalog!AH241&lt;&gt;"",Catalog!AH241,Catalog!AF241)</f>
        <v>0</v>
      </c>
      <c r="L268" s="16">
        <f>Catalog!AE241</f>
        <v>0</v>
      </c>
      <c r="M268" s="16">
        <f>Catalog!W241</f>
        <v>0</v>
      </c>
      <c r="N268" s="16">
        <f>Catalog!R241</f>
        <v>0</v>
      </c>
      <c r="O268" s="16">
        <f>Catalog!AG241</f>
        <v>0</v>
      </c>
    </row>
    <row r="269" spans="1:15" ht="15.75" x14ac:dyDescent="0.25">
      <c r="A269" s="16">
        <f>Catalog!D242</f>
        <v>0</v>
      </c>
      <c r="B269" s="16">
        <f>Catalog!F242</f>
        <v>0</v>
      </c>
      <c r="C269" s="16" t="str">
        <f>IF(Catalog!I242="","",Catalog!I242)&amp;IF(AND(Catalog!I242&lt;&gt;"",Catalog!J242&lt;&gt;""),"; ","")&amp;IF(Catalog!J242="","",Catalog!J242)</f>
        <v/>
      </c>
      <c r="D269" s="16">
        <f>Catalog!Q242</f>
        <v>0</v>
      </c>
      <c r="E269" s="16">
        <f>Catalog!S242</f>
        <v>0</v>
      </c>
      <c r="F269" s="16">
        <f>Catalog!N242</f>
        <v>0</v>
      </c>
      <c r="G269" s="16" t="str">
        <f>Catalog!K242&amp;" / "&amp;Catalog!M242</f>
        <v xml:space="preserve"> / </v>
      </c>
      <c r="H269" s="16" t="str">
        <f t="shared" si="3"/>
        <v>Print</v>
      </c>
      <c r="I269" s="16" t="str">
        <f>IF(Catalog!T242&lt;&gt;"","ISBN:"&amp;Catalog!T242,IF(Catalog!U242&lt;&gt;"","ISSN:"&amp;Catalog!U242,"ACC:"&amp;Catalog!B242))</f>
        <v>ACC:</v>
      </c>
      <c r="J269" s="16">
        <f>Catalog!L242</f>
        <v>0</v>
      </c>
      <c r="K269" s="16">
        <f>IF(Catalog!AH242&lt;&gt;"",Catalog!AH242,Catalog!AF242)</f>
        <v>0</v>
      </c>
      <c r="L269" s="16">
        <f>Catalog!AE242</f>
        <v>0</v>
      </c>
      <c r="M269" s="16">
        <f>Catalog!W242</f>
        <v>0</v>
      </c>
      <c r="N269" s="16">
        <f>Catalog!R242</f>
        <v>0</v>
      </c>
      <c r="O269" s="16">
        <f>Catalog!AG242</f>
        <v>0</v>
      </c>
    </row>
    <row r="270" spans="1:15" ht="15.75" x14ac:dyDescent="0.25">
      <c r="A270" s="16">
        <f>Catalog!D243</f>
        <v>0</v>
      </c>
      <c r="B270" s="16">
        <f>Catalog!F243</f>
        <v>0</v>
      </c>
      <c r="C270" s="16" t="str">
        <f>IF(Catalog!I243="","",Catalog!I243)&amp;IF(AND(Catalog!I243&lt;&gt;"",Catalog!J243&lt;&gt;""),"; ","")&amp;IF(Catalog!J243="","",Catalog!J243)</f>
        <v/>
      </c>
      <c r="D270" s="16">
        <f>Catalog!Q243</f>
        <v>0</v>
      </c>
      <c r="E270" s="16">
        <f>Catalog!S243</f>
        <v>0</v>
      </c>
      <c r="F270" s="16">
        <f>Catalog!N243</f>
        <v>0</v>
      </c>
      <c r="G270" s="16" t="str">
        <f>Catalog!K243&amp;" / "&amp;Catalog!M243</f>
        <v xml:space="preserve"> / </v>
      </c>
      <c r="H270" s="16" t="str">
        <f t="shared" si="3"/>
        <v>Print</v>
      </c>
      <c r="I270" s="16" t="str">
        <f>IF(Catalog!T243&lt;&gt;"","ISBN:"&amp;Catalog!T243,IF(Catalog!U243&lt;&gt;"","ISSN:"&amp;Catalog!U243,"ACC:"&amp;Catalog!B243))</f>
        <v>ACC:</v>
      </c>
      <c r="J270" s="16">
        <f>Catalog!L243</f>
        <v>0</v>
      </c>
      <c r="K270" s="16">
        <f>IF(Catalog!AH243&lt;&gt;"",Catalog!AH243,Catalog!AF243)</f>
        <v>0</v>
      </c>
      <c r="L270" s="16">
        <f>Catalog!AE243</f>
        <v>0</v>
      </c>
      <c r="M270" s="16">
        <f>Catalog!W243</f>
        <v>0</v>
      </c>
      <c r="N270" s="16">
        <f>Catalog!R243</f>
        <v>0</v>
      </c>
      <c r="O270" s="16">
        <f>Catalog!AG243</f>
        <v>0</v>
      </c>
    </row>
    <row r="271" spans="1:15" ht="15.75" x14ac:dyDescent="0.25">
      <c r="A271" s="16">
        <f>Catalog!D244</f>
        <v>0</v>
      </c>
      <c r="B271" s="16">
        <f>Catalog!F244</f>
        <v>0</v>
      </c>
      <c r="C271" s="16" t="str">
        <f>IF(Catalog!I244="","",Catalog!I244)&amp;IF(AND(Catalog!I244&lt;&gt;"",Catalog!J244&lt;&gt;""),"; ","")&amp;IF(Catalog!J244="","",Catalog!J244)</f>
        <v/>
      </c>
      <c r="D271" s="16">
        <f>Catalog!Q244</f>
        <v>0</v>
      </c>
      <c r="E271" s="16">
        <f>Catalog!S244</f>
        <v>0</v>
      </c>
      <c r="F271" s="16">
        <f>Catalog!N244</f>
        <v>0</v>
      </c>
      <c r="G271" s="16" t="str">
        <f>Catalog!K244&amp;" / "&amp;Catalog!M244</f>
        <v xml:space="preserve"> / </v>
      </c>
      <c r="H271" s="16" t="str">
        <f t="shared" si="3"/>
        <v>Print</v>
      </c>
      <c r="I271" s="16" t="str">
        <f>IF(Catalog!T244&lt;&gt;"","ISBN:"&amp;Catalog!T244,IF(Catalog!U244&lt;&gt;"","ISSN:"&amp;Catalog!U244,"ACC:"&amp;Catalog!B244))</f>
        <v>ACC:</v>
      </c>
      <c r="J271" s="16">
        <f>Catalog!L244</f>
        <v>0</v>
      </c>
      <c r="K271" s="16">
        <f>IF(Catalog!AH244&lt;&gt;"",Catalog!AH244,Catalog!AF244)</f>
        <v>0</v>
      </c>
      <c r="L271" s="16">
        <f>Catalog!AE244</f>
        <v>0</v>
      </c>
      <c r="M271" s="16">
        <f>Catalog!W244</f>
        <v>0</v>
      </c>
      <c r="N271" s="16">
        <f>Catalog!R244</f>
        <v>0</v>
      </c>
      <c r="O271" s="16">
        <f>Catalog!AG244</f>
        <v>0</v>
      </c>
    </row>
    <row r="272" spans="1:15" ht="15.75" x14ac:dyDescent="0.25">
      <c r="A272" s="16">
        <f>Catalog!D245</f>
        <v>0</v>
      </c>
      <c r="B272" s="16">
        <f>Catalog!F245</f>
        <v>0</v>
      </c>
      <c r="C272" s="16" t="str">
        <f>IF(Catalog!I245="","",Catalog!I245)&amp;IF(AND(Catalog!I245&lt;&gt;"",Catalog!J245&lt;&gt;""),"; ","")&amp;IF(Catalog!J245="","",Catalog!J245)</f>
        <v/>
      </c>
      <c r="D272" s="16">
        <f>Catalog!Q245</f>
        <v>0</v>
      </c>
      <c r="E272" s="16">
        <f>Catalog!S245</f>
        <v>0</v>
      </c>
      <c r="F272" s="16">
        <f>Catalog!N245</f>
        <v>0</v>
      </c>
      <c r="G272" s="16" t="str">
        <f>Catalog!K245&amp;" / "&amp;Catalog!M245</f>
        <v xml:space="preserve"> / </v>
      </c>
      <c r="H272" s="16" t="str">
        <f t="shared" si="3"/>
        <v>Print</v>
      </c>
      <c r="I272" s="16" t="str">
        <f>IF(Catalog!T245&lt;&gt;"","ISBN:"&amp;Catalog!T245,IF(Catalog!U245&lt;&gt;"","ISSN:"&amp;Catalog!U245,"ACC:"&amp;Catalog!B245))</f>
        <v>ACC:</v>
      </c>
      <c r="J272" s="16">
        <f>Catalog!L245</f>
        <v>0</v>
      </c>
      <c r="K272" s="16">
        <f>IF(Catalog!AH245&lt;&gt;"",Catalog!AH245,Catalog!AF245)</f>
        <v>0</v>
      </c>
      <c r="L272" s="16">
        <f>Catalog!AE245</f>
        <v>0</v>
      </c>
      <c r="M272" s="16">
        <f>Catalog!W245</f>
        <v>0</v>
      </c>
      <c r="N272" s="16">
        <f>Catalog!R245</f>
        <v>0</v>
      </c>
      <c r="O272" s="16">
        <f>Catalog!AG245</f>
        <v>0</v>
      </c>
    </row>
    <row r="273" spans="1:15" ht="15.75" x14ac:dyDescent="0.25">
      <c r="A273" s="16">
        <f>Catalog!D246</f>
        <v>0</v>
      </c>
      <c r="B273" s="16">
        <f>Catalog!F246</f>
        <v>0</v>
      </c>
      <c r="C273" s="16" t="str">
        <f>IF(Catalog!I246="","",Catalog!I246)&amp;IF(AND(Catalog!I246&lt;&gt;"",Catalog!J246&lt;&gt;""),"; ","")&amp;IF(Catalog!J246="","",Catalog!J246)</f>
        <v/>
      </c>
      <c r="D273" s="16">
        <f>Catalog!Q246</f>
        <v>0</v>
      </c>
      <c r="E273" s="16">
        <f>Catalog!S246</f>
        <v>0</v>
      </c>
      <c r="F273" s="16">
        <f>Catalog!N246</f>
        <v>0</v>
      </c>
      <c r="G273" s="16" t="str">
        <f>Catalog!K246&amp;" / "&amp;Catalog!M246</f>
        <v xml:space="preserve"> / </v>
      </c>
      <c r="H273" s="16" t="str">
        <f t="shared" si="3"/>
        <v>Print</v>
      </c>
      <c r="I273" s="16" t="str">
        <f>IF(Catalog!T246&lt;&gt;"","ISBN:"&amp;Catalog!T246,IF(Catalog!U246&lt;&gt;"","ISSN:"&amp;Catalog!U246,"ACC:"&amp;Catalog!B246))</f>
        <v>ACC:</v>
      </c>
      <c r="J273" s="16">
        <f>Catalog!L246</f>
        <v>0</v>
      </c>
      <c r="K273" s="16">
        <f>IF(Catalog!AH246&lt;&gt;"",Catalog!AH246,Catalog!AF246)</f>
        <v>0</v>
      </c>
      <c r="L273" s="16">
        <f>Catalog!AE246</f>
        <v>0</v>
      </c>
      <c r="M273" s="16">
        <f>Catalog!W246</f>
        <v>0</v>
      </c>
      <c r="N273" s="16">
        <f>Catalog!R246</f>
        <v>0</v>
      </c>
      <c r="O273" s="16">
        <f>Catalog!AG246</f>
        <v>0</v>
      </c>
    </row>
    <row r="274" spans="1:15" ht="15.75" x14ac:dyDescent="0.25">
      <c r="A274" s="16">
        <f>Catalog!D247</f>
        <v>0</v>
      </c>
      <c r="B274" s="16">
        <f>Catalog!F247</f>
        <v>0</v>
      </c>
      <c r="C274" s="16" t="str">
        <f>IF(Catalog!I247="","",Catalog!I247)&amp;IF(AND(Catalog!I247&lt;&gt;"",Catalog!J247&lt;&gt;""),"; ","")&amp;IF(Catalog!J247="","",Catalog!J247)</f>
        <v/>
      </c>
      <c r="D274" s="16">
        <f>Catalog!Q247</f>
        <v>0</v>
      </c>
      <c r="E274" s="16">
        <f>Catalog!S247</f>
        <v>0</v>
      </c>
      <c r="F274" s="16">
        <f>Catalog!N247</f>
        <v>0</v>
      </c>
      <c r="G274" s="16" t="str">
        <f>Catalog!K247&amp;" / "&amp;Catalog!M247</f>
        <v xml:space="preserve"> / </v>
      </c>
      <c r="H274" s="16" t="str">
        <f t="shared" si="3"/>
        <v>Print</v>
      </c>
      <c r="I274" s="16" t="str">
        <f>IF(Catalog!T247&lt;&gt;"","ISBN:"&amp;Catalog!T247,IF(Catalog!U247&lt;&gt;"","ISSN:"&amp;Catalog!U247,"ACC:"&amp;Catalog!B247))</f>
        <v>ACC:</v>
      </c>
      <c r="J274" s="16">
        <f>Catalog!L247</f>
        <v>0</v>
      </c>
      <c r="K274" s="16">
        <f>IF(Catalog!AH247&lt;&gt;"",Catalog!AH247,Catalog!AF247)</f>
        <v>0</v>
      </c>
      <c r="L274" s="16">
        <f>Catalog!AE247</f>
        <v>0</v>
      </c>
      <c r="M274" s="16">
        <f>Catalog!W247</f>
        <v>0</v>
      </c>
      <c r="N274" s="16">
        <f>Catalog!R247</f>
        <v>0</v>
      </c>
      <c r="O274" s="16">
        <f>Catalog!AG247</f>
        <v>0</v>
      </c>
    </row>
    <row r="275" spans="1:15" ht="15.75" x14ac:dyDescent="0.25">
      <c r="A275" s="16">
        <f>Catalog!D248</f>
        <v>0</v>
      </c>
      <c r="B275" s="16">
        <f>Catalog!F248</f>
        <v>0</v>
      </c>
      <c r="C275" s="16" t="str">
        <f>IF(Catalog!I248="","",Catalog!I248)&amp;IF(AND(Catalog!I248&lt;&gt;"",Catalog!J248&lt;&gt;""),"; ","")&amp;IF(Catalog!J248="","",Catalog!J248)</f>
        <v/>
      </c>
      <c r="D275" s="16">
        <f>Catalog!Q248</f>
        <v>0</v>
      </c>
      <c r="E275" s="16">
        <f>Catalog!S248</f>
        <v>0</v>
      </c>
      <c r="F275" s="16">
        <f>Catalog!N248</f>
        <v>0</v>
      </c>
      <c r="G275" s="16" t="str">
        <f>Catalog!K248&amp;" / "&amp;Catalog!M248</f>
        <v xml:space="preserve"> / </v>
      </c>
      <c r="H275" s="16" t="str">
        <f t="shared" si="3"/>
        <v>Print</v>
      </c>
      <c r="I275" s="16" t="str">
        <f>IF(Catalog!T248&lt;&gt;"","ISBN:"&amp;Catalog!T248,IF(Catalog!U248&lt;&gt;"","ISSN:"&amp;Catalog!U248,"ACC:"&amp;Catalog!B248))</f>
        <v>ACC:</v>
      </c>
      <c r="J275" s="16">
        <f>Catalog!L248</f>
        <v>0</v>
      </c>
      <c r="K275" s="16">
        <f>IF(Catalog!AH248&lt;&gt;"",Catalog!AH248,Catalog!AF248)</f>
        <v>0</v>
      </c>
      <c r="L275" s="16">
        <f>Catalog!AE248</f>
        <v>0</v>
      </c>
      <c r="M275" s="16">
        <f>Catalog!W248</f>
        <v>0</v>
      </c>
      <c r="N275" s="16">
        <f>Catalog!R248</f>
        <v>0</v>
      </c>
      <c r="O275" s="16">
        <f>Catalog!AG248</f>
        <v>0</v>
      </c>
    </row>
    <row r="276" spans="1:15" ht="15.75" x14ac:dyDescent="0.25">
      <c r="A276" s="16">
        <f>Catalog!D249</f>
        <v>0</v>
      </c>
      <c r="B276" s="16">
        <f>Catalog!F249</f>
        <v>0</v>
      </c>
      <c r="C276" s="16" t="str">
        <f>IF(Catalog!I249="","",Catalog!I249)&amp;IF(AND(Catalog!I249&lt;&gt;"",Catalog!J249&lt;&gt;""),"; ","")&amp;IF(Catalog!J249="","",Catalog!J249)</f>
        <v/>
      </c>
      <c r="D276" s="16">
        <f>Catalog!Q249</f>
        <v>0</v>
      </c>
      <c r="E276" s="16">
        <f>Catalog!S249</f>
        <v>0</v>
      </c>
      <c r="F276" s="16">
        <f>Catalog!N249</f>
        <v>0</v>
      </c>
      <c r="G276" s="16" t="str">
        <f>Catalog!K249&amp;" / "&amp;Catalog!M249</f>
        <v xml:space="preserve"> / </v>
      </c>
      <c r="H276" s="16" t="str">
        <f t="shared" si="3"/>
        <v>Print</v>
      </c>
      <c r="I276" s="16" t="str">
        <f>IF(Catalog!T249&lt;&gt;"","ISBN:"&amp;Catalog!T249,IF(Catalog!U249&lt;&gt;"","ISSN:"&amp;Catalog!U249,"ACC:"&amp;Catalog!B249))</f>
        <v>ACC:</v>
      </c>
      <c r="J276" s="16">
        <f>Catalog!L249</f>
        <v>0</v>
      </c>
      <c r="K276" s="16">
        <f>IF(Catalog!AH249&lt;&gt;"",Catalog!AH249,Catalog!AF249)</f>
        <v>0</v>
      </c>
      <c r="L276" s="16">
        <f>Catalog!AE249</f>
        <v>0</v>
      </c>
      <c r="M276" s="16">
        <f>Catalog!W249</f>
        <v>0</v>
      </c>
      <c r="N276" s="16">
        <f>Catalog!R249</f>
        <v>0</v>
      </c>
      <c r="O276" s="16">
        <f>Catalog!AG249</f>
        <v>0</v>
      </c>
    </row>
    <row r="277" spans="1:15" ht="15.75" x14ac:dyDescent="0.25">
      <c r="A277" s="16">
        <f>Catalog!D250</f>
        <v>0</v>
      </c>
      <c r="B277" s="16">
        <f>Catalog!F250</f>
        <v>0</v>
      </c>
      <c r="C277" s="16" t="str">
        <f>IF(Catalog!I250="","",Catalog!I250)&amp;IF(AND(Catalog!I250&lt;&gt;"",Catalog!J250&lt;&gt;""),"; ","")&amp;IF(Catalog!J250="","",Catalog!J250)</f>
        <v/>
      </c>
      <c r="D277" s="16">
        <f>Catalog!Q250</f>
        <v>0</v>
      </c>
      <c r="E277" s="16">
        <f>Catalog!S250</f>
        <v>0</v>
      </c>
      <c r="F277" s="16">
        <f>Catalog!N250</f>
        <v>0</v>
      </c>
      <c r="G277" s="16" t="str">
        <f>Catalog!K250&amp;" / "&amp;Catalog!M250</f>
        <v xml:space="preserve"> / </v>
      </c>
      <c r="H277" s="16" t="str">
        <f t="shared" si="3"/>
        <v>Print</v>
      </c>
      <c r="I277" s="16" t="str">
        <f>IF(Catalog!T250&lt;&gt;"","ISBN:"&amp;Catalog!T250,IF(Catalog!U250&lt;&gt;"","ISSN:"&amp;Catalog!U250,"ACC:"&amp;Catalog!B250))</f>
        <v>ACC:</v>
      </c>
      <c r="J277" s="16">
        <f>Catalog!L250</f>
        <v>0</v>
      </c>
      <c r="K277" s="16">
        <f>IF(Catalog!AH250&lt;&gt;"",Catalog!AH250,Catalog!AF250)</f>
        <v>0</v>
      </c>
      <c r="L277" s="16">
        <f>Catalog!AE250</f>
        <v>0</v>
      </c>
      <c r="M277" s="16">
        <f>Catalog!W250</f>
        <v>0</v>
      </c>
      <c r="N277" s="16">
        <f>Catalog!R250</f>
        <v>0</v>
      </c>
      <c r="O277" s="16">
        <f>Catalog!AG250</f>
        <v>0</v>
      </c>
    </row>
    <row r="278" spans="1:15" ht="15.75" x14ac:dyDescent="0.25">
      <c r="A278" s="16">
        <f>Catalog!D251</f>
        <v>0</v>
      </c>
      <c r="B278" s="16">
        <f>Catalog!F251</f>
        <v>0</v>
      </c>
      <c r="C278" s="16" t="str">
        <f>IF(Catalog!I251="","",Catalog!I251)&amp;IF(AND(Catalog!I251&lt;&gt;"",Catalog!J251&lt;&gt;""),"; ","")&amp;IF(Catalog!J251="","",Catalog!J251)</f>
        <v/>
      </c>
      <c r="D278" s="16">
        <f>Catalog!Q251</f>
        <v>0</v>
      </c>
      <c r="E278" s="16">
        <f>Catalog!S251</f>
        <v>0</v>
      </c>
      <c r="F278" s="16">
        <f>Catalog!N251</f>
        <v>0</v>
      </c>
      <c r="G278" s="16" t="str">
        <f>Catalog!K251&amp;" / "&amp;Catalog!M251</f>
        <v xml:space="preserve"> / </v>
      </c>
      <c r="H278" s="16" t="str">
        <f t="shared" si="3"/>
        <v>Print</v>
      </c>
      <c r="I278" s="16" t="str">
        <f>IF(Catalog!T251&lt;&gt;"","ISBN:"&amp;Catalog!T251,IF(Catalog!U251&lt;&gt;"","ISSN:"&amp;Catalog!U251,"ACC:"&amp;Catalog!B251))</f>
        <v>ACC:</v>
      </c>
      <c r="J278" s="16">
        <f>Catalog!L251</f>
        <v>0</v>
      </c>
      <c r="K278" s="16">
        <f>IF(Catalog!AH251&lt;&gt;"",Catalog!AH251,Catalog!AF251)</f>
        <v>0</v>
      </c>
      <c r="L278" s="16">
        <f>Catalog!AE251</f>
        <v>0</v>
      </c>
      <c r="M278" s="16">
        <f>Catalog!W251</f>
        <v>0</v>
      </c>
      <c r="N278" s="16">
        <f>Catalog!R251</f>
        <v>0</v>
      </c>
      <c r="O278" s="16">
        <f>Catalog!AG251</f>
        <v>0</v>
      </c>
    </row>
    <row r="279" spans="1:15" ht="15.75" x14ac:dyDescent="0.25">
      <c r="A279" s="16">
        <f>Catalog!D252</f>
        <v>0</v>
      </c>
      <c r="B279" s="16">
        <f>Catalog!F252</f>
        <v>0</v>
      </c>
      <c r="C279" s="16" t="str">
        <f>IF(Catalog!I252="","",Catalog!I252)&amp;IF(AND(Catalog!I252&lt;&gt;"",Catalog!J252&lt;&gt;""),"; ","")&amp;IF(Catalog!J252="","",Catalog!J252)</f>
        <v/>
      </c>
      <c r="D279" s="16">
        <f>Catalog!Q252</f>
        <v>0</v>
      </c>
      <c r="E279" s="16">
        <f>Catalog!S252</f>
        <v>0</v>
      </c>
      <c r="F279" s="16">
        <f>Catalog!N252</f>
        <v>0</v>
      </c>
      <c r="G279" s="16" t="str">
        <f>Catalog!K252&amp;" / "&amp;Catalog!M252</f>
        <v xml:space="preserve"> / </v>
      </c>
      <c r="H279" s="16" t="str">
        <f t="shared" si="3"/>
        <v>Print</v>
      </c>
      <c r="I279" s="16" t="str">
        <f>IF(Catalog!T252&lt;&gt;"","ISBN:"&amp;Catalog!T252,IF(Catalog!U252&lt;&gt;"","ISSN:"&amp;Catalog!U252,"ACC:"&amp;Catalog!B252))</f>
        <v>ACC:</v>
      </c>
      <c r="J279" s="16">
        <f>Catalog!L252</f>
        <v>0</v>
      </c>
      <c r="K279" s="16">
        <f>IF(Catalog!AH252&lt;&gt;"",Catalog!AH252,Catalog!AF252)</f>
        <v>0</v>
      </c>
      <c r="L279" s="16">
        <f>Catalog!AE252</f>
        <v>0</v>
      </c>
      <c r="M279" s="16">
        <f>Catalog!W252</f>
        <v>0</v>
      </c>
      <c r="N279" s="16">
        <f>Catalog!R252</f>
        <v>0</v>
      </c>
      <c r="O279" s="16">
        <f>Catalog!AG252</f>
        <v>0</v>
      </c>
    </row>
    <row r="280" spans="1:15" ht="15.75" x14ac:dyDescent="0.25">
      <c r="A280" s="16">
        <f>Catalog!D253</f>
        <v>0</v>
      </c>
      <c r="B280" s="16">
        <f>Catalog!F253</f>
        <v>0</v>
      </c>
      <c r="C280" s="16" t="str">
        <f>IF(Catalog!I253="","",Catalog!I253)&amp;IF(AND(Catalog!I253&lt;&gt;"",Catalog!J253&lt;&gt;""),"; ","")&amp;IF(Catalog!J253="","",Catalog!J253)</f>
        <v/>
      </c>
      <c r="D280" s="16">
        <f>Catalog!Q253</f>
        <v>0</v>
      </c>
      <c r="E280" s="16">
        <f>Catalog!S253</f>
        <v>0</v>
      </c>
      <c r="F280" s="16">
        <f>Catalog!N253</f>
        <v>0</v>
      </c>
      <c r="G280" s="16" t="str">
        <f>Catalog!K253&amp;" / "&amp;Catalog!M253</f>
        <v xml:space="preserve"> / </v>
      </c>
      <c r="H280" s="16" t="str">
        <f t="shared" si="3"/>
        <v>Print</v>
      </c>
      <c r="I280" s="16" t="str">
        <f>IF(Catalog!T253&lt;&gt;"","ISBN:"&amp;Catalog!T253,IF(Catalog!U253&lt;&gt;"","ISSN:"&amp;Catalog!U253,"ACC:"&amp;Catalog!B253))</f>
        <v>ACC:</v>
      </c>
      <c r="J280" s="16">
        <f>Catalog!L253</f>
        <v>0</v>
      </c>
      <c r="K280" s="16">
        <f>IF(Catalog!AH253&lt;&gt;"",Catalog!AH253,Catalog!AF253)</f>
        <v>0</v>
      </c>
      <c r="L280" s="16">
        <f>Catalog!AE253</f>
        <v>0</v>
      </c>
      <c r="M280" s="16">
        <f>Catalog!W253</f>
        <v>0</v>
      </c>
      <c r="N280" s="16">
        <f>Catalog!R253</f>
        <v>0</v>
      </c>
      <c r="O280" s="16">
        <f>Catalog!AG253</f>
        <v>0</v>
      </c>
    </row>
    <row r="281" spans="1:15" ht="15.75" x14ac:dyDescent="0.25">
      <c r="A281" s="16">
        <f>Catalog!D254</f>
        <v>0</v>
      </c>
      <c r="B281" s="16">
        <f>Catalog!F254</f>
        <v>0</v>
      </c>
      <c r="C281" s="16" t="str">
        <f>IF(Catalog!I254="","",Catalog!I254)&amp;IF(AND(Catalog!I254&lt;&gt;"",Catalog!J254&lt;&gt;""),"; ","")&amp;IF(Catalog!J254="","",Catalog!J254)</f>
        <v/>
      </c>
      <c r="D281" s="16">
        <f>Catalog!Q254</f>
        <v>0</v>
      </c>
      <c r="E281" s="16">
        <f>Catalog!S254</f>
        <v>0</v>
      </c>
      <c r="F281" s="16">
        <f>Catalog!N254</f>
        <v>0</v>
      </c>
      <c r="G281" s="16" t="str">
        <f>Catalog!K254&amp;" / "&amp;Catalog!M254</f>
        <v xml:space="preserve"> / </v>
      </c>
      <c r="H281" s="16" t="str">
        <f t="shared" si="3"/>
        <v>Print</v>
      </c>
      <c r="I281" s="16" t="str">
        <f>IF(Catalog!T254&lt;&gt;"","ISBN:"&amp;Catalog!T254,IF(Catalog!U254&lt;&gt;"","ISSN:"&amp;Catalog!U254,"ACC:"&amp;Catalog!B254))</f>
        <v>ACC:</v>
      </c>
      <c r="J281" s="16">
        <f>Catalog!L254</f>
        <v>0</v>
      </c>
      <c r="K281" s="16">
        <f>IF(Catalog!AH254&lt;&gt;"",Catalog!AH254,Catalog!AF254)</f>
        <v>0</v>
      </c>
      <c r="L281" s="16">
        <f>Catalog!AE254</f>
        <v>0</v>
      </c>
      <c r="M281" s="16">
        <f>Catalog!W254</f>
        <v>0</v>
      </c>
      <c r="N281" s="16">
        <f>Catalog!R254</f>
        <v>0</v>
      </c>
      <c r="O281" s="16">
        <f>Catalog!AG254</f>
        <v>0</v>
      </c>
    </row>
    <row r="282" spans="1:15" ht="15.75" x14ac:dyDescent="0.25">
      <c r="A282" s="16">
        <f>Catalog!D255</f>
        <v>0</v>
      </c>
      <c r="B282" s="16">
        <f>Catalog!F255</f>
        <v>0</v>
      </c>
      <c r="C282" s="16" t="str">
        <f>IF(Catalog!I255="","",Catalog!I255)&amp;IF(AND(Catalog!I255&lt;&gt;"",Catalog!J255&lt;&gt;""),"; ","")&amp;IF(Catalog!J255="","",Catalog!J255)</f>
        <v/>
      </c>
      <c r="D282" s="16">
        <f>Catalog!Q255</f>
        <v>0</v>
      </c>
      <c r="E282" s="16">
        <f>Catalog!S255</f>
        <v>0</v>
      </c>
      <c r="F282" s="16">
        <f>Catalog!N255</f>
        <v>0</v>
      </c>
      <c r="G282" s="16" t="str">
        <f>Catalog!K255&amp;" / "&amp;Catalog!M255</f>
        <v xml:space="preserve"> / </v>
      </c>
      <c r="H282" s="16" t="str">
        <f t="shared" si="3"/>
        <v>Print</v>
      </c>
      <c r="I282" s="16" t="str">
        <f>IF(Catalog!T255&lt;&gt;"","ISBN:"&amp;Catalog!T255,IF(Catalog!U255&lt;&gt;"","ISSN:"&amp;Catalog!U255,"ACC:"&amp;Catalog!B255))</f>
        <v>ACC:</v>
      </c>
      <c r="J282" s="16">
        <f>Catalog!L255</f>
        <v>0</v>
      </c>
      <c r="K282" s="16">
        <f>IF(Catalog!AH255&lt;&gt;"",Catalog!AH255,Catalog!AF255)</f>
        <v>0</v>
      </c>
      <c r="L282" s="16">
        <f>Catalog!AE255</f>
        <v>0</v>
      </c>
      <c r="M282" s="16">
        <f>Catalog!W255</f>
        <v>0</v>
      </c>
      <c r="N282" s="16">
        <f>Catalog!R255</f>
        <v>0</v>
      </c>
      <c r="O282" s="16">
        <f>Catalog!AG255</f>
        <v>0</v>
      </c>
    </row>
    <row r="283" spans="1:15" ht="15.75" x14ac:dyDescent="0.25">
      <c r="A283" s="16">
        <f>Catalog!D256</f>
        <v>0</v>
      </c>
      <c r="B283" s="16">
        <f>Catalog!F256</f>
        <v>0</v>
      </c>
      <c r="C283" s="16" t="str">
        <f>IF(Catalog!I256="","",Catalog!I256)&amp;IF(AND(Catalog!I256&lt;&gt;"",Catalog!J256&lt;&gt;""),"; ","")&amp;IF(Catalog!J256="","",Catalog!J256)</f>
        <v/>
      </c>
      <c r="D283" s="16">
        <f>Catalog!Q256</f>
        <v>0</v>
      </c>
      <c r="E283" s="16">
        <f>Catalog!S256</f>
        <v>0</v>
      </c>
      <c r="F283" s="16">
        <f>Catalog!N256</f>
        <v>0</v>
      </c>
      <c r="G283" s="16" t="str">
        <f>Catalog!K256&amp;" / "&amp;Catalog!M256</f>
        <v xml:space="preserve"> / </v>
      </c>
      <c r="H283" s="16" t="str">
        <f t="shared" si="3"/>
        <v>Print</v>
      </c>
      <c r="I283" s="16" t="str">
        <f>IF(Catalog!T256&lt;&gt;"","ISBN:"&amp;Catalog!T256,IF(Catalog!U256&lt;&gt;"","ISSN:"&amp;Catalog!U256,"ACC:"&amp;Catalog!B256))</f>
        <v>ACC:</v>
      </c>
      <c r="J283" s="16">
        <f>Catalog!L256</f>
        <v>0</v>
      </c>
      <c r="K283" s="16">
        <f>IF(Catalog!AH256&lt;&gt;"",Catalog!AH256,Catalog!AF256)</f>
        <v>0</v>
      </c>
      <c r="L283" s="16">
        <f>Catalog!AE256</f>
        <v>0</v>
      </c>
      <c r="M283" s="16">
        <f>Catalog!W256</f>
        <v>0</v>
      </c>
      <c r="N283" s="16">
        <f>Catalog!R256</f>
        <v>0</v>
      </c>
      <c r="O283" s="16">
        <f>Catalog!AG256</f>
        <v>0</v>
      </c>
    </row>
    <row r="284" spans="1:15" ht="15.75" x14ac:dyDescent="0.25">
      <c r="A284" s="16">
        <f>Catalog!D257</f>
        <v>0</v>
      </c>
      <c r="B284" s="16">
        <f>Catalog!F257</f>
        <v>0</v>
      </c>
      <c r="C284" s="16" t="str">
        <f>IF(Catalog!I257="","",Catalog!I257)&amp;IF(AND(Catalog!I257&lt;&gt;"",Catalog!J257&lt;&gt;""),"; ","")&amp;IF(Catalog!J257="","",Catalog!J257)</f>
        <v/>
      </c>
      <c r="D284" s="16">
        <f>Catalog!Q257</f>
        <v>0</v>
      </c>
      <c r="E284" s="16">
        <f>Catalog!S257</f>
        <v>0</v>
      </c>
      <c r="F284" s="16">
        <f>Catalog!N257</f>
        <v>0</v>
      </c>
      <c r="G284" s="16" t="str">
        <f>Catalog!K257&amp;" / "&amp;Catalog!M257</f>
        <v xml:space="preserve"> / </v>
      </c>
      <c r="H284" s="16" t="str">
        <f t="shared" si="3"/>
        <v>Print</v>
      </c>
      <c r="I284" s="16" t="str">
        <f>IF(Catalog!T257&lt;&gt;"","ISBN:"&amp;Catalog!T257,IF(Catalog!U257&lt;&gt;"","ISSN:"&amp;Catalog!U257,"ACC:"&amp;Catalog!B257))</f>
        <v>ACC:</v>
      </c>
      <c r="J284" s="16">
        <f>Catalog!L257</f>
        <v>0</v>
      </c>
      <c r="K284" s="16">
        <f>IF(Catalog!AH257&lt;&gt;"",Catalog!AH257,Catalog!AF257)</f>
        <v>0</v>
      </c>
      <c r="L284" s="16">
        <f>Catalog!AE257</f>
        <v>0</v>
      </c>
      <c r="M284" s="16">
        <f>Catalog!W257</f>
        <v>0</v>
      </c>
      <c r="N284" s="16">
        <f>Catalog!R257</f>
        <v>0</v>
      </c>
      <c r="O284" s="16">
        <f>Catalog!AG257</f>
        <v>0</v>
      </c>
    </row>
    <row r="285" spans="1:15" ht="15.75" x14ac:dyDescent="0.25">
      <c r="A285" s="16">
        <f>Catalog!D258</f>
        <v>0</v>
      </c>
      <c r="B285" s="16">
        <f>Catalog!F258</f>
        <v>0</v>
      </c>
      <c r="C285" s="16" t="str">
        <f>IF(Catalog!I258="","",Catalog!I258)&amp;IF(AND(Catalog!I258&lt;&gt;"",Catalog!J258&lt;&gt;""),"; ","")&amp;IF(Catalog!J258="","",Catalog!J258)</f>
        <v/>
      </c>
      <c r="D285" s="16">
        <f>Catalog!Q258</f>
        <v>0</v>
      </c>
      <c r="E285" s="16">
        <f>Catalog!S258</f>
        <v>0</v>
      </c>
      <c r="F285" s="16">
        <f>Catalog!N258</f>
        <v>0</v>
      </c>
      <c r="G285" s="16" t="str">
        <f>Catalog!K258&amp;" / "&amp;Catalog!M258</f>
        <v xml:space="preserve"> / </v>
      </c>
      <c r="H285" s="16" t="str">
        <f t="shared" ref="H285:H348" si="4">"Print"</f>
        <v>Print</v>
      </c>
      <c r="I285" s="16" t="str">
        <f>IF(Catalog!T258&lt;&gt;"","ISBN:"&amp;Catalog!T258,IF(Catalog!U258&lt;&gt;"","ISSN:"&amp;Catalog!U258,"ACC:"&amp;Catalog!B258))</f>
        <v>ACC:</v>
      </c>
      <c r="J285" s="16">
        <f>Catalog!L258</f>
        <v>0</v>
      </c>
      <c r="K285" s="16">
        <f>IF(Catalog!AH258&lt;&gt;"",Catalog!AH258,Catalog!AF258)</f>
        <v>0</v>
      </c>
      <c r="L285" s="16">
        <f>Catalog!AE258</f>
        <v>0</v>
      </c>
      <c r="M285" s="16">
        <f>Catalog!W258</f>
        <v>0</v>
      </c>
      <c r="N285" s="16">
        <f>Catalog!R258</f>
        <v>0</v>
      </c>
      <c r="O285" s="16">
        <f>Catalog!AG258</f>
        <v>0</v>
      </c>
    </row>
    <row r="286" spans="1:15" ht="15.75" x14ac:dyDescent="0.25">
      <c r="A286" s="16">
        <f>Catalog!D259</f>
        <v>0</v>
      </c>
      <c r="B286" s="16">
        <f>Catalog!F259</f>
        <v>0</v>
      </c>
      <c r="C286" s="16" t="str">
        <f>IF(Catalog!I259="","",Catalog!I259)&amp;IF(AND(Catalog!I259&lt;&gt;"",Catalog!J259&lt;&gt;""),"; ","")&amp;IF(Catalog!J259="","",Catalog!J259)</f>
        <v/>
      </c>
      <c r="D286" s="16">
        <f>Catalog!Q259</f>
        <v>0</v>
      </c>
      <c r="E286" s="16">
        <f>Catalog!S259</f>
        <v>0</v>
      </c>
      <c r="F286" s="16">
        <f>Catalog!N259</f>
        <v>0</v>
      </c>
      <c r="G286" s="16" t="str">
        <f>Catalog!K259&amp;" / "&amp;Catalog!M259</f>
        <v xml:space="preserve"> / </v>
      </c>
      <c r="H286" s="16" t="str">
        <f t="shared" si="4"/>
        <v>Print</v>
      </c>
      <c r="I286" s="16" t="str">
        <f>IF(Catalog!T259&lt;&gt;"","ISBN:"&amp;Catalog!T259,IF(Catalog!U259&lt;&gt;"","ISSN:"&amp;Catalog!U259,"ACC:"&amp;Catalog!B259))</f>
        <v>ACC:</v>
      </c>
      <c r="J286" s="16">
        <f>Catalog!L259</f>
        <v>0</v>
      </c>
      <c r="K286" s="16">
        <f>IF(Catalog!AH259&lt;&gt;"",Catalog!AH259,Catalog!AF259)</f>
        <v>0</v>
      </c>
      <c r="L286" s="16">
        <f>Catalog!AE259</f>
        <v>0</v>
      </c>
      <c r="M286" s="16">
        <f>Catalog!W259</f>
        <v>0</v>
      </c>
      <c r="N286" s="16">
        <f>Catalog!R259</f>
        <v>0</v>
      </c>
      <c r="O286" s="16">
        <f>Catalog!AG259</f>
        <v>0</v>
      </c>
    </row>
    <row r="287" spans="1:15" ht="15.75" x14ac:dyDescent="0.25">
      <c r="A287" s="16">
        <f>Catalog!D260</f>
        <v>0</v>
      </c>
      <c r="B287" s="16">
        <f>Catalog!F260</f>
        <v>0</v>
      </c>
      <c r="C287" s="16" t="str">
        <f>IF(Catalog!I260="","",Catalog!I260)&amp;IF(AND(Catalog!I260&lt;&gt;"",Catalog!J260&lt;&gt;""),"; ","")&amp;IF(Catalog!J260="","",Catalog!J260)</f>
        <v/>
      </c>
      <c r="D287" s="16">
        <f>Catalog!Q260</f>
        <v>0</v>
      </c>
      <c r="E287" s="16">
        <f>Catalog!S260</f>
        <v>0</v>
      </c>
      <c r="F287" s="16">
        <f>Catalog!N260</f>
        <v>0</v>
      </c>
      <c r="G287" s="16" t="str">
        <f>Catalog!K260&amp;" / "&amp;Catalog!M260</f>
        <v xml:space="preserve"> / </v>
      </c>
      <c r="H287" s="16" t="str">
        <f t="shared" si="4"/>
        <v>Print</v>
      </c>
      <c r="I287" s="16" t="str">
        <f>IF(Catalog!T260&lt;&gt;"","ISBN:"&amp;Catalog!T260,IF(Catalog!U260&lt;&gt;"","ISSN:"&amp;Catalog!U260,"ACC:"&amp;Catalog!B260))</f>
        <v>ACC:</v>
      </c>
      <c r="J287" s="16">
        <f>Catalog!L260</f>
        <v>0</v>
      </c>
      <c r="K287" s="16">
        <f>IF(Catalog!AH260&lt;&gt;"",Catalog!AH260,Catalog!AF260)</f>
        <v>0</v>
      </c>
      <c r="L287" s="16">
        <f>Catalog!AE260</f>
        <v>0</v>
      </c>
      <c r="M287" s="16">
        <f>Catalog!W260</f>
        <v>0</v>
      </c>
      <c r="N287" s="16">
        <f>Catalog!R260</f>
        <v>0</v>
      </c>
      <c r="O287" s="16">
        <f>Catalog!AG260</f>
        <v>0</v>
      </c>
    </row>
    <row r="288" spans="1:15" ht="15.75" x14ac:dyDescent="0.25">
      <c r="A288" s="16">
        <f>Catalog!D261</f>
        <v>0</v>
      </c>
      <c r="B288" s="16">
        <f>Catalog!F261</f>
        <v>0</v>
      </c>
      <c r="C288" s="16" t="str">
        <f>IF(Catalog!I261="","",Catalog!I261)&amp;IF(AND(Catalog!I261&lt;&gt;"",Catalog!J261&lt;&gt;""),"; ","")&amp;IF(Catalog!J261="","",Catalog!J261)</f>
        <v/>
      </c>
      <c r="D288" s="16">
        <f>Catalog!Q261</f>
        <v>0</v>
      </c>
      <c r="E288" s="16">
        <f>Catalog!S261</f>
        <v>0</v>
      </c>
      <c r="F288" s="16">
        <f>Catalog!N261</f>
        <v>0</v>
      </c>
      <c r="G288" s="16" t="str">
        <f>Catalog!K261&amp;" / "&amp;Catalog!M261</f>
        <v xml:space="preserve"> / </v>
      </c>
      <c r="H288" s="16" t="str">
        <f t="shared" si="4"/>
        <v>Print</v>
      </c>
      <c r="I288" s="16" t="str">
        <f>IF(Catalog!T261&lt;&gt;"","ISBN:"&amp;Catalog!T261,IF(Catalog!U261&lt;&gt;"","ISSN:"&amp;Catalog!U261,"ACC:"&amp;Catalog!B261))</f>
        <v>ACC:</v>
      </c>
      <c r="J288" s="16">
        <f>Catalog!L261</f>
        <v>0</v>
      </c>
      <c r="K288" s="16">
        <f>IF(Catalog!AH261&lt;&gt;"",Catalog!AH261,Catalog!AF261)</f>
        <v>0</v>
      </c>
      <c r="L288" s="16">
        <f>Catalog!AE261</f>
        <v>0</v>
      </c>
      <c r="M288" s="16">
        <f>Catalog!W261</f>
        <v>0</v>
      </c>
      <c r="N288" s="16">
        <f>Catalog!R261</f>
        <v>0</v>
      </c>
      <c r="O288" s="16">
        <f>Catalog!AG261</f>
        <v>0</v>
      </c>
    </row>
    <row r="289" spans="1:15" ht="15.75" x14ac:dyDescent="0.25">
      <c r="A289" s="16">
        <f>Catalog!D262</f>
        <v>0</v>
      </c>
      <c r="B289" s="16">
        <f>Catalog!F262</f>
        <v>0</v>
      </c>
      <c r="C289" s="16" t="str">
        <f>IF(Catalog!I262="","",Catalog!I262)&amp;IF(AND(Catalog!I262&lt;&gt;"",Catalog!J262&lt;&gt;""),"; ","")&amp;IF(Catalog!J262="","",Catalog!J262)</f>
        <v/>
      </c>
      <c r="D289" s="16">
        <f>Catalog!Q262</f>
        <v>0</v>
      </c>
      <c r="E289" s="16">
        <f>Catalog!S262</f>
        <v>0</v>
      </c>
      <c r="F289" s="16">
        <f>Catalog!N262</f>
        <v>0</v>
      </c>
      <c r="G289" s="16" t="str">
        <f>Catalog!K262&amp;" / "&amp;Catalog!M262</f>
        <v xml:space="preserve"> / </v>
      </c>
      <c r="H289" s="16" t="str">
        <f t="shared" si="4"/>
        <v>Print</v>
      </c>
      <c r="I289" s="16" t="str">
        <f>IF(Catalog!T262&lt;&gt;"","ISBN:"&amp;Catalog!T262,IF(Catalog!U262&lt;&gt;"","ISSN:"&amp;Catalog!U262,"ACC:"&amp;Catalog!B262))</f>
        <v>ACC:</v>
      </c>
      <c r="J289" s="16">
        <f>Catalog!L262</f>
        <v>0</v>
      </c>
      <c r="K289" s="16">
        <f>IF(Catalog!AH262&lt;&gt;"",Catalog!AH262,Catalog!AF262)</f>
        <v>0</v>
      </c>
      <c r="L289" s="16">
        <f>Catalog!AE262</f>
        <v>0</v>
      </c>
      <c r="M289" s="16">
        <f>Catalog!W262</f>
        <v>0</v>
      </c>
      <c r="N289" s="16">
        <f>Catalog!R262</f>
        <v>0</v>
      </c>
      <c r="O289" s="16">
        <f>Catalog!AG262</f>
        <v>0</v>
      </c>
    </row>
    <row r="290" spans="1:15" ht="15.75" x14ac:dyDescent="0.25">
      <c r="A290" s="16">
        <f>Catalog!D263</f>
        <v>0</v>
      </c>
      <c r="B290" s="16">
        <f>Catalog!F263</f>
        <v>0</v>
      </c>
      <c r="C290" s="16" t="str">
        <f>IF(Catalog!I263="","",Catalog!I263)&amp;IF(AND(Catalog!I263&lt;&gt;"",Catalog!J263&lt;&gt;""),"; ","")&amp;IF(Catalog!J263="","",Catalog!J263)</f>
        <v/>
      </c>
      <c r="D290" s="16">
        <f>Catalog!Q263</f>
        <v>0</v>
      </c>
      <c r="E290" s="16">
        <f>Catalog!S263</f>
        <v>0</v>
      </c>
      <c r="F290" s="16">
        <f>Catalog!N263</f>
        <v>0</v>
      </c>
      <c r="G290" s="16" t="str">
        <f>Catalog!K263&amp;" / "&amp;Catalog!M263</f>
        <v xml:space="preserve"> / </v>
      </c>
      <c r="H290" s="16" t="str">
        <f t="shared" si="4"/>
        <v>Print</v>
      </c>
      <c r="I290" s="16" t="str">
        <f>IF(Catalog!T263&lt;&gt;"","ISBN:"&amp;Catalog!T263,IF(Catalog!U263&lt;&gt;"","ISSN:"&amp;Catalog!U263,"ACC:"&amp;Catalog!B263))</f>
        <v>ACC:</v>
      </c>
      <c r="J290" s="16">
        <f>Catalog!L263</f>
        <v>0</v>
      </c>
      <c r="K290" s="16">
        <f>IF(Catalog!AH263&lt;&gt;"",Catalog!AH263,Catalog!AF263)</f>
        <v>0</v>
      </c>
      <c r="L290" s="16">
        <f>Catalog!AE263</f>
        <v>0</v>
      </c>
      <c r="M290" s="16">
        <f>Catalog!W263</f>
        <v>0</v>
      </c>
      <c r="N290" s="16">
        <f>Catalog!R263</f>
        <v>0</v>
      </c>
      <c r="O290" s="16">
        <f>Catalog!AG263</f>
        <v>0</v>
      </c>
    </row>
    <row r="291" spans="1:15" ht="15.75" x14ac:dyDescent="0.25">
      <c r="A291" s="16">
        <f>Catalog!D264</f>
        <v>0</v>
      </c>
      <c r="B291" s="16">
        <f>Catalog!F264</f>
        <v>0</v>
      </c>
      <c r="C291" s="16" t="str">
        <f>IF(Catalog!I264="","",Catalog!I264)&amp;IF(AND(Catalog!I264&lt;&gt;"",Catalog!J264&lt;&gt;""),"; ","")&amp;IF(Catalog!J264="","",Catalog!J264)</f>
        <v/>
      </c>
      <c r="D291" s="16">
        <f>Catalog!Q264</f>
        <v>0</v>
      </c>
      <c r="E291" s="16">
        <f>Catalog!S264</f>
        <v>0</v>
      </c>
      <c r="F291" s="16">
        <f>Catalog!N264</f>
        <v>0</v>
      </c>
      <c r="G291" s="16" t="str">
        <f>Catalog!K264&amp;" / "&amp;Catalog!M264</f>
        <v xml:space="preserve"> / </v>
      </c>
      <c r="H291" s="16" t="str">
        <f t="shared" si="4"/>
        <v>Print</v>
      </c>
      <c r="I291" s="16" t="str">
        <f>IF(Catalog!T264&lt;&gt;"","ISBN:"&amp;Catalog!T264,IF(Catalog!U264&lt;&gt;"","ISSN:"&amp;Catalog!U264,"ACC:"&amp;Catalog!B264))</f>
        <v>ACC:</v>
      </c>
      <c r="J291" s="16">
        <f>Catalog!L264</f>
        <v>0</v>
      </c>
      <c r="K291" s="16">
        <f>IF(Catalog!AH264&lt;&gt;"",Catalog!AH264,Catalog!AF264)</f>
        <v>0</v>
      </c>
      <c r="L291" s="16">
        <f>Catalog!AE264</f>
        <v>0</v>
      </c>
      <c r="M291" s="16">
        <f>Catalog!W264</f>
        <v>0</v>
      </c>
      <c r="N291" s="16">
        <f>Catalog!R264</f>
        <v>0</v>
      </c>
      <c r="O291" s="16">
        <f>Catalog!AG264</f>
        <v>0</v>
      </c>
    </row>
    <row r="292" spans="1:15" ht="15.75" x14ac:dyDescent="0.25">
      <c r="A292" s="16">
        <f>Catalog!D265</f>
        <v>0</v>
      </c>
      <c r="B292" s="16">
        <f>Catalog!F265</f>
        <v>0</v>
      </c>
      <c r="C292" s="16" t="str">
        <f>IF(Catalog!I265="","",Catalog!I265)&amp;IF(AND(Catalog!I265&lt;&gt;"",Catalog!J265&lt;&gt;""),"; ","")&amp;IF(Catalog!J265="","",Catalog!J265)</f>
        <v/>
      </c>
      <c r="D292" s="16">
        <f>Catalog!Q265</f>
        <v>0</v>
      </c>
      <c r="E292" s="16">
        <f>Catalog!S265</f>
        <v>0</v>
      </c>
      <c r="F292" s="16">
        <f>Catalog!N265</f>
        <v>0</v>
      </c>
      <c r="G292" s="16" t="str">
        <f>Catalog!K265&amp;" / "&amp;Catalog!M265</f>
        <v xml:space="preserve"> / </v>
      </c>
      <c r="H292" s="16" t="str">
        <f t="shared" si="4"/>
        <v>Print</v>
      </c>
      <c r="I292" s="16" t="str">
        <f>IF(Catalog!T265&lt;&gt;"","ISBN:"&amp;Catalog!T265,IF(Catalog!U265&lt;&gt;"","ISSN:"&amp;Catalog!U265,"ACC:"&amp;Catalog!B265))</f>
        <v>ACC:</v>
      </c>
      <c r="J292" s="16">
        <f>Catalog!L265</f>
        <v>0</v>
      </c>
      <c r="K292" s="16">
        <f>IF(Catalog!AH265&lt;&gt;"",Catalog!AH265,Catalog!AF265)</f>
        <v>0</v>
      </c>
      <c r="L292" s="16">
        <f>Catalog!AE265</f>
        <v>0</v>
      </c>
      <c r="M292" s="16">
        <f>Catalog!W265</f>
        <v>0</v>
      </c>
      <c r="N292" s="16">
        <f>Catalog!R265</f>
        <v>0</v>
      </c>
      <c r="O292" s="16">
        <f>Catalog!AG265</f>
        <v>0</v>
      </c>
    </row>
    <row r="293" spans="1:15" ht="15.75" x14ac:dyDescent="0.25">
      <c r="A293" s="16">
        <f>Catalog!D266</f>
        <v>0</v>
      </c>
      <c r="B293" s="16">
        <f>Catalog!F266</f>
        <v>0</v>
      </c>
      <c r="C293" s="16" t="str">
        <f>IF(Catalog!I266="","",Catalog!I266)&amp;IF(AND(Catalog!I266&lt;&gt;"",Catalog!J266&lt;&gt;""),"; ","")&amp;IF(Catalog!J266="","",Catalog!J266)</f>
        <v/>
      </c>
      <c r="D293" s="16">
        <f>Catalog!Q266</f>
        <v>0</v>
      </c>
      <c r="E293" s="16">
        <f>Catalog!S266</f>
        <v>0</v>
      </c>
      <c r="F293" s="16">
        <f>Catalog!N266</f>
        <v>0</v>
      </c>
      <c r="G293" s="16" t="str">
        <f>Catalog!K266&amp;" / "&amp;Catalog!M266</f>
        <v xml:space="preserve"> / </v>
      </c>
      <c r="H293" s="16" t="str">
        <f t="shared" si="4"/>
        <v>Print</v>
      </c>
      <c r="I293" s="16" t="str">
        <f>IF(Catalog!T266&lt;&gt;"","ISBN:"&amp;Catalog!T266,IF(Catalog!U266&lt;&gt;"","ISSN:"&amp;Catalog!U266,"ACC:"&amp;Catalog!B266))</f>
        <v>ACC:</v>
      </c>
      <c r="J293" s="16">
        <f>Catalog!L266</f>
        <v>0</v>
      </c>
      <c r="K293" s="16">
        <f>IF(Catalog!AH266&lt;&gt;"",Catalog!AH266,Catalog!AF266)</f>
        <v>0</v>
      </c>
      <c r="L293" s="16">
        <f>Catalog!AE266</f>
        <v>0</v>
      </c>
      <c r="M293" s="16">
        <f>Catalog!W266</f>
        <v>0</v>
      </c>
      <c r="N293" s="16">
        <f>Catalog!R266</f>
        <v>0</v>
      </c>
      <c r="O293" s="16">
        <f>Catalog!AG266</f>
        <v>0</v>
      </c>
    </row>
    <row r="294" spans="1:15" ht="15.75" x14ac:dyDescent="0.25">
      <c r="A294" s="16">
        <f>Catalog!D267</f>
        <v>0</v>
      </c>
      <c r="B294" s="16">
        <f>Catalog!F267</f>
        <v>0</v>
      </c>
      <c r="C294" s="16" t="str">
        <f>IF(Catalog!I267="","",Catalog!I267)&amp;IF(AND(Catalog!I267&lt;&gt;"",Catalog!J267&lt;&gt;""),"; ","")&amp;IF(Catalog!J267="","",Catalog!J267)</f>
        <v/>
      </c>
      <c r="D294" s="16">
        <f>Catalog!Q267</f>
        <v>0</v>
      </c>
      <c r="E294" s="16">
        <f>Catalog!S267</f>
        <v>0</v>
      </c>
      <c r="F294" s="16">
        <f>Catalog!N267</f>
        <v>0</v>
      </c>
      <c r="G294" s="16" t="str">
        <f>Catalog!K267&amp;" / "&amp;Catalog!M267</f>
        <v xml:space="preserve"> / </v>
      </c>
      <c r="H294" s="16" t="str">
        <f t="shared" si="4"/>
        <v>Print</v>
      </c>
      <c r="I294" s="16" t="str">
        <f>IF(Catalog!T267&lt;&gt;"","ISBN:"&amp;Catalog!T267,IF(Catalog!U267&lt;&gt;"","ISSN:"&amp;Catalog!U267,"ACC:"&amp;Catalog!B267))</f>
        <v>ACC:</v>
      </c>
      <c r="J294" s="16">
        <f>Catalog!L267</f>
        <v>0</v>
      </c>
      <c r="K294" s="16">
        <f>IF(Catalog!AH267&lt;&gt;"",Catalog!AH267,Catalog!AF267)</f>
        <v>0</v>
      </c>
      <c r="L294" s="16">
        <f>Catalog!AE267</f>
        <v>0</v>
      </c>
      <c r="M294" s="16">
        <f>Catalog!W267</f>
        <v>0</v>
      </c>
      <c r="N294" s="16">
        <f>Catalog!R267</f>
        <v>0</v>
      </c>
      <c r="O294" s="16">
        <f>Catalog!AG267</f>
        <v>0</v>
      </c>
    </row>
    <row r="295" spans="1:15" ht="15.75" x14ac:dyDescent="0.25">
      <c r="A295" s="16">
        <f>Catalog!D268</f>
        <v>0</v>
      </c>
      <c r="B295" s="16">
        <f>Catalog!F268</f>
        <v>0</v>
      </c>
      <c r="C295" s="16" t="str">
        <f>IF(Catalog!I268="","",Catalog!I268)&amp;IF(AND(Catalog!I268&lt;&gt;"",Catalog!J268&lt;&gt;""),"; ","")&amp;IF(Catalog!J268="","",Catalog!J268)</f>
        <v/>
      </c>
      <c r="D295" s="16">
        <f>Catalog!Q268</f>
        <v>0</v>
      </c>
      <c r="E295" s="16">
        <f>Catalog!S268</f>
        <v>0</v>
      </c>
      <c r="F295" s="16">
        <f>Catalog!N268</f>
        <v>0</v>
      </c>
      <c r="G295" s="16" t="str">
        <f>Catalog!K268&amp;" / "&amp;Catalog!M268</f>
        <v xml:space="preserve"> / </v>
      </c>
      <c r="H295" s="16" t="str">
        <f t="shared" si="4"/>
        <v>Print</v>
      </c>
      <c r="I295" s="16" t="str">
        <f>IF(Catalog!T268&lt;&gt;"","ISBN:"&amp;Catalog!T268,IF(Catalog!U268&lt;&gt;"","ISSN:"&amp;Catalog!U268,"ACC:"&amp;Catalog!B268))</f>
        <v>ACC:</v>
      </c>
      <c r="J295" s="16">
        <f>Catalog!L268</f>
        <v>0</v>
      </c>
      <c r="K295" s="16">
        <f>IF(Catalog!AH268&lt;&gt;"",Catalog!AH268,Catalog!AF268)</f>
        <v>0</v>
      </c>
      <c r="L295" s="16">
        <f>Catalog!AE268</f>
        <v>0</v>
      </c>
      <c r="M295" s="16">
        <f>Catalog!W268</f>
        <v>0</v>
      </c>
      <c r="N295" s="16">
        <f>Catalog!R268</f>
        <v>0</v>
      </c>
      <c r="O295" s="16">
        <f>Catalog!AG268</f>
        <v>0</v>
      </c>
    </row>
    <row r="296" spans="1:15" ht="15.75" x14ac:dyDescent="0.25">
      <c r="A296" s="16">
        <f>Catalog!D269</f>
        <v>0</v>
      </c>
      <c r="B296" s="16">
        <f>Catalog!F269</f>
        <v>0</v>
      </c>
      <c r="C296" s="16" t="str">
        <f>IF(Catalog!I269="","",Catalog!I269)&amp;IF(AND(Catalog!I269&lt;&gt;"",Catalog!J269&lt;&gt;""),"; ","")&amp;IF(Catalog!J269="","",Catalog!J269)</f>
        <v/>
      </c>
      <c r="D296" s="16">
        <f>Catalog!Q269</f>
        <v>0</v>
      </c>
      <c r="E296" s="16">
        <f>Catalog!S269</f>
        <v>0</v>
      </c>
      <c r="F296" s="16">
        <f>Catalog!N269</f>
        <v>0</v>
      </c>
      <c r="G296" s="16" t="str">
        <f>Catalog!K269&amp;" / "&amp;Catalog!M269</f>
        <v xml:space="preserve"> / </v>
      </c>
      <c r="H296" s="16" t="str">
        <f t="shared" si="4"/>
        <v>Print</v>
      </c>
      <c r="I296" s="16" t="str">
        <f>IF(Catalog!T269&lt;&gt;"","ISBN:"&amp;Catalog!T269,IF(Catalog!U269&lt;&gt;"","ISSN:"&amp;Catalog!U269,"ACC:"&amp;Catalog!B269))</f>
        <v>ACC:</v>
      </c>
      <c r="J296" s="16">
        <f>Catalog!L269</f>
        <v>0</v>
      </c>
      <c r="K296" s="16">
        <f>IF(Catalog!AH269&lt;&gt;"",Catalog!AH269,Catalog!AF269)</f>
        <v>0</v>
      </c>
      <c r="L296" s="16">
        <f>Catalog!AE269</f>
        <v>0</v>
      </c>
      <c r="M296" s="16">
        <f>Catalog!W269</f>
        <v>0</v>
      </c>
      <c r="N296" s="16">
        <f>Catalog!R269</f>
        <v>0</v>
      </c>
      <c r="O296" s="16">
        <f>Catalog!AG269</f>
        <v>0</v>
      </c>
    </row>
    <row r="297" spans="1:15" ht="15.75" x14ac:dyDescent="0.25">
      <c r="A297" s="16">
        <f>Catalog!D270</f>
        <v>0</v>
      </c>
      <c r="B297" s="16">
        <f>Catalog!F270</f>
        <v>0</v>
      </c>
      <c r="C297" s="16" t="str">
        <f>IF(Catalog!I270="","",Catalog!I270)&amp;IF(AND(Catalog!I270&lt;&gt;"",Catalog!J270&lt;&gt;""),"; ","")&amp;IF(Catalog!J270="","",Catalog!J270)</f>
        <v/>
      </c>
      <c r="D297" s="16">
        <f>Catalog!Q270</f>
        <v>0</v>
      </c>
      <c r="E297" s="16">
        <f>Catalog!S270</f>
        <v>0</v>
      </c>
      <c r="F297" s="16">
        <f>Catalog!N270</f>
        <v>0</v>
      </c>
      <c r="G297" s="16" t="str">
        <f>Catalog!K270&amp;" / "&amp;Catalog!M270</f>
        <v xml:space="preserve"> / </v>
      </c>
      <c r="H297" s="16" t="str">
        <f t="shared" si="4"/>
        <v>Print</v>
      </c>
      <c r="I297" s="16" t="str">
        <f>IF(Catalog!T270&lt;&gt;"","ISBN:"&amp;Catalog!T270,IF(Catalog!U270&lt;&gt;"","ISSN:"&amp;Catalog!U270,"ACC:"&amp;Catalog!B270))</f>
        <v>ACC:</v>
      </c>
      <c r="J297" s="16">
        <f>Catalog!L270</f>
        <v>0</v>
      </c>
      <c r="K297" s="16">
        <f>IF(Catalog!AH270&lt;&gt;"",Catalog!AH270,Catalog!AF270)</f>
        <v>0</v>
      </c>
      <c r="L297" s="16">
        <f>Catalog!AE270</f>
        <v>0</v>
      </c>
      <c r="M297" s="16">
        <f>Catalog!W270</f>
        <v>0</v>
      </c>
      <c r="N297" s="16">
        <f>Catalog!R270</f>
        <v>0</v>
      </c>
      <c r="O297" s="16">
        <f>Catalog!AG270</f>
        <v>0</v>
      </c>
    </row>
    <row r="298" spans="1:15" ht="15.75" x14ac:dyDescent="0.25">
      <c r="A298" s="16">
        <f>Catalog!D271</f>
        <v>0</v>
      </c>
      <c r="B298" s="16">
        <f>Catalog!F271</f>
        <v>0</v>
      </c>
      <c r="C298" s="16" t="str">
        <f>IF(Catalog!I271="","",Catalog!I271)&amp;IF(AND(Catalog!I271&lt;&gt;"",Catalog!J271&lt;&gt;""),"; ","")&amp;IF(Catalog!J271="","",Catalog!J271)</f>
        <v/>
      </c>
      <c r="D298" s="16">
        <f>Catalog!Q271</f>
        <v>0</v>
      </c>
      <c r="E298" s="16">
        <f>Catalog!S271</f>
        <v>0</v>
      </c>
      <c r="F298" s="16">
        <f>Catalog!N271</f>
        <v>0</v>
      </c>
      <c r="G298" s="16" t="str">
        <f>Catalog!K271&amp;" / "&amp;Catalog!M271</f>
        <v xml:space="preserve"> / </v>
      </c>
      <c r="H298" s="16" t="str">
        <f t="shared" si="4"/>
        <v>Print</v>
      </c>
      <c r="I298" s="16" t="str">
        <f>IF(Catalog!T271&lt;&gt;"","ISBN:"&amp;Catalog!T271,IF(Catalog!U271&lt;&gt;"","ISSN:"&amp;Catalog!U271,"ACC:"&amp;Catalog!B271))</f>
        <v>ACC:</v>
      </c>
      <c r="J298" s="16">
        <f>Catalog!L271</f>
        <v>0</v>
      </c>
      <c r="K298" s="16">
        <f>IF(Catalog!AH271&lt;&gt;"",Catalog!AH271,Catalog!AF271)</f>
        <v>0</v>
      </c>
      <c r="L298" s="16">
        <f>Catalog!AE271</f>
        <v>0</v>
      </c>
      <c r="M298" s="16">
        <f>Catalog!W271</f>
        <v>0</v>
      </c>
      <c r="N298" s="16">
        <f>Catalog!R271</f>
        <v>0</v>
      </c>
      <c r="O298" s="16">
        <f>Catalog!AG271</f>
        <v>0</v>
      </c>
    </row>
    <row r="299" spans="1:15" ht="15.75" x14ac:dyDescent="0.25">
      <c r="A299" s="16">
        <f>Catalog!D272</f>
        <v>0</v>
      </c>
      <c r="B299" s="16">
        <f>Catalog!F272</f>
        <v>0</v>
      </c>
      <c r="C299" s="16" t="str">
        <f>IF(Catalog!I272="","",Catalog!I272)&amp;IF(AND(Catalog!I272&lt;&gt;"",Catalog!J272&lt;&gt;""),"; ","")&amp;IF(Catalog!J272="","",Catalog!J272)</f>
        <v/>
      </c>
      <c r="D299" s="16">
        <f>Catalog!Q272</f>
        <v>0</v>
      </c>
      <c r="E299" s="16">
        <f>Catalog!S272</f>
        <v>0</v>
      </c>
      <c r="F299" s="16">
        <f>Catalog!N272</f>
        <v>0</v>
      </c>
      <c r="G299" s="16" t="str">
        <f>Catalog!K272&amp;" / "&amp;Catalog!M272</f>
        <v xml:space="preserve"> / </v>
      </c>
      <c r="H299" s="16" t="str">
        <f t="shared" si="4"/>
        <v>Print</v>
      </c>
      <c r="I299" s="16" t="str">
        <f>IF(Catalog!T272&lt;&gt;"","ISBN:"&amp;Catalog!T272,IF(Catalog!U272&lt;&gt;"","ISSN:"&amp;Catalog!U272,"ACC:"&amp;Catalog!B272))</f>
        <v>ACC:</v>
      </c>
      <c r="J299" s="16">
        <f>Catalog!L272</f>
        <v>0</v>
      </c>
      <c r="K299" s="16">
        <f>IF(Catalog!AH272&lt;&gt;"",Catalog!AH272,Catalog!AF272)</f>
        <v>0</v>
      </c>
      <c r="L299" s="16">
        <f>Catalog!AE272</f>
        <v>0</v>
      </c>
      <c r="M299" s="16">
        <f>Catalog!W272</f>
        <v>0</v>
      </c>
      <c r="N299" s="16">
        <f>Catalog!R272</f>
        <v>0</v>
      </c>
      <c r="O299" s="16">
        <f>Catalog!AG272</f>
        <v>0</v>
      </c>
    </row>
    <row r="300" spans="1:15" ht="15.75" x14ac:dyDescent="0.25">
      <c r="A300" s="16">
        <f>Catalog!D273</f>
        <v>0</v>
      </c>
      <c r="B300" s="16">
        <f>Catalog!F273</f>
        <v>0</v>
      </c>
      <c r="C300" s="16" t="str">
        <f>IF(Catalog!I273="","",Catalog!I273)&amp;IF(AND(Catalog!I273&lt;&gt;"",Catalog!J273&lt;&gt;""),"; ","")&amp;IF(Catalog!J273="","",Catalog!J273)</f>
        <v/>
      </c>
      <c r="D300" s="16">
        <f>Catalog!Q273</f>
        <v>0</v>
      </c>
      <c r="E300" s="16">
        <f>Catalog!S273</f>
        <v>0</v>
      </c>
      <c r="F300" s="16">
        <f>Catalog!N273</f>
        <v>0</v>
      </c>
      <c r="G300" s="16" t="str">
        <f>Catalog!K273&amp;" / "&amp;Catalog!M273</f>
        <v xml:space="preserve"> / </v>
      </c>
      <c r="H300" s="16" t="str">
        <f t="shared" si="4"/>
        <v>Print</v>
      </c>
      <c r="I300" s="16" t="str">
        <f>IF(Catalog!T273&lt;&gt;"","ISBN:"&amp;Catalog!T273,IF(Catalog!U273&lt;&gt;"","ISSN:"&amp;Catalog!U273,"ACC:"&amp;Catalog!B273))</f>
        <v>ACC:</v>
      </c>
      <c r="J300" s="16">
        <f>Catalog!L273</f>
        <v>0</v>
      </c>
      <c r="K300" s="16">
        <f>IF(Catalog!AH273&lt;&gt;"",Catalog!AH273,Catalog!AF273)</f>
        <v>0</v>
      </c>
      <c r="L300" s="16">
        <f>Catalog!AE273</f>
        <v>0</v>
      </c>
      <c r="M300" s="16">
        <f>Catalog!W273</f>
        <v>0</v>
      </c>
      <c r="N300" s="16">
        <f>Catalog!R273</f>
        <v>0</v>
      </c>
      <c r="O300" s="16">
        <f>Catalog!AG273</f>
        <v>0</v>
      </c>
    </row>
    <row r="301" spans="1:15" ht="15.75" x14ac:dyDescent="0.25">
      <c r="A301" s="16">
        <f>Catalog!D274</f>
        <v>0</v>
      </c>
      <c r="B301" s="16">
        <f>Catalog!F274</f>
        <v>0</v>
      </c>
      <c r="C301" s="16" t="str">
        <f>IF(Catalog!I274="","",Catalog!I274)&amp;IF(AND(Catalog!I274&lt;&gt;"",Catalog!J274&lt;&gt;""),"; ","")&amp;IF(Catalog!J274="","",Catalog!J274)</f>
        <v/>
      </c>
      <c r="D301" s="16">
        <f>Catalog!Q274</f>
        <v>0</v>
      </c>
      <c r="E301" s="16">
        <f>Catalog!S274</f>
        <v>0</v>
      </c>
      <c r="F301" s="16">
        <f>Catalog!N274</f>
        <v>0</v>
      </c>
      <c r="G301" s="16" t="str">
        <f>Catalog!K274&amp;" / "&amp;Catalog!M274</f>
        <v xml:space="preserve"> / </v>
      </c>
      <c r="H301" s="16" t="str">
        <f t="shared" si="4"/>
        <v>Print</v>
      </c>
      <c r="I301" s="16" t="str">
        <f>IF(Catalog!T274&lt;&gt;"","ISBN:"&amp;Catalog!T274,IF(Catalog!U274&lt;&gt;"","ISSN:"&amp;Catalog!U274,"ACC:"&amp;Catalog!B274))</f>
        <v>ACC:</v>
      </c>
      <c r="J301" s="16">
        <f>Catalog!L274</f>
        <v>0</v>
      </c>
      <c r="K301" s="16">
        <f>IF(Catalog!AH274&lt;&gt;"",Catalog!AH274,Catalog!AF274)</f>
        <v>0</v>
      </c>
      <c r="L301" s="16">
        <f>Catalog!AE274</f>
        <v>0</v>
      </c>
      <c r="M301" s="16">
        <f>Catalog!W274</f>
        <v>0</v>
      </c>
      <c r="N301" s="16">
        <f>Catalog!R274</f>
        <v>0</v>
      </c>
      <c r="O301" s="16">
        <f>Catalog!AG274</f>
        <v>0</v>
      </c>
    </row>
    <row r="302" spans="1:15" ht="15.75" x14ac:dyDescent="0.25">
      <c r="A302" s="16">
        <f>Catalog!D275</f>
        <v>0</v>
      </c>
      <c r="B302" s="16">
        <f>Catalog!F275</f>
        <v>0</v>
      </c>
      <c r="C302" s="16" t="str">
        <f>IF(Catalog!I275="","",Catalog!I275)&amp;IF(AND(Catalog!I275&lt;&gt;"",Catalog!J275&lt;&gt;""),"; ","")&amp;IF(Catalog!J275="","",Catalog!J275)</f>
        <v/>
      </c>
      <c r="D302" s="16">
        <f>Catalog!Q275</f>
        <v>0</v>
      </c>
      <c r="E302" s="16">
        <f>Catalog!S275</f>
        <v>0</v>
      </c>
      <c r="F302" s="16">
        <f>Catalog!N275</f>
        <v>0</v>
      </c>
      <c r="G302" s="16" t="str">
        <f>Catalog!K275&amp;" / "&amp;Catalog!M275</f>
        <v xml:space="preserve"> / </v>
      </c>
      <c r="H302" s="16" t="str">
        <f t="shared" si="4"/>
        <v>Print</v>
      </c>
      <c r="I302" s="16" t="str">
        <f>IF(Catalog!T275&lt;&gt;"","ISBN:"&amp;Catalog!T275,IF(Catalog!U275&lt;&gt;"","ISSN:"&amp;Catalog!U275,"ACC:"&amp;Catalog!B275))</f>
        <v>ACC:</v>
      </c>
      <c r="J302" s="16">
        <f>Catalog!L275</f>
        <v>0</v>
      </c>
      <c r="K302" s="16">
        <f>IF(Catalog!AH275&lt;&gt;"",Catalog!AH275,Catalog!AF275)</f>
        <v>0</v>
      </c>
      <c r="L302" s="16">
        <f>Catalog!AE275</f>
        <v>0</v>
      </c>
      <c r="M302" s="16">
        <f>Catalog!W275</f>
        <v>0</v>
      </c>
      <c r="N302" s="16">
        <f>Catalog!R275</f>
        <v>0</v>
      </c>
      <c r="O302" s="16">
        <f>Catalog!AG275</f>
        <v>0</v>
      </c>
    </row>
    <row r="303" spans="1:15" ht="15.75" x14ac:dyDescent="0.25">
      <c r="A303" s="16">
        <f>Catalog!D276</f>
        <v>0</v>
      </c>
      <c r="B303" s="16">
        <f>Catalog!F276</f>
        <v>0</v>
      </c>
      <c r="C303" s="16" t="str">
        <f>IF(Catalog!I276="","",Catalog!I276)&amp;IF(AND(Catalog!I276&lt;&gt;"",Catalog!J276&lt;&gt;""),"; ","")&amp;IF(Catalog!J276="","",Catalog!J276)</f>
        <v/>
      </c>
      <c r="D303" s="16">
        <f>Catalog!Q276</f>
        <v>0</v>
      </c>
      <c r="E303" s="16">
        <f>Catalog!S276</f>
        <v>0</v>
      </c>
      <c r="F303" s="16">
        <f>Catalog!N276</f>
        <v>0</v>
      </c>
      <c r="G303" s="16" t="str">
        <f>Catalog!K276&amp;" / "&amp;Catalog!M276</f>
        <v xml:space="preserve"> / </v>
      </c>
      <c r="H303" s="16" t="str">
        <f t="shared" si="4"/>
        <v>Print</v>
      </c>
      <c r="I303" s="16" t="str">
        <f>IF(Catalog!T276&lt;&gt;"","ISBN:"&amp;Catalog!T276,IF(Catalog!U276&lt;&gt;"","ISSN:"&amp;Catalog!U276,"ACC:"&amp;Catalog!B276))</f>
        <v>ACC:</v>
      </c>
      <c r="J303" s="16">
        <f>Catalog!L276</f>
        <v>0</v>
      </c>
      <c r="K303" s="16">
        <f>IF(Catalog!AH276&lt;&gt;"",Catalog!AH276,Catalog!AF276)</f>
        <v>0</v>
      </c>
      <c r="L303" s="16">
        <f>Catalog!AE276</f>
        <v>0</v>
      </c>
      <c r="M303" s="16">
        <f>Catalog!W276</f>
        <v>0</v>
      </c>
      <c r="N303" s="16">
        <f>Catalog!R276</f>
        <v>0</v>
      </c>
      <c r="O303" s="16">
        <f>Catalog!AG276</f>
        <v>0</v>
      </c>
    </row>
    <row r="304" spans="1:15" ht="15.75" x14ac:dyDescent="0.25">
      <c r="A304" s="16">
        <f>Catalog!D277</f>
        <v>0</v>
      </c>
      <c r="B304" s="16">
        <f>Catalog!F277</f>
        <v>0</v>
      </c>
      <c r="C304" s="16" t="str">
        <f>IF(Catalog!I277="","",Catalog!I277)&amp;IF(AND(Catalog!I277&lt;&gt;"",Catalog!J277&lt;&gt;""),"; ","")&amp;IF(Catalog!J277="","",Catalog!J277)</f>
        <v/>
      </c>
      <c r="D304" s="16">
        <f>Catalog!Q277</f>
        <v>0</v>
      </c>
      <c r="E304" s="16">
        <f>Catalog!S277</f>
        <v>0</v>
      </c>
      <c r="F304" s="16">
        <f>Catalog!N277</f>
        <v>0</v>
      </c>
      <c r="G304" s="16" t="str">
        <f>Catalog!K277&amp;" / "&amp;Catalog!M277</f>
        <v xml:space="preserve"> / </v>
      </c>
      <c r="H304" s="16" t="str">
        <f t="shared" si="4"/>
        <v>Print</v>
      </c>
      <c r="I304" s="16" t="str">
        <f>IF(Catalog!T277&lt;&gt;"","ISBN:"&amp;Catalog!T277,IF(Catalog!U277&lt;&gt;"","ISSN:"&amp;Catalog!U277,"ACC:"&amp;Catalog!B277))</f>
        <v>ACC:</v>
      </c>
      <c r="J304" s="16">
        <f>Catalog!L277</f>
        <v>0</v>
      </c>
      <c r="K304" s="16">
        <f>IF(Catalog!AH277&lt;&gt;"",Catalog!AH277,Catalog!AF277)</f>
        <v>0</v>
      </c>
      <c r="L304" s="16">
        <f>Catalog!AE277</f>
        <v>0</v>
      </c>
      <c r="M304" s="16">
        <f>Catalog!W277</f>
        <v>0</v>
      </c>
      <c r="N304" s="16">
        <f>Catalog!R277</f>
        <v>0</v>
      </c>
      <c r="O304" s="16">
        <f>Catalog!AG277</f>
        <v>0</v>
      </c>
    </row>
    <row r="305" spans="1:15" ht="15.75" x14ac:dyDescent="0.25">
      <c r="A305" s="16">
        <f>Catalog!D278</f>
        <v>0</v>
      </c>
      <c r="B305" s="16">
        <f>Catalog!F278</f>
        <v>0</v>
      </c>
      <c r="C305" s="16" t="str">
        <f>IF(Catalog!I278="","",Catalog!I278)&amp;IF(AND(Catalog!I278&lt;&gt;"",Catalog!J278&lt;&gt;""),"; ","")&amp;IF(Catalog!J278="","",Catalog!J278)</f>
        <v/>
      </c>
      <c r="D305" s="16">
        <f>Catalog!Q278</f>
        <v>0</v>
      </c>
      <c r="E305" s="16">
        <f>Catalog!S278</f>
        <v>0</v>
      </c>
      <c r="F305" s="16">
        <f>Catalog!N278</f>
        <v>0</v>
      </c>
      <c r="G305" s="16" t="str">
        <f>Catalog!K278&amp;" / "&amp;Catalog!M278</f>
        <v xml:space="preserve"> / </v>
      </c>
      <c r="H305" s="16" t="str">
        <f t="shared" si="4"/>
        <v>Print</v>
      </c>
      <c r="I305" s="16" t="str">
        <f>IF(Catalog!T278&lt;&gt;"","ISBN:"&amp;Catalog!T278,IF(Catalog!U278&lt;&gt;"","ISSN:"&amp;Catalog!U278,"ACC:"&amp;Catalog!B278))</f>
        <v>ACC:</v>
      </c>
      <c r="J305" s="16">
        <f>Catalog!L278</f>
        <v>0</v>
      </c>
      <c r="K305" s="16">
        <f>IF(Catalog!AH278&lt;&gt;"",Catalog!AH278,Catalog!AF278)</f>
        <v>0</v>
      </c>
      <c r="L305" s="16">
        <f>Catalog!AE278</f>
        <v>0</v>
      </c>
      <c r="M305" s="16">
        <f>Catalog!W278</f>
        <v>0</v>
      </c>
      <c r="N305" s="16">
        <f>Catalog!R278</f>
        <v>0</v>
      </c>
      <c r="O305" s="16">
        <f>Catalog!AG278</f>
        <v>0</v>
      </c>
    </row>
    <row r="306" spans="1:15" ht="15.75" x14ac:dyDescent="0.25">
      <c r="A306" s="16">
        <f>Catalog!D279</f>
        <v>0</v>
      </c>
      <c r="B306" s="16">
        <f>Catalog!F279</f>
        <v>0</v>
      </c>
      <c r="C306" s="16" t="str">
        <f>IF(Catalog!I279="","",Catalog!I279)&amp;IF(AND(Catalog!I279&lt;&gt;"",Catalog!J279&lt;&gt;""),"; ","")&amp;IF(Catalog!J279="","",Catalog!J279)</f>
        <v/>
      </c>
      <c r="D306" s="16">
        <f>Catalog!Q279</f>
        <v>0</v>
      </c>
      <c r="E306" s="16">
        <f>Catalog!S279</f>
        <v>0</v>
      </c>
      <c r="F306" s="16">
        <f>Catalog!N279</f>
        <v>0</v>
      </c>
      <c r="G306" s="16" t="str">
        <f>Catalog!K279&amp;" / "&amp;Catalog!M279</f>
        <v xml:space="preserve"> / </v>
      </c>
      <c r="H306" s="16" t="str">
        <f t="shared" si="4"/>
        <v>Print</v>
      </c>
      <c r="I306" s="16" t="str">
        <f>IF(Catalog!T279&lt;&gt;"","ISBN:"&amp;Catalog!T279,IF(Catalog!U279&lt;&gt;"","ISSN:"&amp;Catalog!U279,"ACC:"&amp;Catalog!B279))</f>
        <v>ACC:</v>
      </c>
      <c r="J306" s="16">
        <f>Catalog!L279</f>
        <v>0</v>
      </c>
      <c r="K306" s="16">
        <f>IF(Catalog!AH279&lt;&gt;"",Catalog!AH279,Catalog!AF279)</f>
        <v>0</v>
      </c>
      <c r="L306" s="16">
        <f>Catalog!AE279</f>
        <v>0</v>
      </c>
      <c r="M306" s="16">
        <f>Catalog!W279</f>
        <v>0</v>
      </c>
      <c r="N306" s="16">
        <f>Catalog!R279</f>
        <v>0</v>
      </c>
      <c r="O306" s="16">
        <f>Catalog!AG279</f>
        <v>0</v>
      </c>
    </row>
    <row r="307" spans="1:15" ht="15.75" x14ac:dyDescent="0.25">
      <c r="A307" s="16">
        <f>Catalog!D280</f>
        <v>0</v>
      </c>
      <c r="B307" s="16">
        <f>Catalog!F280</f>
        <v>0</v>
      </c>
      <c r="C307" s="16" t="str">
        <f>IF(Catalog!I280="","",Catalog!I280)&amp;IF(AND(Catalog!I280&lt;&gt;"",Catalog!J280&lt;&gt;""),"; ","")&amp;IF(Catalog!J280="","",Catalog!J280)</f>
        <v/>
      </c>
      <c r="D307" s="16">
        <f>Catalog!Q280</f>
        <v>0</v>
      </c>
      <c r="E307" s="16">
        <f>Catalog!S280</f>
        <v>0</v>
      </c>
      <c r="F307" s="16">
        <f>Catalog!N280</f>
        <v>0</v>
      </c>
      <c r="G307" s="16" t="str">
        <f>Catalog!K280&amp;" / "&amp;Catalog!M280</f>
        <v xml:space="preserve"> / </v>
      </c>
      <c r="H307" s="16" t="str">
        <f t="shared" si="4"/>
        <v>Print</v>
      </c>
      <c r="I307" s="16" t="str">
        <f>IF(Catalog!T280&lt;&gt;"","ISBN:"&amp;Catalog!T280,IF(Catalog!U280&lt;&gt;"","ISSN:"&amp;Catalog!U280,"ACC:"&amp;Catalog!B280))</f>
        <v>ACC:</v>
      </c>
      <c r="J307" s="16">
        <f>Catalog!L280</f>
        <v>0</v>
      </c>
      <c r="K307" s="16">
        <f>IF(Catalog!AH280&lt;&gt;"",Catalog!AH280,Catalog!AF280)</f>
        <v>0</v>
      </c>
      <c r="L307" s="16">
        <f>Catalog!AE280</f>
        <v>0</v>
      </c>
      <c r="M307" s="16">
        <f>Catalog!W280</f>
        <v>0</v>
      </c>
      <c r="N307" s="16">
        <f>Catalog!R280</f>
        <v>0</v>
      </c>
      <c r="O307" s="16">
        <f>Catalog!AG280</f>
        <v>0</v>
      </c>
    </row>
    <row r="308" spans="1:15" ht="15.75" x14ac:dyDescent="0.25">
      <c r="A308" s="16">
        <f>Catalog!D281</f>
        <v>0</v>
      </c>
      <c r="B308" s="16">
        <f>Catalog!F281</f>
        <v>0</v>
      </c>
      <c r="C308" s="16" t="str">
        <f>IF(Catalog!I281="","",Catalog!I281)&amp;IF(AND(Catalog!I281&lt;&gt;"",Catalog!J281&lt;&gt;""),"; ","")&amp;IF(Catalog!J281="","",Catalog!J281)</f>
        <v/>
      </c>
      <c r="D308" s="16">
        <f>Catalog!Q281</f>
        <v>0</v>
      </c>
      <c r="E308" s="16">
        <f>Catalog!S281</f>
        <v>0</v>
      </c>
      <c r="F308" s="16">
        <f>Catalog!N281</f>
        <v>0</v>
      </c>
      <c r="G308" s="16" t="str">
        <f>Catalog!K281&amp;" / "&amp;Catalog!M281</f>
        <v xml:space="preserve"> / </v>
      </c>
      <c r="H308" s="16" t="str">
        <f t="shared" si="4"/>
        <v>Print</v>
      </c>
      <c r="I308" s="16" t="str">
        <f>IF(Catalog!T281&lt;&gt;"","ISBN:"&amp;Catalog!T281,IF(Catalog!U281&lt;&gt;"","ISSN:"&amp;Catalog!U281,"ACC:"&amp;Catalog!B281))</f>
        <v>ACC:</v>
      </c>
      <c r="J308" s="16">
        <f>Catalog!L281</f>
        <v>0</v>
      </c>
      <c r="K308" s="16">
        <f>IF(Catalog!AH281&lt;&gt;"",Catalog!AH281,Catalog!AF281)</f>
        <v>0</v>
      </c>
      <c r="L308" s="16">
        <f>Catalog!AE281</f>
        <v>0</v>
      </c>
      <c r="M308" s="16">
        <f>Catalog!W281</f>
        <v>0</v>
      </c>
      <c r="N308" s="16">
        <f>Catalog!R281</f>
        <v>0</v>
      </c>
      <c r="O308" s="16">
        <f>Catalog!AG281</f>
        <v>0</v>
      </c>
    </row>
    <row r="309" spans="1:15" ht="15.75" x14ac:dyDescent="0.25">
      <c r="A309" s="16">
        <f>Catalog!D282</f>
        <v>0</v>
      </c>
      <c r="B309" s="16">
        <f>Catalog!F282</f>
        <v>0</v>
      </c>
      <c r="C309" s="16" t="str">
        <f>IF(Catalog!I282="","",Catalog!I282)&amp;IF(AND(Catalog!I282&lt;&gt;"",Catalog!J282&lt;&gt;""),"; ","")&amp;IF(Catalog!J282="","",Catalog!J282)</f>
        <v/>
      </c>
      <c r="D309" s="16">
        <f>Catalog!Q282</f>
        <v>0</v>
      </c>
      <c r="E309" s="16">
        <f>Catalog!S282</f>
        <v>0</v>
      </c>
      <c r="F309" s="16">
        <f>Catalog!N282</f>
        <v>0</v>
      </c>
      <c r="G309" s="16" t="str">
        <f>Catalog!K282&amp;" / "&amp;Catalog!M282</f>
        <v xml:space="preserve"> / </v>
      </c>
      <c r="H309" s="16" t="str">
        <f t="shared" si="4"/>
        <v>Print</v>
      </c>
      <c r="I309" s="16" t="str">
        <f>IF(Catalog!T282&lt;&gt;"","ISBN:"&amp;Catalog!T282,IF(Catalog!U282&lt;&gt;"","ISSN:"&amp;Catalog!U282,"ACC:"&amp;Catalog!B282))</f>
        <v>ACC:</v>
      </c>
      <c r="J309" s="16">
        <f>Catalog!L282</f>
        <v>0</v>
      </c>
      <c r="K309" s="16">
        <f>IF(Catalog!AH282&lt;&gt;"",Catalog!AH282,Catalog!AF282)</f>
        <v>0</v>
      </c>
      <c r="L309" s="16">
        <f>Catalog!AE282</f>
        <v>0</v>
      </c>
      <c r="M309" s="16">
        <f>Catalog!W282</f>
        <v>0</v>
      </c>
      <c r="N309" s="16">
        <f>Catalog!R282</f>
        <v>0</v>
      </c>
      <c r="O309" s="16">
        <f>Catalog!AG282</f>
        <v>0</v>
      </c>
    </row>
    <row r="310" spans="1:15" ht="15.75" x14ac:dyDescent="0.25">
      <c r="A310" s="16">
        <f>Catalog!D283</f>
        <v>0</v>
      </c>
      <c r="B310" s="16">
        <f>Catalog!F283</f>
        <v>0</v>
      </c>
      <c r="C310" s="16" t="str">
        <f>IF(Catalog!I283="","",Catalog!I283)&amp;IF(AND(Catalog!I283&lt;&gt;"",Catalog!J283&lt;&gt;""),"; ","")&amp;IF(Catalog!J283="","",Catalog!J283)</f>
        <v/>
      </c>
      <c r="D310" s="16">
        <f>Catalog!Q283</f>
        <v>0</v>
      </c>
      <c r="E310" s="16">
        <f>Catalog!S283</f>
        <v>0</v>
      </c>
      <c r="F310" s="16">
        <f>Catalog!N283</f>
        <v>0</v>
      </c>
      <c r="G310" s="16" t="str">
        <f>Catalog!K283&amp;" / "&amp;Catalog!M283</f>
        <v xml:space="preserve"> / </v>
      </c>
      <c r="H310" s="16" t="str">
        <f t="shared" si="4"/>
        <v>Print</v>
      </c>
      <c r="I310" s="16" t="str">
        <f>IF(Catalog!T283&lt;&gt;"","ISBN:"&amp;Catalog!T283,IF(Catalog!U283&lt;&gt;"","ISSN:"&amp;Catalog!U283,"ACC:"&amp;Catalog!B283))</f>
        <v>ACC:</v>
      </c>
      <c r="J310" s="16">
        <f>Catalog!L283</f>
        <v>0</v>
      </c>
      <c r="K310" s="16">
        <f>IF(Catalog!AH283&lt;&gt;"",Catalog!AH283,Catalog!AF283)</f>
        <v>0</v>
      </c>
      <c r="L310" s="16">
        <f>Catalog!AE283</f>
        <v>0</v>
      </c>
      <c r="M310" s="16">
        <f>Catalog!W283</f>
        <v>0</v>
      </c>
      <c r="N310" s="16">
        <f>Catalog!R283</f>
        <v>0</v>
      </c>
      <c r="O310" s="16">
        <f>Catalog!AG283</f>
        <v>0</v>
      </c>
    </row>
    <row r="311" spans="1:15" ht="15.75" x14ac:dyDescent="0.25">
      <c r="A311" s="16">
        <f>Catalog!D284</f>
        <v>0</v>
      </c>
      <c r="B311" s="16">
        <f>Catalog!F284</f>
        <v>0</v>
      </c>
      <c r="C311" s="16" t="str">
        <f>IF(Catalog!I284="","",Catalog!I284)&amp;IF(AND(Catalog!I284&lt;&gt;"",Catalog!J284&lt;&gt;""),"; ","")&amp;IF(Catalog!J284="","",Catalog!J284)</f>
        <v/>
      </c>
      <c r="D311" s="16">
        <f>Catalog!Q284</f>
        <v>0</v>
      </c>
      <c r="E311" s="16">
        <f>Catalog!S284</f>
        <v>0</v>
      </c>
      <c r="F311" s="16">
        <f>Catalog!N284</f>
        <v>0</v>
      </c>
      <c r="G311" s="16" t="str">
        <f>Catalog!K284&amp;" / "&amp;Catalog!M284</f>
        <v xml:space="preserve"> / </v>
      </c>
      <c r="H311" s="16" t="str">
        <f t="shared" si="4"/>
        <v>Print</v>
      </c>
      <c r="I311" s="16" t="str">
        <f>IF(Catalog!T284&lt;&gt;"","ISBN:"&amp;Catalog!T284,IF(Catalog!U284&lt;&gt;"","ISSN:"&amp;Catalog!U284,"ACC:"&amp;Catalog!B284))</f>
        <v>ACC:</v>
      </c>
      <c r="J311" s="16">
        <f>Catalog!L284</f>
        <v>0</v>
      </c>
      <c r="K311" s="16">
        <f>IF(Catalog!AH284&lt;&gt;"",Catalog!AH284,Catalog!AF284)</f>
        <v>0</v>
      </c>
      <c r="L311" s="16">
        <f>Catalog!AE284</f>
        <v>0</v>
      </c>
      <c r="M311" s="16">
        <f>Catalog!W284</f>
        <v>0</v>
      </c>
      <c r="N311" s="16">
        <f>Catalog!R284</f>
        <v>0</v>
      </c>
      <c r="O311" s="16">
        <f>Catalog!AG284</f>
        <v>0</v>
      </c>
    </row>
    <row r="312" spans="1:15" ht="15.75" x14ac:dyDescent="0.25">
      <c r="A312" s="16">
        <f>Catalog!D285</f>
        <v>0</v>
      </c>
      <c r="B312" s="16">
        <f>Catalog!F285</f>
        <v>0</v>
      </c>
      <c r="C312" s="16" t="str">
        <f>IF(Catalog!I285="","",Catalog!I285)&amp;IF(AND(Catalog!I285&lt;&gt;"",Catalog!J285&lt;&gt;""),"; ","")&amp;IF(Catalog!J285="","",Catalog!J285)</f>
        <v/>
      </c>
      <c r="D312" s="16">
        <f>Catalog!Q285</f>
        <v>0</v>
      </c>
      <c r="E312" s="16">
        <f>Catalog!S285</f>
        <v>0</v>
      </c>
      <c r="F312" s="16">
        <f>Catalog!N285</f>
        <v>0</v>
      </c>
      <c r="G312" s="16" t="str">
        <f>Catalog!K285&amp;" / "&amp;Catalog!M285</f>
        <v xml:space="preserve"> / </v>
      </c>
      <c r="H312" s="16" t="str">
        <f t="shared" si="4"/>
        <v>Print</v>
      </c>
      <c r="I312" s="16" t="str">
        <f>IF(Catalog!T285&lt;&gt;"","ISBN:"&amp;Catalog!T285,IF(Catalog!U285&lt;&gt;"","ISSN:"&amp;Catalog!U285,"ACC:"&amp;Catalog!B285))</f>
        <v>ACC:</v>
      </c>
      <c r="J312" s="16">
        <f>Catalog!L285</f>
        <v>0</v>
      </c>
      <c r="K312" s="16">
        <f>IF(Catalog!AH285&lt;&gt;"",Catalog!AH285,Catalog!AF285)</f>
        <v>0</v>
      </c>
      <c r="L312" s="16">
        <f>Catalog!AE285</f>
        <v>0</v>
      </c>
      <c r="M312" s="16">
        <f>Catalog!W285</f>
        <v>0</v>
      </c>
      <c r="N312" s="16">
        <f>Catalog!R285</f>
        <v>0</v>
      </c>
      <c r="O312" s="16">
        <f>Catalog!AG285</f>
        <v>0</v>
      </c>
    </row>
    <row r="313" spans="1:15" ht="15.75" x14ac:dyDescent="0.25">
      <c r="A313" s="16">
        <f>Catalog!D286</f>
        <v>0</v>
      </c>
      <c r="B313" s="16">
        <f>Catalog!F286</f>
        <v>0</v>
      </c>
      <c r="C313" s="16" t="str">
        <f>IF(Catalog!I286="","",Catalog!I286)&amp;IF(AND(Catalog!I286&lt;&gt;"",Catalog!J286&lt;&gt;""),"; ","")&amp;IF(Catalog!J286="","",Catalog!J286)</f>
        <v/>
      </c>
      <c r="D313" s="16">
        <f>Catalog!Q286</f>
        <v>0</v>
      </c>
      <c r="E313" s="16">
        <f>Catalog!S286</f>
        <v>0</v>
      </c>
      <c r="F313" s="16">
        <f>Catalog!N286</f>
        <v>0</v>
      </c>
      <c r="G313" s="16" t="str">
        <f>Catalog!K286&amp;" / "&amp;Catalog!M286</f>
        <v xml:space="preserve"> / </v>
      </c>
      <c r="H313" s="16" t="str">
        <f t="shared" si="4"/>
        <v>Print</v>
      </c>
      <c r="I313" s="16" t="str">
        <f>IF(Catalog!T286&lt;&gt;"","ISBN:"&amp;Catalog!T286,IF(Catalog!U286&lt;&gt;"","ISSN:"&amp;Catalog!U286,"ACC:"&amp;Catalog!B286))</f>
        <v>ACC:</v>
      </c>
      <c r="J313" s="16">
        <f>Catalog!L286</f>
        <v>0</v>
      </c>
      <c r="K313" s="16">
        <f>IF(Catalog!AH286&lt;&gt;"",Catalog!AH286,Catalog!AF286)</f>
        <v>0</v>
      </c>
      <c r="L313" s="16">
        <f>Catalog!AE286</f>
        <v>0</v>
      </c>
      <c r="M313" s="16">
        <f>Catalog!W286</f>
        <v>0</v>
      </c>
      <c r="N313" s="16">
        <f>Catalog!R286</f>
        <v>0</v>
      </c>
      <c r="O313" s="16">
        <f>Catalog!AG286</f>
        <v>0</v>
      </c>
    </row>
    <row r="314" spans="1:15" ht="15.75" x14ac:dyDescent="0.25">
      <c r="A314" s="16">
        <f>Catalog!D287</f>
        <v>0</v>
      </c>
      <c r="B314" s="16">
        <f>Catalog!F287</f>
        <v>0</v>
      </c>
      <c r="C314" s="16" t="str">
        <f>IF(Catalog!I287="","",Catalog!I287)&amp;IF(AND(Catalog!I287&lt;&gt;"",Catalog!J287&lt;&gt;""),"; ","")&amp;IF(Catalog!J287="","",Catalog!J287)</f>
        <v/>
      </c>
      <c r="D314" s="16">
        <f>Catalog!Q287</f>
        <v>0</v>
      </c>
      <c r="E314" s="16">
        <f>Catalog!S287</f>
        <v>0</v>
      </c>
      <c r="F314" s="16">
        <f>Catalog!N287</f>
        <v>0</v>
      </c>
      <c r="G314" s="16" t="str">
        <f>Catalog!K287&amp;" / "&amp;Catalog!M287</f>
        <v xml:space="preserve"> / </v>
      </c>
      <c r="H314" s="16" t="str">
        <f t="shared" si="4"/>
        <v>Print</v>
      </c>
      <c r="I314" s="16" t="str">
        <f>IF(Catalog!T287&lt;&gt;"","ISBN:"&amp;Catalog!T287,IF(Catalog!U287&lt;&gt;"","ISSN:"&amp;Catalog!U287,"ACC:"&amp;Catalog!B287))</f>
        <v>ACC:</v>
      </c>
      <c r="J314" s="16">
        <f>Catalog!L287</f>
        <v>0</v>
      </c>
      <c r="K314" s="16">
        <f>IF(Catalog!AH287&lt;&gt;"",Catalog!AH287,Catalog!AF287)</f>
        <v>0</v>
      </c>
      <c r="L314" s="16">
        <f>Catalog!AE287</f>
        <v>0</v>
      </c>
      <c r="M314" s="16">
        <f>Catalog!W287</f>
        <v>0</v>
      </c>
      <c r="N314" s="16">
        <f>Catalog!R287</f>
        <v>0</v>
      </c>
      <c r="O314" s="16">
        <f>Catalog!AG287</f>
        <v>0</v>
      </c>
    </row>
    <row r="315" spans="1:15" ht="15.75" x14ac:dyDescent="0.25">
      <c r="A315" s="16">
        <f>Catalog!D288</f>
        <v>0</v>
      </c>
      <c r="B315" s="16">
        <f>Catalog!F288</f>
        <v>0</v>
      </c>
      <c r="C315" s="16" t="str">
        <f>IF(Catalog!I288="","",Catalog!I288)&amp;IF(AND(Catalog!I288&lt;&gt;"",Catalog!J288&lt;&gt;""),"; ","")&amp;IF(Catalog!J288="","",Catalog!J288)</f>
        <v/>
      </c>
      <c r="D315" s="16">
        <f>Catalog!Q288</f>
        <v>0</v>
      </c>
      <c r="E315" s="16">
        <f>Catalog!S288</f>
        <v>0</v>
      </c>
      <c r="F315" s="16">
        <f>Catalog!N288</f>
        <v>0</v>
      </c>
      <c r="G315" s="16" t="str">
        <f>Catalog!K288&amp;" / "&amp;Catalog!M288</f>
        <v xml:space="preserve"> / </v>
      </c>
      <c r="H315" s="16" t="str">
        <f t="shared" si="4"/>
        <v>Print</v>
      </c>
      <c r="I315" s="16" t="str">
        <f>IF(Catalog!T288&lt;&gt;"","ISBN:"&amp;Catalog!T288,IF(Catalog!U288&lt;&gt;"","ISSN:"&amp;Catalog!U288,"ACC:"&amp;Catalog!B288))</f>
        <v>ACC:</v>
      </c>
      <c r="J315" s="16">
        <f>Catalog!L288</f>
        <v>0</v>
      </c>
      <c r="K315" s="16">
        <f>IF(Catalog!AH288&lt;&gt;"",Catalog!AH288,Catalog!AF288)</f>
        <v>0</v>
      </c>
      <c r="L315" s="16">
        <f>Catalog!AE288</f>
        <v>0</v>
      </c>
      <c r="M315" s="16">
        <f>Catalog!W288</f>
        <v>0</v>
      </c>
      <c r="N315" s="16">
        <f>Catalog!R288</f>
        <v>0</v>
      </c>
      <c r="O315" s="16">
        <f>Catalog!AG288</f>
        <v>0</v>
      </c>
    </row>
    <row r="316" spans="1:15" ht="15.75" x14ac:dyDescent="0.25">
      <c r="A316" s="16">
        <f>Catalog!D289</f>
        <v>0</v>
      </c>
      <c r="B316" s="16">
        <f>Catalog!F289</f>
        <v>0</v>
      </c>
      <c r="C316" s="16" t="str">
        <f>IF(Catalog!I289="","",Catalog!I289)&amp;IF(AND(Catalog!I289&lt;&gt;"",Catalog!J289&lt;&gt;""),"; ","")&amp;IF(Catalog!J289="","",Catalog!J289)</f>
        <v/>
      </c>
      <c r="D316" s="16">
        <f>Catalog!Q289</f>
        <v>0</v>
      </c>
      <c r="E316" s="16">
        <f>Catalog!S289</f>
        <v>0</v>
      </c>
      <c r="F316" s="16">
        <f>Catalog!N289</f>
        <v>0</v>
      </c>
      <c r="G316" s="16" t="str">
        <f>Catalog!K289&amp;" / "&amp;Catalog!M289</f>
        <v xml:space="preserve"> / </v>
      </c>
      <c r="H316" s="16" t="str">
        <f t="shared" si="4"/>
        <v>Print</v>
      </c>
      <c r="I316" s="16" t="str">
        <f>IF(Catalog!T289&lt;&gt;"","ISBN:"&amp;Catalog!T289,IF(Catalog!U289&lt;&gt;"","ISSN:"&amp;Catalog!U289,"ACC:"&amp;Catalog!B289))</f>
        <v>ACC:</v>
      </c>
      <c r="J316" s="16">
        <f>Catalog!L289</f>
        <v>0</v>
      </c>
      <c r="K316" s="16">
        <f>IF(Catalog!AH289&lt;&gt;"",Catalog!AH289,Catalog!AF289)</f>
        <v>0</v>
      </c>
      <c r="L316" s="16">
        <f>Catalog!AE289</f>
        <v>0</v>
      </c>
      <c r="M316" s="16">
        <f>Catalog!W289</f>
        <v>0</v>
      </c>
      <c r="N316" s="16">
        <f>Catalog!R289</f>
        <v>0</v>
      </c>
      <c r="O316" s="16">
        <f>Catalog!AG289</f>
        <v>0</v>
      </c>
    </row>
    <row r="317" spans="1:15" ht="15.75" x14ac:dyDescent="0.25">
      <c r="A317" s="16">
        <f>Catalog!D290</f>
        <v>0</v>
      </c>
      <c r="B317" s="16">
        <f>Catalog!F290</f>
        <v>0</v>
      </c>
      <c r="C317" s="16" t="str">
        <f>IF(Catalog!I290="","",Catalog!I290)&amp;IF(AND(Catalog!I290&lt;&gt;"",Catalog!J290&lt;&gt;""),"; ","")&amp;IF(Catalog!J290="","",Catalog!J290)</f>
        <v/>
      </c>
      <c r="D317" s="16">
        <f>Catalog!Q290</f>
        <v>0</v>
      </c>
      <c r="E317" s="16">
        <f>Catalog!S290</f>
        <v>0</v>
      </c>
      <c r="F317" s="16">
        <f>Catalog!N290</f>
        <v>0</v>
      </c>
      <c r="G317" s="16" t="str">
        <f>Catalog!K290&amp;" / "&amp;Catalog!M290</f>
        <v xml:space="preserve"> / </v>
      </c>
      <c r="H317" s="16" t="str">
        <f t="shared" si="4"/>
        <v>Print</v>
      </c>
      <c r="I317" s="16" t="str">
        <f>IF(Catalog!T290&lt;&gt;"","ISBN:"&amp;Catalog!T290,IF(Catalog!U290&lt;&gt;"","ISSN:"&amp;Catalog!U290,"ACC:"&amp;Catalog!B290))</f>
        <v>ACC:</v>
      </c>
      <c r="J317" s="16">
        <f>Catalog!L290</f>
        <v>0</v>
      </c>
      <c r="K317" s="16">
        <f>IF(Catalog!AH290&lt;&gt;"",Catalog!AH290,Catalog!AF290)</f>
        <v>0</v>
      </c>
      <c r="L317" s="16">
        <f>Catalog!AE290</f>
        <v>0</v>
      </c>
      <c r="M317" s="16">
        <f>Catalog!W290</f>
        <v>0</v>
      </c>
      <c r="N317" s="16">
        <f>Catalog!R290</f>
        <v>0</v>
      </c>
      <c r="O317" s="16">
        <f>Catalog!AG290</f>
        <v>0</v>
      </c>
    </row>
    <row r="318" spans="1:15" ht="15.75" x14ac:dyDescent="0.25">
      <c r="A318" s="16">
        <f>Catalog!D291</f>
        <v>0</v>
      </c>
      <c r="B318" s="16">
        <f>Catalog!F291</f>
        <v>0</v>
      </c>
      <c r="C318" s="16" t="str">
        <f>IF(Catalog!I291="","",Catalog!I291)&amp;IF(AND(Catalog!I291&lt;&gt;"",Catalog!J291&lt;&gt;""),"; ","")&amp;IF(Catalog!J291="","",Catalog!J291)</f>
        <v/>
      </c>
      <c r="D318" s="16">
        <f>Catalog!Q291</f>
        <v>0</v>
      </c>
      <c r="E318" s="16">
        <f>Catalog!S291</f>
        <v>0</v>
      </c>
      <c r="F318" s="16">
        <f>Catalog!N291</f>
        <v>0</v>
      </c>
      <c r="G318" s="16" t="str">
        <f>Catalog!K291&amp;" / "&amp;Catalog!M291</f>
        <v xml:space="preserve"> / </v>
      </c>
      <c r="H318" s="16" t="str">
        <f t="shared" si="4"/>
        <v>Print</v>
      </c>
      <c r="I318" s="16" t="str">
        <f>IF(Catalog!T291&lt;&gt;"","ISBN:"&amp;Catalog!T291,IF(Catalog!U291&lt;&gt;"","ISSN:"&amp;Catalog!U291,"ACC:"&amp;Catalog!B291))</f>
        <v>ACC:</v>
      </c>
      <c r="J318" s="16">
        <f>Catalog!L291</f>
        <v>0</v>
      </c>
      <c r="K318" s="16">
        <f>IF(Catalog!AH291&lt;&gt;"",Catalog!AH291,Catalog!AF291)</f>
        <v>0</v>
      </c>
      <c r="L318" s="16">
        <f>Catalog!AE291</f>
        <v>0</v>
      </c>
      <c r="M318" s="16">
        <f>Catalog!W291</f>
        <v>0</v>
      </c>
      <c r="N318" s="16">
        <f>Catalog!R291</f>
        <v>0</v>
      </c>
      <c r="O318" s="16">
        <f>Catalog!AG291</f>
        <v>0</v>
      </c>
    </row>
    <row r="319" spans="1:15" ht="15.75" x14ac:dyDescent="0.25">
      <c r="A319" s="16">
        <f>Catalog!D292</f>
        <v>0</v>
      </c>
      <c r="B319" s="16">
        <f>Catalog!F292</f>
        <v>0</v>
      </c>
      <c r="C319" s="16" t="str">
        <f>IF(Catalog!I292="","",Catalog!I292)&amp;IF(AND(Catalog!I292&lt;&gt;"",Catalog!J292&lt;&gt;""),"; ","")&amp;IF(Catalog!J292="","",Catalog!J292)</f>
        <v/>
      </c>
      <c r="D319" s="16">
        <f>Catalog!Q292</f>
        <v>0</v>
      </c>
      <c r="E319" s="16">
        <f>Catalog!S292</f>
        <v>0</v>
      </c>
      <c r="F319" s="16">
        <f>Catalog!N292</f>
        <v>0</v>
      </c>
      <c r="G319" s="16" t="str">
        <f>Catalog!K292&amp;" / "&amp;Catalog!M292</f>
        <v xml:space="preserve"> / </v>
      </c>
      <c r="H319" s="16" t="str">
        <f t="shared" si="4"/>
        <v>Print</v>
      </c>
      <c r="I319" s="16" t="str">
        <f>IF(Catalog!T292&lt;&gt;"","ISBN:"&amp;Catalog!T292,IF(Catalog!U292&lt;&gt;"","ISSN:"&amp;Catalog!U292,"ACC:"&amp;Catalog!B292))</f>
        <v>ACC:</v>
      </c>
      <c r="J319" s="16">
        <f>Catalog!L292</f>
        <v>0</v>
      </c>
      <c r="K319" s="16">
        <f>IF(Catalog!AH292&lt;&gt;"",Catalog!AH292,Catalog!AF292)</f>
        <v>0</v>
      </c>
      <c r="L319" s="16">
        <f>Catalog!AE292</f>
        <v>0</v>
      </c>
      <c r="M319" s="16">
        <f>Catalog!W292</f>
        <v>0</v>
      </c>
      <c r="N319" s="16">
        <f>Catalog!R292</f>
        <v>0</v>
      </c>
      <c r="O319" s="16">
        <f>Catalog!AG292</f>
        <v>0</v>
      </c>
    </row>
    <row r="320" spans="1:15" ht="15.75" x14ac:dyDescent="0.25">
      <c r="A320" s="16">
        <f>Catalog!D293</f>
        <v>0</v>
      </c>
      <c r="B320" s="16">
        <f>Catalog!F293</f>
        <v>0</v>
      </c>
      <c r="C320" s="16" t="str">
        <f>IF(Catalog!I293="","",Catalog!I293)&amp;IF(AND(Catalog!I293&lt;&gt;"",Catalog!J293&lt;&gt;""),"; ","")&amp;IF(Catalog!J293="","",Catalog!J293)</f>
        <v/>
      </c>
      <c r="D320" s="16">
        <f>Catalog!Q293</f>
        <v>0</v>
      </c>
      <c r="E320" s="16">
        <f>Catalog!S293</f>
        <v>0</v>
      </c>
      <c r="F320" s="16">
        <f>Catalog!N293</f>
        <v>0</v>
      </c>
      <c r="G320" s="16" t="str">
        <f>Catalog!K293&amp;" / "&amp;Catalog!M293</f>
        <v xml:space="preserve"> / </v>
      </c>
      <c r="H320" s="16" t="str">
        <f t="shared" si="4"/>
        <v>Print</v>
      </c>
      <c r="I320" s="16" t="str">
        <f>IF(Catalog!T293&lt;&gt;"","ISBN:"&amp;Catalog!T293,IF(Catalog!U293&lt;&gt;"","ISSN:"&amp;Catalog!U293,"ACC:"&amp;Catalog!B293))</f>
        <v>ACC:</v>
      </c>
      <c r="J320" s="16">
        <f>Catalog!L293</f>
        <v>0</v>
      </c>
      <c r="K320" s="16">
        <f>IF(Catalog!AH293&lt;&gt;"",Catalog!AH293,Catalog!AF293)</f>
        <v>0</v>
      </c>
      <c r="L320" s="16">
        <f>Catalog!AE293</f>
        <v>0</v>
      </c>
      <c r="M320" s="16">
        <f>Catalog!W293</f>
        <v>0</v>
      </c>
      <c r="N320" s="16">
        <f>Catalog!R293</f>
        <v>0</v>
      </c>
      <c r="O320" s="16">
        <f>Catalog!AG293</f>
        <v>0</v>
      </c>
    </row>
    <row r="321" spans="1:15" ht="15.75" x14ac:dyDescent="0.25">
      <c r="A321" s="16">
        <f>Catalog!D294</f>
        <v>0</v>
      </c>
      <c r="B321" s="16">
        <f>Catalog!F294</f>
        <v>0</v>
      </c>
      <c r="C321" s="16" t="str">
        <f>IF(Catalog!I294="","",Catalog!I294)&amp;IF(AND(Catalog!I294&lt;&gt;"",Catalog!J294&lt;&gt;""),"; ","")&amp;IF(Catalog!J294="","",Catalog!J294)</f>
        <v/>
      </c>
      <c r="D321" s="16">
        <f>Catalog!Q294</f>
        <v>0</v>
      </c>
      <c r="E321" s="16">
        <f>Catalog!S294</f>
        <v>0</v>
      </c>
      <c r="F321" s="16">
        <f>Catalog!N294</f>
        <v>0</v>
      </c>
      <c r="G321" s="16" t="str">
        <f>Catalog!K294&amp;" / "&amp;Catalog!M294</f>
        <v xml:space="preserve"> / </v>
      </c>
      <c r="H321" s="16" t="str">
        <f t="shared" si="4"/>
        <v>Print</v>
      </c>
      <c r="I321" s="16" t="str">
        <f>IF(Catalog!T294&lt;&gt;"","ISBN:"&amp;Catalog!T294,IF(Catalog!U294&lt;&gt;"","ISSN:"&amp;Catalog!U294,"ACC:"&amp;Catalog!B294))</f>
        <v>ACC:</v>
      </c>
      <c r="J321" s="16">
        <f>Catalog!L294</f>
        <v>0</v>
      </c>
      <c r="K321" s="16">
        <f>IF(Catalog!AH294&lt;&gt;"",Catalog!AH294,Catalog!AF294)</f>
        <v>0</v>
      </c>
      <c r="L321" s="16">
        <f>Catalog!AE294</f>
        <v>0</v>
      </c>
      <c r="M321" s="16">
        <f>Catalog!W294</f>
        <v>0</v>
      </c>
      <c r="N321" s="16">
        <f>Catalog!R294</f>
        <v>0</v>
      </c>
      <c r="O321" s="16">
        <f>Catalog!AG294</f>
        <v>0</v>
      </c>
    </row>
    <row r="322" spans="1:15" ht="15.75" x14ac:dyDescent="0.25">
      <c r="A322" s="16">
        <f>Catalog!D295</f>
        <v>0</v>
      </c>
      <c r="B322" s="16">
        <f>Catalog!F295</f>
        <v>0</v>
      </c>
      <c r="C322" s="16" t="str">
        <f>IF(Catalog!I295="","",Catalog!I295)&amp;IF(AND(Catalog!I295&lt;&gt;"",Catalog!J295&lt;&gt;""),"; ","")&amp;IF(Catalog!J295="","",Catalog!J295)</f>
        <v/>
      </c>
      <c r="D322" s="16">
        <f>Catalog!Q295</f>
        <v>0</v>
      </c>
      <c r="E322" s="16">
        <f>Catalog!S295</f>
        <v>0</v>
      </c>
      <c r="F322" s="16">
        <f>Catalog!N295</f>
        <v>0</v>
      </c>
      <c r="G322" s="16" t="str">
        <f>Catalog!K295&amp;" / "&amp;Catalog!M295</f>
        <v xml:space="preserve"> / </v>
      </c>
      <c r="H322" s="16" t="str">
        <f t="shared" si="4"/>
        <v>Print</v>
      </c>
      <c r="I322" s="16" t="str">
        <f>IF(Catalog!T295&lt;&gt;"","ISBN:"&amp;Catalog!T295,IF(Catalog!U295&lt;&gt;"","ISSN:"&amp;Catalog!U295,"ACC:"&amp;Catalog!B295))</f>
        <v>ACC:</v>
      </c>
      <c r="J322" s="16">
        <f>Catalog!L295</f>
        <v>0</v>
      </c>
      <c r="K322" s="16">
        <f>IF(Catalog!AH295&lt;&gt;"",Catalog!AH295,Catalog!AF295)</f>
        <v>0</v>
      </c>
      <c r="L322" s="16">
        <f>Catalog!AE295</f>
        <v>0</v>
      </c>
      <c r="M322" s="16">
        <f>Catalog!W295</f>
        <v>0</v>
      </c>
      <c r="N322" s="16">
        <f>Catalog!R295</f>
        <v>0</v>
      </c>
      <c r="O322" s="16">
        <f>Catalog!AG295</f>
        <v>0</v>
      </c>
    </row>
    <row r="323" spans="1:15" ht="15.75" x14ac:dyDescent="0.25">
      <c r="A323" s="16">
        <f>Catalog!D296</f>
        <v>0</v>
      </c>
      <c r="B323" s="16">
        <f>Catalog!F296</f>
        <v>0</v>
      </c>
      <c r="C323" s="16" t="str">
        <f>IF(Catalog!I296="","",Catalog!I296)&amp;IF(AND(Catalog!I296&lt;&gt;"",Catalog!J296&lt;&gt;""),"; ","")&amp;IF(Catalog!J296="","",Catalog!J296)</f>
        <v/>
      </c>
      <c r="D323" s="16">
        <f>Catalog!Q296</f>
        <v>0</v>
      </c>
      <c r="E323" s="16">
        <f>Catalog!S296</f>
        <v>0</v>
      </c>
      <c r="F323" s="16">
        <f>Catalog!N296</f>
        <v>0</v>
      </c>
      <c r="G323" s="16" t="str">
        <f>Catalog!K296&amp;" / "&amp;Catalog!M296</f>
        <v xml:space="preserve"> / </v>
      </c>
      <c r="H323" s="16" t="str">
        <f t="shared" si="4"/>
        <v>Print</v>
      </c>
      <c r="I323" s="16" t="str">
        <f>IF(Catalog!T296&lt;&gt;"","ISBN:"&amp;Catalog!T296,IF(Catalog!U296&lt;&gt;"","ISSN:"&amp;Catalog!U296,"ACC:"&amp;Catalog!B296))</f>
        <v>ACC:</v>
      </c>
      <c r="J323" s="16">
        <f>Catalog!L296</f>
        <v>0</v>
      </c>
      <c r="K323" s="16">
        <f>IF(Catalog!AH296&lt;&gt;"",Catalog!AH296,Catalog!AF296)</f>
        <v>0</v>
      </c>
      <c r="L323" s="16">
        <f>Catalog!AE296</f>
        <v>0</v>
      </c>
      <c r="M323" s="16">
        <f>Catalog!W296</f>
        <v>0</v>
      </c>
      <c r="N323" s="16">
        <f>Catalog!R296</f>
        <v>0</v>
      </c>
      <c r="O323" s="16">
        <f>Catalog!AG296</f>
        <v>0</v>
      </c>
    </row>
    <row r="324" spans="1:15" ht="15.75" x14ac:dyDescent="0.25">
      <c r="A324" s="16">
        <f>Catalog!D297</f>
        <v>0</v>
      </c>
      <c r="B324" s="16">
        <f>Catalog!F297</f>
        <v>0</v>
      </c>
      <c r="C324" s="16" t="str">
        <f>IF(Catalog!I297="","",Catalog!I297)&amp;IF(AND(Catalog!I297&lt;&gt;"",Catalog!J297&lt;&gt;""),"; ","")&amp;IF(Catalog!J297="","",Catalog!J297)</f>
        <v/>
      </c>
      <c r="D324" s="16">
        <f>Catalog!Q297</f>
        <v>0</v>
      </c>
      <c r="E324" s="16">
        <f>Catalog!S297</f>
        <v>0</v>
      </c>
      <c r="F324" s="16">
        <f>Catalog!N297</f>
        <v>0</v>
      </c>
      <c r="G324" s="16" t="str">
        <f>Catalog!K297&amp;" / "&amp;Catalog!M297</f>
        <v xml:space="preserve"> / </v>
      </c>
      <c r="H324" s="16" t="str">
        <f t="shared" si="4"/>
        <v>Print</v>
      </c>
      <c r="I324" s="16" t="str">
        <f>IF(Catalog!T297&lt;&gt;"","ISBN:"&amp;Catalog!T297,IF(Catalog!U297&lt;&gt;"","ISSN:"&amp;Catalog!U297,"ACC:"&amp;Catalog!B297))</f>
        <v>ACC:</v>
      </c>
      <c r="J324" s="16">
        <f>Catalog!L297</f>
        <v>0</v>
      </c>
      <c r="K324" s="16">
        <f>IF(Catalog!AH297&lt;&gt;"",Catalog!AH297,Catalog!AF297)</f>
        <v>0</v>
      </c>
      <c r="L324" s="16">
        <f>Catalog!AE297</f>
        <v>0</v>
      </c>
      <c r="M324" s="16">
        <f>Catalog!W297</f>
        <v>0</v>
      </c>
      <c r="N324" s="16">
        <f>Catalog!R297</f>
        <v>0</v>
      </c>
      <c r="O324" s="16">
        <f>Catalog!AG297</f>
        <v>0</v>
      </c>
    </row>
    <row r="325" spans="1:15" ht="15.75" x14ac:dyDescent="0.25">
      <c r="A325" s="16">
        <f>Catalog!D298</f>
        <v>0</v>
      </c>
      <c r="B325" s="16">
        <f>Catalog!F298</f>
        <v>0</v>
      </c>
      <c r="C325" s="16" t="str">
        <f>IF(Catalog!I298="","",Catalog!I298)&amp;IF(AND(Catalog!I298&lt;&gt;"",Catalog!J298&lt;&gt;""),"; ","")&amp;IF(Catalog!J298="","",Catalog!J298)</f>
        <v/>
      </c>
      <c r="D325" s="16">
        <f>Catalog!Q298</f>
        <v>0</v>
      </c>
      <c r="E325" s="16">
        <f>Catalog!S298</f>
        <v>0</v>
      </c>
      <c r="F325" s="16">
        <f>Catalog!N298</f>
        <v>0</v>
      </c>
      <c r="G325" s="16" t="str">
        <f>Catalog!K298&amp;" / "&amp;Catalog!M298</f>
        <v xml:space="preserve"> / </v>
      </c>
      <c r="H325" s="16" t="str">
        <f t="shared" si="4"/>
        <v>Print</v>
      </c>
      <c r="I325" s="16" t="str">
        <f>IF(Catalog!T298&lt;&gt;"","ISBN:"&amp;Catalog!T298,IF(Catalog!U298&lt;&gt;"","ISSN:"&amp;Catalog!U298,"ACC:"&amp;Catalog!B298))</f>
        <v>ACC:</v>
      </c>
      <c r="J325" s="16">
        <f>Catalog!L298</f>
        <v>0</v>
      </c>
      <c r="K325" s="16">
        <f>IF(Catalog!AH298&lt;&gt;"",Catalog!AH298,Catalog!AF298)</f>
        <v>0</v>
      </c>
      <c r="L325" s="16">
        <f>Catalog!AE298</f>
        <v>0</v>
      </c>
      <c r="M325" s="16">
        <f>Catalog!W298</f>
        <v>0</v>
      </c>
      <c r="N325" s="16">
        <f>Catalog!R298</f>
        <v>0</v>
      </c>
      <c r="O325" s="16">
        <f>Catalog!AG298</f>
        <v>0</v>
      </c>
    </row>
    <row r="326" spans="1:15" ht="15.75" x14ac:dyDescent="0.25">
      <c r="A326" s="16">
        <f>Catalog!D299</f>
        <v>0</v>
      </c>
      <c r="B326" s="16">
        <f>Catalog!F299</f>
        <v>0</v>
      </c>
      <c r="C326" s="16" t="str">
        <f>IF(Catalog!I299="","",Catalog!I299)&amp;IF(AND(Catalog!I299&lt;&gt;"",Catalog!J299&lt;&gt;""),"; ","")&amp;IF(Catalog!J299="","",Catalog!J299)</f>
        <v/>
      </c>
      <c r="D326" s="16">
        <f>Catalog!Q299</f>
        <v>0</v>
      </c>
      <c r="E326" s="16">
        <f>Catalog!S299</f>
        <v>0</v>
      </c>
      <c r="F326" s="16">
        <f>Catalog!N299</f>
        <v>0</v>
      </c>
      <c r="G326" s="16" t="str">
        <f>Catalog!K299&amp;" / "&amp;Catalog!M299</f>
        <v xml:space="preserve"> / </v>
      </c>
      <c r="H326" s="16" t="str">
        <f t="shared" si="4"/>
        <v>Print</v>
      </c>
      <c r="I326" s="16" t="str">
        <f>IF(Catalog!T299&lt;&gt;"","ISBN:"&amp;Catalog!T299,IF(Catalog!U299&lt;&gt;"","ISSN:"&amp;Catalog!U299,"ACC:"&amp;Catalog!B299))</f>
        <v>ACC:</v>
      </c>
      <c r="J326" s="16">
        <f>Catalog!L299</f>
        <v>0</v>
      </c>
      <c r="K326" s="16">
        <f>IF(Catalog!AH299&lt;&gt;"",Catalog!AH299,Catalog!AF299)</f>
        <v>0</v>
      </c>
      <c r="L326" s="16">
        <f>Catalog!AE299</f>
        <v>0</v>
      </c>
      <c r="M326" s="16">
        <f>Catalog!W299</f>
        <v>0</v>
      </c>
      <c r="N326" s="16">
        <f>Catalog!R299</f>
        <v>0</v>
      </c>
      <c r="O326" s="16">
        <f>Catalog!AG299</f>
        <v>0</v>
      </c>
    </row>
    <row r="327" spans="1:15" ht="15.75" x14ac:dyDescent="0.25">
      <c r="A327" s="16">
        <f>Catalog!D300</f>
        <v>0</v>
      </c>
      <c r="B327" s="16">
        <f>Catalog!F300</f>
        <v>0</v>
      </c>
      <c r="C327" s="16" t="str">
        <f>IF(Catalog!I300="","",Catalog!I300)&amp;IF(AND(Catalog!I300&lt;&gt;"",Catalog!J300&lt;&gt;""),"; ","")&amp;IF(Catalog!J300="","",Catalog!J300)</f>
        <v/>
      </c>
      <c r="D327" s="16">
        <f>Catalog!Q300</f>
        <v>0</v>
      </c>
      <c r="E327" s="16">
        <f>Catalog!S300</f>
        <v>0</v>
      </c>
      <c r="F327" s="16">
        <f>Catalog!N300</f>
        <v>0</v>
      </c>
      <c r="G327" s="16" t="str">
        <f>Catalog!K300&amp;" / "&amp;Catalog!M300</f>
        <v xml:space="preserve"> / </v>
      </c>
      <c r="H327" s="16" t="str">
        <f t="shared" si="4"/>
        <v>Print</v>
      </c>
      <c r="I327" s="16" t="str">
        <f>IF(Catalog!T300&lt;&gt;"","ISBN:"&amp;Catalog!T300,IF(Catalog!U300&lt;&gt;"","ISSN:"&amp;Catalog!U300,"ACC:"&amp;Catalog!B300))</f>
        <v>ACC:</v>
      </c>
      <c r="J327" s="16">
        <f>Catalog!L300</f>
        <v>0</v>
      </c>
      <c r="K327" s="16">
        <f>IF(Catalog!AH300&lt;&gt;"",Catalog!AH300,Catalog!AF300)</f>
        <v>0</v>
      </c>
      <c r="L327" s="16">
        <f>Catalog!AE300</f>
        <v>0</v>
      </c>
      <c r="M327" s="16">
        <f>Catalog!W300</f>
        <v>0</v>
      </c>
      <c r="N327" s="16">
        <f>Catalog!R300</f>
        <v>0</v>
      </c>
      <c r="O327" s="16">
        <f>Catalog!AG300</f>
        <v>0</v>
      </c>
    </row>
    <row r="328" spans="1:15" ht="15.75" x14ac:dyDescent="0.25">
      <c r="A328" s="16">
        <f>Catalog!D301</f>
        <v>0</v>
      </c>
      <c r="B328" s="16">
        <f>Catalog!F301</f>
        <v>0</v>
      </c>
      <c r="C328" s="16" t="str">
        <f>IF(Catalog!I301="","",Catalog!I301)&amp;IF(AND(Catalog!I301&lt;&gt;"",Catalog!J301&lt;&gt;""),"; ","")&amp;IF(Catalog!J301="","",Catalog!J301)</f>
        <v/>
      </c>
      <c r="D328" s="16">
        <f>Catalog!Q301</f>
        <v>0</v>
      </c>
      <c r="E328" s="16">
        <f>Catalog!S301</f>
        <v>0</v>
      </c>
      <c r="F328" s="16">
        <f>Catalog!N301</f>
        <v>0</v>
      </c>
      <c r="G328" s="16" t="str">
        <f>Catalog!K301&amp;" / "&amp;Catalog!M301</f>
        <v xml:space="preserve"> / </v>
      </c>
      <c r="H328" s="16" t="str">
        <f t="shared" si="4"/>
        <v>Print</v>
      </c>
      <c r="I328" s="16" t="str">
        <f>IF(Catalog!T301&lt;&gt;"","ISBN:"&amp;Catalog!T301,IF(Catalog!U301&lt;&gt;"","ISSN:"&amp;Catalog!U301,"ACC:"&amp;Catalog!B301))</f>
        <v>ACC:</v>
      </c>
      <c r="J328" s="16">
        <f>Catalog!L301</f>
        <v>0</v>
      </c>
      <c r="K328" s="16">
        <f>IF(Catalog!AH301&lt;&gt;"",Catalog!AH301,Catalog!AF301)</f>
        <v>0</v>
      </c>
      <c r="L328" s="16">
        <f>Catalog!AE301</f>
        <v>0</v>
      </c>
      <c r="M328" s="16">
        <f>Catalog!W301</f>
        <v>0</v>
      </c>
      <c r="N328" s="16">
        <f>Catalog!R301</f>
        <v>0</v>
      </c>
      <c r="O328" s="16">
        <f>Catalog!AG301</f>
        <v>0</v>
      </c>
    </row>
    <row r="329" spans="1:15" ht="15.75" x14ac:dyDescent="0.25">
      <c r="A329" s="16">
        <f>Catalog!D302</f>
        <v>0</v>
      </c>
      <c r="B329" s="16">
        <f>Catalog!F302</f>
        <v>0</v>
      </c>
      <c r="C329" s="16" t="str">
        <f>IF(Catalog!I302="","",Catalog!I302)&amp;IF(AND(Catalog!I302&lt;&gt;"",Catalog!J302&lt;&gt;""),"; ","")&amp;IF(Catalog!J302="","",Catalog!J302)</f>
        <v/>
      </c>
      <c r="D329" s="16">
        <f>Catalog!Q302</f>
        <v>0</v>
      </c>
      <c r="E329" s="16">
        <f>Catalog!S302</f>
        <v>0</v>
      </c>
      <c r="F329" s="16">
        <f>Catalog!N302</f>
        <v>0</v>
      </c>
      <c r="G329" s="16" t="str">
        <f>Catalog!K302&amp;" / "&amp;Catalog!M302</f>
        <v xml:space="preserve"> / </v>
      </c>
      <c r="H329" s="16" t="str">
        <f t="shared" si="4"/>
        <v>Print</v>
      </c>
      <c r="I329" s="16" t="str">
        <f>IF(Catalog!T302&lt;&gt;"","ISBN:"&amp;Catalog!T302,IF(Catalog!U302&lt;&gt;"","ISSN:"&amp;Catalog!U302,"ACC:"&amp;Catalog!B302))</f>
        <v>ACC:</v>
      </c>
      <c r="J329" s="16">
        <f>Catalog!L302</f>
        <v>0</v>
      </c>
      <c r="K329" s="16">
        <f>IF(Catalog!AH302&lt;&gt;"",Catalog!AH302,Catalog!AF302)</f>
        <v>0</v>
      </c>
      <c r="L329" s="16">
        <f>Catalog!AE302</f>
        <v>0</v>
      </c>
      <c r="M329" s="16">
        <f>Catalog!W302</f>
        <v>0</v>
      </c>
      <c r="N329" s="16">
        <f>Catalog!R302</f>
        <v>0</v>
      </c>
      <c r="O329" s="16">
        <f>Catalog!AG302</f>
        <v>0</v>
      </c>
    </row>
    <row r="330" spans="1:15" ht="15.75" x14ac:dyDescent="0.25">
      <c r="A330" s="16">
        <f>Catalog!D303</f>
        <v>0</v>
      </c>
      <c r="B330" s="16">
        <f>Catalog!F303</f>
        <v>0</v>
      </c>
      <c r="C330" s="16" t="str">
        <f>IF(Catalog!I303="","",Catalog!I303)&amp;IF(AND(Catalog!I303&lt;&gt;"",Catalog!J303&lt;&gt;""),"; ","")&amp;IF(Catalog!J303="","",Catalog!J303)</f>
        <v/>
      </c>
      <c r="D330" s="16">
        <f>Catalog!Q303</f>
        <v>0</v>
      </c>
      <c r="E330" s="16">
        <f>Catalog!S303</f>
        <v>0</v>
      </c>
      <c r="F330" s="16">
        <f>Catalog!N303</f>
        <v>0</v>
      </c>
      <c r="G330" s="16" t="str">
        <f>Catalog!K303&amp;" / "&amp;Catalog!M303</f>
        <v xml:space="preserve"> / </v>
      </c>
      <c r="H330" s="16" t="str">
        <f t="shared" si="4"/>
        <v>Print</v>
      </c>
      <c r="I330" s="16" t="str">
        <f>IF(Catalog!T303&lt;&gt;"","ISBN:"&amp;Catalog!T303,IF(Catalog!U303&lt;&gt;"","ISSN:"&amp;Catalog!U303,"ACC:"&amp;Catalog!B303))</f>
        <v>ACC:</v>
      </c>
      <c r="J330" s="16">
        <f>Catalog!L303</f>
        <v>0</v>
      </c>
      <c r="K330" s="16">
        <f>IF(Catalog!AH303&lt;&gt;"",Catalog!AH303,Catalog!AF303)</f>
        <v>0</v>
      </c>
      <c r="L330" s="16">
        <f>Catalog!AE303</f>
        <v>0</v>
      </c>
      <c r="M330" s="16">
        <f>Catalog!W303</f>
        <v>0</v>
      </c>
      <c r="N330" s="16">
        <f>Catalog!R303</f>
        <v>0</v>
      </c>
      <c r="O330" s="16">
        <f>Catalog!AG303</f>
        <v>0</v>
      </c>
    </row>
    <row r="331" spans="1:15" ht="15.75" x14ac:dyDescent="0.25">
      <c r="A331" s="16">
        <f>Catalog!D304</f>
        <v>0</v>
      </c>
      <c r="B331" s="16">
        <f>Catalog!F304</f>
        <v>0</v>
      </c>
      <c r="C331" s="16" t="str">
        <f>IF(Catalog!I304="","",Catalog!I304)&amp;IF(AND(Catalog!I304&lt;&gt;"",Catalog!J304&lt;&gt;""),"; ","")&amp;IF(Catalog!J304="","",Catalog!J304)</f>
        <v/>
      </c>
      <c r="D331" s="16">
        <f>Catalog!Q304</f>
        <v>0</v>
      </c>
      <c r="E331" s="16">
        <f>Catalog!S304</f>
        <v>0</v>
      </c>
      <c r="F331" s="16">
        <f>Catalog!N304</f>
        <v>0</v>
      </c>
      <c r="G331" s="16" t="str">
        <f>Catalog!K304&amp;" / "&amp;Catalog!M304</f>
        <v xml:space="preserve"> / </v>
      </c>
      <c r="H331" s="16" t="str">
        <f t="shared" si="4"/>
        <v>Print</v>
      </c>
      <c r="I331" s="16" t="str">
        <f>IF(Catalog!T304&lt;&gt;"","ISBN:"&amp;Catalog!T304,IF(Catalog!U304&lt;&gt;"","ISSN:"&amp;Catalog!U304,"ACC:"&amp;Catalog!B304))</f>
        <v>ACC:</v>
      </c>
      <c r="J331" s="16">
        <f>Catalog!L304</f>
        <v>0</v>
      </c>
      <c r="K331" s="16">
        <f>IF(Catalog!AH304&lt;&gt;"",Catalog!AH304,Catalog!AF304)</f>
        <v>0</v>
      </c>
      <c r="L331" s="16">
        <f>Catalog!AE304</f>
        <v>0</v>
      </c>
      <c r="M331" s="16">
        <f>Catalog!W304</f>
        <v>0</v>
      </c>
      <c r="N331" s="16">
        <f>Catalog!R304</f>
        <v>0</v>
      </c>
      <c r="O331" s="16">
        <f>Catalog!AG304</f>
        <v>0</v>
      </c>
    </row>
    <row r="332" spans="1:15" ht="15.75" x14ac:dyDescent="0.25">
      <c r="A332" s="16">
        <f>Catalog!D305</f>
        <v>0</v>
      </c>
      <c r="B332" s="16">
        <f>Catalog!F305</f>
        <v>0</v>
      </c>
      <c r="C332" s="16" t="str">
        <f>IF(Catalog!I305="","",Catalog!I305)&amp;IF(AND(Catalog!I305&lt;&gt;"",Catalog!J305&lt;&gt;""),"; ","")&amp;IF(Catalog!J305="","",Catalog!J305)</f>
        <v/>
      </c>
      <c r="D332" s="16">
        <f>Catalog!Q305</f>
        <v>0</v>
      </c>
      <c r="E332" s="16">
        <f>Catalog!S305</f>
        <v>0</v>
      </c>
      <c r="F332" s="16">
        <f>Catalog!N305</f>
        <v>0</v>
      </c>
      <c r="G332" s="16" t="str">
        <f>Catalog!K305&amp;" / "&amp;Catalog!M305</f>
        <v xml:space="preserve"> / </v>
      </c>
      <c r="H332" s="16" t="str">
        <f t="shared" si="4"/>
        <v>Print</v>
      </c>
      <c r="I332" s="16" t="str">
        <f>IF(Catalog!T305&lt;&gt;"","ISBN:"&amp;Catalog!T305,IF(Catalog!U305&lt;&gt;"","ISSN:"&amp;Catalog!U305,"ACC:"&amp;Catalog!B305))</f>
        <v>ACC:</v>
      </c>
      <c r="J332" s="16">
        <f>Catalog!L305</f>
        <v>0</v>
      </c>
      <c r="K332" s="16">
        <f>IF(Catalog!AH305&lt;&gt;"",Catalog!AH305,Catalog!AF305)</f>
        <v>0</v>
      </c>
      <c r="L332" s="16">
        <f>Catalog!AE305</f>
        <v>0</v>
      </c>
      <c r="M332" s="16">
        <f>Catalog!W305</f>
        <v>0</v>
      </c>
      <c r="N332" s="16">
        <f>Catalog!R305</f>
        <v>0</v>
      </c>
      <c r="O332" s="16">
        <f>Catalog!AG305</f>
        <v>0</v>
      </c>
    </row>
    <row r="333" spans="1:15" ht="15.75" x14ac:dyDescent="0.25">
      <c r="A333" s="16">
        <f>Catalog!D306</f>
        <v>0</v>
      </c>
      <c r="B333" s="16">
        <f>Catalog!F306</f>
        <v>0</v>
      </c>
      <c r="C333" s="16" t="str">
        <f>IF(Catalog!I306="","",Catalog!I306)&amp;IF(AND(Catalog!I306&lt;&gt;"",Catalog!J306&lt;&gt;""),"; ","")&amp;IF(Catalog!J306="","",Catalog!J306)</f>
        <v/>
      </c>
      <c r="D333" s="16">
        <f>Catalog!Q306</f>
        <v>0</v>
      </c>
      <c r="E333" s="16">
        <f>Catalog!S306</f>
        <v>0</v>
      </c>
      <c r="F333" s="16">
        <f>Catalog!N306</f>
        <v>0</v>
      </c>
      <c r="G333" s="16" t="str">
        <f>Catalog!K306&amp;" / "&amp;Catalog!M306</f>
        <v xml:space="preserve"> / </v>
      </c>
      <c r="H333" s="16" t="str">
        <f t="shared" si="4"/>
        <v>Print</v>
      </c>
      <c r="I333" s="16" t="str">
        <f>IF(Catalog!T306&lt;&gt;"","ISBN:"&amp;Catalog!T306,IF(Catalog!U306&lt;&gt;"","ISSN:"&amp;Catalog!U306,"ACC:"&amp;Catalog!B306))</f>
        <v>ACC:</v>
      </c>
      <c r="J333" s="16">
        <f>Catalog!L306</f>
        <v>0</v>
      </c>
      <c r="K333" s="16">
        <f>IF(Catalog!AH306&lt;&gt;"",Catalog!AH306,Catalog!AF306)</f>
        <v>0</v>
      </c>
      <c r="L333" s="16">
        <f>Catalog!AE306</f>
        <v>0</v>
      </c>
      <c r="M333" s="16">
        <f>Catalog!W306</f>
        <v>0</v>
      </c>
      <c r="N333" s="16">
        <f>Catalog!R306</f>
        <v>0</v>
      </c>
      <c r="O333" s="16">
        <f>Catalog!AG306</f>
        <v>0</v>
      </c>
    </row>
    <row r="334" spans="1:15" ht="15.75" x14ac:dyDescent="0.25">
      <c r="A334" s="16">
        <f>Catalog!D307</f>
        <v>0</v>
      </c>
      <c r="B334" s="16">
        <f>Catalog!F307</f>
        <v>0</v>
      </c>
      <c r="C334" s="16" t="str">
        <f>IF(Catalog!I307="","",Catalog!I307)&amp;IF(AND(Catalog!I307&lt;&gt;"",Catalog!J307&lt;&gt;""),"; ","")&amp;IF(Catalog!J307="","",Catalog!J307)</f>
        <v/>
      </c>
      <c r="D334" s="16">
        <f>Catalog!Q307</f>
        <v>0</v>
      </c>
      <c r="E334" s="16">
        <f>Catalog!S307</f>
        <v>0</v>
      </c>
      <c r="F334" s="16">
        <f>Catalog!N307</f>
        <v>0</v>
      </c>
      <c r="G334" s="16" t="str">
        <f>Catalog!K307&amp;" / "&amp;Catalog!M307</f>
        <v xml:space="preserve"> / </v>
      </c>
      <c r="H334" s="16" t="str">
        <f t="shared" si="4"/>
        <v>Print</v>
      </c>
      <c r="I334" s="16" t="str">
        <f>IF(Catalog!T307&lt;&gt;"","ISBN:"&amp;Catalog!T307,IF(Catalog!U307&lt;&gt;"","ISSN:"&amp;Catalog!U307,"ACC:"&amp;Catalog!B307))</f>
        <v>ACC:</v>
      </c>
      <c r="J334" s="16">
        <f>Catalog!L307</f>
        <v>0</v>
      </c>
      <c r="K334" s="16">
        <f>IF(Catalog!AH307&lt;&gt;"",Catalog!AH307,Catalog!AF307)</f>
        <v>0</v>
      </c>
      <c r="L334" s="16">
        <f>Catalog!AE307</f>
        <v>0</v>
      </c>
      <c r="M334" s="16">
        <f>Catalog!W307</f>
        <v>0</v>
      </c>
      <c r="N334" s="16">
        <f>Catalog!R307</f>
        <v>0</v>
      </c>
      <c r="O334" s="16">
        <f>Catalog!AG307</f>
        <v>0</v>
      </c>
    </row>
    <row r="335" spans="1:15" ht="15.75" x14ac:dyDescent="0.25">
      <c r="A335" s="16">
        <f>Catalog!D308</f>
        <v>0</v>
      </c>
      <c r="B335" s="16">
        <f>Catalog!F308</f>
        <v>0</v>
      </c>
      <c r="C335" s="16" t="str">
        <f>IF(Catalog!I308="","",Catalog!I308)&amp;IF(AND(Catalog!I308&lt;&gt;"",Catalog!J308&lt;&gt;""),"; ","")&amp;IF(Catalog!J308="","",Catalog!J308)</f>
        <v/>
      </c>
      <c r="D335" s="16">
        <f>Catalog!Q308</f>
        <v>0</v>
      </c>
      <c r="E335" s="16">
        <f>Catalog!S308</f>
        <v>0</v>
      </c>
      <c r="F335" s="16">
        <f>Catalog!N308</f>
        <v>0</v>
      </c>
      <c r="G335" s="16" t="str">
        <f>Catalog!K308&amp;" / "&amp;Catalog!M308</f>
        <v xml:space="preserve"> / </v>
      </c>
      <c r="H335" s="16" t="str">
        <f t="shared" si="4"/>
        <v>Print</v>
      </c>
      <c r="I335" s="16" t="str">
        <f>IF(Catalog!T308&lt;&gt;"","ISBN:"&amp;Catalog!T308,IF(Catalog!U308&lt;&gt;"","ISSN:"&amp;Catalog!U308,"ACC:"&amp;Catalog!B308))</f>
        <v>ACC:</v>
      </c>
      <c r="J335" s="16">
        <f>Catalog!L308</f>
        <v>0</v>
      </c>
      <c r="K335" s="16">
        <f>IF(Catalog!AH308&lt;&gt;"",Catalog!AH308,Catalog!AF308)</f>
        <v>0</v>
      </c>
      <c r="L335" s="16">
        <f>Catalog!AE308</f>
        <v>0</v>
      </c>
      <c r="M335" s="16">
        <f>Catalog!W308</f>
        <v>0</v>
      </c>
      <c r="N335" s="16">
        <f>Catalog!R308</f>
        <v>0</v>
      </c>
      <c r="O335" s="16">
        <f>Catalog!AG308</f>
        <v>0</v>
      </c>
    </row>
    <row r="336" spans="1:15" ht="15.75" x14ac:dyDescent="0.25">
      <c r="A336" s="16">
        <f>Catalog!D309</f>
        <v>0</v>
      </c>
      <c r="B336" s="16">
        <f>Catalog!F309</f>
        <v>0</v>
      </c>
      <c r="C336" s="16" t="str">
        <f>IF(Catalog!I309="","",Catalog!I309)&amp;IF(AND(Catalog!I309&lt;&gt;"",Catalog!J309&lt;&gt;""),"; ","")&amp;IF(Catalog!J309="","",Catalog!J309)</f>
        <v/>
      </c>
      <c r="D336" s="16">
        <f>Catalog!Q309</f>
        <v>0</v>
      </c>
      <c r="E336" s="16">
        <f>Catalog!S309</f>
        <v>0</v>
      </c>
      <c r="F336" s="16">
        <f>Catalog!N309</f>
        <v>0</v>
      </c>
      <c r="G336" s="16" t="str">
        <f>Catalog!K309&amp;" / "&amp;Catalog!M309</f>
        <v xml:space="preserve"> / </v>
      </c>
      <c r="H336" s="16" t="str">
        <f t="shared" si="4"/>
        <v>Print</v>
      </c>
      <c r="I336" s="16" t="str">
        <f>IF(Catalog!T309&lt;&gt;"","ISBN:"&amp;Catalog!T309,IF(Catalog!U309&lt;&gt;"","ISSN:"&amp;Catalog!U309,"ACC:"&amp;Catalog!B309))</f>
        <v>ACC:</v>
      </c>
      <c r="J336" s="16">
        <f>Catalog!L309</f>
        <v>0</v>
      </c>
      <c r="K336" s="16">
        <f>IF(Catalog!AH309&lt;&gt;"",Catalog!AH309,Catalog!AF309)</f>
        <v>0</v>
      </c>
      <c r="L336" s="16">
        <f>Catalog!AE309</f>
        <v>0</v>
      </c>
      <c r="M336" s="16">
        <f>Catalog!W309</f>
        <v>0</v>
      </c>
      <c r="N336" s="16">
        <f>Catalog!R309</f>
        <v>0</v>
      </c>
      <c r="O336" s="16">
        <f>Catalog!AG309</f>
        <v>0</v>
      </c>
    </row>
    <row r="337" spans="1:15" ht="15.75" x14ac:dyDescent="0.25">
      <c r="A337" s="16">
        <f>Catalog!D310</f>
        <v>0</v>
      </c>
      <c r="B337" s="16">
        <f>Catalog!F310</f>
        <v>0</v>
      </c>
      <c r="C337" s="16" t="str">
        <f>IF(Catalog!I310="","",Catalog!I310)&amp;IF(AND(Catalog!I310&lt;&gt;"",Catalog!J310&lt;&gt;""),"; ","")&amp;IF(Catalog!J310="","",Catalog!J310)</f>
        <v/>
      </c>
      <c r="D337" s="16">
        <f>Catalog!Q310</f>
        <v>0</v>
      </c>
      <c r="E337" s="16">
        <f>Catalog!S310</f>
        <v>0</v>
      </c>
      <c r="F337" s="16">
        <f>Catalog!N310</f>
        <v>0</v>
      </c>
      <c r="G337" s="16" t="str">
        <f>Catalog!K310&amp;" / "&amp;Catalog!M310</f>
        <v xml:space="preserve"> / </v>
      </c>
      <c r="H337" s="16" t="str">
        <f t="shared" si="4"/>
        <v>Print</v>
      </c>
      <c r="I337" s="16" t="str">
        <f>IF(Catalog!T310&lt;&gt;"","ISBN:"&amp;Catalog!T310,IF(Catalog!U310&lt;&gt;"","ISSN:"&amp;Catalog!U310,"ACC:"&amp;Catalog!B310))</f>
        <v>ACC:</v>
      </c>
      <c r="J337" s="16">
        <f>Catalog!L310</f>
        <v>0</v>
      </c>
      <c r="K337" s="16">
        <f>IF(Catalog!AH310&lt;&gt;"",Catalog!AH310,Catalog!AF310)</f>
        <v>0</v>
      </c>
      <c r="L337" s="16">
        <f>Catalog!AE310</f>
        <v>0</v>
      </c>
      <c r="M337" s="16">
        <f>Catalog!W310</f>
        <v>0</v>
      </c>
      <c r="N337" s="16">
        <f>Catalog!R310</f>
        <v>0</v>
      </c>
      <c r="O337" s="16">
        <f>Catalog!AG310</f>
        <v>0</v>
      </c>
    </row>
    <row r="338" spans="1:15" ht="15.75" x14ac:dyDescent="0.25">
      <c r="A338" s="16">
        <f>Catalog!D311</f>
        <v>0</v>
      </c>
      <c r="B338" s="16">
        <f>Catalog!F311</f>
        <v>0</v>
      </c>
      <c r="C338" s="16" t="str">
        <f>IF(Catalog!I311="","",Catalog!I311)&amp;IF(AND(Catalog!I311&lt;&gt;"",Catalog!J311&lt;&gt;""),"; ","")&amp;IF(Catalog!J311="","",Catalog!J311)</f>
        <v/>
      </c>
      <c r="D338" s="16">
        <f>Catalog!Q311</f>
        <v>0</v>
      </c>
      <c r="E338" s="16">
        <f>Catalog!S311</f>
        <v>0</v>
      </c>
      <c r="F338" s="16">
        <f>Catalog!N311</f>
        <v>0</v>
      </c>
      <c r="G338" s="16" t="str">
        <f>Catalog!K311&amp;" / "&amp;Catalog!M311</f>
        <v xml:space="preserve"> / </v>
      </c>
      <c r="H338" s="16" t="str">
        <f t="shared" si="4"/>
        <v>Print</v>
      </c>
      <c r="I338" s="16" t="str">
        <f>IF(Catalog!T311&lt;&gt;"","ISBN:"&amp;Catalog!T311,IF(Catalog!U311&lt;&gt;"","ISSN:"&amp;Catalog!U311,"ACC:"&amp;Catalog!B311))</f>
        <v>ACC:</v>
      </c>
      <c r="J338" s="16">
        <f>Catalog!L311</f>
        <v>0</v>
      </c>
      <c r="K338" s="16">
        <f>IF(Catalog!AH311&lt;&gt;"",Catalog!AH311,Catalog!AF311)</f>
        <v>0</v>
      </c>
      <c r="L338" s="16">
        <f>Catalog!AE311</f>
        <v>0</v>
      </c>
      <c r="M338" s="16">
        <f>Catalog!W311</f>
        <v>0</v>
      </c>
      <c r="N338" s="16">
        <f>Catalog!R311</f>
        <v>0</v>
      </c>
      <c r="O338" s="16">
        <f>Catalog!AG311</f>
        <v>0</v>
      </c>
    </row>
    <row r="339" spans="1:15" ht="15.75" x14ac:dyDescent="0.25">
      <c r="A339" s="16">
        <f>Catalog!D312</f>
        <v>0</v>
      </c>
      <c r="B339" s="16">
        <f>Catalog!F312</f>
        <v>0</v>
      </c>
      <c r="C339" s="16" t="str">
        <f>IF(Catalog!I312="","",Catalog!I312)&amp;IF(AND(Catalog!I312&lt;&gt;"",Catalog!J312&lt;&gt;""),"; ","")&amp;IF(Catalog!J312="","",Catalog!J312)</f>
        <v/>
      </c>
      <c r="D339" s="16">
        <f>Catalog!Q312</f>
        <v>0</v>
      </c>
      <c r="E339" s="16">
        <f>Catalog!S312</f>
        <v>0</v>
      </c>
      <c r="F339" s="16">
        <f>Catalog!N312</f>
        <v>0</v>
      </c>
      <c r="G339" s="16" t="str">
        <f>Catalog!K312&amp;" / "&amp;Catalog!M312</f>
        <v xml:space="preserve"> / </v>
      </c>
      <c r="H339" s="16" t="str">
        <f t="shared" si="4"/>
        <v>Print</v>
      </c>
      <c r="I339" s="16" t="str">
        <f>IF(Catalog!T312&lt;&gt;"","ISBN:"&amp;Catalog!T312,IF(Catalog!U312&lt;&gt;"","ISSN:"&amp;Catalog!U312,"ACC:"&amp;Catalog!B312))</f>
        <v>ACC:</v>
      </c>
      <c r="J339" s="16">
        <f>Catalog!L312</f>
        <v>0</v>
      </c>
      <c r="K339" s="16">
        <f>IF(Catalog!AH312&lt;&gt;"",Catalog!AH312,Catalog!AF312)</f>
        <v>0</v>
      </c>
      <c r="L339" s="16">
        <f>Catalog!AE312</f>
        <v>0</v>
      </c>
      <c r="M339" s="16">
        <f>Catalog!W312</f>
        <v>0</v>
      </c>
      <c r="N339" s="16">
        <f>Catalog!R312</f>
        <v>0</v>
      </c>
      <c r="O339" s="16">
        <f>Catalog!AG312</f>
        <v>0</v>
      </c>
    </row>
    <row r="340" spans="1:15" ht="15.75" x14ac:dyDescent="0.25">
      <c r="A340" s="16">
        <f>Catalog!D313</f>
        <v>0</v>
      </c>
      <c r="B340" s="16">
        <f>Catalog!F313</f>
        <v>0</v>
      </c>
      <c r="C340" s="16" t="str">
        <f>IF(Catalog!I313="","",Catalog!I313)&amp;IF(AND(Catalog!I313&lt;&gt;"",Catalog!J313&lt;&gt;""),"; ","")&amp;IF(Catalog!J313="","",Catalog!J313)</f>
        <v/>
      </c>
      <c r="D340" s="16">
        <f>Catalog!Q313</f>
        <v>0</v>
      </c>
      <c r="E340" s="16">
        <f>Catalog!S313</f>
        <v>0</v>
      </c>
      <c r="F340" s="16">
        <f>Catalog!N313</f>
        <v>0</v>
      </c>
      <c r="G340" s="16" t="str">
        <f>Catalog!K313&amp;" / "&amp;Catalog!M313</f>
        <v xml:space="preserve"> / </v>
      </c>
      <c r="H340" s="16" t="str">
        <f t="shared" si="4"/>
        <v>Print</v>
      </c>
      <c r="I340" s="16" t="str">
        <f>IF(Catalog!T313&lt;&gt;"","ISBN:"&amp;Catalog!T313,IF(Catalog!U313&lt;&gt;"","ISSN:"&amp;Catalog!U313,"ACC:"&amp;Catalog!B313))</f>
        <v>ACC:</v>
      </c>
      <c r="J340" s="16">
        <f>Catalog!L313</f>
        <v>0</v>
      </c>
      <c r="K340" s="16">
        <f>IF(Catalog!AH313&lt;&gt;"",Catalog!AH313,Catalog!AF313)</f>
        <v>0</v>
      </c>
      <c r="L340" s="16">
        <f>Catalog!AE313</f>
        <v>0</v>
      </c>
      <c r="M340" s="16">
        <f>Catalog!W313</f>
        <v>0</v>
      </c>
      <c r="N340" s="16">
        <f>Catalog!R313</f>
        <v>0</v>
      </c>
      <c r="O340" s="16">
        <f>Catalog!AG313</f>
        <v>0</v>
      </c>
    </row>
    <row r="341" spans="1:15" ht="15.75" x14ac:dyDescent="0.25">
      <c r="A341" s="16">
        <f>Catalog!D314</f>
        <v>0</v>
      </c>
      <c r="B341" s="16">
        <f>Catalog!F314</f>
        <v>0</v>
      </c>
      <c r="C341" s="16" t="str">
        <f>IF(Catalog!I314="","",Catalog!I314)&amp;IF(AND(Catalog!I314&lt;&gt;"",Catalog!J314&lt;&gt;""),"; ","")&amp;IF(Catalog!J314="","",Catalog!J314)</f>
        <v/>
      </c>
      <c r="D341" s="16">
        <f>Catalog!Q314</f>
        <v>0</v>
      </c>
      <c r="E341" s="16">
        <f>Catalog!S314</f>
        <v>0</v>
      </c>
      <c r="F341" s="16">
        <f>Catalog!N314</f>
        <v>0</v>
      </c>
      <c r="G341" s="16" t="str">
        <f>Catalog!K314&amp;" / "&amp;Catalog!M314</f>
        <v xml:space="preserve"> / </v>
      </c>
      <c r="H341" s="16" t="str">
        <f t="shared" si="4"/>
        <v>Print</v>
      </c>
      <c r="I341" s="16" t="str">
        <f>IF(Catalog!T314&lt;&gt;"","ISBN:"&amp;Catalog!T314,IF(Catalog!U314&lt;&gt;"","ISSN:"&amp;Catalog!U314,"ACC:"&amp;Catalog!B314))</f>
        <v>ACC:</v>
      </c>
      <c r="J341" s="16">
        <f>Catalog!L314</f>
        <v>0</v>
      </c>
      <c r="K341" s="16">
        <f>IF(Catalog!AH314&lt;&gt;"",Catalog!AH314,Catalog!AF314)</f>
        <v>0</v>
      </c>
      <c r="L341" s="16">
        <f>Catalog!AE314</f>
        <v>0</v>
      </c>
      <c r="M341" s="16">
        <f>Catalog!W314</f>
        <v>0</v>
      </c>
      <c r="N341" s="16">
        <f>Catalog!R314</f>
        <v>0</v>
      </c>
      <c r="O341" s="16">
        <f>Catalog!AG314</f>
        <v>0</v>
      </c>
    </row>
    <row r="342" spans="1:15" ht="15.75" x14ac:dyDescent="0.25">
      <c r="A342" s="16">
        <f>Catalog!D315</f>
        <v>0</v>
      </c>
      <c r="B342" s="16">
        <f>Catalog!F315</f>
        <v>0</v>
      </c>
      <c r="C342" s="16" t="str">
        <f>IF(Catalog!I315="","",Catalog!I315)&amp;IF(AND(Catalog!I315&lt;&gt;"",Catalog!J315&lt;&gt;""),"; ","")&amp;IF(Catalog!J315="","",Catalog!J315)</f>
        <v/>
      </c>
      <c r="D342" s="16">
        <f>Catalog!Q315</f>
        <v>0</v>
      </c>
      <c r="E342" s="16">
        <f>Catalog!S315</f>
        <v>0</v>
      </c>
      <c r="F342" s="16">
        <f>Catalog!N315</f>
        <v>0</v>
      </c>
      <c r="G342" s="16" t="str">
        <f>Catalog!K315&amp;" / "&amp;Catalog!M315</f>
        <v xml:space="preserve"> / </v>
      </c>
      <c r="H342" s="16" t="str">
        <f t="shared" si="4"/>
        <v>Print</v>
      </c>
      <c r="I342" s="16" t="str">
        <f>IF(Catalog!T315&lt;&gt;"","ISBN:"&amp;Catalog!T315,IF(Catalog!U315&lt;&gt;"","ISSN:"&amp;Catalog!U315,"ACC:"&amp;Catalog!B315))</f>
        <v>ACC:</v>
      </c>
      <c r="J342" s="16">
        <f>Catalog!L315</f>
        <v>0</v>
      </c>
      <c r="K342" s="16">
        <f>IF(Catalog!AH315&lt;&gt;"",Catalog!AH315,Catalog!AF315)</f>
        <v>0</v>
      </c>
      <c r="L342" s="16">
        <f>Catalog!AE315</f>
        <v>0</v>
      </c>
      <c r="M342" s="16">
        <f>Catalog!W315</f>
        <v>0</v>
      </c>
      <c r="N342" s="16">
        <f>Catalog!R315</f>
        <v>0</v>
      </c>
      <c r="O342" s="16">
        <f>Catalog!AG315</f>
        <v>0</v>
      </c>
    </row>
    <row r="343" spans="1:15" ht="15.75" x14ac:dyDescent="0.25">
      <c r="A343" s="16">
        <f>Catalog!D316</f>
        <v>0</v>
      </c>
      <c r="B343" s="16">
        <f>Catalog!F316</f>
        <v>0</v>
      </c>
      <c r="C343" s="16" t="str">
        <f>IF(Catalog!I316="","",Catalog!I316)&amp;IF(AND(Catalog!I316&lt;&gt;"",Catalog!J316&lt;&gt;""),"; ","")&amp;IF(Catalog!J316="","",Catalog!J316)</f>
        <v/>
      </c>
      <c r="D343" s="16">
        <f>Catalog!Q316</f>
        <v>0</v>
      </c>
      <c r="E343" s="16">
        <f>Catalog!S316</f>
        <v>0</v>
      </c>
      <c r="F343" s="16">
        <f>Catalog!N316</f>
        <v>0</v>
      </c>
      <c r="G343" s="16" t="str">
        <f>Catalog!K316&amp;" / "&amp;Catalog!M316</f>
        <v xml:space="preserve"> / </v>
      </c>
      <c r="H343" s="16" t="str">
        <f t="shared" si="4"/>
        <v>Print</v>
      </c>
      <c r="I343" s="16" t="str">
        <f>IF(Catalog!T316&lt;&gt;"","ISBN:"&amp;Catalog!T316,IF(Catalog!U316&lt;&gt;"","ISSN:"&amp;Catalog!U316,"ACC:"&amp;Catalog!B316))</f>
        <v>ACC:</v>
      </c>
      <c r="J343" s="16">
        <f>Catalog!L316</f>
        <v>0</v>
      </c>
      <c r="K343" s="16">
        <f>IF(Catalog!AH316&lt;&gt;"",Catalog!AH316,Catalog!AF316)</f>
        <v>0</v>
      </c>
      <c r="L343" s="16">
        <f>Catalog!AE316</f>
        <v>0</v>
      </c>
      <c r="M343" s="16">
        <f>Catalog!W316</f>
        <v>0</v>
      </c>
      <c r="N343" s="16">
        <f>Catalog!R316</f>
        <v>0</v>
      </c>
      <c r="O343" s="16">
        <f>Catalog!AG316</f>
        <v>0</v>
      </c>
    </row>
    <row r="344" spans="1:15" ht="15.75" x14ac:dyDescent="0.25">
      <c r="A344" s="16">
        <f>Catalog!D317</f>
        <v>0</v>
      </c>
      <c r="B344" s="16">
        <f>Catalog!F317</f>
        <v>0</v>
      </c>
      <c r="C344" s="16" t="str">
        <f>IF(Catalog!I317="","",Catalog!I317)&amp;IF(AND(Catalog!I317&lt;&gt;"",Catalog!J317&lt;&gt;""),"; ","")&amp;IF(Catalog!J317="","",Catalog!J317)</f>
        <v/>
      </c>
      <c r="D344" s="16">
        <f>Catalog!Q317</f>
        <v>0</v>
      </c>
      <c r="E344" s="16">
        <f>Catalog!S317</f>
        <v>0</v>
      </c>
      <c r="F344" s="16">
        <f>Catalog!N317</f>
        <v>0</v>
      </c>
      <c r="G344" s="16" t="str">
        <f>Catalog!K317&amp;" / "&amp;Catalog!M317</f>
        <v xml:space="preserve"> / </v>
      </c>
      <c r="H344" s="16" t="str">
        <f t="shared" si="4"/>
        <v>Print</v>
      </c>
      <c r="I344" s="16" t="str">
        <f>IF(Catalog!T317&lt;&gt;"","ISBN:"&amp;Catalog!T317,IF(Catalog!U317&lt;&gt;"","ISSN:"&amp;Catalog!U317,"ACC:"&amp;Catalog!B317))</f>
        <v>ACC:</v>
      </c>
      <c r="J344" s="16">
        <f>Catalog!L317</f>
        <v>0</v>
      </c>
      <c r="K344" s="16">
        <f>IF(Catalog!AH317&lt;&gt;"",Catalog!AH317,Catalog!AF317)</f>
        <v>0</v>
      </c>
      <c r="L344" s="16">
        <f>Catalog!AE317</f>
        <v>0</v>
      </c>
      <c r="M344" s="16">
        <f>Catalog!W317</f>
        <v>0</v>
      </c>
      <c r="N344" s="16">
        <f>Catalog!R317</f>
        <v>0</v>
      </c>
      <c r="O344" s="16">
        <f>Catalog!AG317</f>
        <v>0</v>
      </c>
    </row>
    <row r="345" spans="1:15" ht="15.75" x14ac:dyDescent="0.25">
      <c r="A345" s="16">
        <f>Catalog!D318</f>
        <v>0</v>
      </c>
      <c r="B345" s="16">
        <f>Catalog!F318</f>
        <v>0</v>
      </c>
      <c r="C345" s="16" t="str">
        <f>IF(Catalog!I318="","",Catalog!I318)&amp;IF(AND(Catalog!I318&lt;&gt;"",Catalog!J318&lt;&gt;""),"; ","")&amp;IF(Catalog!J318="","",Catalog!J318)</f>
        <v/>
      </c>
      <c r="D345" s="16">
        <f>Catalog!Q318</f>
        <v>0</v>
      </c>
      <c r="E345" s="16">
        <f>Catalog!S318</f>
        <v>0</v>
      </c>
      <c r="F345" s="16">
        <f>Catalog!N318</f>
        <v>0</v>
      </c>
      <c r="G345" s="16" t="str">
        <f>Catalog!K318&amp;" / "&amp;Catalog!M318</f>
        <v xml:space="preserve"> / </v>
      </c>
      <c r="H345" s="16" t="str">
        <f t="shared" si="4"/>
        <v>Print</v>
      </c>
      <c r="I345" s="16" t="str">
        <f>IF(Catalog!T318&lt;&gt;"","ISBN:"&amp;Catalog!T318,IF(Catalog!U318&lt;&gt;"","ISSN:"&amp;Catalog!U318,"ACC:"&amp;Catalog!B318))</f>
        <v>ACC:</v>
      </c>
      <c r="J345" s="16">
        <f>Catalog!L318</f>
        <v>0</v>
      </c>
      <c r="K345" s="16">
        <f>IF(Catalog!AH318&lt;&gt;"",Catalog!AH318,Catalog!AF318)</f>
        <v>0</v>
      </c>
      <c r="L345" s="16">
        <f>Catalog!AE318</f>
        <v>0</v>
      </c>
      <c r="M345" s="16">
        <f>Catalog!W318</f>
        <v>0</v>
      </c>
      <c r="N345" s="16">
        <f>Catalog!R318</f>
        <v>0</v>
      </c>
      <c r="O345" s="16">
        <f>Catalog!AG318</f>
        <v>0</v>
      </c>
    </row>
    <row r="346" spans="1:15" ht="15.75" x14ac:dyDescent="0.25">
      <c r="A346" s="16">
        <f>Catalog!D319</f>
        <v>0</v>
      </c>
      <c r="B346" s="16">
        <f>Catalog!F319</f>
        <v>0</v>
      </c>
      <c r="C346" s="16" t="str">
        <f>IF(Catalog!I319="","",Catalog!I319)&amp;IF(AND(Catalog!I319&lt;&gt;"",Catalog!J319&lt;&gt;""),"; ","")&amp;IF(Catalog!J319="","",Catalog!J319)</f>
        <v/>
      </c>
      <c r="D346" s="16">
        <f>Catalog!Q319</f>
        <v>0</v>
      </c>
      <c r="E346" s="16">
        <f>Catalog!S319</f>
        <v>0</v>
      </c>
      <c r="F346" s="16">
        <f>Catalog!N319</f>
        <v>0</v>
      </c>
      <c r="G346" s="16" t="str">
        <f>Catalog!K319&amp;" / "&amp;Catalog!M319</f>
        <v xml:space="preserve"> / </v>
      </c>
      <c r="H346" s="16" t="str">
        <f t="shared" si="4"/>
        <v>Print</v>
      </c>
      <c r="I346" s="16" t="str">
        <f>IF(Catalog!T319&lt;&gt;"","ISBN:"&amp;Catalog!T319,IF(Catalog!U319&lt;&gt;"","ISSN:"&amp;Catalog!U319,"ACC:"&amp;Catalog!B319))</f>
        <v>ACC:</v>
      </c>
      <c r="J346" s="16">
        <f>Catalog!L319</f>
        <v>0</v>
      </c>
      <c r="K346" s="16">
        <f>IF(Catalog!AH319&lt;&gt;"",Catalog!AH319,Catalog!AF319)</f>
        <v>0</v>
      </c>
      <c r="L346" s="16">
        <f>Catalog!AE319</f>
        <v>0</v>
      </c>
      <c r="M346" s="16">
        <f>Catalog!W319</f>
        <v>0</v>
      </c>
      <c r="N346" s="16">
        <f>Catalog!R319</f>
        <v>0</v>
      </c>
      <c r="O346" s="16">
        <f>Catalog!AG319</f>
        <v>0</v>
      </c>
    </row>
    <row r="347" spans="1:15" ht="15.75" x14ac:dyDescent="0.25">
      <c r="A347" s="16">
        <f>Catalog!D320</f>
        <v>0</v>
      </c>
      <c r="B347" s="16">
        <f>Catalog!F320</f>
        <v>0</v>
      </c>
      <c r="C347" s="16" t="str">
        <f>IF(Catalog!I320="","",Catalog!I320)&amp;IF(AND(Catalog!I320&lt;&gt;"",Catalog!J320&lt;&gt;""),"; ","")&amp;IF(Catalog!J320="","",Catalog!J320)</f>
        <v/>
      </c>
      <c r="D347" s="16">
        <f>Catalog!Q320</f>
        <v>0</v>
      </c>
      <c r="E347" s="16">
        <f>Catalog!S320</f>
        <v>0</v>
      </c>
      <c r="F347" s="16">
        <f>Catalog!N320</f>
        <v>0</v>
      </c>
      <c r="G347" s="16" t="str">
        <f>Catalog!K320&amp;" / "&amp;Catalog!M320</f>
        <v xml:space="preserve"> / </v>
      </c>
      <c r="H347" s="16" t="str">
        <f t="shared" si="4"/>
        <v>Print</v>
      </c>
      <c r="I347" s="16" t="str">
        <f>IF(Catalog!T320&lt;&gt;"","ISBN:"&amp;Catalog!T320,IF(Catalog!U320&lt;&gt;"","ISSN:"&amp;Catalog!U320,"ACC:"&amp;Catalog!B320))</f>
        <v>ACC:</v>
      </c>
      <c r="J347" s="16">
        <f>Catalog!L320</f>
        <v>0</v>
      </c>
      <c r="K347" s="16">
        <f>IF(Catalog!AH320&lt;&gt;"",Catalog!AH320,Catalog!AF320)</f>
        <v>0</v>
      </c>
      <c r="L347" s="16">
        <f>Catalog!AE320</f>
        <v>0</v>
      </c>
      <c r="M347" s="16">
        <f>Catalog!W320</f>
        <v>0</v>
      </c>
      <c r="N347" s="16">
        <f>Catalog!R320</f>
        <v>0</v>
      </c>
      <c r="O347" s="16">
        <f>Catalog!AG320</f>
        <v>0</v>
      </c>
    </row>
    <row r="348" spans="1:15" ht="15.75" x14ac:dyDescent="0.25">
      <c r="A348" s="16">
        <f>Catalog!D321</f>
        <v>0</v>
      </c>
      <c r="B348" s="16">
        <f>Catalog!F321</f>
        <v>0</v>
      </c>
      <c r="C348" s="16" t="str">
        <f>IF(Catalog!I321="","",Catalog!I321)&amp;IF(AND(Catalog!I321&lt;&gt;"",Catalog!J321&lt;&gt;""),"; ","")&amp;IF(Catalog!J321="","",Catalog!J321)</f>
        <v/>
      </c>
      <c r="D348" s="16">
        <f>Catalog!Q321</f>
        <v>0</v>
      </c>
      <c r="E348" s="16">
        <f>Catalog!S321</f>
        <v>0</v>
      </c>
      <c r="F348" s="16">
        <f>Catalog!N321</f>
        <v>0</v>
      </c>
      <c r="G348" s="16" t="str">
        <f>Catalog!K321&amp;" / "&amp;Catalog!M321</f>
        <v xml:space="preserve"> / </v>
      </c>
      <c r="H348" s="16" t="str">
        <f t="shared" si="4"/>
        <v>Print</v>
      </c>
      <c r="I348" s="16" t="str">
        <f>IF(Catalog!T321&lt;&gt;"","ISBN:"&amp;Catalog!T321,IF(Catalog!U321&lt;&gt;"","ISSN:"&amp;Catalog!U321,"ACC:"&amp;Catalog!B321))</f>
        <v>ACC:</v>
      </c>
      <c r="J348" s="16">
        <f>Catalog!L321</f>
        <v>0</v>
      </c>
      <c r="K348" s="16">
        <f>IF(Catalog!AH321&lt;&gt;"",Catalog!AH321,Catalog!AF321)</f>
        <v>0</v>
      </c>
      <c r="L348" s="16">
        <f>Catalog!AE321</f>
        <v>0</v>
      </c>
      <c r="M348" s="16">
        <f>Catalog!W321</f>
        <v>0</v>
      </c>
      <c r="N348" s="16">
        <f>Catalog!R321</f>
        <v>0</v>
      </c>
      <c r="O348" s="16">
        <f>Catalog!AG321</f>
        <v>0</v>
      </c>
    </row>
    <row r="349" spans="1:15" ht="15.75" x14ac:dyDescent="0.25">
      <c r="A349" s="16">
        <f>Catalog!D322</f>
        <v>0</v>
      </c>
      <c r="B349" s="16">
        <f>Catalog!F322</f>
        <v>0</v>
      </c>
      <c r="C349" s="16" t="str">
        <f>IF(Catalog!I322="","",Catalog!I322)&amp;IF(AND(Catalog!I322&lt;&gt;"",Catalog!J322&lt;&gt;""),"; ","")&amp;IF(Catalog!J322="","",Catalog!J322)</f>
        <v/>
      </c>
      <c r="D349" s="16">
        <f>Catalog!Q322</f>
        <v>0</v>
      </c>
      <c r="E349" s="16">
        <f>Catalog!S322</f>
        <v>0</v>
      </c>
      <c r="F349" s="16">
        <f>Catalog!N322</f>
        <v>0</v>
      </c>
      <c r="G349" s="16" t="str">
        <f>Catalog!K322&amp;" / "&amp;Catalog!M322</f>
        <v xml:space="preserve"> / </v>
      </c>
      <c r="H349" s="16" t="str">
        <f t="shared" ref="H349:H412" si="5">"Print"</f>
        <v>Print</v>
      </c>
      <c r="I349" s="16" t="str">
        <f>IF(Catalog!T322&lt;&gt;"","ISBN:"&amp;Catalog!T322,IF(Catalog!U322&lt;&gt;"","ISSN:"&amp;Catalog!U322,"ACC:"&amp;Catalog!B322))</f>
        <v>ACC:</v>
      </c>
      <c r="J349" s="16">
        <f>Catalog!L322</f>
        <v>0</v>
      </c>
      <c r="K349" s="16">
        <f>IF(Catalog!AH322&lt;&gt;"",Catalog!AH322,Catalog!AF322)</f>
        <v>0</v>
      </c>
      <c r="L349" s="16">
        <f>Catalog!AE322</f>
        <v>0</v>
      </c>
      <c r="M349" s="16">
        <f>Catalog!W322</f>
        <v>0</v>
      </c>
      <c r="N349" s="16">
        <f>Catalog!R322</f>
        <v>0</v>
      </c>
      <c r="O349" s="16">
        <f>Catalog!AG322</f>
        <v>0</v>
      </c>
    </row>
    <row r="350" spans="1:15" ht="15.75" x14ac:dyDescent="0.25">
      <c r="A350" s="16">
        <f>Catalog!D323</f>
        <v>0</v>
      </c>
      <c r="B350" s="16">
        <f>Catalog!F323</f>
        <v>0</v>
      </c>
      <c r="C350" s="16" t="str">
        <f>IF(Catalog!I323="","",Catalog!I323)&amp;IF(AND(Catalog!I323&lt;&gt;"",Catalog!J323&lt;&gt;""),"; ","")&amp;IF(Catalog!J323="","",Catalog!J323)</f>
        <v/>
      </c>
      <c r="D350" s="16">
        <f>Catalog!Q323</f>
        <v>0</v>
      </c>
      <c r="E350" s="16">
        <f>Catalog!S323</f>
        <v>0</v>
      </c>
      <c r="F350" s="16">
        <f>Catalog!N323</f>
        <v>0</v>
      </c>
      <c r="G350" s="16" t="str">
        <f>Catalog!K323&amp;" / "&amp;Catalog!M323</f>
        <v xml:space="preserve"> / </v>
      </c>
      <c r="H350" s="16" t="str">
        <f t="shared" si="5"/>
        <v>Print</v>
      </c>
      <c r="I350" s="16" t="str">
        <f>IF(Catalog!T323&lt;&gt;"","ISBN:"&amp;Catalog!T323,IF(Catalog!U323&lt;&gt;"","ISSN:"&amp;Catalog!U323,"ACC:"&amp;Catalog!B323))</f>
        <v>ACC:</v>
      </c>
      <c r="J350" s="16">
        <f>Catalog!L323</f>
        <v>0</v>
      </c>
      <c r="K350" s="16">
        <f>IF(Catalog!AH323&lt;&gt;"",Catalog!AH323,Catalog!AF323)</f>
        <v>0</v>
      </c>
      <c r="L350" s="16">
        <f>Catalog!AE323</f>
        <v>0</v>
      </c>
      <c r="M350" s="16">
        <f>Catalog!W323</f>
        <v>0</v>
      </c>
      <c r="N350" s="16">
        <f>Catalog!R323</f>
        <v>0</v>
      </c>
      <c r="O350" s="16">
        <f>Catalog!AG323</f>
        <v>0</v>
      </c>
    </row>
    <row r="351" spans="1:15" ht="15.75" x14ac:dyDescent="0.25">
      <c r="A351" s="16">
        <f>Catalog!D324</f>
        <v>0</v>
      </c>
      <c r="B351" s="16">
        <f>Catalog!F324</f>
        <v>0</v>
      </c>
      <c r="C351" s="16" t="str">
        <f>IF(Catalog!I324="","",Catalog!I324)&amp;IF(AND(Catalog!I324&lt;&gt;"",Catalog!J324&lt;&gt;""),"; ","")&amp;IF(Catalog!J324="","",Catalog!J324)</f>
        <v/>
      </c>
      <c r="D351" s="16">
        <f>Catalog!Q324</f>
        <v>0</v>
      </c>
      <c r="E351" s="16">
        <f>Catalog!S324</f>
        <v>0</v>
      </c>
      <c r="F351" s="16">
        <f>Catalog!N324</f>
        <v>0</v>
      </c>
      <c r="G351" s="16" t="str">
        <f>Catalog!K324&amp;" / "&amp;Catalog!M324</f>
        <v xml:space="preserve"> / </v>
      </c>
      <c r="H351" s="16" t="str">
        <f t="shared" si="5"/>
        <v>Print</v>
      </c>
      <c r="I351" s="16" t="str">
        <f>IF(Catalog!T324&lt;&gt;"","ISBN:"&amp;Catalog!T324,IF(Catalog!U324&lt;&gt;"","ISSN:"&amp;Catalog!U324,"ACC:"&amp;Catalog!B324))</f>
        <v>ACC:</v>
      </c>
      <c r="J351" s="16">
        <f>Catalog!L324</f>
        <v>0</v>
      </c>
      <c r="K351" s="16">
        <f>IF(Catalog!AH324&lt;&gt;"",Catalog!AH324,Catalog!AF324)</f>
        <v>0</v>
      </c>
      <c r="L351" s="16">
        <f>Catalog!AE324</f>
        <v>0</v>
      </c>
      <c r="M351" s="16">
        <f>Catalog!W324</f>
        <v>0</v>
      </c>
      <c r="N351" s="16">
        <f>Catalog!R324</f>
        <v>0</v>
      </c>
      <c r="O351" s="16">
        <f>Catalog!AG324</f>
        <v>0</v>
      </c>
    </row>
    <row r="352" spans="1:15" ht="15.75" x14ac:dyDescent="0.25">
      <c r="A352" s="16">
        <f>Catalog!D325</f>
        <v>0</v>
      </c>
      <c r="B352" s="16">
        <f>Catalog!F325</f>
        <v>0</v>
      </c>
      <c r="C352" s="16" t="str">
        <f>IF(Catalog!I325="","",Catalog!I325)&amp;IF(AND(Catalog!I325&lt;&gt;"",Catalog!J325&lt;&gt;""),"; ","")&amp;IF(Catalog!J325="","",Catalog!J325)</f>
        <v/>
      </c>
      <c r="D352" s="16">
        <f>Catalog!Q325</f>
        <v>0</v>
      </c>
      <c r="E352" s="16">
        <f>Catalog!S325</f>
        <v>0</v>
      </c>
      <c r="F352" s="16">
        <f>Catalog!N325</f>
        <v>0</v>
      </c>
      <c r="G352" s="16" t="str">
        <f>Catalog!K325&amp;" / "&amp;Catalog!M325</f>
        <v xml:space="preserve"> / </v>
      </c>
      <c r="H352" s="16" t="str">
        <f t="shared" si="5"/>
        <v>Print</v>
      </c>
      <c r="I352" s="16" t="str">
        <f>IF(Catalog!T325&lt;&gt;"","ISBN:"&amp;Catalog!T325,IF(Catalog!U325&lt;&gt;"","ISSN:"&amp;Catalog!U325,"ACC:"&amp;Catalog!B325))</f>
        <v>ACC:</v>
      </c>
      <c r="J352" s="16">
        <f>Catalog!L325</f>
        <v>0</v>
      </c>
      <c r="K352" s="16">
        <f>IF(Catalog!AH325&lt;&gt;"",Catalog!AH325,Catalog!AF325)</f>
        <v>0</v>
      </c>
      <c r="L352" s="16">
        <f>Catalog!AE325</f>
        <v>0</v>
      </c>
      <c r="M352" s="16">
        <f>Catalog!W325</f>
        <v>0</v>
      </c>
      <c r="N352" s="16">
        <f>Catalog!R325</f>
        <v>0</v>
      </c>
      <c r="O352" s="16">
        <f>Catalog!AG325</f>
        <v>0</v>
      </c>
    </row>
    <row r="353" spans="1:15" ht="15.75" x14ac:dyDescent="0.25">
      <c r="A353" s="16">
        <f>Catalog!D326</f>
        <v>0</v>
      </c>
      <c r="B353" s="16">
        <f>Catalog!F326</f>
        <v>0</v>
      </c>
      <c r="C353" s="16" t="str">
        <f>IF(Catalog!I326="","",Catalog!I326)&amp;IF(AND(Catalog!I326&lt;&gt;"",Catalog!J326&lt;&gt;""),"; ","")&amp;IF(Catalog!J326="","",Catalog!J326)</f>
        <v/>
      </c>
      <c r="D353" s="16">
        <f>Catalog!Q326</f>
        <v>0</v>
      </c>
      <c r="E353" s="16">
        <f>Catalog!S326</f>
        <v>0</v>
      </c>
      <c r="F353" s="16">
        <f>Catalog!N326</f>
        <v>0</v>
      </c>
      <c r="G353" s="16" t="str">
        <f>Catalog!K326&amp;" / "&amp;Catalog!M326</f>
        <v xml:space="preserve"> / </v>
      </c>
      <c r="H353" s="16" t="str">
        <f t="shared" si="5"/>
        <v>Print</v>
      </c>
      <c r="I353" s="16" t="str">
        <f>IF(Catalog!T326&lt;&gt;"","ISBN:"&amp;Catalog!T326,IF(Catalog!U326&lt;&gt;"","ISSN:"&amp;Catalog!U326,"ACC:"&amp;Catalog!B326))</f>
        <v>ACC:</v>
      </c>
      <c r="J353" s="16">
        <f>Catalog!L326</f>
        <v>0</v>
      </c>
      <c r="K353" s="16">
        <f>IF(Catalog!AH326&lt;&gt;"",Catalog!AH326,Catalog!AF326)</f>
        <v>0</v>
      </c>
      <c r="L353" s="16">
        <f>Catalog!AE326</f>
        <v>0</v>
      </c>
      <c r="M353" s="16">
        <f>Catalog!W326</f>
        <v>0</v>
      </c>
      <c r="N353" s="16">
        <f>Catalog!R326</f>
        <v>0</v>
      </c>
      <c r="O353" s="16">
        <f>Catalog!AG326</f>
        <v>0</v>
      </c>
    </row>
    <row r="354" spans="1:15" ht="15.75" x14ac:dyDescent="0.25">
      <c r="A354" s="16">
        <f>Catalog!D327</f>
        <v>0</v>
      </c>
      <c r="B354" s="16">
        <f>Catalog!F327</f>
        <v>0</v>
      </c>
      <c r="C354" s="16" t="str">
        <f>IF(Catalog!I327="","",Catalog!I327)&amp;IF(AND(Catalog!I327&lt;&gt;"",Catalog!J327&lt;&gt;""),"; ","")&amp;IF(Catalog!J327="","",Catalog!J327)</f>
        <v/>
      </c>
      <c r="D354" s="16">
        <f>Catalog!Q327</f>
        <v>0</v>
      </c>
      <c r="E354" s="16">
        <f>Catalog!S327</f>
        <v>0</v>
      </c>
      <c r="F354" s="16">
        <f>Catalog!N327</f>
        <v>0</v>
      </c>
      <c r="G354" s="16" t="str">
        <f>Catalog!K327&amp;" / "&amp;Catalog!M327</f>
        <v xml:space="preserve"> / </v>
      </c>
      <c r="H354" s="16" t="str">
        <f t="shared" si="5"/>
        <v>Print</v>
      </c>
      <c r="I354" s="16" t="str">
        <f>IF(Catalog!T327&lt;&gt;"","ISBN:"&amp;Catalog!T327,IF(Catalog!U327&lt;&gt;"","ISSN:"&amp;Catalog!U327,"ACC:"&amp;Catalog!B327))</f>
        <v>ACC:</v>
      </c>
      <c r="J354" s="16">
        <f>Catalog!L327</f>
        <v>0</v>
      </c>
      <c r="K354" s="16">
        <f>IF(Catalog!AH327&lt;&gt;"",Catalog!AH327,Catalog!AF327)</f>
        <v>0</v>
      </c>
      <c r="L354" s="16">
        <f>Catalog!AE327</f>
        <v>0</v>
      </c>
      <c r="M354" s="16">
        <f>Catalog!W327</f>
        <v>0</v>
      </c>
      <c r="N354" s="16">
        <f>Catalog!R327</f>
        <v>0</v>
      </c>
      <c r="O354" s="16">
        <f>Catalog!AG327</f>
        <v>0</v>
      </c>
    </row>
    <row r="355" spans="1:15" ht="15.75" x14ac:dyDescent="0.25">
      <c r="A355" s="16">
        <f>Catalog!D328</f>
        <v>0</v>
      </c>
      <c r="B355" s="16">
        <f>Catalog!F328</f>
        <v>0</v>
      </c>
      <c r="C355" s="16" t="str">
        <f>IF(Catalog!I328="","",Catalog!I328)&amp;IF(AND(Catalog!I328&lt;&gt;"",Catalog!J328&lt;&gt;""),"; ","")&amp;IF(Catalog!J328="","",Catalog!J328)</f>
        <v/>
      </c>
      <c r="D355" s="16">
        <f>Catalog!Q328</f>
        <v>0</v>
      </c>
      <c r="E355" s="16">
        <f>Catalog!S328</f>
        <v>0</v>
      </c>
      <c r="F355" s="16">
        <f>Catalog!N328</f>
        <v>0</v>
      </c>
      <c r="G355" s="16" t="str">
        <f>Catalog!K328&amp;" / "&amp;Catalog!M328</f>
        <v xml:space="preserve"> / </v>
      </c>
      <c r="H355" s="16" t="str">
        <f t="shared" si="5"/>
        <v>Print</v>
      </c>
      <c r="I355" s="16" t="str">
        <f>IF(Catalog!T328&lt;&gt;"","ISBN:"&amp;Catalog!T328,IF(Catalog!U328&lt;&gt;"","ISSN:"&amp;Catalog!U328,"ACC:"&amp;Catalog!B328))</f>
        <v>ACC:</v>
      </c>
      <c r="J355" s="16">
        <f>Catalog!L328</f>
        <v>0</v>
      </c>
      <c r="K355" s="16">
        <f>IF(Catalog!AH328&lt;&gt;"",Catalog!AH328,Catalog!AF328)</f>
        <v>0</v>
      </c>
      <c r="L355" s="16">
        <f>Catalog!AE328</f>
        <v>0</v>
      </c>
      <c r="M355" s="16">
        <f>Catalog!W328</f>
        <v>0</v>
      </c>
      <c r="N355" s="16">
        <f>Catalog!R328</f>
        <v>0</v>
      </c>
      <c r="O355" s="16">
        <f>Catalog!AG328</f>
        <v>0</v>
      </c>
    </row>
    <row r="356" spans="1:15" ht="15.75" x14ac:dyDescent="0.25">
      <c r="A356" s="16">
        <f>Catalog!D329</f>
        <v>0</v>
      </c>
      <c r="B356" s="16">
        <f>Catalog!F329</f>
        <v>0</v>
      </c>
      <c r="C356" s="16" t="str">
        <f>IF(Catalog!I329="","",Catalog!I329)&amp;IF(AND(Catalog!I329&lt;&gt;"",Catalog!J329&lt;&gt;""),"; ","")&amp;IF(Catalog!J329="","",Catalog!J329)</f>
        <v/>
      </c>
      <c r="D356" s="16">
        <f>Catalog!Q329</f>
        <v>0</v>
      </c>
      <c r="E356" s="16">
        <f>Catalog!S329</f>
        <v>0</v>
      </c>
      <c r="F356" s="16">
        <f>Catalog!N329</f>
        <v>0</v>
      </c>
      <c r="G356" s="16" t="str">
        <f>Catalog!K329&amp;" / "&amp;Catalog!M329</f>
        <v xml:space="preserve"> / </v>
      </c>
      <c r="H356" s="16" t="str">
        <f t="shared" si="5"/>
        <v>Print</v>
      </c>
      <c r="I356" s="16" t="str">
        <f>IF(Catalog!T329&lt;&gt;"","ISBN:"&amp;Catalog!T329,IF(Catalog!U329&lt;&gt;"","ISSN:"&amp;Catalog!U329,"ACC:"&amp;Catalog!B329))</f>
        <v>ACC:</v>
      </c>
      <c r="J356" s="16">
        <f>Catalog!L329</f>
        <v>0</v>
      </c>
      <c r="K356" s="16">
        <f>IF(Catalog!AH329&lt;&gt;"",Catalog!AH329,Catalog!AF329)</f>
        <v>0</v>
      </c>
      <c r="L356" s="16">
        <f>Catalog!AE329</f>
        <v>0</v>
      </c>
      <c r="M356" s="16">
        <f>Catalog!W329</f>
        <v>0</v>
      </c>
      <c r="N356" s="16">
        <f>Catalog!R329</f>
        <v>0</v>
      </c>
      <c r="O356" s="16">
        <f>Catalog!AG329</f>
        <v>0</v>
      </c>
    </row>
    <row r="357" spans="1:15" ht="15.75" x14ac:dyDescent="0.25">
      <c r="A357" s="16">
        <f>Catalog!D330</f>
        <v>0</v>
      </c>
      <c r="B357" s="16">
        <f>Catalog!F330</f>
        <v>0</v>
      </c>
      <c r="C357" s="16" t="str">
        <f>IF(Catalog!I330="","",Catalog!I330)&amp;IF(AND(Catalog!I330&lt;&gt;"",Catalog!J330&lt;&gt;""),"; ","")&amp;IF(Catalog!J330="","",Catalog!J330)</f>
        <v/>
      </c>
      <c r="D357" s="16">
        <f>Catalog!Q330</f>
        <v>0</v>
      </c>
      <c r="E357" s="16">
        <f>Catalog!S330</f>
        <v>0</v>
      </c>
      <c r="F357" s="16">
        <f>Catalog!N330</f>
        <v>0</v>
      </c>
      <c r="G357" s="16" t="str">
        <f>Catalog!K330&amp;" / "&amp;Catalog!M330</f>
        <v xml:space="preserve"> / </v>
      </c>
      <c r="H357" s="16" t="str">
        <f t="shared" si="5"/>
        <v>Print</v>
      </c>
      <c r="I357" s="16" t="str">
        <f>IF(Catalog!T330&lt;&gt;"","ISBN:"&amp;Catalog!T330,IF(Catalog!U330&lt;&gt;"","ISSN:"&amp;Catalog!U330,"ACC:"&amp;Catalog!B330))</f>
        <v>ACC:</v>
      </c>
      <c r="J357" s="16">
        <f>Catalog!L330</f>
        <v>0</v>
      </c>
      <c r="K357" s="16">
        <f>IF(Catalog!AH330&lt;&gt;"",Catalog!AH330,Catalog!AF330)</f>
        <v>0</v>
      </c>
      <c r="L357" s="16">
        <f>Catalog!AE330</f>
        <v>0</v>
      </c>
      <c r="M357" s="16">
        <f>Catalog!W330</f>
        <v>0</v>
      </c>
      <c r="N357" s="16">
        <f>Catalog!R330</f>
        <v>0</v>
      </c>
      <c r="O357" s="16">
        <f>Catalog!AG330</f>
        <v>0</v>
      </c>
    </row>
    <row r="358" spans="1:15" ht="15.75" x14ac:dyDescent="0.25">
      <c r="A358" s="16">
        <f>Catalog!D331</f>
        <v>0</v>
      </c>
      <c r="B358" s="16">
        <f>Catalog!F331</f>
        <v>0</v>
      </c>
      <c r="C358" s="16" t="str">
        <f>IF(Catalog!I331="","",Catalog!I331)&amp;IF(AND(Catalog!I331&lt;&gt;"",Catalog!J331&lt;&gt;""),"; ","")&amp;IF(Catalog!J331="","",Catalog!J331)</f>
        <v/>
      </c>
      <c r="D358" s="16">
        <f>Catalog!Q331</f>
        <v>0</v>
      </c>
      <c r="E358" s="16">
        <f>Catalog!S331</f>
        <v>0</v>
      </c>
      <c r="F358" s="16">
        <f>Catalog!N331</f>
        <v>0</v>
      </c>
      <c r="G358" s="16" t="str">
        <f>Catalog!K331&amp;" / "&amp;Catalog!M331</f>
        <v xml:space="preserve"> / </v>
      </c>
      <c r="H358" s="16" t="str">
        <f t="shared" si="5"/>
        <v>Print</v>
      </c>
      <c r="I358" s="16" t="str">
        <f>IF(Catalog!T331&lt;&gt;"","ISBN:"&amp;Catalog!T331,IF(Catalog!U331&lt;&gt;"","ISSN:"&amp;Catalog!U331,"ACC:"&amp;Catalog!B331))</f>
        <v>ACC:</v>
      </c>
      <c r="J358" s="16">
        <f>Catalog!L331</f>
        <v>0</v>
      </c>
      <c r="K358" s="16">
        <f>IF(Catalog!AH331&lt;&gt;"",Catalog!AH331,Catalog!AF331)</f>
        <v>0</v>
      </c>
      <c r="L358" s="16">
        <f>Catalog!AE331</f>
        <v>0</v>
      </c>
      <c r="M358" s="16">
        <f>Catalog!W331</f>
        <v>0</v>
      </c>
      <c r="N358" s="16">
        <f>Catalog!R331</f>
        <v>0</v>
      </c>
      <c r="O358" s="16">
        <f>Catalog!AG331</f>
        <v>0</v>
      </c>
    </row>
    <row r="359" spans="1:15" ht="15.75" x14ac:dyDescent="0.25">
      <c r="A359" s="16">
        <f>Catalog!D332</f>
        <v>0</v>
      </c>
      <c r="B359" s="16">
        <f>Catalog!F332</f>
        <v>0</v>
      </c>
      <c r="C359" s="16" t="str">
        <f>IF(Catalog!I332="","",Catalog!I332)&amp;IF(AND(Catalog!I332&lt;&gt;"",Catalog!J332&lt;&gt;""),"; ","")&amp;IF(Catalog!J332="","",Catalog!J332)</f>
        <v/>
      </c>
      <c r="D359" s="16">
        <f>Catalog!Q332</f>
        <v>0</v>
      </c>
      <c r="E359" s="16">
        <f>Catalog!S332</f>
        <v>0</v>
      </c>
      <c r="F359" s="16">
        <f>Catalog!N332</f>
        <v>0</v>
      </c>
      <c r="G359" s="16" t="str">
        <f>Catalog!K332&amp;" / "&amp;Catalog!M332</f>
        <v xml:space="preserve"> / </v>
      </c>
      <c r="H359" s="16" t="str">
        <f t="shared" si="5"/>
        <v>Print</v>
      </c>
      <c r="I359" s="16" t="str">
        <f>IF(Catalog!T332&lt;&gt;"","ISBN:"&amp;Catalog!T332,IF(Catalog!U332&lt;&gt;"","ISSN:"&amp;Catalog!U332,"ACC:"&amp;Catalog!B332))</f>
        <v>ACC:</v>
      </c>
      <c r="J359" s="16">
        <f>Catalog!L332</f>
        <v>0</v>
      </c>
      <c r="K359" s="16">
        <f>IF(Catalog!AH332&lt;&gt;"",Catalog!AH332,Catalog!AF332)</f>
        <v>0</v>
      </c>
      <c r="L359" s="16">
        <f>Catalog!AE332</f>
        <v>0</v>
      </c>
      <c r="M359" s="16">
        <f>Catalog!W332</f>
        <v>0</v>
      </c>
      <c r="N359" s="16">
        <f>Catalog!R332</f>
        <v>0</v>
      </c>
      <c r="O359" s="16">
        <f>Catalog!AG332</f>
        <v>0</v>
      </c>
    </row>
    <row r="360" spans="1:15" ht="15.75" x14ac:dyDescent="0.25">
      <c r="A360" s="16">
        <f>Catalog!D333</f>
        <v>0</v>
      </c>
      <c r="B360" s="16">
        <f>Catalog!F333</f>
        <v>0</v>
      </c>
      <c r="C360" s="16" t="str">
        <f>IF(Catalog!I333="","",Catalog!I333)&amp;IF(AND(Catalog!I333&lt;&gt;"",Catalog!J333&lt;&gt;""),"; ","")&amp;IF(Catalog!J333="","",Catalog!J333)</f>
        <v/>
      </c>
      <c r="D360" s="16">
        <f>Catalog!Q333</f>
        <v>0</v>
      </c>
      <c r="E360" s="16">
        <f>Catalog!S333</f>
        <v>0</v>
      </c>
      <c r="F360" s="16">
        <f>Catalog!N333</f>
        <v>0</v>
      </c>
      <c r="G360" s="16" t="str">
        <f>Catalog!K333&amp;" / "&amp;Catalog!M333</f>
        <v xml:space="preserve"> / </v>
      </c>
      <c r="H360" s="16" t="str">
        <f t="shared" si="5"/>
        <v>Print</v>
      </c>
      <c r="I360" s="16" t="str">
        <f>IF(Catalog!T333&lt;&gt;"","ISBN:"&amp;Catalog!T333,IF(Catalog!U333&lt;&gt;"","ISSN:"&amp;Catalog!U333,"ACC:"&amp;Catalog!B333))</f>
        <v>ACC:</v>
      </c>
      <c r="J360" s="16">
        <f>Catalog!L333</f>
        <v>0</v>
      </c>
      <c r="K360" s="16">
        <f>IF(Catalog!AH333&lt;&gt;"",Catalog!AH333,Catalog!AF333)</f>
        <v>0</v>
      </c>
      <c r="L360" s="16">
        <f>Catalog!AE333</f>
        <v>0</v>
      </c>
      <c r="M360" s="16">
        <f>Catalog!W333</f>
        <v>0</v>
      </c>
      <c r="N360" s="16">
        <f>Catalog!R333</f>
        <v>0</v>
      </c>
      <c r="O360" s="16">
        <f>Catalog!AG333</f>
        <v>0</v>
      </c>
    </row>
    <row r="361" spans="1:15" ht="15.75" x14ac:dyDescent="0.25">
      <c r="A361" s="16">
        <f>Catalog!D334</f>
        <v>0</v>
      </c>
      <c r="B361" s="16">
        <f>Catalog!F334</f>
        <v>0</v>
      </c>
      <c r="C361" s="16" t="str">
        <f>IF(Catalog!I334="","",Catalog!I334)&amp;IF(AND(Catalog!I334&lt;&gt;"",Catalog!J334&lt;&gt;""),"; ","")&amp;IF(Catalog!J334="","",Catalog!J334)</f>
        <v/>
      </c>
      <c r="D361" s="16">
        <f>Catalog!Q334</f>
        <v>0</v>
      </c>
      <c r="E361" s="16">
        <f>Catalog!S334</f>
        <v>0</v>
      </c>
      <c r="F361" s="16">
        <f>Catalog!N334</f>
        <v>0</v>
      </c>
      <c r="G361" s="16" t="str">
        <f>Catalog!K334&amp;" / "&amp;Catalog!M334</f>
        <v xml:space="preserve"> / </v>
      </c>
      <c r="H361" s="16" t="str">
        <f t="shared" si="5"/>
        <v>Print</v>
      </c>
      <c r="I361" s="16" t="str">
        <f>IF(Catalog!T334&lt;&gt;"","ISBN:"&amp;Catalog!T334,IF(Catalog!U334&lt;&gt;"","ISSN:"&amp;Catalog!U334,"ACC:"&amp;Catalog!B334))</f>
        <v>ACC:</v>
      </c>
      <c r="J361" s="16">
        <f>Catalog!L334</f>
        <v>0</v>
      </c>
      <c r="K361" s="16">
        <f>IF(Catalog!AH334&lt;&gt;"",Catalog!AH334,Catalog!AF334)</f>
        <v>0</v>
      </c>
      <c r="L361" s="16">
        <f>Catalog!AE334</f>
        <v>0</v>
      </c>
      <c r="M361" s="16">
        <f>Catalog!W334</f>
        <v>0</v>
      </c>
      <c r="N361" s="16">
        <f>Catalog!R334</f>
        <v>0</v>
      </c>
      <c r="O361" s="16">
        <f>Catalog!AG334</f>
        <v>0</v>
      </c>
    </row>
    <row r="362" spans="1:15" ht="15.75" x14ac:dyDescent="0.25">
      <c r="A362" s="16">
        <f>Catalog!D335</f>
        <v>0</v>
      </c>
      <c r="B362" s="16">
        <f>Catalog!F335</f>
        <v>0</v>
      </c>
      <c r="C362" s="16" t="str">
        <f>IF(Catalog!I335="","",Catalog!I335)&amp;IF(AND(Catalog!I335&lt;&gt;"",Catalog!J335&lt;&gt;""),"; ","")&amp;IF(Catalog!J335="","",Catalog!J335)</f>
        <v/>
      </c>
      <c r="D362" s="16">
        <f>Catalog!Q335</f>
        <v>0</v>
      </c>
      <c r="E362" s="16">
        <f>Catalog!S335</f>
        <v>0</v>
      </c>
      <c r="F362" s="16">
        <f>Catalog!N335</f>
        <v>0</v>
      </c>
      <c r="G362" s="16" t="str">
        <f>Catalog!K335&amp;" / "&amp;Catalog!M335</f>
        <v xml:space="preserve"> / </v>
      </c>
      <c r="H362" s="16" t="str">
        <f t="shared" si="5"/>
        <v>Print</v>
      </c>
      <c r="I362" s="16" t="str">
        <f>IF(Catalog!T335&lt;&gt;"","ISBN:"&amp;Catalog!T335,IF(Catalog!U335&lt;&gt;"","ISSN:"&amp;Catalog!U335,"ACC:"&amp;Catalog!B335))</f>
        <v>ACC:</v>
      </c>
      <c r="J362" s="16">
        <f>Catalog!L335</f>
        <v>0</v>
      </c>
      <c r="K362" s="16">
        <f>IF(Catalog!AH335&lt;&gt;"",Catalog!AH335,Catalog!AF335)</f>
        <v>0</v>
      </c>
      <c r="L362" s="16">
        <f>Catalog!AE335</f>
        <v>0</v>
      </c>
      <c r="M362" s="16">
        <f>Catalog!W335</f>
        <v>0</v>
      </c>
      <c r="N362" s="16">
        <f>Catalog!R335</f>
        <v>0</v>
      </c>
      <c r="O362" s="16">
        <f>Catalog!AG335</f>
        <v>0</v>
      </c>
    </row>
    <row r="363" spans="1:15" ht="15.75" x14ac:dyDescent="0.25">
      <c r="A363" s="16">
        <f>Catalog!D336</f>
        <v>0</v>
      </c>
      <c r="B363" s="16">
        <f>Catalog!F336</f>
        <v>0</v>
      </c>
      <c r="C363" s="16" t="str">
        <f>IF(Catalog!I336="","",Catalog!I336)&amp;IF(AND(Catalog!I336&lt;&gt;"",Catalog!J336&lt;&gt;""),"; ","")&amp;IF(Catalog!J336="","",Catalog!J336)</f>
        <v/>
      </c>
      <c r="D363" s="16">
        <f>Catalog!Q336</f>
        <v>0</v>
      </c>
      <c r="E363" s="16">
        <f>Catalog!S336</f>
        <v>0</v>
      </c>
      <c r="F363" s="16">
        <f>Catalog!N336</f>
        <v>0</v>
      </c>
      <c r="G363" s="16" t="str">
        <f>Catalog!K336&amp;" / "&amp;Catalog!M336</f>
        <v xml:space="preserve"> / </v>
      </c>
      <c r="H363" s="16" t="str">
        <f t="shared" si="5"/>
        <v>Print</v>
      </c>
      <c r="I363" s="16" t="str">
        <f>IF(Catalog!T336&lt;&gt;"","ISBN:"&amp;Catalog!T336,IF(Catalog!U336&lt;&gt;"","ISSN:"&amp;Catalog!U336,"ACC:"&amp;Catalog!B336))</f>
        <v>ACC:</v>
      </c>
      <c r="J363" s="16">
        <f>Catalog!L336</f>
        <v>0</v>
      </c>
      <c r="K363" s="16">
        <f>IF(Catalog!AH336&lt;&gt;"",Catalog!AH336,Catalog!AF336)</f>
        <v>0</v>
      </c>
      <c r="L363" s="16">
        <f>Catalog!AE336</f>
        <v>0</v>
      </c>
      <c r="M363" s="16">
        <f>Catalog!W336</f>
        <v>0</v>
      </c>
      <c r="N363" s="16">
        <f>Catalog!R336</f>
        <v>0</v>
      </c>
      <c r="O363" s="16">
        <f>Catalog!AG336</f>
        <v>0</v>
      </c>
    </row>
    <row r="364" spans="1:15" ht="15.75" x14ac:dyDescent="0.25">
      <c r="A364" s="16">
        <f>Catalog!D337</f>
        <v>0</v>
      </c>
      <c r="B364" s="16">
        <f>Catalog!F337</f>
        <v>0</v>
      </c>
      <c r="C364" s="16" t="str">
        <f>IF(Catalog!I337="","",Catalog!I337)&amp;IF(AND(Catalog!I337&lt;&gt;"",Catalog!J337&lt;&gt;""),"; ","")&amp;IF(Catalog!J337="","",Catalog!J337)</f>
        <v/>
      </c>
      <c r="D364" s="16">
        <f>Catalog!Q337</f>
        <v>0</v>
      </c>
      <c r="E364" s="16">
        <f>Catalog!S337</f>
        <v>0</v>
      </c>
      <c r="F364" s="16">
        <f>Catalog!N337</f>
        <v>0</v>
      </c>
      <c r="G364" s="16" t="str">
        <f>Catalog!K337&amp;" / "&amp;Catalog!M337</f>
        <v xml:space="preserve"> / </v>
      </c>
      <c r="H364" s="16" t="str">
        <f t="shared" si="5"/>
        <v>Print</v>
      </c>
      <c r="I364" s="16" t="str">
        <f>IF(Catalog!T337&lt;&gt;"","ISBN:"&amp;Catalog!T337,IF(Catalog!U337&lt;&gt;"","ISSN:"&amp;Catalog!U337,"ACC:"&amp;Catalog!B337))</f>
        <v>ACC:</v>
      </c>
      <c r="J364" s="16">
        <f>Catalog!L337</f>
        <v>0</v>
      </c>
      <c r="K364" s="16">
        <f>IF(Catalog!AH337&lt;&gt;"",Catalog!AH337,Catalog!AF337)</f>
        <v>0</v>
      </c>
      <c r="L364" s="16">
        <f>Catalog!AE337</f>
        <v>0</v>
      </c>
      <c r="M364" s="16">
        <f>Catalog!W337</f>
        <v>0</v>
      </c>
      <c r="N364" s="16">
        <f>Catalog!R337</f>
        <v>0</v>
      </c>
      <c r="O364" s="16">
        <f>Catalog!AG337</f>
        <v>0</v>
      </c>
    </row>
    <row r="365" spans="1:15" ht="15.75" x14ac:dyDescent="0.25">
      <c r="A365" s="16">
        <f>Catalog!D338</f>
        <v>0</v>
      </c>
      <c r="B365" s="16">
        <f>Catalog!F338</f>
        <v>0</v>
      </c>
      <c r="C365" s="16" t="str">
        <f>IF(Catalog!I338="","",Catalog!I338)&amp;IF(AND(Catalog!I338&lt;&gt;"",Catalog!J338&lt;&gt;""),"; ","")&amp;IF(Catalog!J338="","",Catalog!J338)</f>
        <v/>
      </c>
      <c r="D365" s="16">
        <f>Catalog!Q338</f>
        <v>0</v>
      </c>
      <c r="E365" s="16">
        <f>Catalog!S338</f>
        <v>0</v>
      </c>
      <c r="F365" s="16">
        <f>Catalog!N338</f>
        <v>0</v>
      </c>
      <c r="G365" s="16" t="str">
        <f>Catalog!K338&amp;" / "&amp;Catalog!M338</f>
        <v xml:space="preserve"> / </v>
      </c>
      <c r="H365" s="16" t="str">
        <f t="shared" si="5"/>
        <v>Print</v>
      </c>
      <c r="I365" s="16" t="str">
        <f>IF(Catalog!T338&lt;&gt;"","ISBN:"&amp;Catalog!T338,IF(Catalog!U338&lt;&gt;"","ISSN:"&amp;Catalog!U338,"ACC:"&amp;Catalog!B338))</f>
        <v>ACC:</v>
      </c>
      <c r="J365" s="16">
        <f>Catalog!L338</f>
        <v>0</v>
      </c>
      <c r="K365" s="16">
        <f>IF(Catalog!AH338&lt;&gt;"",Catalog!AH338,Catalog!AF338)</f>
        <v>0</v>
      </c>
      <c r="L365" s="16">
        <f>Catalog!AE338</f>
        <v>0</v>
      </c>
      <c r="M365" s="16">
        <f>Catalog!W338</f>
        <v>0</v>
      </c>
      <c r="N365" s="16">
        <f>Catalog!R338</f>
        <v>0</v>
      </c>
      <c r="O365" s="16">
        <f>Catalog!AG338</f>
        <v>0</v>
      </c>
    </row>
    <row r="366" spans="1:15" ht="15.75" x14ac:dyDescent="0.25">
      <c r="A366" s="16">
        <f>Catalog!D339</f>
        <v>0</v>
      </c>
      <c r="B366" s="16">
        <f>Catalog!F339</f>
        <v>0</v>
      </c>
      <c r="C366" s="16" t="str">
        <f>IF(Catalog!I339="","",Catalog!I339)&amp;IF(AND(Catalog!I339&lt;&gt;"",Catalog!J339&lt;&gt;""),"; ","")&amp;IF(Catalog!J339="","",Catalog!J339)</f>
        <v/>
      </c>
      <c r="D366" s="16">
        <f>Catalog!Q339</f>
        <v>0</v>
      </c>
      <c r="E366" s="16">
        <f>Catalog!S339</f>
        <v>0</v>
      </c>
      <c r="F366" s="16">
        <f>Catalog!N339</f>
        <v>0</v>
      </c>
      <c r="G366" s="16" t="str">
        <f>Catalog!K339&amp;" / "&amp;Catalog!M339</f>
        <v xml:space="preserve"> / </v>
      </c>
      <c r="H366" s="16" t="str">
        <f t="shared" si="5"/>
        <v>Print</v>
      </c>
      <c r="I366" s="16" t="str">
        <f>IF(Catalog!T339&lt;&gt;"","ISBN:"&amp;Catalog!T339,IF(Catalog!U339&lt;&gt;"","ISSN:"&amp;Catalog!U339,"ACC:"&amp;Catalog!B339))</f>
        <v>ACC:</v>
      </c>
      <c r="J366" s="16">
        <f>Catalog!L339</f>
        <v>0</v>
      </c>
      <c r="K366" s="16">
        <f>IF(Catalog!AH339&lt;&gt;"",Catalog!AH339,Catalog!AF339)</f>
        <v>0</v>
      </c>
      <c r="L366" s="16">
        <f>Catalog!AE339</f>
        <v>0</v>
      </c>
      <c r="M366" s="16">
        <f>Catalog!W339</f>
        <v>0</v>
      </c>
      <c r="N366" s="16">
        <f>Catalog!R339</f>
        <v>0</v>
      </c>
      <c r="O366" s="16">
        <f>Catalog!AG339</f>
        <v>0</v>
      </c>
    </row>
    <row r="367" spans="1:15" ht="15.75" x14ac:dyDescent="0.25">
      <c r="A367" s="16">
        <f>Catalog!D340</f>
        <v>0</v>
      </c>
      <c r="B367" s="16">
        <f>Catalog!F340</f>
        <v>0</v>
      </c>
      <c r="C367" s="16" t="str">
        <f>IF(Catalog!I340="","",Catalog!I340)&amp;IF(AND(Catalog!I340&lt;&gt;"",Catalog!J340&lt;&gt;""),"; ","")&amp;IF(Catalog!J340="","",Catalog!J340)</f>
        <v/>
      </c>
      <c r="D367" s="16">
        <f>Catalog!Q340</f>
        <v>0</v>
      </c>
      <c r="E367" s="16">
        <f>Catalog!S340</f>
        <v>0</v>
      </c>
      <c r="F367" s="16">
        <f>Catalog!N340</f>
        <v>0</v>
      </c>
      <c r="G367" s="16" t="str">
        <f>Catalog!K340&amp;" / "&amp;Catalog!M340</f>
        <v xml:space="preserve"> / </v>
      </c>
      <c r="H367" s="16" t="str">
        <f t="shared" si="5"/>
        <v>Print</v>
      </c>
      <c r="I367" s="16" t="str">
        <f>IF(Catalog!T340&lt;&gt;"","ISBN:"&amp;Catalog!T340,IF(Catalog!U340&lt;&gt;"","ISSN:"&amp;Catalog!U340,"ACC:"&amp;Catalog!B340))</f>
        <v>ACC:</v>
      </c>
      <c r="J367" s="16">
        <f>Catalog!L340</f>
        <v>0</v>
      </c>
      <c r="K367" s="16">
        <f>IF(Catalog!AH340&lt;&gt;"",Catalog!AH340,Catalog!AF340)</f>
        <v>0</v>
      </c>
      <c r="L367" s="16">
        <f>Catalog!AE340</f>
        <v>0</v>
      </c>
      <c r="M367" s="16">
        <f>Catalog!W340</f>
        <v>0</v>
      </c>
      <c r="N367" s="16">
        <f>Catalog!R340</f>
        <v>0</v>
      </c>
      <c r="O367" s="16">
        <f>Catalog!AG340</f>
        <v>0</v>
      </c>
    </row>
    <row r="368" spans="1:15" ht="15.75" x14ac:dyDescent="0.25">
      <c r="A368" s="16">
        <f>Catalog!D341</f>
        <v>0</v>
      </c>
      <c r="B368" s="16">
        <f>Catalog!F341</f>
        <v>0</v>
      </c>
      <c r="C368" s="16" t="str">
        <f>IF(Catalog!I341="","",Catalog!I341)&amp;IF(AND(Catalog!I341&lt;&gt;"",Catalog!J341&lt;&gt;""),"; ","")&amp;IF(Catalog!J341="","",Catalog!J341)</f>
        <v/>
      </c>
      <c r="D368" s="16">
        <f>Catalog!Q341</f>
        <v>0</v>
      </c>
      <c r="E368" s="16">
        <f>Catalog!S341</f>
        <v>0</v>
      </c>
      <c r="F368" s="16">
        <f>Catalog!N341</f>
        <v>0</v>
      </c>
      <c r="G368" s="16" t="str">
        <f>Catalog!K341&amp;" / "&amp;Catalog!M341</f>
        <v xml:space="preserve"> / </v>
      </c>
      <c r="H368" s="16" t="str">
        <f t="shared" si="5"/>
        <v>Print</v>
      </c>
      <c r="I368" s="16" t="str">
        <f>IF(Catalog!T341&lt;&gt;"","ISBN:"&amp;Catalog!T341,IF(Catalog!U341&lt;&gt;"","ISSN:"&amp;Catalog!U341,"ACC:"&amp;Catalog!B341))</f>
        <v>ACC:</v>
      </c>
      <c r="J368" s="16">
        <f>Catalog!L341</f>
        <v>0</v>
      </c>
      <c r="K368" s="16">
        <f>IF(Catalog!AH341&lt;&gt;"",Catalog!AH341,Catalog!AF341)</f>
        <v>0</v>
      </c>
      <c r="L368" s="16">
        <f>Catalog!AE341</f>
        <v>0</v>
      </c>
      <c r="M368" s="16">
        <f>Catalog!W341</f>
        <v>0</v>
      </c>
      <c r="N368" s="16">
        <f>Catalog!R341</f>
        <v>0</v>
      </c>
      <c r="O368" s="16">
        <f>Catalog!AG341</f>
        <v>0</v>
      </c>
    </row>
    <row r="369" spans="1:15" ht="15.75" x14ac:dyDescent="0.25">
      <c r="A369" s="16">
        <f>Catalog!D342</f>
        <v>0</v>
      </c>
      <c r="B369" s="16">
        <f>Catalog!F342</f>
        <v>0</v>
      </c>
      <c r="C369" s="16" t="str">
        <f>IF(Catalog!I342="","",Catalog!I342)&amp;IF(AND(Catalog!I342&lt;&gt;"",Catalog!J342&lt;&gt;""),"; ","")&amp;IF(Catalog!J342="","",Catalog!J342)</f>
        <v/>
      </c>
      <c r="D369" s="16">
        <f>Catalog!Q342</f>
        <v>0</v>
      </c>
      <c r="E369" s="16">
        <f>Catalog!S342</f>
        <v>0</v>
      </c>
      <c r="F369" s="16">
        <f>Catalog!N342</f>
        <v>0</v>
      </c>
      <c r="G369" s="16" t="str">
        <f>Catalog!K342&amp;" / "&amp;Catalog!M342</f>
        <v xml:space="preserve"> / </v>
      </c>
      <c r="H369" s="16" t="str">
        <f t="shared" si="5"/>
        <v>Print</v>
      </c>
      <c r="I369" s="16" t="str">
        <f>IF(Catalog!T342&lt;&gt;"","ISBN:"&amp;Catalog!T342,IF(Catalog!U342&lt;&gt;"","ISSN:"&amp;Catalog!U342,"ACC:"&amp;Catalog!B342))</f>
        <v>ACC:</v>
      </c>
      <c r="J369" s="16">
        <f>Catalog!L342</f>
        <v>0</v>
      </c>
      <c r="K369" s="16">
        <f>IF(Catalog!AH342&lt;&gt;"",Catalog!AH342,Catalog!AF342)</f>
        <v>0</v>
      </c>
      <c r="L369" s="16">
        <f>Catalog!AE342</f>
        <v>0</v>
      </c>
      <c r="M369" s="16">
        <f>Catalog!W342</f>
        <v>0</v>
      </c>
      <c r="N369" s="16">
        <f>Catalog!R342</f>
        <v>0</v>
      </c>
      <c r="O369" s="16">
        <f>Catalog!AG342</f>
        <v>0</v>
      </c>
    </row>
    <row r="370" spans="1:15" ht="15.75" x14ac:dyDescent="0.25">
      <c r="A370" s="16">
        <f>Catalog!D343</f>
        <v>0</v>
      </c>
      <c r="B370" s="16">
        <f>Catalog!F343</f>
        <v>0</v>
      </c>
      <c r="C370" s="16" t="str">
        <f>IF(Catalog!I343="","",Catalog!I343)&amp;IF(AND(Catalog!I343&lt;&gt;"",Catalog!J343&lt;&gt;""),"; ","")&amp;IF(Catalog!J343="","",Catalog!J343)</f>
        <v/>
      </c>
      <c r="D370" s="16">
        <f>Catalog!Q343</f>
        <v>0</v>
      </c>
      <c r="E370" s="16">
        <f>Catalog!S343</f>
        <v>0</v>
      </c>
      <c r="F370" s="16">
        <f>Catalog!N343</f>
        <v>0</v>
      </c>
      <c r="G370" s="16" t="str">
        <f>Catalog!K343&amp;" / "&amp;Catalog!M343</f>
        <v xml:space="preserve"> / </v>
      </c>
      <c r="H370" s="16" t="str">
        <f t="shared" si="5"/>
        <v>Print</v>
      </c>
      <c r="I370" s="16" t="str">
        <f>IF(Catalog!T343&lt;&gt;"","ISBN:"&amp;Catalog!T343,IF(Catalog!U343&lt;&gt;"","ISSN:"&amp;Catalog!U343,"ACC:"&amp;Catalog!B343))</f>
        <v>ACC:</v>
      </c>
      <c r="J370" s="16">
        <f>Catalog!L343</f>
        <v>0</v>
      </c>
      <c r="K370" s="16">
        <f>IF(Catalog!AH343&lt;&gt;"",Catalog!AH343,Catalog!AF343)</f>
        <v>0</v>
      </c>
      <c r="L370" s="16">
        <f>Catalog!AE343</f>
        <v>0</v>
      </c>
      <c r="M370" s="16">
        <f>Catalog!W343</f>
        <v>0</v>
      </c>
      <c r="N370" s="16">
        <f>Catalog!R343</f>
        <v>0</v>
      </c>
      <c r="O370" s="16">
        <f>Catalog!AG343</f>
        <v>0</v>
      </c>
    </row>
    <row r="371" spans="1:15" ht="15.75" x14ac:dyDescent="0.25">
      <c r="A371" s="16">
        <f>Catalog!D344</f>
        <v>0</v>
      </c>
      <c r="B371" s="16">
        <f>Catalog!F344</f>
        <v>0</v>
      </c>
      <c r="C371" s="16" t="str">
        <f>IF(Catalog!I344="","",Catalog!I344)&amp;IF(AND(Catalog!I344&lt;&gt;"",Catalog!J344&lt;&gt;""),"; ","")&amp;IF(Catalog!J344="","",Catalog!J344)</f>
        <v/>
      </c>
      <c r="D371" s="16">
        <f>Catalog!Q344</f>
        <v>0</v>
      </c>
      <c r="E371" s="16">
        <f>Catalog!S344</f>
        <v>0</v>
      </c>
      <c r="F371" s="16">
        <f>Catalog!N344</f>
        <v>0</v>
      </c>
      <c r="G371" s="16" t="str">
        <f>Catalog!K344&amp;" / "&amp;Catalog!M344</f>
        <v xml:space="preserve"> / </v>
      </c>
      <c r="H371" s="16" t="str">
        <f t="shared" si="5"/>
        <v>Print</v>
      </c>
      <c r="I371" s="16" t="str">
        <f>IF(Catalog!T344&lt;&gt;"","ISBN:"&amp;Catalog!T344,IF(Catalog!U344&lt;&gt;"","ISSN:"&amp;Catalog!U344,"ACC:"&amp;Catalog!B344))</f>
        <v>ACC:</v>
      </c>
      <c r="J371" s="16">
        <f>Catalog!L344</f>
        <v>0</v>
      </c>
      <c r="K371" s="16">
        <f>IF(Catalog!AH344&lt;&gt;"",Catalog!AH344,Catalog!AF344)</f>
        <v>0</v>
      </c>
      <c r="L371" s="16">
        <f>Catalog!AE344</f>
        <v>0</v>
      </c>
      <c r="M371" s="16">
        <f>Catalog!W344</f>
        <v>0</v>
      </c>
      <c r="N371" s="16">
        <f>Catalog!R344</f>
        <v>0</v>
      </c>
      <c r="O371" s="16">
        <f>Catalog!AG344</f>
        <v>0</v>
      </c>
    </row>
    <row r="372" spans="1:15" ht="15.75" x14ac:dyDescent="0.25">
      <c r="A372" s="16">
        <f>Catalog!D345</f>
        <v>0</v>
      </c>
      <c r="B372" s="16">
        <f>Catalog!F345</f>
        <v>0</v>
      </c>
      <c r="C372" s="16" t="str">
        <f>IF(Catalog!I345="","",Catalog!I345)&amp;IF(AND(Catalog!I345&lt;&gt;"",Catalog!J345&lt;&gt;""),"; ","")&amp;IF(Catalog!J345="","",Catalog!J345)</f>
        <v/>
      </c>
      <c r="D372" s="16">
        <f>Catalog!Q345</f>
        <v>0</v>
      </c>
      <c r="E372" s="16">
        <f>Catalog!S345</f>
        <v>0</v>
      </c>
      <c r="F372" s="16">
        <f>Catalog!N345</f>
        <v>0</v>
      </c>
      <c r="G372" s="16" t="str">
        <f>Catalog!K345&amp;" / "&amp;Catalog!M345</f>
        <v xml:space="preserve"> / </v>
      </c>
      <c r="H372" s="16" t="str">
        <f t="shared" si="5"/>
        <v>Print</v>
      </c>
      <c r="I372" s="16" t="str">
        <f>IF(Catalog!T345&lt;&gt;"","ISBN:"&amp;Catalog!T345,IF(Catalog!U345&lt;&gt;"","ISSN:"&amp;Catalog!U345,"ACC:"&amp;Catalog!B345))</f>
        <v>ACC:</v>
      </c>
      <c r="J372" s="16">
        <f>Catalog!L345</f>
        <v>0</v>
      </c>
      <c r="K372" s="16">
        <f>IF(Catalog!AH345&lt;&gt;"",Catalog!AH345,Catalog!AF345)</f>
        <v>0</v>
      </c>
      <c r="L372" s="16">
        <f>Catalog!AE345</f>
        <v>0</v>
      </c>
      <c r="M372" s="16">
        <f>Catalog!W345</f>
        <v>0</v>
      </c>
      <c r="N372" s="16">
        <f>Catalog!R345</f>
        <v>0</v>
      </c>
      <c r="O372" s="16">
        <f>Catalog!AG345</f>
        <v>0</v>
      </c>
    </row>
    <row r="373" spans="1:15" ht="15.75" x14ac:dyDescent="0.25">
      <c r="A373" s="16">
        <f>Catalog!D346</f>
        <v>0</v>
      </c>
      <c r="B373" s="16">
        <f>Catalog!F346</f>
        <v>0</v>
      </c>
      <c r="C373" s="16" t="str">
        <f>IF(Catalog!I346="","",Catalog!I346)&amp;IF(AND(Catalog!I346&lt;&gt;"",Catalog!J346&lt;&gt;""),"; ","")&amp;IF(Catalog!J346="","",Catalog!J346)</f>
        <v/>
      </c>
      <c r="D373" s="16">
        <f>Catalog!Q346</f>
        <v>0</v>
      </c>
      <c r="E373" s="16">
        <f>Catalog!S346</f>
        <v>0</v>
      </c>
      <c r="F373" s="16">
        <f>Catalog!N346</f>
        <v>0</v>
      </c>
      <c r="G373" s="16" t="str">
        <f>Catalog!K346&amp;" / "&amp;Catalog!M346</f>
        <v xml:space="preserve"> / </v>
      </c>
      <c r="H373" s="16" t="str">
        <f t="shared" si="5"/>
        <v>Print</v>
      </c>
      <c r="I373" s="16" t="str">
        <f>IF(Catalog!T346&lt;&gt;"","ISBN:"&amp;Catalog!T346,IF(Catalog!U346&lt;&gt;"","ISSN:"&amp;Catalog!U346,"ACC:"&amp;Catalog!B346))</f>
        <v>ACC:</v>
      </c>
      <c r="J373" s="16">
        <f>Catalog!L346</f>
        <v>0</v>
      </c>
      <c r="K373" s="16">
        <f>IF(Catalog!AH346&lt;&gt;"",Catalog!AH346,Catalog!AF346)</f>
        <v>0</v>
      </c>
      <c r="L373" s="16">
        <f>Catalog!AE346</f>
        <v>0</v>
      </c>
      <c r="M373" s="16">
        <f>Catalog!W346</f>
        <v>0</v>
      </c>
      <c r="N373" s="16">
        <f>Catalog!R346</f>
        <v>0</v>
      </c>
      <c r="O373" s="16">
        <f>Catalog!AG346</f>
        <v>0</v>
      </c>
    </row>
    <row r="374" spans="1:15" ht="15.75" x14ac:dyDescent="0.25">
      <c r="A374" s="16">
        <f>Catalog!D347</f>
        <v>0</v>
      </c>
      <c r="B374" s="16">
        <f>Catalog!F347</f>
        <v>0</v>
      </c>
      <c r="C374" s="16" t="str">
        <f>IF(Catalog!I347="","",Catalog!I347)&amp;IF(AND(Catalog!I347&lt;&gt;"",Catalog!J347&lt;&gt;""),"; ","")&amp;IF(Catalog!J347="","",Catalog!J347)</f>
        <v/>
      </c>
      <c r="D374" s="16">
        <f>Catalog!Q347</f>
        <v>0</v>
      </c>
      <c r="E374" s="16">
        <f>Catalog!S347</f>
        <v>0</v>
      </c>
      <c r="F374" s="16">
        <f>Catalog!N347</f>
        <v>0</v>
      </c>
      <c r="G374" s="16" t="str">
        <f>Catalog!K347&amp;" / "&amp;Catalog!M347</f>
        <v xml:space="preserve"> / </v>
      </c>
      <c r="H374" s="16" t="str">
        <f t="shared" si="5"/>
        <v>Print</v>
      </c>
      <c r="I374" s="16" t="str">
        <f>IF(Catalog!T347&lt;&gt;"","ISBN:"&amp;Catalog!T347,IF(Catalog!U347&lt;&gt;"","ISSN:"&amp;Catalog!U347,"ACC:"&amp;Catalog!B347))</f>
        <v>ACC:</v>
      </c>
      <c r="J374" s="16">
        <f>Catalog!L347</f>
        <v>0</v>
      </c>
      <c r="K374" s="16">
        <f>IF(Catalog!AH347&lt;&gt;"",Catalog!AH347,Catalog!AF347)</f>
        <v>0</v>
      </c>
      <c r="L374" s="16">
        <f>Catalog!AE347</f>
        <v>0</v>
      </c>
      <c r="M374" s="16">
        <f>Catalog!W347</f>
        <v>0</v>
      </c>
      <c r="N374" s="16">
        <f>Catalog!R347</f>
        <v>0</v>
      </c>
      <c r="O374" s="16">
        <f>Catalog!AG347</f>
        <v>0</v>
      </c>
    </row>
    <row r="375" spans="1:15" ht="15.75" x14ac:dyDescent="0.25">
      <c r="A375" s="16">
        <f>Catalog!D348</f>
        <v>0</v>
      </c>
      <c r="B375" s="16">
        <f>Catalog!F348</f>
        <v>0</v>
      </c>
      <c r="C375" s="16" t="str">
        <f>IF(Catalog!I348="","",Catalog!I348)&amp;IF(AND(Catalog!I348&lt;&gt;"",Catalog!J348&lt;&gt;""),"; ","")&amp;IF(Catalog!J348="","",Catalog!J348)</f>
        <v/>
      </c>
      <c r="D375" s="16">
        <f>Catalog!Q348</f>
        <v>0</v>
      </c>
      <c r="E375" s="16">
        <f>Catalog!S348</f>
        <v>0</v>
      </c>
      <c r="F375" s="16">
        <f>Catalog!N348</f>
        <v>0</v>
      </c>
      <c r="G375" s="16" t="str">
        <f>Catalog!K348&amp;" / "&amp;Catalog!M348</f>
        <v xml:space="preserve"> / </v>
      </c>
      <c r="H375" s="16" t="str">
        <f t="shared" si="5"/>
        <v>Print</v>
      </c>
      <c r="I375" s="16" t="str">
        <f>IF(Catalog!T348&lt;&gt;"","ISBN:"&amp;Catalog!T348,IF(Catalog!U348&lt;&gt;"","ISSN:"&amp;Catalog!U348,"ACC:"&amp;Catalog!B348))</f>
        <v>ACC:</v>
      </c>
      <c r="J375" s="16">
        <f>Catalog!L348</f>
        <v>0</v>
      </c>
      <c r="K375" s="16">
        <f>IF(Catalog!AH348&lt;&gt;"",Catalog!AH348,Catalog!AF348)</f>
        <v>0</v>
      </c>
      <c r="L375" s="16">
        <f>Catalog!AE348</f>
        <v>0</v>
      </c>
      <c r="M375" s="16">
        <f>Catalog!W348</f>
        <v>0</v>
      </c>
      <c r="N375" s="16">
        <f>Catalog!R348</f>
        <v>0</v>
      </c>
      <c r="O375" s="16">
        <f>Catalog!AG348</f>
        <v>0</v>
      </c>
    </row>
    <row r="376" spans="1:15" ht="15.75" x14ac:dyDescent="0.25">
      <c r="A376" s="16">
        <f>Catalog!D349</f>
        <v>0</v>
      </c>
      <c r="B376" s="16">
        <f>Catalog!F349</f>
        <v>0</v>
      </c>
      <c r="C376" s="16" t="str">
        <f>IF(Catalog!I349="","",Catalog!I349)&amp;IF(AND(Catalog!I349&lt;&gt;"",Catalog!J349&lt;&gt;""),"; ","")&amp;IF(Catalog!J349="","",Catalog!J349)</f>
        <v/>
      </c>
      <c r="D376" s="16">
        <f>Catalog!Q349</f>
        <v>0</v>
      </c>
      <c r="E376" s="16">
        <f>Catalog!S349</f>
        <v>0</v>
      </c>
      <c r="F376" s="16">
        <f>Catalog!N349</f>
        <v>0</v>
      </c>
      <c r="G376" s="16" t="str">
        <f>Catalog!K349&amp;" / "&amp;Catalog!M349</f>
        <v xml:space="preserve"> / </v>
      </c>
      <c r="H376" s="16" t="str">
        <f t="shared" si="5"/>
        <v>Print</v>
      </c>
      <c r="I376" s="16" t="str">
        <f>IF(Catalog!T349&lt;&gt;"","ISBN:"&amp;Catalog!T349,IF(Catalog!U349&lt;&gt;"","ISSN:"&amp;Catalog!U349,"ACC:"&amp;Catalog!B349))</f>
        <v>ACC:</v>
      </c>
      <c r="J376" s="16">
        <f>Catalog!L349</f>
        <v>0</v>
      </c>
      <c r="K376" s="16">
        <f>IF(Catalog!AH349&lt;&gt;"",Catalog!AH349,Catalog!AF349)</f>
        <v>0</v>
      </c>
      <c r="L376" s="16">
        <f>Catalog!AE349</f>
        <v>0</v>
      </c>
      <c r="M376" s="16">
        <f>Catalog!W349</f>
        <v>0</v>
      </c>
      <c r="N376" s="16">
        <f>Catalog!R349</f>
        <v>0</v>
      </c>
      <c r="O376" s="16">
        <f>Catalog!AG349</f>
        <v>0</v>
      </c>
    </row>
    <row r="377" spans="1:15" ht="15.75" x14ac:dyDescent="0.25">
      <c r="A377" s="16">
        <f>Catalog!D350</f>
        <v>0</v>
      </c>
      <c r="B377" s="16">
        <f>Catalog!F350</f>
        <v>0</v>
      </c>
      <c r="C377" s="16" t="str">
        <f>IF(Catalog!I350="","",Catalog!I350)&amp;IF(AND(Catalog!I350&lt;&gt;"",Catalog!J350&lt;&gt;""),"; ","")&amp;IF(Catalog!J350="","",Catalog!J350)</f>
        <v/>
      </c>
      <c r="D377" s="16">
        <f>Catalog!Q350</f>
        <v>0</v>
      </c>
      <c r="E377" s="16">
        <f>Catalog!S350</f>
        <v>0</v>
      </c>
      <c r="F377" s="16">
        <f>Catalog!N350</f>
        <v>0</v>
      </c>
      <c r="G377" s="16" t="str">
        <f>Catalog!K350&amp;" / "&amp;Catalog!M350</f>
        <v xml:space="preserve"> / </v>
      </c>
      <c r="H377" s="16" t="str">
        <f t="shared" si="5"/>
        <v>Print</v>
      </c>
      <c r="I377" s="16" t="str">
        <f>IF(Catalog!T350&lt;&gt;"","ISBN:"&amp;Catalog!T350,IF(Catalog!U350&lt;&gt;"","ISSN:"&amp;Catalog!U350,"ACC:"&amp;Catalog!B350))</f>
        <v>ACC:</v>
      </c>
      <c r="J377" s="16">
        <f>Catalog!L350</f>
        <v>0</v>
      </c>
      <c r="K377" s="16">
        <f>IF(Catalog!AH350&lt;&gt;"",Catalog!AH350,Catalog!AF350)</f>
        <v>0</v>
      </c>
      <c r="L377" s="16">
        <f>Catalog!AE350</f>
        <v>0</v>
      </c>
      <c r="M377" s="16">
        <f>Catalog!W350</f>
        <v>0</v>
      </c>
      <c r="N377" s="16">
        <f>Catalog!R350</f>
        <v>0</v>
      </c>
      <c r="O377" s="16">
        <f>Catalog!AG350</f>
        <v>0</v>
      </c>
    </row>
    <row r="378" spans="1:15" ht="15.75" x14ac:dyDescent="0.25">
      <c r="A378" s="16">
        <f>Catalog!D351</f>
        <v>0</v>
      </c>
      <c r="B378" s="16">
        <f>Catalog!F351</f>
        <v>0</v>
      </c>
      <c r="C378" s="16" t="str">
        <f>IF(Catalog!I351="","",Catalog!I351)&amp;IF(AND(Catalog!I351&lt;&gt;"",Catalog!J351&lt;&gt;""),"; ","")&amp;IF(Catalog!J351="","",Catalog!J351)</f>
        <v/>
      </c>
      <c r="D378" s="16">
        <f>Catalog!Q351</f>
        <v>0</v>
      </c>
      <c r="E378" s="16">
        <f>Catalog!S351</f>
        <v>0</v>
      </c>
      <c r="F378" s="16">
        <f>Catalog!N351</f>
        <v>0</v>
      </c>
      <c r="G378" s="16" t="str">
        <f>Catalog!K351&amp;" / "&amp;Catalog!M351</f>
        <v xml:space="preserve"> / </v>
      </c>
      <c r="H378" s="16" t="str">
        <f t="shared" si="5"/>
        <v>Print</v>
      </c>
      <c r="I378" s="16" t="str">
        <f>IF(Catalog!T351&lt;&gt;"","ISBN:"&amp;Catalog!T351,IF(Catalog!U351&lt;&gt;"","ISSN:"&amp;Catalog!U351,"ACC:"&amp;Catalog!B351))</f>
        <v>ACC:</v>
      </c>
      <c r="J378" s="16">
        <f>Catalog!L351</f>
        <v>0</v>
      </c>
      <c r="K378" s="16">
        <f>IF(Catalog!AH351&lt;&gt;"",Catalog!AH351,Catalog!AF351)</f>
        <v>0</v>
      </c>
      <c r="L378" s="16">
        <f>Catalog!AE351</f>
        <v>0</v>
      </c>
      <c r="M378" s="16">
        <f>Catalog!W351</f>
        <v>0</v>
      </c>
      <c r="N378" s="16">
        <f>Catalog!R351</f>
        <v>0</v>
      </c>
      <c r="O378" s="16">
        <f>Catalog!AG351</f>
        <v>0</v>
      </c>
    </row>
    <row r="379" spans="1:15" ht="15.75" x14ac:dyDescent="0.25">
      <c r="A379" s="16">
        <f>Catalog!D352</f>
        <v>0</v>
      </c>
      <c r="B379" s="16">
        <f>Catalog!F352</f>
        <v>0</v>
      </c>
      <c r="C379" s="16" t="str">
        <f>IF(Catalog!I352="","",Catalog!I352)&amp;IF(AND(Catalog!I352&lt;&gt;"",Catalog!J352&lt;&gt;""),"; ","")&amp;IF(Catalog!J352="","",Catalog!J352)</f>
        <v/>
      </c>
      <c r="D379" s="16">
        <f>Catalog!Q352</f>
        <v>0</v>
      </c>
      <c r="E379" s="16">
        <f>Catalog!S352</f>
        <v>0</v>
      </c>
      <c r="F379" s="16">
        <f>Catalog!N352</f>
        <v>0</v>
      </c>
      <c r="G379" s="16" t="str">
        <f>Catalog!K352&amp;" / "&amp;Catalog!M352</f>
        <v xml:space="preserve"> / </v>
      </c>
      <c r="H379" s="16" t="str">
        <f t="shared" si="5"/>
        <v>Print</v>
      </c>
      <c r="I379" s="16" t="str">
        <f>IF(Catalog!T352&lt;&gt;"","ISBN:"&amp;Catalog!T352,IF(Catalog!U352&lt;&gt;"","ISSN:"&amp;Catalog!U352,"ACC:"&amp;Catalog!B352))</f>
        <v>ACC:</v>
      </c>
      <c r="J379" s="16">
        <f>Catalog!L352</f>
        <v>0</v>
      </c>
      <c r="K379" s="16">
        <f>IF(Catalog!AH352&lt;&gt;"",Catalog!AH352,Catalog!AF352)</f>
        <v>0</v>
      </c>
      <c r="L379" s="16">
        <f>Catalog!AE352</f>
        <v>0</v>
      </c>
      <c r="M379" s="16">
        <f>Catalog!W352</f>
        <v>0</v>
      </c>
      <c r="N379" s="16">
        <f>Catalog!R352</f>
        <v>0</v>
      </c>
      <c r="O379" s="16">
        <f>Catalog!AG352</f>
        <v>0</v>
      </c>
    </row>
    <row r="380" spans="1:15" ht="15.75" x14ac:dyDescent="0.25">
      <c r="A380" s="16">
        <f>Catalog!D353</f>
        <v>0</v>
      </c>
      <c r="B380" s="16">
        <f>Catalog!F353</f>
        <v>0</v>
      </c>
      <c r="C380" s="16" t="str">
        <f>IF(Catalog!I353="","",Catalog!I353)&amp;IF(AND(Catalog!I353&lt;&gt;"",Catalog!J353&lt;&gt;""),"; ","")&amp;IF(Catalog!J353="","",Catalog!J353)</f>
        <v/>
      </c>
      <c r="D380" s="16">
        <f>Catalog!Q353</f>
        <v>0</v>
      </c>
      <c r="E380" s="16">
        <f>Catalog!S353</f>
        <v>0</v>
      </c>
      <c r="F380" s="16">
        <f>Catalog!N353</f>
        <v>0</v>
      </c>
      <c r="G380" s="16" t="str">
        <f>Catalog!K353&amp;" / "&amp;Catalog!M353</f>
        <v xml:space="preserve"> / </v>
      </c>
      <c r="H380" s="16" t="str">
        <f t="shared" si="5"/>
        <v>Print</v>
      </c>
      <c r="I380" s="16" t="str">
        <f>IF(Catalog!T353&lt;&gt;"","ISBN:"&amp;Catalog!T353,IF(Catalog!U353&lt;&gt;"","ISSN:"&amp;Catalog!U353,"ACC:"&amp;Catalog!B353))</f>
        <v>ACC:</v>
      </c>
      <c r="J380" s="16">
        <f>Catalog!L353</f>
        <v>0</v>
      </c>
      <c r="K380" s="16">
        <f>IF(Catalog!AH353&lt;&gt;"",Catalog!AH353,Catalog!AF353)</f>
        <v>0</v>
      </c>
      <c r="L380" s="16">
        <f>Catalog!AE353</f>
        <v>0</v>
      </c>
      <c r="M380" s="16">
        <f>Catalog!W353</f>
        <v>0</v>
      </c>
      <c r="N380" s="16">
        <f>Catalog!R353</f>
        <v>0</v>
      </c>
      <c r="O380" s="16">
        <f>Catalog!AG353</f>
        <v>0</v>
      </c>
    </row>
    <row r="381" spans="1:15" ht="15.75" x14ac:dyDescent="0.25">
      <c r="A381" s="16">
        <f>Catalog!D354</f>
        <v>0</v>
      </c>
      <c r="B381" s="16">
        <f>Catalog!F354</f>
        <v>0</v>
      </c>
      <c r="C381" s="16" t="str">
        <f>IF(Catalog!I354="","",Catalog!I354)&amp;IF(AND(Catalog!I354&lt;&gt;"",Catalog!J354&lt;&gt;""),"; ","")&amp;IF(Catalog!J354="","",Catalog!J354)</f>
        <v/>
      </c>
      <c r="D381" s="16">
        <f>Catalog!Q354</f>
        <v>0</v>
      </c>
      <c r="E381" s="16">
        <f>Catalog!S354</f>
        <v>0</v>
      </c>
      <c r="F381" s="16">
        <f>Catalog!N354</f>
        <v>0</v>
      </c>
      <c r="G381" s="16" t="str">
        <f>Catalog!K354&amp;" / "&amp;Catalog!M354</f>
        <v xml:space="preserve"> / </v>
      </c>
      <c r="H381" s="16" t="str">
        <f t="shared" si="5"/>
        <v>Print</v>
      </c>
      <c r="I381" s="16" t="str">
        <f>IF(Catalog!T354&lt;&gt;"","ISBN:"&amp;Catalog!T354,IF(Catalog!U354&lt;&gt;"","ISSN:"&amp;Catalog!U354,"ACC:"&amp;Catalog!B354))</f>
        <v>ACC:</v>
      </c>
      <c r="J381" s="16">
        <f>Catalog!L354</f>
        <v>0</v>
      </c>
      <c r="K381" s="16">
        <f>IF(Catalog!AH354&lt;&gt;"",Catalog!AH354,Catalog!AF354)</f>
        <v>0</v>
      </c>
      <c r="L381" s="16">
        <f>Catalog!AE354</f>
        <v>0</v>
      </c>
      <c r="M381" s="16">
        <f>Catalog!W354</f>
        <v>0</v>
      </c>
      <c r="N381" s="16">
        <f>Catalog!R354</f>
        <v>0</v>
      </c>
      <c r="O381" s="16">
        <f>Catalog!AG354</f>
        <v>0</v>
      </c>
    </row>
    <row r="382" spans="1:15" ht="15.75" x14ac:dyDescent="0.25">
      <c r="A382" s="16">
        <f>Catalog!D355</f>
        <v>0</v>
      </c>
      <c r="B382" s="16">
        <f>Catalog!F355</f>
        <v>0</v>
      </c>
      <c r="C382" s="16" t="str">
        <f>IF(Catalog!I355="","",Catalog!I355)&amp;IF(AND(Catalog!I355&lt;&gt;"",Catalog!J355&lt;&gt;""),"; ","")&amp;IF(Catalog!J355="","",Catalog!J355)</f>
        <v/>
      </c>
      <c r="D382" s="16">
        <f>Catalog!Q355</f>
        <v>0</v>
      </c>
      <c r="E382" s="16">
        <f>Catalog!S355</f>
        <v>0</v>
      </c>
      <c r="F382" s="16">
        <f>Catalog!N355</f>
        <v>0</v>
      </c>
      <c r="G382" s="16" t="str">
        <f>Catalog!K355&amp;" / "&amp;Catalog!M355</f>
        <v xml:space="preserve"> / </v>
      </c>
      <c r="H382" s="16" t="str">
        <f t="shared" si="5"/>
        <v>Print</v>
      </c>
      <c r="I382" s="16" t="str">
        <f>IF(Catalog!T355&lt;&gt;"","ISBN:"&amp;Catalog!T355,IF(Catalog!U355&lt;&gt;"","ISSN:"&amp;Catalog!U355,"ACC:"&amp;Catalog!B355))</f>
        <v>ACC:</v>
      </c>
      <c r="J382" s="16">
        <f>Catalog!L355</f>
        <v>0</v>
      </c>
      <c r="K382" s="16">
        <f>IF(Catalog!AH355&lt;&gt;"",Catalog!AH355,Catalog!AF355)</f>
        <v>0</v>
      </c>
      <c r="L382" s="16">
        <f>Catalog!AE355</f>
        <v>0</v>
      </c>
      <c r="M382" s="16">
        <f>Catalog!W355</f>
        <v>0</v>
      </c>
      <c r="N382" s="16">
        <f>Catalog!R355</f>
        <v>0</v>
      </c>
      <c r="O382" s="16">
        <f>Catalog!AG355</f>
        <v>0</v>
      </c>
    </row>
    <row r="383" spans="1:15" ht="15.75" x14ac:dyDescent="0.25">
      <c r="A383" s="16">
        <f>Catalog!D356</f>
        <v>0</v>
      </c>
      <c r="B383" s="16">
        <f>Catalog!F356</f>
        <v>0</v>
      </c>
      <c r="C383" s="16" t="str">
        <f>IF(Catalog!I356="","",Catalog!I356)&amp;IF(AND(Catalog!I356&lt;&gt;"",Catalog!J356&lt;&gt;""),"; ","")&amp;IF(Catalog!J356="","",Catalog!J356)</f>
        <v/>
      </c>
      <c r="D383" s="16">
        <f>Catalog!Q356</f>
        <v>0</v>
      </c>
      <c r="E383" s="16">
        <f>Catalog!S356</f>
        <v>0</v>
      </c>
      <c r="F383" s="16">
        <f>Catalog!N356</f>
        <v>0</v>
      </c>
      <c r="G383" s="16" t="str">
        <f>Catalog!K356&amp;" / "&amp;Catalog!M356</f>
        <v xml:space="preserve"> / </v>
      </c>
      <c r="H383" s="16" t="str">
        <f t="shared" si="5"/>
        <v>Print</v>
      </c>
      <c r="I383" s="16" t="str">
        <f>IF(Catalog!T356&lt;&gt;"","ISBN:"&amp;Catalog!T356,IF(Catalog!U356&lt;&gt;"","ISSN:"&amp;Catalog!U356,"ACC:"&amp;Catalog!B356))</f>
        <v>ACC:</v>
      </c>
      <c r="J383" s="16">
        <f>Catalog!L356</f>
        <v>0</v>
      </c>
      <c r="K383" s="16">
        <f>IF(Catalog!AH356&lt;&gt;"",Catalog!AH356,Catalog!AF356)</f>
        <v>0</v>
      </c>
      <c r="L383" s="16">
        <f>Catalog!AE356</f>
        <v>0</v>
      </c>
      <c r="M383" s="16">
        <f>Catalog!W356</f>
        <v>0</v>
      </c>
      <c r="N383" s="16">
        <f>Catalog!R356</f>
        <v>0</v>
      </c>
      <c r="O383" s="16">
        <f>Catalog!AG356</f>
        <v>0</v>
      </c>
    </row>
    <row r="384" spans="1:15" ht="15.75" x14ac:dyDescent="0.25">
      <c r="A384" s="16">
        <f>Catalog!D357</f>
        <v>0</v>
      </c>
      <c r="B384" s="16">
        <f>Catalog!F357</f>
        <v>0</v>
      </c>
      <c r="C384" s="16" t="str">
        <f>IF(Catalog!I357="","",Catalog!I357)&amp;IF(AND(Catalog!I357&lt;&gt;"",Catalog!J357&lt;&gt;""),"; ","")&amp;IF(Catalog!J357="","",Catalog!J357)</f>
        <v/>
      </c>
      <c r="D384" s="16">
        <f>Catalog!Q357</f>
        <v>0</v>
      </c>
      <c r="E384" s="16">
        <f>Catalog!S357</f>
        <v>0</v>
      </c>
      <c r="F384" s="16">
        <f>Catalog!N357</f>
        <v>0</v>
      </c>
      <c r="G384" s="16" t="str">
        <f>Catalog!K357&amp;" / "&amp;Catalog!M357</f>
        <v xml:space="preserve"> / </v>
      </c>
      <c r="H384" s="16" t="str">
        <f t="shared" si="5"/>
        <v>Print</v>
      </c>
      <c r="I384" s="16" t="str">
        <f>IF(Catalog!T357&lt;&gt;"","ISBN:"&amp;Catalog!T357,IF(Catalog!U357&lt;&gt;"","ISSN:"&amp;Catalog!U357,"ACC:"&amp;Catalog!B357))</f>
        <v>ACC:</v>
      </c>
      <c r="J384" s="16">
        <f>Catalog!L357</f>
        <v>0</v>
      </c>
      <c r="K384" s="16">
        <f>IF(Catalog!AH357&lt;&gt;"",Catalog!AH357,Catalog!AF357)</f>
        <v>0</v>
      </c>
      <c r="L384" s="16">
        <f>Catalog!AE357</f>
        <v>0</v>
      </c>
      <c r="M384" s="16">
        <f>Catalog!W357</f>
        <v>0</v>
      </c>
      <c r="N384" s="16">
        <f>Catalog!R357</f>
        <v>0</v>
      </c>
      <c r="O384" s="16">
        <f>Catalog!AG357</f>
        <v>0</v>
      </c>
    </row>
    <row r="385" spans="1:15" ht="15.75" x14ac:dyDescent="0.25">
      <c r="A385" s="16">
        <f>Catalog!D358</f>
        <v>0</v>
      </c>
      <c r="B385" s="16">
        <f>Catalog!F358</f>
        <v>0</v>
      </c>
      <c r="C385" s="16" t="str">
        <f>IF(Catalog!I358="","",Catalog!I358)&amp;IF(AND(Catalog!I358&lt;&gt;"",Catalog!J358&lt;&gt;""),"; ","")&amp;IF(Catalog!J358="","",Catalog!J358)</f>
        <v/>
      </c>
      <c r="D385" s="16">
        <f>Catalog!Q358</f>
        <v>0</v>
      </c>
      <c r="E385" s="16">
        <f>Catalog!S358</f>
        <v>0</v>
      </c>
      <c r="F385" s="16">
        <f>Catalog!N358</f>
        <v>0</v>
      </c>
      <c r="G385" s="16" t="str">
        <f>Catalog!K358&amp;" / "&amp;Catalog!M358</f>
        <v xml:space="preserve"> / </v>
      </c>
      <c r="H385" s="16" t="str">
        <f t="shared" si="5"/>
        <v>Print</v>
      </c>
      <c r="I385" s="16" t="str">
        <f>IF(Catalog!T358&lt;&gt;"","ISBN:"&amp;Catalog!T358,IF(Catalog!U358&lt;&gt;"","ISSN:"&amp;Catalog!U358,"ACC:"&amp;Catalog!B358))</f>
        <v>ACC:</v>
      </c>
      <c r="J385" s="16">
        <f>Catalog!L358</f>
        <v>0</v>
      </c>
      <c r="K385" s="16">
        <f>IF(Catalog!AH358&lt;&gt;"",Catalog!AH358,Catalog!AF358)</f>
        <v>0</v>
      </c>
      <c r="L385" s="16">
        <f>Catalog!AE358</f>
        <v>0</v>
      </c>
      <c r="M385" s="16">
        <f>Catalog!W358</f>
        <v>0</v>
      </c>
      <c r="N385" s="16">
        <f>Catalog!R358</f>
        <v>0</v>
      </c>
      <c r="O385" s="16">
        <f>Catalog!AG358</f>
        <v>0</v>
      </c>
    </row>
    <row r="386" spans="1:15" ht="15.75" x14ac:dyDescent="0.25">
      <c r="A386" s="16">
        <f>Catalog!D359</f>
        <v>0</v>
      </c>
      <c r="B386" s="16">
        <f>Catalog!F359</f>
        <v>0</v>
      </c>
      <c r="C386" s="16" t="str">
        <f>IF(Catalog!I359="","",Catalog!I359)&amp;IF(AND(Catalog!I359&lt;&gt;"",Catalog!J359&lt;&gt;""),"; ","")&amp;IF(Catalog!J359="","",Catalog!J359)</f>
        <v/>
      </c>
      <c r="D386" s="16">
        <f>Catalog!Q359</f>
        <v>0</v>
      </c>
      <c r="E386" s="16">
        <f>Catalog!S359</f>
        <v>0</v>
      </c>
      <c r="F386" s="16">
        <f>Catalog!N359</f>
        <v>0</v>
      </c>
      <c r="G386" s="16" t="str">
        <f>Catalog!K359&amp;" / "&amp;Catalog!M359</f>
        <v xml:space="preserve"> / </v>
      </c>
      <c r="H386" s="16" t="str">
        <f t="shared" si="5"/>
        <v>Print</v>
      </c>
      <c r="I386" s="16" t="str">
        <f>IF(Catalog!T359&lt;&gt;"","ISBN:"&amp;Catalog!T359,IF(Catalog!U359&lt;&gt;"","ISSN:"&amp;Catalog!U359,"ACC:"&amp;Catalog!B359))</f>
        <v>ACC:</v>
      </c>
      <c r="J386" s="16">
        <f>Catalog!L359</f>
        <v>0</v>
      </c>
      <c r="K386" s="16">
        <f>IF(Catalog!AH359&lt;&gt;"",Catalog!AH359,Catalog!AF359)</f>
        <v>0</v>
      </c>
      <c r="L386" s="16">
        <f>Catalog!AE359</f>
        <v>0</v>
      </c>
      <c r="M386" s="16">
        <f>Catalog!W359</f>
        <v>0</v>
      </c>
      <c r="N386" s="16">
        <f>Catalog!R359</f>
        <v>0</v>
      </c>
      <c r="O386" s="16">
        <f>Catalog!AG359</f>
        <v>0</v>
      </c>
    </row>
    <row r="387" spans="1:15" ht="15.75" x14ac:dyDescent="0.25">
      <c r="A387" s="16">
        <f>Catalog!D360</f>
        <v>0</v>
      </c>
      <c r="B387" s="16">
        <f>Catalog!F360</f>
        <v>0</v>
      </c>
      <c r="C387" s="16" t="str">
        <f>IF(Catalog!I360="","",Catalog!I360)&amp;IF(AND(Catalog!I360&lt;&gt;"",Catalog!J360&lt;&gt;""),"; ","")&amp;IF(Catalog!J360="","",Catalog!J360)</f>
        <v/>
      </c>
      <c r="D387" s="16">
        <f>Catalog!Q360</f>
        <v>0</v>
      </c>
      <c r="E387" s="16">
        <f>Catalog!S360</f>
        <v>0</v>
      </c>
      <c r="F387" s="16">
        <f>Catalog!N360</f>
        <v>0</v>
      </c>
      <c r="G387" s="16" t="str">
        <f>Catalog!K360&amp;" / "&amp;Catalog!M360</f>
        <v xml:space="preserve"> / </v>
      </c>
      <c r="H387" s="16" t="str">
        <f t="shared" si="5"/>
        <v>Print</v>
      </c>
      <c r="I387" s="16" t="str">
        <f>IF(Catalog!T360&lt;&gt;"","ISBN:"&amp;Catalog!T360,IF(Catalog!U360&lt;&gt;"","ISSN:"&amp;Catalog!U360,"ACC:"&amp;Catalog!B360))</f>
        <v>ACC:</v>
      </c>
      <c r="J387" s="16">
        <f>Catalog!L360</f>
        <v>0</v>
      </c>
      <c r="K387" s="16">
        <f>IF(Catalog!AH360&lt;&gt;"",Catalog!AH360,Catalog!AF360)</f>
        <v>0</v>
      </c>
      <c r="L387" s="16">
        <f>Catalog!AE360</f>
        <v>0</v>
      </c>
      <c r="M387" s="16">
        <f>Catalog!W360</f>
        <v>0</v>
      </c>
      <c r="N387" s="16">
        <f>Catalog!R360</f>
        <v>0</v>
      </c>
      <c r="O387" s="16">
        <f>Catalog!AG360</f>
        <v>0</v>
      </c>
    </row>
    <row r="388" spans="1:15" ht="15.75" x14ac:dyDescent="0.25">
      <c r="A388" s="16">
        <f>Catalog!D361</f>
        <v>0</v>
      </c>
      <c r="B388" s="16">
        <f>Catalog!F361</f>
        <v>0</v>
      </c>
      <c r="C388" s="16" t="str">
        <f>IF(Catalog!I361="","",Catalog!I361)&amp;IF(AND(Catalog!I361&lt;&gt;"",Catalog!J361&lt;&gt;""),"; ","")&amp;IF(Catalog!J361="","",Catalog!J361)</f>
        <v/>
      </c>
      <c r="D388" s="16">
        <f>Catalog!Q361</f>
        <v>0</v>
      </c>
      <c r="E388" s="16">
        <f>Catalog!S361</f>
        <v>0</v>
      </c>
      <c r="F388" s="16">
        <f>Catalog!N361</f>
        <v>0</v>
      </c>
      <c r="G388" s="16" t="str">
        <f>Catalog!K361&amp;" / "&amp;Catalog!M361</f>
        <v xml:space="preserve"> / </v>
      </c>
      <c r="H388" s="16" t="str">
        <f t="shared" si="5"/>
        <v>Print</v>
      </c>
      <c r="I388" s="16" t="str">
        <f>IF(Catalog!T361&lt;&gt;"","ISBN:"&amp;Catalog!T361,IF(Catalog!U361&lt;&gt;"","ISSN:"&amp;Catalog!U361,"ACC:"&amp;Catalog!B361))</f>
        <v>ACC:</v>
      </c>
      <c r="J388" s="16">
        <f>Catalog!L361</f>
        <v>0</v>
      </c>
      <c r="K388" s="16">
        <f>IF(Catalog!AH361&lt;&gt;"",Catalog!AH361,Catalog!AF361)</f>
        <v>0</v>
      </c>
      <c r="L388" s="16">
        <f>Catalog!AE361</f>
        <v>0</v>
      </c>
      <c r="M388" s="16">
        <f>Catalog!W361</f>
        <v>0</v>
      </c>
      <c r="N388" s="16">
        <f>Catalog!R361</f>
        <v>0</v>
      </c>
      <c r="O388" s="16">
        <f>Catalog!AG361</f>
        <v>0</v>
      </c>
    </row>
    <row r="389" spans="1:15" ht="15.75" x14ac:dyDescent="0.25">
      <c r="A389" s="16">
        <f>Catalog!D362</f>
        <v>0</v>
      </c>
      <c r="B389" s="16">
        <f>Catalog!F362</f>
        <v>0</v>
      </c>
      <c r="C389" s="16" t="str">
        <f>IF(Catalog!I362="","",Catalog!I362)&amp;IF(AND(Catalog!I362&lt;&gt;"",Catalog!J362&lt;&gt;""),"; ","")&amp;IF(Catalog!J362="","",Catalog!J362)</f>
        <v/>
      </c>
      <c r="D389" s="16">
        <f>Catalog!Q362</f>
        <v>0</v>
      </c>
      <c r="E389" s="16">
        <f>Catalog!S362</f>
        <v>0</v>
      </c>
      <c r="F389" s="16">
        <f>Catalog!N362</f>
        <v>0</v>
      </c>
      <c r="G389" s="16" t="str">
        <f>Catalog!K362&amp;" / "&amp;Catalog!M362</f>
        <v xml:space="preserve"> / </v>
      </c>
      <c r="H389" s="16" t="str">
        <f t="shared" si="5"/>
        <v>Print</v>
      </c>
      <c r="I389" s="16" t="str">
        <f>IF(Catalog!T362&lt;&gt;"","ISBN:"&amp;Catalog!T362,IF(Catalog!U362&lt;&gt;"","ISSN:"&amp;Catalog!U362,"ACC:"&amp;Catalog!B362))</f>
        <v>ACC:</v>
      </c>
      <c r="J389" s="16">
        <f>Catalog!L362</f>
        <v>0</v>
      </c>
      <c r="K389" s="16">
        <f>IF(Catalog!AH362&lt;&gt;"",Catalog!AH362,Catalog!AF362)</f>
        <v>0</v>
      </c>
      <c r="L389" s="16">
        <f>Catalog!AE362</f>
        <v>0</v>
      </c>
      <c r="M389" s="16">
        <f>Catalog!W362</f>
        <v>0</v>
      </c>
      <c r="N389" s="16">
        <f>Catalog!R362</f>
        <v>0</v>
      </c>
      <c r="O389" s="16">
        <f>Catalog!AG362</f>
        <v>0</v>
      </c>
    </row>
    <row r="390" spans="1:15" ht="15.75" x14ac:dyDescent="0.25">
      <c r="A390" s="16">
        <f>Catalog!D363</f>
        <v>0</v>
      </c>
      <c r="B390" s="16">
        <f>Catalog!F363</f>
        <v>0</v>
      </c>
      <c r="C390" s="16" t="str">
        <f>IF(Catalog!I363="","",Catalog!I363)&amp;IF(AND(Catalog!I363&lt;&gt;"",Catalog!J363&lt;&gt;""),"; ","")&amp;IF(Catalog!J363="","",Catalog!J363)</f>
        <v/>
      </c>
      <c r="D390" s="16">
        <f>Catalog!Q363</f>
        <v>0</v>
      </c>
      <c r="E390" s="16">
        <f>Catalog!S363</f>
        <v>0</v>
      </c>
      <c r="F390" s="16">
        <f>Catalog!N363</f>
        <v>0</v>
      </c>
      <c r="G390" s="16" t="str">
        <f>Catalog!K363&amp;" / "&amp;Catalog!M363</f>
        <v xml:space="preserve"> / </v>
      </c>
      <c r="H390" s="16" t="str">
        <f t="shared" si="5"/>
        <v>Print</v>
      </c>
      <c r="I390" s="16" t="str">
        <f>IF(Catalog!T363&lt;&gt;"","ISBN:"&amp;Catalog!T363,IF(Catalog!U363&lt;&gt;"","ISSN:"&amp;Catalog!U363,"ACC:"&amp;Catalog!B363))</f>
        <v>ACC:</v>
      </c>
      <c r="J390" s="16">
        <f>Catalog!L363</f>
        <v>0</v>
      </c>
      <c r="K390" s="16">
        <f>IF(Catalog!AH363&lt;&gt;"",Catalog!AH363,Catalog!AF363)</f>
        <v>0</v>
      </c>
      <c r="L390" s="16">
        <f>Catalog!AE363</f>
        <v>0</v>
      </c>
      <c r="M390" s="16">
        <f>Catalog!W363</f>
        <v>0</v>
      </c>
      <c r="N390" s="16">
        <f>Catalog!R363</f>
        <v>0</v>
      </c>
      <c r="O390" s="16">
        <f>Catalog!AG363</f>
        <v>0</v>
      </c>
    </row>
    <row r="391" spans="1:15" ht="15.75" x14ac:dyDescent="0.25">
      <c r="A391" s="16">
        <f>Catalog!D364</f>
        <v>0</v>
      </c>
      <c r="B391" s="16">
        <f>Catalog!F364</f>
        <v>0</v>
      </c>
      <c r="C391" s="16" t="str">
        <f>IF(Catalog!I364="","",Catalog!I364)&amp;IF(AND(Catalog!I364&lt;&gt;"",Catalog!J364&lt;&gt;""),"; ","")&amp;IF(Catalog!J364="","",Catalog!J364)</f>
        <v/>
      </c>
      <c r="D391" s="16">
        <f>Catalog!Q364</f>
        <v>0</v>
      </c>
      <c r="E391" s="16">
        <f>Catalog!S364</f>
        <v>0</v>
      </c>
      <c r="F391" s="16">
        <f>Catalog!N364</f>
        <v>0</v>
      </c>
      <c r="G391" s="16" t="str">
        <f>Catalog!K364&amp;" / "&amp;Catalog!M364</f>
        <v xml:space="preserve"> / </v>
      </c>
      <c r="H391" s="16" t="str">
        <f t="shared" si="5"/>
        <v>Print</v>
      </c>
      <c r="I391" s="16" t="str">
        <f>IF(Catalog!T364&lt;&gt;"","ISBN:"&amp;Catalog!T364,IF(Catalog!U364&lt;&gt;"","ISSN:"&amp;Catalog!U364,"ACC:"&amp;Catalog!B364))</f>
        <v>ACC:</v>
      </c>
      <c r="J391" s="16">
        <f>Catalog!L364</f>
        <v>0</v>
      </c>
      <c r="K391" s="16">
        <f>IF(Catalog!AH364&lt;&gt;"",Catalog!AH364,Catalog!AF364)</f>
        <v>0</v>
      </c>
      <c r="L391" s="16">
        <f>Catalog!AE364</f>
        <v>0</v>
      </c>
      <c r="M391" s="16">
        <f>Catalog!W364</f>
        <v>0</v>
      </c>
      <c r="N391" s="16">
        <f>Catalog!R364</f>
        <v>0</v>
      </c>
      <c r="O391" s="16">
        <f>Catalog!AG364</f>
        <v>0</v>
      </c>
    </row>
    <row r="392" spans="1:15" ht="15.75" x14ac:dyDescent="0.25">
      <c r="A392" s="16">
        <f>Catalog!D365</f>
        <v>0</v>
      </c>
      <c r="B392" s="16">
        <f>Catalog!F365</f>
        <v>0</v>
      </c>
      <c r="C392" s="16" t="str">
        <f>IF(Catalog!I365="","",Catalog!I365)&amp;IF(AND(Catalog!I365&lt;&gt;"",Catalog!J365&lt;&gt;""),"; ","")&amp;IF(Catalog!J365="","",Catalog!J365)</f>
        <v/>
      </c>
      <c r="D392" s="16">
        <f>Catalog!Q365</f>
        <v>0</v>
      </c>
      <c r="E392" s="16">
        <f>Catalog!S365</f>
        <v>0</v>
      </c>
      <c r="F392" s="16">
        <f>Catalog!N365</f>
        <v>0</v>
      </c>
      <c r="G392" s="16" t="str">
        <f>Catalog!K365&amp;" / "&amp;Catalog!M365</f>
        <v xml:space="preserve"> / </v>
      </c>
      <c r="H392" s="16" t="str">
        <f t="shared" si="5"/>
        <v>Print</v>
      </c>
      <c r="I392" s="16" t="str">
        <f>IF(Catalog!T365&lt;&gt;"","ISBN:"&amp;Catalog!T365,IF(Catalog!U365&lt;&gt;"","ISSN:"&amp;Catalog!U365,"ACC:"&amp;Catalog!B365))</f>
        <v>ACC:</v>
      </c>
      <c r="J392" s="16">
        <f>Catalog!L365</f>
        <v>0</v>
      </c>
      <c r="K392" s="16">
        <f>IF(Catalog!AH365&lt;&gt;"",Catalog!AH365,Catalog!AF365)</f>
        <v>0</v>
      </c>
      <c r="L392" s="16">
        <f>Catalog!AE365</f>
        <v>0</v>
      </c>
      <c r="M392" s="16">
        <f>Catalog!W365</f>
        <v>0</v>
      </c>
      <c r="N392" s="16">
        <f>Catalog!R365</f>
        <v>0</v>
      </c>
      <c r="O392" s="16">
        <f>Catalog!AG365</f>
        <v>0</v>
      </c>
    </row>
    <row r="393" spans="1:15" ht="15.75" x14ac:dyDescent="0.25">
      <c r="A393" s="16">
        <f>Catalog!D366</f>
        <v>0</v>
      </c>
      <c r="B393" s="16">
        <f>Catalog!F366</f>
        <v>0</v>
      </c>
      <c r="C393" s="16" t="str">
        <f>IF(Catalog!I366="","",Catalog!I366)&amp;IF(AND(Catalog!I366&lt;&gt;"",Catalog!J366&lt;&gt;""),"; ","")&amp;IF(Catalog!J366="","",Catalog!J366)</f>
        <v/>
      </c>
      <c r="D393" s="16">
        <f>Catalog!Q366</f>
        <v>0</v>
      </c>
      <c r="E393" s="16">
        <f>Catalog!S366</f>
        <v>0</v>
      </c>
      <c r="F393" s="16">
        <f>Catalog!N366</f>
        <v>0</v>
      </c>
      <c r="G393" s="16" t="str">
        <f>Catalog!K366&amp;" / "&amp;Catalog!M366</f>
        <v xml:space="preserve"> / </v>
      </c>
      <c r="H393" s="16" t="str">
        <f t="shared" si="5"/>
        <v>Print</v>
      </c>
      <c r="I393" s="16" t="str">
        <f>IF(Catalog!T366&lt;&gt;"","ISBN:"&amp;Catalog!T366,IF(Catalog!U366&lt;&gt;"","ISSN:"&amp;Catalog!U366,"ACC:"&amp;Catalog!B366))</f>
        <v>ACC:</v>
      </c>
      <c r="J393" s="16">
        <f>Catalog!L366</f>
        <v>0</v>
      </c>
      <c r="K393" s="16">
        <f>IF(Catalog!AH366&lt;&gt;"",Catalog!AH366,Catalog!AF366)</f>
        <v>0</v>
      </c>
      <c r="L393" s="16">
        <f>Catalog!AE366</f>
        <v>0</v>
      </c>
      <c r="M393" s="16">
        <f>Catalog!W366</f>
        <v>0</v>
      </c>
      <c r="N393" s="16">
        <f>Catalog!R366</f>
        <v>0</v>
      </c>
      <c r="O393" s="16">
        <f>Catalog!AG366</f>
        <v>0</v>
      </c>
    </row>
    <row r="394" spans="1:15" ht="15.75" x14ac:dyDescent="0.25">
      <c r="A394" s="16">
        <f>Catalog!D367</f>
        <v>0</v>
      </c>
      <c r="B394" s="16">
        <f>Catalog!F367</f>
        <v>0</v>
      </c>
      <c r="C394" s="16" t="str">
        <f>IF(Catalog!I367="","",Catalog!I367)&amp;IF(AND(Catalog!I367&lt;&gt;"",Catalog!J367&lt;&gt;""),"; ","")&amp;IF(Catalog!J367="","",Catalog!J367)</f>
        <v/>
      </c>
      <c r="D394" s="16">
        <f>Catalog!Q367</f>
        <v>0</v>
      </c>
      <c r="E394" s="16">
        <f>Catalog!S367</f>
        <v>0</v>
      </c>
      <c r="F394" s="16">
        <f>Catalog!N367</f>
        <v>0</v>
      </c>
      <c r="G394" s="16" t="str">
        <f>Catalog!K367&amp;" / "&amp;Catalog!M367</f>
        <v xml:space="preserve"> / </v>
      </c>
      <c r="H394" s="16" t="str">
        <f t="shared" si="5"/>
        <v>Print</v>
      </c>
      <c r="I394" s="16" t="str">
        <f>IF(Catalog!T367&lt;&gt;"","ISBN:"&amp;Catalog!T367,IF(Catalog!U367&lt;&gt;"","ISSN:"&amp;Catalog!U367,"ACC:"&amp;Catalog!B367))</f>
        <v>ACC:</v>
      </c>
      <c r="J394" s="16">
        <f>Catalog!L367</f>
        <v>0</v>
      </c>
      <c r="K394" s="16">
        <f>IF(Catalog!AH367&lt;&gt;"",Catalog!AH367,Catalog!AF367)</f>
        <v>0</v>
      </c>
      <c r="L394" s="16">
        <f>Catalog!AE367</f>
        <v>0</v>
      </c>
      <c r="M394" s="16">
        <f>Catalog!W367</f>
        <v>0</v>
      </c>
      <c r="N394" s="16">
        <f>Catalog!R367</f>
        <v>0</v>
      </c>
      <c r="O394" s="16">
        <f>Catalog!AG367</f>
        <v>0</v>
      </c>
    </row>
    <row r="395" spans="1:15" ht="15.75" x14ac:dyDescent="0.25">
      <c r="A395" s="16">
        <f>Catalog!D368</f>
        <v>0</v>
      </c>
      <c r="B395" s="16">
        <f>Catalog!F368</f>
        <v>0</v>
      </c>
      <c r="C395" s="16" t="str">
        <f>IF(Catalog!I368="","",Catalog!I368)&amp;IF(AND(Catalog!I368&lt;&gt;"",Catalog!J368&lt;&gt;""),"; ","")&amp;IF(Catalog!J368="","",Catalog!J368)</f>
        <v/>
      </c>
      <c r="D395" s="16">
        <f>Catalog!Q368</f>
        <v>0</v>
      </c>
      <c r="E395" s="16">
        <f>Catalog!S368</f>
        <v>0</v>
      </c>
      <c r="F395" s="16">
        <f>Catalog!N368</f>
        <v>0</v>
      </c>
      <c r="G395" s="16" t="str">
        <f>Catalog!K368&amp;" / "&amp;Catalog!M368</f>
        <v xml:space="preserve"> / </v>
      </c>
      <c r="H395" s="16" t="str">
        <f t="shared" si="5"/>
        <v>Print</v>
      </c>
      <c r="I395" s="16" t="str">
        <f>IF(Catalog!T368&lt;&gt;"","ISBN:"&amp;Catalog!T368,IF(Catalog!U368&lt;&gt;"","ISSN:"&amp;Catalog!U368,"ACC:"&amp;Catalog!B368))</f>
        <v>ACC:</v>
      </c>
      <c r="J395" s="16">
        <f>Catalog!L368</f>
        <v>0</v>
      </c>
      <c r="K395" s="16">
        <f>IF(Catalog!AH368&lt;&gt;"",Catalog!AH368,Catalog!AF368)</f>
        <v>0</v>
      </c>
      <c r="L395" s="16">
        <f>Catalog!AE368</f>
        <v>0</v>
      </c>
      <c r="M395" s="16">
        <f>Catalog!W368</f>
        <v>0</v>
      </c>
      <c r="N395" s="16">
        <f>Catalog!R368</f>
        <v>0</v>
      </c>
      <c r="O395" s="16">
        <f>Catalog!AG368</f>
        <v>0</v>
      </c>
    </row>
    <row r="396" spans="1:15" ht="15.75" x14ac:dyDescent="0.25">
      <c r="A396" s="16">
        <f>Catalog!D369</f>
        <v>0</v>
      </c>
      <c r="B396" s="16">
        <f>Catalog!F369</f>
        <v>0</v>
      </c>
      <c r="C396" s="16" t="str">
        <f>IF(Catalog!I369="","",Catalog!I369)&amp;IF(AND(Catalog!I369&lt;&gt;"",Catalog!J369&lt;&gt;""),"; ","")&amp;IF(Catalog!J369="","",Catalog!J369)</f>
        <v/>
      </c>
      <c r="D396" s="16">
        <f>Catalog!Q369</f>
        <v>0</v>
      </c>
      <c r="E396" s="16">
        <f>Catalog!S369</f>
        <v>0</v>
      </c>
      <c r="F396" s="16">
        <f>Catalog!N369</f>
        <v>0</v>
      </c>
      <c r="G396" s="16" t="str">
        <f>Catalog!K369&amp;" / "&amp;Catalog!M369</f>
        <v xml:space="preserve"> / </v>
      </c>
      <c r="H396" s="16" t="str">
        <f t="shared" si="5"/>
        <v>Print</v>
      </c>
      <c r="I396" s="16" t="str">
        <f>IF(Catalog!T369&lt;&gt;"","ISBN:"&amp;Catalog!T369,IF(Catalog!U369&lt;&gt;"","ISSN:"&amp;Catalog!U369,"ACC:"&amp;Catalog!B369))</f>
        <v>ACC:</v>
      </c>
      <c r="J396" s="16">
        <f>Catalog!L369</f>
        <v>0</v>
      </c>
      <c r="K396" s="16">
        <f>IF(Catalog!AH369&lt;&gt;"",Catalog!AH369,Catalog!AF369)</f>
        <v>0</v>
      </c>
      <c r="L396" s="16">
        <f>Catalog!AE369</f>
        <v>0</v>
      </c>
      <c r="M396" s="16">
        <f>Catalog!W369</f>
        <v>0</v>
      </c>
      <c r="N396" s="16">
        <f>Catalog!R369</f>
        <v>0</v>
      </c>
      <c r="O396" s="16">
        <f>Catalog!AG369</f>
        <v>0</v>
      </c>
    </row>
    <row r="397" spans="1:15" ht="15.75" x14ac:dyDescent="0.25">
      <c r="A397" s="16">
        <f>Catalog!D370</f>
        <v>0</v>
      </c>
      <c r="B397" s="16">
        <f>Catalog!F370</f>
        <v>0</v>
      </c>
      <c r="C397" s="16" t="str">
        <f>IF(Catalog!I370="","",Catalog!I370)&amp;IF(AND(Catalog!I370&lt;&gt;"",Catalog!J370&lt;&gt;""),"; ","")&amp;IF(Catalog!J370="","",Catalog!J370)</f>
        <v/>
      </c>
      <c r="D397" s="16">
        <f>Catalog!Q370</f>
        <v>0</v>
      </c>
      <c r="E397" s="16">
        <f>Catalog!S370</f>
        <v>0</v>
      </c>
      <c r="F397" s="16">
        <f>Catalog!N370</f>
        <v>0</v>
      </c>
      <c r="G397" s="16" t="str">
        <f>Catalog!K370&amp;" / "&amp;Catalog!M370</f>
        <v xml:space="preserve"> / </v>
      </c>
      <c r="H397" s="16" t="str">
        <f t="shared" si="5"/>
        <v>Print</v>
      </c>
      <c r="I397" s="16" t="str">
        <f>IF(Catalog!T370&lt;&gt;"","ISBN:"&amp;Catalog!T370,IF(Catalog!U370&lt;&gt;"","ISSN:"&amp;Catalog!U370,"ACC:"&amp;Catalog!B370))</f>
        <v>ACC:</v>
      </c>
      <c r="J397" s="16">
        <f>Catalog!L370</f>
        <v>0</v>
      </c>
      <c r="K397" s="16">
        <f>IF(Catalog!AH370&lt;&gt;"",Catalog!AH370,Catalog!AF370)</f>
        <v>0</v>
      </c>
      <c r="L397" s="16">
        <f>Catalog!AE370</f>
        <v>0</v>
      </c>
      <c r="M397" s="16">
        <f>Catalog!W370</f>
        <v>0</v>
      </c>
      <c r="N397" s="16">
        <f>Catalog!R370</f>
        <v>0</v>
      </c>
      <c r="O397" s="16">
        <f>Catalog!AG370</f>
        <v>0</v>
      </c>
    </row>
    <row r="398" spans="1:15" ht="15.75" x14ac:dyDescent="0.25">
      <c r="A398" s="16">
        <f>Catalog!D371</f>
        <v>0</v>
      </c>
      <c r="B398" s="16">
        <f>Catalog!F371</f>
        <v>0</v>
      </c>
      <c r="C398" s="16" t="str">
        <f>IF(Catalog!I371="","",Catalog!I371)&amp;IF(AND(Catalog!I371&lt;&gt;"",Catalog!J371&lt;&gt;""),"; ","")&amp;IF(Catalog!J371="","",Catalog!J371)</f>
        <v/>
      </c>
      <c r="D398" s="16">
        <f>Catalog!Q371</f>
        <v>0</v>
      </c>
      <c r="E398" s="16">
        <f>Catalog!S371</f>
        <v>0</v>
      </c>
      <c r="F398" s="16">
        <f>Catalog!N371</f>
        <v>0</v>
      </c>
      <c r="G398" s="16" t="str">
        <f>Catalog!K371&amp;" / "&amp;Catalog!M371</f>
        <v xml:space="preserve"> / </v>
      </c>
      <c r="H398" s="16" t="str">
        <f t="shared" si="5"/>
        <v>Print</v>
      </c>
      <c r="I398" s="16" t="str">
        <f>IF(Catalog!T371&lt;&gt;"","ISBN:"&amp;Catalog!T371,IF(Catalog!U371&lt;&gt;"","ISSN:"&amp;Catalog!U371,"ACC:"&amp;Catalog!B371))</f>
        <v>ACC:</v>
      </c>
      <c r="J398" s="16">
        <f>Catalog!L371</f>
        <v>0</v>
      </c>
      <c r="K398" s="16">
        <f>IF(Catalog!AH371&lt;&gt;"",Catalog!AH371,Catalog!AF371)</f>
        <v>0</v>
      </c>
      <c r="L398" s="16">
        <f>Catalog!AE371</f>
        <v>0</v>
      </c>
      <c r="M398" s="16">
        <f>Catalog!W371</f>
        <v>0</v>
      </c>
      <c r="N398" s="16">
        <f>Catalog!R371</f>
        <v>0</v>
      </c>
      <c r="O398" s="16">
        <f>Catalog!AG371</f>
        <v>0</v>
      </c>
    </row>
    <row r="399" spans="1:15" ht="15.75" x14ac:dyDescent="0.25">
      <c r="A399" s="16">
        <f>Catalog!D372</f>
        <v>0</v>
      </c>
      <c r="B399" s="16">
        <f>Catalog!F372</f>
        <v>0</v>
      </c>
      <c r="C399" s="16" t="str">
        <f>IF(Catalog!I372="","",Catalog!I372)&amp;IF(AND(Catalog!I372&lt;&gt;"",Catalog!J372&lt;&gt;""),"; ","")&amp;IF(Catalog!J372="","",Catalog!J372)</f>
        <v/>
      </c>
      <c r="D399" s="16">
        <f>Catalog!Q372</f>
        <v>0</v>
      </c>
      <c r="E399" s="16">
        <f>Catalog!S372</f>
        <v>0</v>
      </c>
      <c r="F399" s="16">
        <f>Catalog!N372</f>
        <v>0</v>
      </c>
      <c r="G399" s="16" t="str">
        <f>Catalog!K372&amp;" / "&amp;Catalog!M372</f>
        <v xml:space="preserve"> / </v>
      </c>
      <c r="H399" s="16" t="str">
        <f t="shared" si="5"/>
        <v>Print</v>
      </c>
      <c r="I399" s="16" t="str">
        <f>IF(Catalog!T372&lt;&gt;"","ISBN:"&amp;Catalog!T372,IF(Catalog!U372&lt;&gt;"","ISSN:"&amp;Catalog!U372,"ACC:"&amp;Catalog!B372))</f>
        <v>ACC:</v>
      </c>
      <c r="J399" s="16">
        <f>Catalog!L372</f>
        <v>0</v>
      </c>
      <c r="K399" s="16">
        <f>IF(Catalog!AH372&lt;&gt;"",Catalog!AH372,Catalog!AF372)</f>
        <v>0</v>
      </c>
      <c r="L399" s="16">
        <f>Catalog!AE372</f>
        <v>0</v>
      </c>
      <c r="M399" s="16">
        <f>Catalog!W372</f>
        <v>0</v>
      </c>
      <c r="N399" s="16">
        <f>Catalog!R372</f>
        <v>0</v>
      </c>
      <c r="O399" s="16">
        <f>Catalog!AG372</f>
        <v>0</v>
      </c>
    </row>
    <row r="400" spans="1:15" ht="15.75" x14ac:dyDescent="0.25">
      <c r="A400" s="16">
        <f>Catalog!D373</f>
        <v>0</v>
      </c>
      <c r="B400" s="16">
        <f>Catalog!F373</f>
        <v>0</v>
      </c>
      <c r="C400" s="16" t="str">
        <f>IF(Catalog!I373="","",Catalog!I373)&amp;IF(AND(Catalog!I373&lt;&gt;"",Catalog!J373&lt;&gt;""),"; ","")&amp;IF(Catalog!J373="","",Catalog!J373)</f>
        <v/>
      </c>
      <c r="D400" s="16">
        <f>Catalog!Q373</f>
        <v>0</v>
      </c>
      <c r="E400" s="16">
        <f>Catalog!S373</f>
        <v>0</v>
      </c>
      <c r="F400" s="16">
        <f>Catalog!N373</f>
        <v>0</v>
      </c>
      <c r="G400" s="16" t="str">
        <f>Catalog!K373&amp;" / "&amp;Catalog!M373</f>
        <v xml:space="preserve"> / </v>
      </c>
      <c r="H400" s="16" t="str">
        <f t="shared" si="5"/>
        <v>Print</v>
      </c>
      <c r="I400" s="16" t="str">
        <f>IF(Catalog!T373&lt;&gt;"","ISBN:"&amp;Catalog!T373,IF(Catalog!U373&lt;&gt;"","ISSN:"&amp;Catalog!U373,"ACC:"&amp;Catalog!B373))</f>
        <v>ACC:</v>
      </c>
      <c r="J400" s="16">
        <f>Catalog!L373</f>
        <v>0</v>
      </c>
      <c r="K400" s="16">
        <f>IF(Catalog!AH373&lt;&gt;"",Catalog!AH373,Catalog!AF373)</f>
        <v>0</v>
      </c>
      <c r="L400" s="16">
        <f>Catalog!AE373</f>
        <v>0</v>
      </c>
      <c r="M400" s="16">
        <f>Catalog!W373</f>
        <v>0</v>
      </c>
      <c r="N400" s="16">
        <f>Catalog!R373</f>
        <v>0</v>
      </c>
      <c r="O400" s="16">
        <f>Catalog!AG373</f>
        <v>0</v>
      </c>
    </row>
    <row r="401" spans="1:15" ht="15.75" x14ac:dyDescent="0.25">
      <c r="A401" s="16">
        <f>Catalog!D374</f>
        <v>0</v>
      </c>
      <c r="B401" s="16">
        <f>Catalog!F374</f>
        <v>0</v>
      </c>
      <c r="C401" s="16" t="str">
        <f>IF(Catalog!I374="","",Catalog!I374)&amp;IF(AND(Catalog!I374&lt;&gt;"",Catalog!J374&lt;&gt;""),"; ","")&amp;IF(Catalog!J374="","",Catalog!J374)</f>
        <v/>
      </c>
      <c r="D401" s="16">
        <f>Catalog!Q374</f>
        <v>0</v>
      </c>
      <c r="E401" s="16">
        <f>Catalog!S374</f>
        <v>0</v>
      </c>
      <c r="F401" s="16">
        <f>Catalog!N374</f>
        <v>0</v>
      </c>
      <c r="G401" s="16" t="str">
        <f>Catalog!K374&amp;" / "&amp;Catalog!M374</f>
        <v xml:space="preserve"> / </v>
      </c>
      <c r="H401" s="16" t="str">
        <f t="shared" si="5"/>
        <v>Print</v>
      </c>
      <c r="I401" s="16" t="str">
        <f>IF(Catalog!T374&lt;&gt;"","ISBN:"&amp;Catalog!T374,IF(Catalog!U374&lt;&gt;"","ISSN:"&amp;Catalog!U374,"ACC:"&amp;Catalog!B374))</f>
        <v>ACC:</v>
      </c>
      <c r="J401" s="16">
        <f>Catalog!L374</f>
        <v>0</v>
      </c>
      <c r="K401" s="16">
        <f>IF(Catalog!AH374&lt;&gt;"",Catalog!AH374,Catalog!AF374)</f>
        <v>0</v>
      </c>
      <c r="L401" s="16">
        <f>Catalog!AE374</f>
        <v>0</v>
      </c>
      <c r="M401" s="16">
        <f>Catalog!W374</f>
        <v>0</v>
      </c>
      <c r="N401" s="16">
        <f>Catalog!R374</f>
        <v>0</v>
      </c>
      <c r="O401" s="16">
        <f>Catalog!AG374</f>
        <v>0</v>
      </c>
    </row>
    <row r="402" spans="1:15" ht="15.75" x14ac:dyDescent="0.25">
      <c r="A402" s="16">
        <f>Catalog!D375</f>
        <v>0</v>
      </c>
      <c r="B402" s="16">
        <f>Catalog!F375</f>
        <v>0</v>
      </c>
      <c r="C402" s="16" t="str">
        <f>IF(Catalog!I375="","",Catalog!I375)&amp;IF(AND(Catalog!I375&lt;&gt;"",Catalog!J375&lt;&gt;""),"; ","")&amp;IF(Catalog!J375="","",Catalog!J375)</f>
        <v/>
      </c>
      <c r="D402" s="16">
        <f>Catalog!Q375</f>
        <v>0</v>
      </c>
      <c r="E402" s="16">
        <f>Catalog!S375</f>
        <v>0</v>
      </c>
      <c r="F402" s="16">
        <f>Catalog!N375</f>
        <v>0</v>
      </c>
      <c r="G402" s="16" t="str">
        <f>Catalog!K375&amp;" / "&amp;Catalog!M375</f>
        <v xml:space="preserve"> / </v>
      </c>
      <c r="H402" s="16" t="str">
        <f t="shared" si="5"/>
        <v>Print</v>
      </c>
      <c r="I402" s="16" t="str">
        <f>IF(Catalog!T375&lt;&gt;"","ISBN:"&amp;Catalog!T375,IF(Catalog!U375&lt;&gt;"","ISSN:"&amp;Catalog!U375,"ACC:"&amp;Catalog!B375))</f>
        <v>ACC:</v>
      </c>
      <c r="J402" s="16">
        <f>Catalog!L375</f>
        <v>0</v>
      </c>
      <c r="K402" s="16">
        <f>IF(Catalog!AH375&lt;&gt;"",Catalog!AH375,Catalog!AF375)</f>
        <v>0</v>
      </c>
      <c r="L402" s="16">
        <f>Catalog!AE375</f>
        <v>0</v>
      </c>
      <c r="M402" s="16">
        <f>Catalog!W375</f>
        <v>0</v>
      </c>
      <c r="N402" s="16">
        <f>Catalog!R375</f>
        <v>0</v>
      </c>
      <c r="O402" s="16">
        <f>Catalog!AG375</f>
        <v>0</v>
      </c>
    </row>
    <row r="403" spans="1:15" ht="15.75" x14ac:dyDescent="0.25">
      <c r="A403" s="16">
        <f>Catalog!D376</f>
        <v>0</v>
      </c>
      <c r="B403" s="16">
        <f>Catalog!F376</f>
        <v>0</v>
      </c>
      <c r="C403" s="16" t="str">
        <f>IF(Catalog!I376="","",Catalog!I376)&amp;IF(AND(Catalog!I376&lt;&gt;"",Catalog!J376&lt;&gt;""),"; ","")&amp;IF(Catalog!J376="","",Catalog!J376)</f>
        <v/>
      </c>
      <c r="D403" s="16">
        <f>Catalog!Q376</f>
        <v>0</v>
      </c>
      <c r="E403" s="16">
        <f>Catalog!S376</f>
        <v>0</v>
      </c>
      <c r="F403" s="16">
        <f>Catalog!N376</f>
        <v>0</v>
      </c>
      <c r="G403" s="16" t="str">
        <f>Catalog!K376&amp;" / "&amp;Catalog!M376</f>
        <v xml:space="preserve"> / </v>
      </c>
      <c r="H403" s="16" t="str">
        <f t="shared" si="5"/>
        <v>Print</v>
      </c>
      <c r="I403" s="16" t="str">
        <f>IF(Catalog!T376&lt;&gt;"","ISBN:"&amp;Catalog!T376,IF(Catalog!U376&lt;&gt;"","ISSN:"&amp;Catalog!U376,"ACC:"&amp;Catalog!B376))</f>
        <v>ACC:</v>
      </c>
      <c r="J403" s="16">
        <f>Catalog!L376</f>
        <v>0</v>
      </c>
      <c r="K403" s="16">
        <f>IF(Catalog!AH376&lt;&gt;"",Catalog!AH376,Catalog!AF376)</f>
        <v>0</v>
      </c>
      <c r="L403" s="16">
        <f>Catalog!AE376</f>
        <v>0</v>
      </c>
      <c r="M403" s="16">
        <f>Catalog!W376</f>
        <v>0</v>
      </c>
      <c r="N403" s="16">
        <f>Catalog!R376</f>
        <v>0</v>
      </c>
      <c r="O403" s="16">
        <f>Catalog!AG376</f>
        <v>0</v>
      </c>
    </row>
    <row r="404" spans="1:15" ht="15.75" x14ac:dyDescent="0.25">
      <c r="A404" s="16">
        <f>Catalog!D377</f>
        <v>0</v>
      </c>
      <c r="B404" s="16">
        <f>Catalog!F377</f>
        <v>0</v>
      </c>
      <c r="C404" s="16" t="str">
        <f>IF(Catalog!I377="","",Catalog!I377)&amp;IF(AND(Catalog!I377&lt;&gt;"",Catalog!J377&lt;&gt;""),"; ","")&amp;IF(Catalog!J377="","",Catalog!J377)</f>
        <v/>
      </c>
      <c r="D404" s="16">
        <f>Catalog!Q377</f>
        <v>0</v>
      </c>
      <c r="E404" s="16">
        <f>Catalog!S377</f>
        <v>0</v>
      </c>
      <c r="F404" s="16">
        <f>Catalog!N377</f>
        <v>0</v>
      </c>
      <c r="G404" s="16" t="str">
        <f>Catalog!K377&amp;" / "&amp;Catalog!M377</f>
        <v xml:space="preserve"> / </v>
      </c>
      <c r="H404" s="16" t="str">
        <f t="shared" si="5"/>
        <v>Print</v>
      </c>
      <c r="I404" s="16" t="str">
        <f>IF(Catalog!T377&lt;&gt;"","ISBN:"&amp;Catalog!T377,IF(Catalog!U377&lt;&gt;"","ISSN:"&amp;Catalog!U377,"ACC:"&amp;Catalog!B377))</f>
        <v>ACC:</v>
      </c>
      <c r="J404" s="16">
        <f>Catalog!L377</f>
        <v>0</v>
      </c>
      <c r="K404" s="16">
        <f>IF(Catalog!AH377&lt;&gt;"",Catalog!AH377,Catalog!AF377)</f>
        <v>0</v>
      </c>
      <c r="L404" s="16">
        <f>Catalog!AE377</f>
        <v>0</v>
      </c>
      <c r="M404" s="16">
        <f>Catalog!W377</f>
        <v>0</v>
      </c>
      <c r="N404" s="16">
        <f>Catalog!R377</f>
        <v>0</v>
      </c>
      <c r="O404" s="16">
        <f>Catalog!AG377</f>
        <v>0</v>
      </c>
    </row>
    <row r="405" spans="1:15" ht="15.75" x14ac:dyDescent="0.25">
      <c r="A405" s="16">
        <f>Catalog!D378</f>
        <v>0</v>
      </c>
      <c r="B405" s="16">
        <f>Catalog!F378</f>
        <v>0</v>
      </c>
      <c r="C405" s="16" t="str">
        <f>IF(Catalog!I378="","",Catalog!I378)&amp;IF(AND(Catalog!I378&lt;&gt;"",Catalog!J378&lt;&gt;""),"; ","")&amp;IF(Catalog!J378="","",Catalog!J378)</f>
        <v/>
      </c>
      <c r="D405" s="16">
        <f>Catalog!Q378</f>
        <v>0</v>
      </c>
      <c r="E405" s="16">
        <f>Catalog!S378</f>
        <v>0</v>
      </c>
      <c r="F405" s="16">
        <f>Catalog!N378</f>
        <v>0</v>
      </c>
      <c r="G405" s="16" t="str">
        <f>Catalog!K378&amp;" / "&amp;Catalog!M378</f>
        <v xml:space="preserve"> / </v>
      </c>
      <c r="H405" s="16" t="str">
        <f t="shared" si="5"/>
        <v>Print</v>
      </c>
      <c r="I405" s="16" t="str">
        <f>IF(Catalog!T378&lt;&gt;"","ISBN:"&amp;Catalog!T378,IF(Catalog!U378&lt;&gt;"","ISSN:"&amp;Catalog!U378,"ACC:"&amp;Catalog!B378))</f>
        <v>ACC:</v>
      </c>
      <c r="J405" s="16">
        <f>Catalog!L378</f>
        <v>0</v>
      </c>
      <c r="K405" s="16">
        <f>IF(Catalog!AH378&lt;&gt;"",Catalog!AH378,Catalog!AF378)</f>
        <v>0</v>
      </c>
      <c r="L405" s="16">
        <f>Catalog!AE378</f>
        <v>0</v>
      </c>
      <c r="M405" s="16">
        <f>Catalog!W378</f>
        <v>0</v>
      </c>
      <c r="N405" s="16">
        <f>Catalog!R378</f>
        <v>0</v>
      </c>
      <c r="O405" s="16">
        <f>Catalog!AG378</f>
        <v>0</v>
      </c>
    </row>
    <row r="406" spans="1:15" ht="15.75" x14ac:dyDescent="0.25">
      <c r="A406" s="16">
        <f>Catalog!D379</f>
        <v>0</v>
      </c>
      <c r="B406" s="16">
        <f>Catalog!F379</f>
        <v>0</v>
      </c>
      <c r="C406" s="16" t="str">
        <f>IF(Catalog!I379="","",Catalog!I379)&amp;IF(AND(Catalog!I379&lt;&gt;"",Catalog!J379&lt;&gt;""),"; ","")&amp;IF(Catalog!J379="","",Catalog!J379)</f>
        <v/>
      </c>
      <c r="D406" s="16">
        <f>Catalog!Q379</f>
        <v>0</v>
      </c>
      <c r="E406" s="16">
        <f>Catalog!S379</f>
        <v>0</v>
      </c>
      <c r="F406" s="16">
        <f>Catalog!N379</f>
        <v>0</v>
      </c>
      <c r="G406" s="16" t="str">
        <f>Catalog!K379&amp;" / "&amp;Catalog!M379</f>
        <v xml:space="preserve"> / </v>
      </c>
      <c r="H406" s="16" t="str">
        <f t="shared" si="5"/>
        <v>Print</v>
      </c>
      <c r="I406" s="16" t="str">
        <f>IF(Catalog!T379&lt;&gt;"","ISBN:"&amp;Catalog!T379,IF(Catalog!U379&lt;&gt;"","ISSN:"&amp;Catalog!U379,"ACC:"&amp;Catalog!B379))</f>
        <v>ACC:</v>
      </c>
      <c r="J406" s="16">
        <f>Catalog!L379</f>
        <v>0</v>
      </c>
      <c r="K406" s="16">
        <f>IF(Catalog!AH379&lt;&gt;"",Catalog!AH379,Catalog!AF379)</f>
        <v>0</v>
      </c>
      <c r="L406" s="16">
        <f>Catalog!AE379</f>
        <v>0</v>
      </c>
      <c r="M406" s="16">
        <f>Catalog!W379</f>
        <v>0</v>
      </c>
      <c r="N406" s="16">
        <f>Catalog!R379</f>
        <v>0</v>
      </c>
      <c r="O406" s="16">
        <f>Catalog!AG379</f>
        <v>0</v>
      </c>
    </row>
    <row r="407" spans="1:15" ht="15.75" x14ac:dyDescent="0.25">
      <c r="A407" s="16">
        <f>Catalog!D380</f>
        <v>0</v>
      </c>
      <c r="B407" s="16">
        <f>Catalog!F380</f>
        <v>0</v>
      </c>
      <c r="C407" s="16" t="str">
        <f>IF(Catalog!I380="","",Catalog!I380)&amp;IF(AND(Catalog!I380&lt;&gt;"",Catalog!J380&lt;&gt;""),"; ","")&amp;IF(Catalog!J380="","",Catalog!J380)</f>
        <v/>
      </c>
      <c r="D407" s="16">
        <f>Catalog!Q380</f>
        <v>0</v>
      </c>
      <c r="E407" s="16">
        <f>Catalog!S380</f>
        <v>0</v>
      </c>
      <c r="F407" s="16">
        <f>Catalog!N380</f>
        <v>0</v>
      </c>
      <c r="G407" s="16" t="str">
        <f>Catalog!K380&amp;" / "&amp;Catalog!M380</f>
        <v xml:space="preserve"> / </v>
      </c>
      <c r="H407" s="16" t="str">
        <f t="shared" si="5"/>
        <v>Print</v>
      </c>
      <c r="I407" s="16" t="str">
        <f>IF(Catalog!T380&lt;&gt;"","ISBN:"&amp;Catalog!T380,IF(Catalog!U380&lt;&gt;"","ISSN:"&amp;Catalog!U380,"ACC:"&amp;Catalog!B380))</f>
        <v>ACC:</v>
      </c>
      <c r="J407" s="16">
        <f>Catalog!L380</f>
        <v>0</v>
      </c>
      <c r="K407" s="16">
        <f>IF(Catalog!AH380&lt;&gt;"",Catalog!AH380,Catalog!AF380)</f>
        <v>0</v>
      </c>
      <c r="L407" s="16">
        <f>Catalog!AE380</f>
        <v>0</v>
      </c>
      <c r="M407" s="16">
        <f>Catalog!W380</f>
        <v>0</v>
      </c>
      <c r="N407" s="16">
        <f>Catalog!R380</f>
        <v>0</v>
      </c>
      <c r="O407" s="16">
        <f>Catalog!AG380</f>
        <v>0</v>
      </c>
    </row>
    <row r="408" spans="1:15" ht="15.75" x14ac:dyDescent="0.25">
      <c r="A408" s="16">
        <f>Catalog!D381</f>
        <v>0</v>
      </c>
      <c r="B408" s="16">
        <f>Catalog!F381</f>
        <v>0</v>
      </c>
      <c r="C408" s="16" t="str">
        <f>IF(Catalog!I381="","",Catalog!I381)&amp;IF(AND(Catalog!I381&lt;&gt;"",Catalog!J381&lt;&gt;""),"; ","")&amp;IF(Catalog!J381="","",Catalog!J381)</f>
        <v/>
      </c>
      <c r="D408" s="16">
        <f>Catalog!Q381</f>
        <v>0</v>
      </c>
      <c r="E408" s="16">
        <f>Catalog!S381</f>
        <v>0</v>
      </c>
      <c r="F408" s="16">
        <f>Catalog!N381</f>
        <v>0</v>
      </c>
      <c r="G408" s="16" t="str">
        <f>Catalog!K381&amp;" / "&amp;Catalog!M381</f>
        <v xml:space="preserve"> / </v>
      </c>
      <c r="H408" s="16" t="str">
        <f t="shared" si="5"/>
        <v>Print</v>
      </c>
      <c r="I408" s="16" t="str">
        <f>IF(Catalog!T381&lt;&gt;"","ISBN:"&amp;Catalog!T381,IF(Catalog!U381&lt;&gt;"","ISSN:"&amp;Catalog!U381,"ACC:"&amp;Catalog!B381))</f>
        <v>ACC:</v>
      </c>
      <c r="J408" s="16">
        <f>Catalog!L381</f>
        <v>0</v>
      </c>
      <c r="K408" s="16">
        <f>IF(Catalog!AH381&lt;&gt;"",Catalog!AH381,Catalog!AF381)</f>
        <v>0</v>
      </c>
      <c r="L408" s="16">
        <f>Catalog!AE381</f>
        <v>0</v>
      </c>
      <c r="M408" s="16">
        <f>Catalog!W381</f>
        <v>0</v>
      </c>
      <c r="N408" s="16">
        <f>Catalog!R381</f>
        <v>0</v>
      </c>
      <c r="O408" s="16">
        <f>Catalog!AG381</f>
        <v>0</v>
      </c>
    </row>
    <row r="409" spans="1:15" ht="15.75" x14ac:dyDescent="0.25">
      <c r="A409" s="16">
        <f>Catalog!D382</f>
        <v>0</v>
      </c>
      <c r="B409" s="16">
        <f>Catalog!F382</f>
        <v>0</v>
      </c>
      <c r="C409" s="16" t="str">
        <f>IF(Catalog!I382="","",Catalog!I382)&amp;IF(AND(Catalog!I382&lt;&gt;"",Catalog!J382&lt;&gt;""),"; ","")&amp;IF(Catalog!J382="","",Catalog!J382)</f>
        <v/>
      </c>
      <c r="D409" s="16">
        <f>Catalog!Q382</f>
        <v>0</v>
      </c>
      <c r="E409" s="16">
        <f>Catalog!S382</f>
        <v>0</v>
      </c>
      <c r="F409" s="16">
        <f>Catalog!N382</f>
        <v>0</v>
      </c>
      <c r="G409" s="16" t="str">
        <f>Catalog!K382&amp;" / "&amp;Catalog!M382</f>
        <v xml:space="preserve"> / </v>
      </c>
      <c r="H409" s="16" t="str">
        <f t="shared" si="5"/>
        <v>Print</v>
      </c>
      <c r="I409" s="16" t="str">
        <f>IF(Catalog!T382&lt;&gt;"","ISBN:"&amp;Catalog!T382,IF(Catalog!U382&lt;&gt;"","ISSN:"&amp;Catalog!U382,"ACC:"&amp;Catalog!B382))</f>
        <v>ACC:</v>
      </c>
      <c r="J409" s="16">
        <f>Catalog!L382</f>
        <v>0</v>
      </c>
      <c r="K409" s="16">
        <f>IF(Catalog!AH382&lt;&gt;"",Catalog!AH382,Catalog!AF382)</f>
        <v>0</v>
      </c>
      <c r="L409" s="16">
        <f>Catalog!AE382</f>
        <v>0</v>
      </c>
      <c r="M409" s="16">
        <f>Catalog!W382</f>
        <v>0</v>
      </c>
      <c r="N409" s="16">
        <f>Catalog!R382</f>
        <v>0</v>
      </c>
      <c r="O409" s="16">
        <f>Catalog!AG382</f>
        <v>0</v>
      </c>
    </row>
    <row r="410" spans="1:15" ht="15.75" x14ac:dyDescent="0.25">
      <c r="A410" s="16">
        <f>Catalog!D383</f>
        <v>0</v>
      </c>
      <c r="B410" s="16">
        <f>Catalog!F383</f>
        <v>0</v>
      </c>
      <c r="C410" s="16" t="str">
        <f>IF(Catalog!I383="","",Catalog!I383)&amp;IF(AND(Catalog!I383&lt;&gt;"",Catalog!J383&lt;&gt;""),"; ","")&amp;IF(Catalog!J383="","",Catalog!J383)</f>
        <v/>
      </c>
      <c r="D410" s="16">
        <f>Catalog!Q383</f>
        <v>0</v>
      </c>
      <c r="E410" s="16">
        <f>Catalog!S383</f>
        <v>0</v>
      </c>
      <c r="F410" s="16">
        <f>Catalog!N383</f>
        <v>0</v>
      </c>
      <c r="G410" s="16" t="str">
        <f>Catalog!K383&amp;" / "&amp;Catalog!M383</f>
        <v xml:space="preserve"> / </v>
      </c>
      <c r="H410" s="16" t="str">
        <f t="shared" si="5"/>
        <v>Print</v>
      </c>
      <c r="I410" s="16" t="str">
        <f>IF(Catalog!T383&lt;&gt;"","ISBN:"&amp;Catalog!T383,IF(Catalog!U383&lt;&gt;"","ISSN:"&amp;Catalog!U383,"ACC:"&amp;Catalog!B383))</f>
        <v>ACC:</v>
      </c>
      <c r="J410" s="16">
        <f>Catalog!L383</f>
        <v>0</v>
      </c>
      <c r="K410" s="16">
        <f>IF(Catalog!AH383&lt;&gt;"",Catalog!AH383,Catalog!AF383)</f>
        <v>0</v>
      </c>
      <c r="L410" s="16">
        <f>Catalog!AE383</f>
        <v>0</v>
      </c>
      <c r="M410" s="16">
        <f>Catalog!W383</f>
        <v>0</v>
      </c>
      <c r="N410" s="16">
        <f>Catalog!R383</f>
        <v>0</v>
      </c>
      <c r="O410" s="16">
        <f>Catalog!AG383</f>
        <v>0</v>
      </c>
    </row>
    <row r="411" spans="1:15" ht="15.75" x14ac:dyDescent="0.25">
      <c r="A411" s="16">
        <f>Catalog!D384</f>
        <v>0</v>
      </c>
      <c r="B411" s="16">
        <f>Catalog!F384</f>
        <v>0</v>
      </c>
      <c r="C411" s="16" t="str">
        <f>IF(Catalog!I384="","",Catalog!I384)&amp;IF(AND(Catalog!I384&lt;&gt;"",Catalog!J384&lt;&gt;""),"; ","")&amp;IF(Catalog!J384="","",Catalog!J384)</f>
        <v/>
      </c>
      <c r="D411" s="16">
        <f>Catalog!Q384</f>
        <v>0</v>
      </c>
      <c r="E411" s="16">
        <f>Catalog!S384</f>
        <v>0</v>
      </c>
      <c r="F411" s="16">
        <f>Catalog!N384</f>
        <v>0</v>
      </c>
      <c r="G411" s="16" t="str">
        <f>Catalog!K384&amp;" / "&amp;Catalog!M384</f>
        <v xml:space="preserve"> / </v>
      </c>
      <c r="H411" s="16" t="str">
        <f t="shared" si="5"/>
        <v>Print</v>
      </c>
      <c r="I411" s="16" t="str">
        <f>IF(Catalog!T384&lt;&gt;"","ISBN:"&amp;Catalog!T384,IF(Catalog!U384&lt;&gt;"","ISSN:"&amp;Catalog!U384,"ACC:"&amp;Catalog!B384))</f>
        <v>ACC:</v>
      </c>
      <c r="J411" s="16">
        <f>Catalog!L384</f>
        <v>0</v>
      </c>
      <c r="K411" s="16">
        <f>IF(Catalog!AH384&lt;&gt;"",Catalog!AH384,Catalog!AF384)</f>
        <v>0</v>
      </c>
      <c r="L411" s="16">
        <f>Catalog!AE384</f>
        <v>0</v>
      </c>
      <c r="M411" s="16">
        <f>Catalog!W384</f>
        <v>0</v>
      </c>
      <c r="N411" s="16">
        <f>Catalog!R384</f>
        <v>0</v>
      </c>
      <c r="O411" s="16">
        <f>Catalog!AG384</f>
        <v>0</v>
      </c>
    </row>
    <row r="412" spans="1:15" ht="15.75" x14ac:dyDescent="0.25">
      <c r="A412" s="16">
        <f>Catalog!D385</f>
        <v>0</v>
      </c>
      <c r="B412" s="16">
        <f>Catalog!F385</f>
        <v>0</v>
      </c>
      <c r="C412" s="16" t="str">
        <f>IF(Catalog!I385="","",Catalog!I385)&amp;IF(AND(Catalog!I385&lt;&gt;"",Catalog!J385&lt;&gt;""),"; ","")&amp;IF(Catalog!J385="","",Catalog!J385)</f>
        <v/>
      </c>
      <c r="D412" s="16">
        <f>Catalog!Q385</f>
        <v>0</v>
      </c>
      <c r="E412" s="16">
        <f>Catalog!S385</f>
        <v>0</v>
      </c>
      <c r="F412" s="16">
        <f>Catalog!N385</f>
        <v>0</v>
      </c>
      <c r="G412" s="16" t="str">
        <f>Catalog!K385&amp;" / "&amp;Catalog!M385</f>
        <v xml:space="preserve"> / </v>
      </c>
      <c r="H412" s="16" t="str">
        <f t="shared" si="5"/>
        <v>Print</v>
      </c>
      <c r="I412" s="16" t="str">
        <f>IF(Catalog!T385&lt;&gt;"","ISBN:"&amp;Catalog!T385,IF(Catalog!U385&lt;&gt;"","ISSN:"&amp;Catalog!U385,"ACC:"&amp;Catalog!B385))</f>
        <v>ACC:</v>
      </c>
      <c r="J412" s="16">
        <f>Catalog!L385</f>
        <v>0</v>
      </c>
      <c r="K412" s="16">
        <f>IF(Catalog!AH385&lt;&gt;"",Catalog!AH385,Catalog!AF385)</f>
        <v>0</v>
      </c>
      <c r="L412" s="16">
        <f>Catalog!AE385</f>
        <v>0</v>
      </c>
      <c r="M412" s="16">
        <f>Catalog!W385</f>
        <v>0</v>
      </c>
      <c r="N412" s="16">
        <f>Catalog!R385</f>
        <v>0</v>
      </c>
      <c r="O412" s="16">
        <f>Catalog!AG385</f>
        <v>0</v>
      </c>
    </row>
    <row r="413" spans="1:15" ht="15.75" x14ac:dyDescent="0.25">
      <c r="A413" s="16">
        <f>Catalog!D386</f>
        <v>0</v>
      </c>
      <c r="B413" s="16">
        <f>Catalog!F386</f>
        <v>0</v>
      </c>
      <c r="C413" s="16" t="str">
        <f>IF(Catalog!I386="","",Catalog!I386)&amp;IF(AND(Catalog!I386&lt;&gt;"",Catalog!J386&lt;&gt;""),"; ","")&amp;IF(Catalog!J386="","",Catalog!J386)</f>
        <v/>
      </c>
      <c r="D413" s="16">
        <f>Catalog!Q386</f>
        <v>0</v>
      </c>
      <c r="E413" s="16">
        <f>Catalog!S386</f>
        <v>0</v>
      </c>
      <c r="F413" s="16">
        <f>Catalog!N386</f>
        <v>0</v>
      </c>
      <c r="G413" s="16" t="str">
        <f>Catalog!K386&amp;" / "&amp;Catalog!M386</f>
        <v xml:space="preserve"> / </v>
      </c>
      <c r="H413" s="16" t="str">
        <f t="shared" ref="H413:H476" si="6">"Print"</f>
        <v>Print</v>
      </c>
      <c r="I413" s="16" t="str">
        <f>IF(Catalog!T386&lt;&gt;"","ISBN:"&amp;Catalog!T386,IF(Catalog!U386&lt;&gt;"","ISSN:"&amp;Catalog!U386,"ACC:"&amp;Catalog!B386))</f>
        <v>ACC:</v>
      </c>
      <c r="J413" s="16">
        <f>Catalog!L386</f>
        <v>0</v>
      </c>
      <c r="K413" s="16">
        <f>IF(Catalog!AH386&lt;&gt;"",Catalog!AH386,Catalog!AF386)</f>
        <v>0</v>
      </c>
      <c r="L413" s="16">
        <f>Catalog!AE386</f>
        <v>0</v>
      </c>
      <c r="M413" s="16">
        <f>Catalog!W386</f>
        <v>0</v>
      </c>
      <c r="N413" s="16">
        <f>Catalog!R386</f>
        <v>0</v>
      </c>
      <c r="O413" s="16">
        <f>Catalog!AG386</f>
        <v>0</v>
      </c>
    </row>
    <row r="414" spans="1:15" ht="15.75" x14ac:dyDescent="0.25">
      <c r="A414" s="16">
        <f>Catalog!D387</f>
        <v>0</v>
      </c>
      <c r="B414" s="16">
        <f>Catalog!F387</f>
        <v>0</v>
      </c>
      <c r="C414" s="16" t="str">
        <f>IF(Catalog!I387="","",Catalog!I387)&amp;IF(AND(Catalog!I387&lt;&gt;"",Catalog!J387&lt;&gt;""),"; ","")&amp;IF(Catalog!J387="","",Catalog!J387)</f>
        <v/>
      </c>
      <c r="D414" s="16">
        <f>Catalog!Q387</f>
        <v>0</v>
      </c>
      <c r="E414" s="16">
        <f>Catalog!S387</f>
        <v>0</v>
      </c>
      <c r="F414" s="16">
        <f>Catalog!N387</f>
        <v>0</v>
      </c>
      <c r="G414" s="16" t="str">
        <f>Catalog!K387&amp;" / "&amp;Catalog!M387</f>
        <v xml:space="preserve"> / </v>
      </c>
      <c r="H414" s="16" t="str">
        <f t="shared" si="6"/>
        <v>Print</v>
      </c>
      <c r="I414" s="16" t="str">
        <f>IF(Catalog!T387&lt;&gt;"","ISBN:"&amp;Catalog!T387,IF(Catalog!U387&lt;&gt;"","ISSN:"&amp;Catalog!U387,"ACC:"&amp;Catalog!B387))</f>
        <v>ACC:</v>
      </c>
      <c r="J414" s="16">
        <f>Catalog!L387</f>
        <v>0</v>
      </c>
      <c r="K414" s="16">
        <f>IF(Catalog!AH387&lt;&gt;"",Catalog!AH387,Catalog!AF387)</f>
        <v>0</v>
      </c>
      <c r="L414" s="16">
        <f>Catalog!AE387</f>
        <v>0</v>
      </c>
      <c r="M414" s="16">
        <f>Catalog!W387</f>
        <v>0</v>
      </c>
      <c r="N414" s="16">
        <f>Catalog!R387</f>
        <v>0</v>
      </c>
      <c r="O414" s="16">
        <f>Catalog!AG387</f>
        <v>0</v>
      </c>
    </row>
    <row r="415" spans="1:15" ht="15.75" x14ac:dyDescent="0.25">
      <c r="A415" s="16">
        <f>Catalog!D388</f>
        <v>0</v>
      </c>
      <c r="B415" s="16">
        <f>Catalog!F388</f>
        <v>0</v>
      </c>
      <c r="C415" s="16" t="str">
        <f>IF(Catalog!I388="","",Catalog!I388)&amp;IF(AND(Catalog!I388&lt;&gt;"",Catalog!J388&lt;&gt;""),"; ","")&amp;IF(Catalog!J388="","",Catalog!J388)</f>
        <v/>
      </c>
      <c r="D415" s="16">
        <f>Catalog!Q388</f>
        <v>0</v>
      </c>
      <c r="E415" s="16">
        <f>Catalog!S388</f>
        <v>0</v>
      </c>
      <c r="F415" s="16">
        <f>Catalog!N388</f>
        <v>0</v>
      </c>
      <c r="G415" s="16" t="str">
        <f>Catalog!K388&amp;" / "&amp;Catalog!M388</f>
        <v xml:space="preserve"> / </v>
      </c>
      <c r="H415" s="16" t="str">
        <f t="shared" si="6"/>
        <v>Print</v>
      </c>
      <c r="I415" s="16" t="str">
        <f>IF(Catalog!T388&lt;&gt;"","ISBN:"&amp;Catalog!T388,IF(Catalog!U388&lt;&gt;"","ISSN:"&amp;Catalog!U388,"ACC:"&amp;Catalog!B388))</f>
        <v>ACC:</v>
      </c>
      <c r="J415" s="16">
        <f>Catalog!L388</f>
        <v>0</v>
      </c>
      <c r="K415" s="16">
        <f>IF(Catalog!AH388&lt;&gt;"",Catalog!AH388,Catalog!AF388)</f>
        <v>0</v>
      </c>
      <c r="L415" s="16">
        <f>Catalog!AE388</f>
        <v>0</v>
      </c>
      <c r="M415" s="16">
        <f>Catalog!W388</f>
        <v>0</v>
      </c>
      <c r="N415" s="16">
        <f>Catalog!R388</f>
        <v>0</v>
      </c>
      <c r="O415" s="16">
        <f>Catalog!AG388</f>
        <v>0</v>
      </c>
    </row>
    <row r="416" spans="1:15" ht="15.75" x14ac:dyDescent="0.25">
      <c r="A416" s="16">
        <f>Catalog!D389</f>
        <v>0</v>
      </c>
      <c r="B416" s="16">
        <f>Catalog!F389</f>
        <v>0</v>
      </c>
      <c r="C416" s="16" t="str">
        <f>IF(Catalog!I389="","",Catalog!I389)&amp;IF(AND(Catalog!I389&lt;&gt;"",Catalog!J389&lt;&gt;""),"; ","")&amp;IF(Catalog!J389="","",Catalog!J389)</f>
        <v/>
      </c>
      <c r="D416" s="16">
        <f>Catalog!Q389</f>
        <v>0</v>
      </c>
      <c r="E416" s="16">
        <f>Catalog!S389</f>
        <v>0</v>
      </c>
      <c r="F416" s="16">
        <f>Catalog!N389</f>
        <v>0</v>
      </c>
      <c r="G416" s="16" t="str">
        <f>Catalog!K389&amp;" / "&amp;Catalog!M389</f>
        <v xml:space="preserve"> / </v>
      </c>
      <c r="H416" s="16" t="str">
        <f t="shared" si="6"/>
        <v>Print</v>
      </c>
      <c r="I416" s="16" t="str">
        <f>IF(Catalog!T389&lt;&gt;"","ISBN:"&amp;Catalog!T389,IF(Catalog!U389&lt;&gt;"","ISSN:"&amp;Catalog!U389,"ACC:"&amp;Catalog!B389))</f>
        <v>ACC:</v>
      </c>
      <c r="J416" s="16">
        <f>Catalog!L389</f>
        <v>0</v>
      </c>
      <c r="K416" s="16">
        <f>IF(Catalog!AH389&lt;&gt;"",Catalog!AH389,Catalog!AF389)</f>
        <v>0</v>
      </c>
      <c r="L416" s="16">
        <f>Catalog!AE389</f>
        <v>0</v>
      </c>
      <c r="M416" s="16">
        <f>Catalog!W389</f>
        <v>0</v>
      </c>
      <c r="N416" s="16">
        <f>Catalog!R389</f>
        <v>0</v>
      </c>
      <c r="O416" s="16">
        <f>Catalog!AG389</f>
        <v>0</v>
      </c>
    </row>
    <row r="417" spans="1:15" ht="15.75" x14ac:dyDescent="0.25">
      <c r="A417" s="16">
        <f>Catalog!D390</f>
        <v>0</v>
      </c>
      <c r="B417" s="16">
        <f>Catalog!F390</f>
        <v>0</v>
      </c>
      <c r="C417" s="16" t="str">
        <f>IF(Catalog!I390="","",Catalog!I390)&amp;IF(AND(Catalog!I390&lt;&gt;"",Catalog!J390&lt;&gt;""),"; ","")&amp;IF(Catalog!J390="","",Catalog!J390)</f>
        <v/>
      </c>
      <c r="D417" s="16">
        <f>Catalog!Q390</f>
        <v>0</v>
      </c>
      <c r="E417" s="16">
        <f>Catalog!S390</f>
        <v>0</v>
      </c>
      <c r="F417" s="16">
        <f>Catalog!N390</f>
        <v>0</v>
      </c>
      <c r="G417" s="16" t="str">
        <f>Catalog!K390&amp;" / "&amp;Catalog!M390</f>
        <v xml:space="preserve"> / </v>
      </c>
      <c r="H417" s="16" t="str">
        <f t="shared" si="6"/>
        <v>Print</v>
      </c>
      <c r="I417" s="16" t="str">
        <f>IF(Catalog!T390&lt;&gt;"","ISBN:"&amp;Catalog!T390,IF(Catalog!U390&lt;&gt;"","ISSN:"&amp;Catalog!U390,"ACC:"&amp;Catalog!B390))</f>
        <v>ACC:</v>
      </c>
      <c r="J417" s="16">
        <f>Catalog!L390</f>
        <v>0</v>
      </c>
      <c r="K417" s="16">
        <f>IF(Catalog!AH390&lt;&gt;"",Catalog!AH390,Catalog!AF390)</f>
        <v>0</v>
      </c>
      <c r="L417" s="16">
        <f>Catalog!AE390</f>
        <v>0</v>
      </c>
      <c r="M417" s="16">
        <f>Catalog!W390</f>
        <v>0</v>
      </c>
      <c r="N417" s="16">
        <f>Catalog!R390</f>
        <v>0</v>
      </c>
      <c r="O417" s="16">
        <f>Catalog!AG390</f>
        <v>0</v>
      </c>
    </row>
    <row r="418" spans="1:15" ht="15.75" x14ac:dyDescent="0.25">
      <c r="A418" s="16">
        <f>Catalog!D391</f>
        <v>0</v>
      </c>
      <c r="B418" s="16">
        <f>Catalog!F391</f>
        <v>0</v>
      </c>
      <c r="C418" s="16" t="str">
        <f>IF(Catalog!I391="","",Catalog!I391)&amp;IF(AND(Catalog!I391&lt;&gt;"",Catalog!J391&lt;&gt;""),"; ","")&amp;IF(Catalog!J391="","",Catalog!J391)</f>
        <v/>
      </c>
      <c r="D418" s="16">
        <f>Catalog!Q391</f>
        <v>0</v>
      </c>
      <c r="E418" s="16">
        <f>Catalog!S391</f>
        <v>0</v>
      </c>
      <c r="F418" s="16">
        <f>Catalog!N391</f>
        <v>0</v>
      </c>
      <c r="G418" s="16" t="str">
        <f>Catalog!K391&amp;" / "&amp;Catalog!M391</f>
        <v xml:space="preserve"> / </v>
      </c>
      <c r="H418" s="16" t="str">
        <f t="shared" si="6"/>
        <v>Print</v>
      </c>
      <c r="I418" s="16" t="str">
        <f>IF(Catalog!T391&lt;&gt;"","ISBN:"&amp;Catalog!T391,IF(Catalog!U391&lt;&gt;"","ISSN:"&amp;Catalog!U391,"ACC:"&amp;Catalog!B391))</f>
        <v>ACC:</v>
      </c>
      <c r="J418" s="16">
        <f>Catalog!L391</f>
        <v>0</v>
      </c>
      <c r="K418" s="16">
        <f>IF(Catalog!AH391&lt;&gt;"",Catalog!AH391,Catalog!AF391)</f>
        <v>0</v>
      </c>
      <c r="L418" s="16">
        <f>Catalog!AE391</f>
        <v>0</v>
      </c>
      <c r="M418" s="16">
        <f>Catalog!W391</f>
        <v>0</v>
      </c>
      <c r="N418" s="16">
        <f>Catalog!R391</f>
        <v>0</v>
      </c>
      <c r="O418" s="16">
        <f>Catalog!AG391</f>
        <v>0</v>
      </c>
    </row>
    <row r="419" spans="1:15" ht="15.75" x14ac:dyDescent="0.25">
      <c r="A419" s="16">
        <f>Catalog!D392</f>
        <v>0</v>
      </c>
      <c r="B419" s="16">
        <f>Catalog!F392</f>
        <v>0</v>
      </c>
      <c r="C419" s="16" t="str">
        <f>IF(Catalog!I392="","",Catalog!I392)&amp;IF(AND(Catalog!I392&lt;&gt;"",Catalog!J392&lt;&gt;""),"; ","")&amp;IF(Catalog!J392="","",Catalog!J392)</f>
        <v/>
      </c>
      <c r="D419" s="16">
        <f>Catalog!Q392</f>
        <v>0</v>
      </c>
      <c r="E419" s="16">
        <f>Catalog!S392</f>
        <v>0</v>
      </c>
      <c r="F419" s="16">
        <f>Catalog!N392</f>
        <v>0</v>
      </c>
      <c r="G419" s="16" t="str">
        <f>Catalog!K392&amp;" / "&amp;Catalog!M392</f>
        <v xml:space="preserve"> / </v>
      </c>
      <c r="H419" s="16" t="str">
        <f t="shared" si="6"/>
        <v>Print</v>
      </c>
      <c r="I419" s="16" t="str">
        <f>IF(Catalog!T392&lt;&gt;"","ISBN:"&amp;Catalog!T392,IF(Catalog!U392&lt;&gt;"","ISSN:"&amp;Catalog!U392,"ACC:"&amp;Catalog!B392))</f>
        <v>ACC:</v>
      </c>
      <c r="J419" s="16">
        <f>Catalog!L392</f>
        <v>0</v>
      </c>
      <c r="K419" s="16">
        <f>IF(Catalog!AH392&lt;&gt;"",Catalog!AH392,Catalog!AF392)</f>
        <v>0</v>
      </c>
      <c r="L419" s="16">
        <f>Catalog!AE392</f>
        <v>0</v>
      </c>
      <c r="M419" s="16">
        <f>Catalog!W392</f>
        <v>0</v>
      </c>
      <c r="N419" s="16">
        <f>Catalog!R392</f>
        <v>0</v>
      </c>
      <c r="O419" s="16">
        <f>Catalog!AG392</f>
        <v>0</v>
      </c>
    </row>
    <row r="420" spans="1:15" ht="15.75" x14ac:dyDescent="0.25">
      <c r="A420" s="16">
        <f>Catalog!D393</f>
        <v>0</v>
      </c>
      <c r="B420" s="16">
        <f>Catalog!F393</f>
        <v>0</v>
      </c>
      <c r="C420" s="16" t="str">
        <f>IF(Catalog!I393="","",Catalog!I393)&amp;IF(AND(Catalog!I393&lt;&gt;"",Catalog!J393&lt;&gt;""),"; ","")&amp;IF(Catalog!J393="","",Catalog!J393)</f>
        <v/>
      </c>
      <c r="D420" s="16">
        <f>Catalog!Q393</f>
        <v>0</v>
      </c>
      <c r="E420" s="16">
        <f>Catalog!S393</f>
        <v>0</v>
      </c>
      <c r="F420" s="16">
        <f>Catalog!N393</f>
        <v>0</v>
      </c>
      <c r="G420" s="16" t="str">
        <f>Catalog!K393&amp;" / "&amp;Catalog!M393</f>
        <v xml:space="preserve"> / </v>
      </c>
      <c r="H420" s="16" t="str">
        <f t="shared" si="6"/>
        <v>Print</v>
      </c>
      <c r="I420" s="16" t="str">
        <f>IF(Catalog!T393&lt;&gt;"","ISBN:"&amp;Catalog!T393,IF(Catalog!U393&lt;&gt;"","ISSN:"&amp;Catalog!U393,"ACC:"&amp;Catalog!B393))</f>
        <v>ACC:</v>
      </c>
      <c r="J420" s="16">
        <f>Catalog!L393</f>
        <v>0</v>
      </c>
      <c r="K420" s="16">
        <f>IF(Catalog!AH393&lt;&gt;"",Catalog!AH393,Catalog!AF393)</f>
        <v>0</v>
      </c>
      <c r="L420" s="16">
        <f>Catalog!AE393</f>
        <v>0</v>
      </c>
      <c r="M420" s="16">
        <f>Catalog!W393</f>
        <v>0</v>
      </c>
      <c r="N420" s="16">
        <f>Catalog!R393</f>
        <v>0</v>
      </c>
      <c r="O420" s="16">
        <f>Catalog!AG393</f>
        <v>0</v>
      </c>
    </row>
    <row r="421" spans="1:15" ht="15.75" x14ac:dyDescent="0.25">
      <c r="A421" s="16">
        <f>Catalog!D394</f>
        <v>0</v>
      </c>
      <c r="B421" s="16">
        <f>Catalog!F394</f>
        <v>0</v>
      </c>
      <c r="C421" s="16" t="str">
        <f>IF(Catalog!I394="","",Catalog!I394)&amp;IF(AND(Catalog!I394&lt;&gt;"",Catalog!J394&lt;&gt;""),"; ","")&amp;IF(Catalog!J394="","",Catalog!J394)</f>
        <v/>
      </c>
      <c r="D421" s="16">
        <f>Catalog!Q394</f>
        <v>0</v>
      </c>
      <c r="E421" s="16">
        <f>Catalog!S394</f>
        <v>0</v>
      </c>
      <c r="F421" s="16">
        <f>Catalog!N394</f>
        <v>0</v>
      </c>
      <c r="G421" s="16" t="str">
        <f>Catalog!K394&amp;" / "&amp;Catalog!M394</f>
        <v xml:space="preserve"> / </v>
      </c>
      <c r="H421" s="16" t="str">
        <f t="shared" si="6"/>
        <v>Print</v>
      </c>
      <c r="I421" s="16" t="str">
        <f>IF(Catalog!T394&lt;&gt;"","ISBN:"&amp;Catalog!T394,IF(Catalog!U394&lt;&gt;"","ISSN:"&amp;Catalog!U394,"ACC:"&amp;Catalog!B394))</f>
        <v>ACC:</v>
      </c>
      <c r="J421" s="16">
        <f>Catalog!L394</f>
        <v>0</v>
      </c>
      <c r="K421" s="16">
        <f>IF(Catalog!AH394&lt;&gt;"",Catalog!AH394,Catalog!AF394)</f>
        <v>0</v>
      </c>
      <c r="L421" s="16">
        <f>Catalog!AE394</f>
        <v>0</v>
      </c>
      <c r="M421" s="16">
        <f>Catalog!W394</f>
        <v>0</v>
      </c>
      <c r="N421" s="16">
        <f>Catalog!R394</f>
        <v>0</v>
      </c>
      <c r="O421" s="16">
        <f>Catalog!AG394</f>
        <v>0</v>
      </c>
    </row>
    <row r="422" spans="1:15" ht="15.75" x14ac:dyDescent="0.25">
      <c r="A422" s="16">
        <f>Catalog!D395</f>
        <v>0</v>
      </c>
      <c r="B422" s="16">
        <f>Catalog!F395</f>
        <v>0</v>
      </c>
      <c r="C422" s="16" t="str">
        <f>IF(Catalog!I395="","",Catalog!I395)&amp;IF(AND(Catalog!I395&lt;&gt;"",Catalog!J395&lt;&gt;""),"; ","")&amp;IF(Catalog!J395="","",Catalog!J395)</f>
        <v/>
      </c>
      <c r="D422" s="16">
        <f>Catalog!Q395</f>
        <v>0</v>
      </c>
      <c r="E422" s="16">
        <f>Catalog!S395</f>
        <v>0</v>
      </c>
      <c r="F422" s="16">
        <f>Catalog!N395</f>
        <v>0</v>
      </c>
      <c r="G422" s="16" t="str">
        <f>Catalog!K395&amp;" / "&amp;Catalog!M395</f>
        <v xml:space="preserve"> / </v>
      </c>
      <c r="H422" s="16" t="str">
        <f t="shared" si="6"/>
        <v>Print</v>
      </c>
      <c r="I422" s="16" t="str">
        <f>IF(Catalog!T395&lt;&gt;"","ISBN:"&amp;Catalog!T395,IF(Catalog!U395&lt;&gt;"","ISSN:"&amp;Catalog!U395,"ACC:"&amp;Catalog!B395))</f>
        <v>ACC:</v>
      </c>
      <c r="J422" s="16">
        <f>Catalog!L395</f>
        <v>0</v>
      </c>
      <c r="K422" s="16">
        <f>IF(Catalog!AH395&lt;&gt;"",Catalog!AH395,Catalog!AF395)</f>
        <v>0</v>
      </c>
      <c r="L422" s="16">
        <f>Catalog!AE395</f>
        <v>0</v>
      </c>
      <c r="M422" s="16">
        <f>Catalog!W395</f>
        <v>0</v>
      </c>
      <c r="N422" s="16">
        <f>Catalog!R395</f>
        <v>0</v>
      </c>
      <c r="O422" s="16">
        <f>Catalog!AG395</f>
        <v>0</v>
      </c>
    </row>
    <row r="423" spans="1:15" ht="15.75" x14ac:dyDescent="0.25">
      <c r="A423" s="16">
        <f>Catalog!D396</f>
        <v>0</v>
      </c>
      <c r="B423" s="16">
        <f>Catalog!F396</f>
        <v>0</v>
      </c>
      <c r="C423" s="16" t="str">
        <f>IF(Catalog!I396="","",Catalog!I396)&amp;IF(AND(Catalog!I396&lt;&gt;"",Catalog!J396&lt;&gt;""),"; ","")&amp;IF(Catalog!J396="","",Catalog!J396)</f>
        <v/>
      </c>
      <c r="D423" s="16">
        <f>Catalog!Q396</f>
        <v>0</v>
      </c>
      <c r="E423" s="16">
        <f>Catalog!S396</f>
        <v>0</v>
      </c>
      <c r="F423" s="16">
        <f>Catalog!N396</f>
        <v>0</v>
      </c>
      <c r="G423" s="16" t="str">
        <f>Catalog!K396&amp;" / "&amp;Catalog!M396</f>
        <v xml:space="preserve"> / </v>
      </c>
      <c r="H423" s="16" t="str">
        <f t="shared" si="6"/>
        <v>Print</v>
      </c>
      <c r="I423" s="16" t="str">
        <f>IF(Catalog!T396&lt;&gt;"","ISBN:"&amp;Catalog!T396,IF(Catalog!U396&lt;&gt;"","ISSN:"&amp;Catalog!U396,"ACC:"&amp;Catalog!B396))</f>
        <v>ACC:</v>
      </c>
      <c r="J423" s="16">
        <f>Catalog!L396</f>
        <v>0</v>
      </c>
      <c r="K423" s="16">
        <f>IF(Catalog!AH396&lt;&gt;"",Catalog!AH396,Catalog!AF396)</f>
        <v>0</v>
      </c>
      <c r="L423" s="16">
        <f>Catalog!AE396</f>
        <v>0</v>
      </c>
      <c r="M423" s="16">
        <f>Catalog!W396</f>
        <v>0</v>
      </c>
      <c r="N423" s="16">
        <f>Catalog!R396</f>
        <v>0</v>
      </c>
      <c r="O423" s="16">
        <f>Catalog!AG396</f>
        <v>0</v>
      </c>
    </row>
    <row r="424" spans="1:15" ht="15.75" x14ac:dyDescent="0.25">
      <c r="A424" s="16">
        <f>Catalog!D397</f>
        <v>0</v>
      </c>
      <c r="B424" s="16">
        <f>Catalog!F397</f>
        <v>0</v>
      </c>
      <c r="C424" s="16" t="str">
        <f>IF(Catalog!I397="","",Catalog!I397)&amp;IF(AND(Catalog!I397&lt;&gt;"",Catalog!J397&lt;&gt;""),"; ","")&amp;IF(Catalog!J397="","",Catalog!J397)</f>
        <v/>
      </c>
      <c r="D424" s="16">
        <f>Catalog!Q397</f>
        <v>0</v>
      </c>
      <c r="E424" s="16">
        <f>Catalog!S397</f>
        <v>0</v>
      </c>
      <c r="F424" s="16">
        <f>Catalog!N397</f>
        <v>0</v>
      </c>
      <c r="G424" s="16" t="str">
        <f>Catalog!K397&amp;" / "&amp;Catalog!M397</f>
        <v xml:space="preserve"> / </v>
      </c>
      <c r="H424" s="16" t="str">
        <f t="shared" si="6"/>
        <v>Print</v>
      </c>
      <c r="I424" s="16" t="str">
        <f>IF(Catalog!T397&lt;&gt;"","ISBN:"&amp;Catalog!T397,IF(Catalog!U397&lt;&gt;"","ISSN:"&amp;Catalog!U397,"ACC:"&amp;Catalog!B397))</f>
        <v>ACC:</v>
      </c>
      <c r="J424" s="16">
        <f>Catalog!L397</f>
        <v>0</v>
      </c>
      <c r="K424" s="16">
        <f>IF(Catalog!AH397&lt;&gt;"",Catalog!AH397,Catalog!AF397)</f>
        <v>0</v>
      </c>
      <c r="L424" s="16">
        <f>Catalog!AE397</f>
        <v>0</v>
      </c>
      <c r="M424" s="16">
        <f>Catalog!W397</f>
        <v>0</v>
      </c>
      <c r="N424" s="16">
        <f>Catalog!R397</f>
        <v>0</v>
      </c>
      <c r="O424" s="16">
        <f>Catalog!AG397</f>
        <v>0</v>
      </c>
    </row>
    <row r="425" spans="1:15" ht="15.75" x14ac:dyDescent="0.25">
      <c r="A425" s="16">
        <f>Catalog!D398</f>
        <v>0</v>
      </c>
      <c r="B425" s="16">
        <f>Catalog!F398</f>
        <v>0</v>
      </c>
      <c r="C425" s="16" t="str">
        <f>IF(Catalog!I398="","",Catalog!I398)&amp;IF(AND(Catalog!I398&lt;&gt;"",Catalog!J398&lt;&gt;""),"; ","")&amp;IF(Catalog!J398="","",Catalog!J398)</f>
        <v/>
      </c>
      <c r="D425" s="16">
        <f>Catalog!Q398</f>
        <v>0</v>
      </c>
      <c r="E425" s="16">
        <f>Catalog!S398</f>
        <v>0</v>
      </c>
      <c r="F425" s="16">
        <f>Catalog!N398</f>
        <v>0</v>
      </c>
      <c r="G425" s="16" t="str">
        <f>Catalog!K398&amp;" / "&amp;Catalog!M398</f>
        <v xml:space="preserve"> / </v>
      </c>
      <c r="H425" s="16" t="str">
        <f t="shared" si="6"/>
        <v>Print</v>
      </c>
      <c r="I425" s="16" t="str">
        <f>IF(Catalog!T398&lt;&gt;"","ISBN:"&amp;Catalog!T398,IF(Catalog!U398&lt;&gt;"","ISSN:"&amp;Catalog!U398,"ACC:"&amp;Catalog!B398))</f>
        <v>ACC:</v>
      </c>
      <c r="J425" s="16">
        <f>Catalog!L398</f>
        <v>0</v>
      </c>
      <c r="K425" s="16">
        <f>IF(Catalog!AH398&lt;&gt;"",Catalog!AH398,Catalog!AF398)</f>
        <v>0</v>
      </c>
      <c r="L425" s="16">
        <f>Catalog!AE398</f>
        <v>0</v>
      </c>
      <c r="M425" s="16">
        <f>Catalog!W398</f>
        <v>0</v>
      </c>
      <c r="N425" s="16">
        <f>Catalog!R398</f>
        <v>0</v>
      </c>
      <c r="O425" s="16">
        <f>Catalog!AG398</f>
        <v>0</v>
      </c>
    </row>
    <row r="426" spans="1:15" ht="15.75" x14ac:dyDescent="0.25">
      <c r="A426" s="16">
        <f>Catalog!D399</f>
        <v>0</v>
      </c>
      <c r="B426" s="16">
        <f>Catalog!F399</f>
        <v>0</v>
      </c>
      <c r="C426" s="16" t="str">
        <f>IF(Catalog!I399="","",Catalog!I399)&amp;IF(AND(Catalog!I399&lt;&gt;"",Catalog!J399&lt;&gt;""),"; ","")&amp;IF(Catalog!J399="","",Catalog!J399)</f>
        <v/>
      </c>
      <c r="D426" s="16">
        <f>Catalog!Q399</f>
        <v>0</v>
      </c>
      <c r="E426" s="16">
        <f>Catalog!S399</f>
        <v>0</v>
      </c>
      <c r="F426" s="16">
        <f>Catalog!N399</f>
        <v>0</v>
      </c>
      <c r="G426" s="16" t="str">
        <f>Catalog!K399&amp;" / "&amp;Catalog!M399</f>
        <v xml:space="preserve"> / </v>
      </c>
      <c r="H426" s="16" t="str">
        <f t="shared" si="6"/>
        <v>Print</v>
      </c>
      <c r="I426" s="16" t="str">
        <f>IF(Catalog!T399&lt;&gt;"","ISBN:"&amp;Catalog!T399,IF(Catalog!U399&lt;&gt;"","ISSN:"&amp;Catalog!U399,"ACC:"&amp;Catalog!B399))</f>
        <v>ACC:</v>
      </c>
      <c r="J426" s="16">
        <f>Catalog!L399</f>
        <v>0</v>
      </c>
      <c r="K426" s="16">
        <f>IF(Catalog!AH399&lt;&gt;"",Catalog!AH399,Catalog!AF399)</f>
        <v>0</v>
      </c>
      <c r="L426" s="16">
        <f>Catalog!AE399</f>
        <v>0</v>
      </c>
      <c r="M426" s="16">
        <f>Catalog!W399</f>
        <v>0</v>
      </c>
      <c r="N426" s="16">
        <f>Catalog!R399</f>
        <v>0</v>
      </c>
      <c r="O426" s="16">
        <f>Catalog!AG399</f>
        <v>0</v>
      </c>
    </row>
    <row r="427" spans="1:15" ht="15.75" x14ac:dyDescent="0.25">
      <c r="A427" s="16">
        <f>Catalog!D400</f>
        <v>0</v>
      </c>
      <c r="B427" s="16">
        <f>Catalog!F400</f>
        <v>0</v>
      </c>
      <c r="C427" s="16" t="str">
        <f>IF(Catalog!I400="","",Catalog!I400)&amp;IF(AND(Catalog!I400&lt;&gt;"",Catalog!J400&lt;&gt;""),"; ","")&amp;IF(Catalog!J400="","",Catalog!J400)</f>
        <v/>
      </c>
      <c r="D427" s="16">
        <f>Catalog!Q400</f>
        <v>0</v>
      </c>
      <c r="E427" s="16">
        <f>Catalog!S400</f>
        <v>0</v>
      </c>
      <c r="F427" s="16">
        <f>Catalog!N400</f>
        <v>0</v>
      </c>
      <c r="G427" s="16" t="str">
        <f>Catalog!K400&amp;" / "&amp;Catalog!M400</f>
        <v xml:space="preserve"> / </v>
      </c>
      <c r="H427" s="16" t="str">
        <f t="shared" si="6"/>
        <v>Print</v>
      </c>
      <c r="I427" s="16" t="str">
        <f>IF(Catalog!T400&lt;&gt;"","ISBN:"&amp;Catalog!T400,IF(Catalog!U400&lt;&gt;"","ISSN:"&amp;Catalog!U400,"ACC:"&amp;Catalog!B400))</f>
        <v>ACC:</v>
      </c>
      <c r="J427" s="16">
        <f>Catalog!L400</f>
        <v>0</v>
      </c>
      <c r="K427" s="16">
        <f>IF(Catalog!AH400&lt;&gt;"",Catalog!AH400,Catalog!AF400)</f>
        <v>0</v>
      </c>
      <c r="L427" s="16">
        <f>Catalog!AE400</f>
        <v>0</v>
      </c>
      <c r="M427" s="16">
        <f>Catalog!W400</f>
        <v>0</v>
      </c>
      <c r="N427" s="16">
        <f>Catalog!R400</f>
        <v>0</v>
      </c>
      <c r="O427" s="16">
        <f>Catalog!AG400</f>
        <v>0</v>
      </c>
    </row>
    <row r="428" spans="1:15" ht="15.75" x14ac:dyDescent="0.25">
      <c r="A428" s="16">
        <f>Catalog!D401</f>
        <v>0</v>
      </c>
      <c r="B428" s="16">
        <f>Catalog!F401</f>
        <v>0</v>
      </c>
      <c r="C428" s="16" t="str">
        <f>IF(Catalog!I401="","",Catalog!I401)&amp;IF(AND(Catalog!I401&lt;&gt;"",Catalog!J401&lt;&gt;""),"; ","")&amp;IF(Catalog!J401="","",Catalog!J401)</f>
        <v/>
      </c>
      <c r="D428" s="16">
        <f>Catalog!Q401</f>
        <v>0</v>
      </c>
      <c r="E428" s="16">
        <f>Catalog!S401</f>
        <v>0</v>
      </c>
      <c r="F428" s="16">
        <f>Catalog!N401</f>
        <v>0</v>
      </c>
      <c r="G428" s="16" t="str">
        <f>Catalog!K401&amp;" / "&amp;Catalog!M401</f>
        <v xml:space="preserve"> / </v>
      </c>
      <c r="H428" s="16" t="str">
        <f t="shared" si="6"/>
        <v>Print</v>
      </c>
      <c r="I428" s="16" t="str">
        <f>IF(Catalog!T401&lt;&gt;"","ISBN:"&amp;Catalog!T401,IF(Catalog!U401&lt;&gt;"","ISSN:"&amp;Catalog!U401,"ACC:"&amp;Catalog!B401))</f>
        <v>ACC:</v>
      </c>
      <c r="J428" s="16">
        <f>Catalog!L401</f>
        <v>0</v>
      </c>
      <c r="K428" s="16">
        <f>IF(Catalog!AH401&lt;&gt;"",Catalog!AH401,Catalog!AF401)</f>
        <v>0</v>
      </c>
      <c r="L428" s="16">
        <f>Catalog!AE401</f>
        <v>0</v>
      </c>
      <c r="M428" s="16">
        <f>Catalog!W401</f>
        <v>0</v>
      </c>
      <c r="N428" s="16">
        <f>Catalog!R401</f>
        <v>0</v>
      </c>
      <c r="O428" s="16">
        <f>Catalog!AG401</f>
        <v>0</v>
      </c>
    </row>
    <row r="429" spans="1:15" ht="15.75" x14ac:dyDescent="0.25">
      <c r="A429" s="16">
        <f>Catalog!D402</f>
        <v>0</v>
      </c>
      <c r="B429" s="16">
        <f>Catalog!F402</f>
        <v>0</v>
      </c>
      <c r="C429" s="16" t="str">
        <f>IF(Catalog!I402="","",Catalog!I402)&amp;IF(AND(Catalog!I402&lt;&gt;"",Catalog!J402&lt;&gt;""),"; ","")&amp;IF(Catalog!J402="","",Catalog!J402)</f>
        <v/>
      </c>
      <c r="D429" s="16">
        <f>Catalog!Q402</f>
        <v>0</v>
      </c>
      <c r="E429" s="16">
        <f>Catalog!S402</f>
        <v>0</v>
      </c>
      <c r="F429" s="16">
        <f>Catalog!N402</f>
        <v>0</v>
      </c>
      <c r="G429" s="16" t="str">
        <f>Catalog!K402&amp;" / "&amp;Catalog!M402</f>
        <v xml:space="preserve"> / </v>
      </c>
      <c r="H429" s="16" t="str">
        <f t="shared" si="6"/>
        <v>Print</v>
      </c>
      <c r="I429" s="16" t="str">
        <f>IF(Catalog!T402&lt;&gt;"","ISBN:"&amp;Catalog!T402,IF(Catalog!U402&lt;&gt;"","ISSN:"&amp;Catalog!U402,"ACC:"&amp;Catalog!B402))</f>
        <v>ACC:</v>
      </c>
      <c r="J429" s="16">
        <f>Catalog!L402</f>
        <v>0</v>
      </c>
      <c r="K429" s="16">
        <f>IF(Catalog!AH402&lt;&gt;"",Catalog!AH402,Catalog!AF402)</f>
        <v>0</v>
      </c>
      <c r="L429" s="16">
        <f>Catalog!AE402</f>
        <v>0</v>
      </c>
      <c r="M429" s="16">
        <f>Catalog!W402</f>
        <v>0</v>
      </c>
      <c r="N429" s="16">
        <f>Catalog!R402</f>
        <v>0</v>
      </c>
      <c r="O429" s="16">
        <f>Catalog!AG402</f>
        <v>0</v>
      </c>
    </row>
    <row r="430" spans="1:15" ht="15.75" x14ac:dyDescent="0.25">
      <c r="A430" s="16">
        <f>Catalog!D403</f>
        <v>0</v>
      </c>
      <c r="B430" s="16">
        <f>Catalog!F403</f>
        <v>0</v>
      </c>
      <c r="C430" s="16" t="str">
        <f>IF(Catalog!I403="","",Catalog!I403)&amp;IF(AND(Catalog!I403&lt;&gt;"",Catalog!J403&lt;&gt;""),"; ","")&amp;IF(Catalog!J403="","",Catalog!J403)</f>
        <v/>
      </c>
      <c r="D430" s="16">
        <f>Catalog!Q403</f>
        <v>0</v>
      </c>
      <c r="E430" s="16">
        <f>Catalog!S403</f>
        <v>0</v>
      </c>
      <c r="F430" s="16">
        <f>Catalog!N403</f>
        <v>0</v>
      </c>
      <c r="G430" s="16" t="str">
        <f>Catalog!K403&amp;" / "&amp;Catalog!M403</f>
        <v xml:space="preserve"> / </v>
      </c>
      <c r="H430" s="16" t="str">
        <f t="shared" si="6"/>
        <v>Print</v>
      </c>
      <c r="I430" s="16" t="str">
        <f>IF(Catalog!T403&lt;&gt;"","ISBN:"&amp;Catalog!T403,IF(Catalog!U403&lt;&gt;"","ISSN:"&amp;Catalog!U403,"ACC:"&amp;Catalog!B403))</f>
        <v>ACC:</v>
      </c>
      <c r="J430" s="16">
        <f>Catalog!L403</f>
        <v>0</v>
      </c>
      <c r="K430" s="16">
        <f>IF(Catalog!AH403&lt;&gt;"",Catalog!AH403,Catalog!AF403)</f>
        <v>0</v>
      </c>
      <c r="L430" s="16">
        <f>Catalog!AE403</f>
        <v>0</v>
      </c>
      <c r="M430" s="16">
        <f>Catalog!W403</f>
        <v>0</v>
      </c>
      <c r="N430" s="16">
        <f>Catalog!R403</f>
        <v>0</v>
      </c>
      <c r="O430" s="16">
        <f>Catalog!AG403</f>
        <v>0</v>
      </c>
    </row>
    <row r="431" spans="1:15" ht="15.75" x14ac:dyDescent="0.25">
      <c r="A431" s="16">
        <f>Catalog!D404</f>
        <v>0</v>
      </c>
      <c r="B431" s="16">
        <f>Catalog!F404</f>
        <v>0</v>
      </c>
      <c r="C431" s="16" t="str">
        <f>IF(Catalog!I404="","",Catalog!I404)&amp;IF(AND(Catalog!I404&lt;&gt;"",Catalog!J404&lt;&gt;""),"; ","")&amp;IF(Catalog!J404="","",Catalog!J404)</f>
        <v/>
      </c>
      <c r="D431" s="16">
        <f>Catalog!Q404</f>
        <v>0</v>
      </c>
      <c r="E431" s="16">
        <f>Catalog!S404</f>
        <v>0</v>
      </c>
      <c r="F431" s="16">
        <f>Catalog!N404</f>
        <v>0</v>
      </c>
      <c r="G431" s="16" t="str">
        <f>Catalog!K404&amp;" / "&amp;Catalog!M404</f>
        <v xml:space="preserve"> / </v>
      </c>
      <c r="H431" s="16" t="str">
        <f t="shared" si="6"/>
        <v>Print</v>
      </c>
      <c r="I431" s="16" t="str">
        <f>IF(Catalog!T404&lt;&gt;"","ISBN:"&amp;Catalog!T404,IF(Catalog!U404&lt;&gt;"","ISSN:"&amp;Catalog!U404,"ACC:"&amp;Catalog!B404))</f>
        <v>ACC:</v>
      </c>
      <c r="J431" s="16">
        <f>Catalog!L404</f>
        <v>0</v>
      </c>
      <c r="K431" s="16">
        <f>IF(Catalog!AH404&lt;&gt;"",Catalog!AH404,Catalog!AF404)</f>
        <v>0</v>
      </c>
      <c r="L431" s="16">
        <f>Catalog!AE404</f>
        <v>0</v>
      </c>
      <c r="M431" s="16">
        <f>Catalog!W404</f>
        <v>0</v>
      </c>
      <c r="N431" s="16">
        <f>Catalog!R404</f>
        <v>0</v>
      </c>
      <c r="O431" s="16">
        <f>Catalog!AG404</f>
        <v>0</v>
      </c>
    </row>
    <row r="432" spans="1:15" ht="15.75" x14ac:dyDescent="0.25">
      <c r="A432" s="16">
        <f>Catalog!D405</f>
        <v>0</v>
      </c>
      <c r="B432" s="16">
        <f>Catalog!F405</f>
        <v>0</v>
      </c>
      <c r="C432" s="16" t="str">
        <f>IF(Catalog!I405="","",Catalog!I405)&amp;IF(AND(Catalog!I405&lt;&gt;"",Catalog!J405&lt;&gt;""),"; ","")&amp;IF(Catalog!J405="","",Catalog!J405)</f>
        <v/>
      </c>
      <c r="D432" s="16">
        <f>Catalog!Q405</f>
        <v>0</v>
      </c>
      <c r="E432" s="16">
        <f>Catalog!S405</f>
        <v>0</v>
      </c>
      <c r="F432" s="16">
        <f>Catalog!N405</f>
        <v>0</v>
      </c>
      <c r="G432" s="16" t="str">
        <f>Catalog!K405&amp;" / "&amp;Catalog!M405</f>
        <v xml:space="preserve"> / </v>
      </c>
      <c r="H432" s="16" t="str">
        <f t="shared" si="6"/>
        <v>Print</v>
      </c>
      <c r="I432" s="16" t="str">
        <f>IF(Catalog!T405&lt;&gt;"","ISBN:"&amp;Catalog!T405,IF(Catalog!U405&lt;&gt;"","ISSN:"&amp;Catalog!U405,"ACC:"&amp;Catalog!B405))</f>
        <v>ACC:</v>
      </c>
      <c r="J432" s="16">
        <f>Catalog!L405</f>
        <v>0</v>
      </c>
      <c r="K432" s="16">
        <f>IF(Catalog!AH405&lt;&gt;"",Catalog!AH405,Catalog!AF405)</f>
        <v>0</v>
      </c>
      <c r="L432" s="16">
        <f>Catalog!AE405</f>
        <v>0</v>
      </c>
      <c r="M432" s="16">
        <f>Catalog!W405</f>
        <v>0</v>
      </c>
      <c r="N432" s="16">
        <f>Catalog!R405</f>
        <v>0</v>
      </c>
      <c r="O432" s="16">
        <f>Catalog!AG405</f>
        <v>0</v>
      </c>
    </row>
    <row r="433" spans="1:15" ht="15.75" x14ac:dyDescent="0.25">
      <c r="A433" s="16">
        <f>Catalog!D406</f>
        <v>0</v>
      </c>
      <c r="B433" s="16">
        <f>Catalog!F406</f>
        <v>0</v>
      </c>
      <c r="C433" s="16" t="str">
        <f>IF(Catalog!I406="","",Catalog!I406)&amp;IF(AND(Catalog!I406&lt;&gt;"",Catalog!J406&lt;&gt;""),"; ","")&amp;IF(Catalog!J406="","",Catalog!J406)</f>
        <v/>
      </c>
      <c r="D433" s="16">
        <f>Catalog!Q406</f>
        <v>0</v>
      </c>
      <c r="E433" s="16">
        <f>Catalog!S406</f>
        <v>0</v>
      </c>
      <c r="F433" s="16">
        <f>Catalog!N406</f>
        <v>0</v>
      </c>
      <c r="G433" s="16" t="str">
        <f>Catalog!K406&amp;" / "&amp;Catalog!M406</f>
        <v xml:space="preserve"> / </v>
      </c>
      <c r="H433" s="16" t="str">
        <f t="shared" si="6"/>
        <v>Print</v>
      </c>
      <c r="I433" s="16" t="str">
        <f>IF(Catalog!T406&lt;&gt;"","ISBN:"&amp;Catalog!T406,IF(Catalog!U406&lt;&gt;"","ISSN:"&amp;Catalog!U406,"ACC:"&amp;Catalog!B406))</f>
        <v>ACC:</v>
      </c>
      <c r="J433" s="16">
        <f>Catalog!L406</f>
        <v>0</v>
      </c>
      <c r="K433" s="16">
        <f>IF(Catalog!AH406&lt;&gt;"",Catalog!AH406,Catalog!AF406)</f>
        <v>0</v>
      </c>
      <c r="L433" s="16">
        <f>Catalog!AE406</f>
        <v>0</v>
      </c>
      <c r="M433" s="16">
        <f>Catalog!W406</f>
        <v>0</v>
      </c>
      <c r="N433" s="16">
        <f>Catalog!R406</f>
        <v>0</v>
      </c>
      <c r="O433" s="16">
        <f>Catalog!AG406</f>
        <v>0</v>
      </c>
    </row>
    <row r="434" spans="1:15" ht="15.75" x14ac:dyDescent="0.25">
      <c r="A434" s="16">
        <f>Catalog!D407</f>
        <v>0</v>
      </c>
      <c r="B434" s="16">
        <f>Catalog!F407</f>
        <v>0</v>
      </c>
      <c r="C434" s="16" t="str">
        <f>IF(Catalog!I407="","",Catalog!I407)&amp;IF(AND(Catalog!I407&lt;&gt;"",Catalog!J407&lt;&gt;""),"; ","")&amp;IF(Catalog!J407="","",Catalog!J407)</f>
        <v/>
      </c>
      <c r="D434" s="16">
        <f>Catalog!Q407</f>
        <v>0</v>
      </c>
      <c r="E434" s="16">
        <f>Catalog!S407</f>
        <v>0</v>
      </c>
      <c r="F434" s="16">
        <f>Catalog!N407</f>
        <v>0</v>
      </c>
      <c r="G434" s="16" t="str">
        <f>Catalog!K407&amp;" / "&amp;Catalog!M407</f>
        <v xml:space="preserve"> / </v>
      </c>
      <c r="H434" s="16" t="str">
        <f t="shared" si="6"/>
        <v>Print</v>
      </c>
      <c r="I434" s="16" t="str">
        <f>IF(Catalog!T407&lt;&gt;"","ISBN:"&amp;Catalog!T407,IF(Catalog!U407&lt;&gt;"","ISSN:"&amp;Catalog!U407,"ACC:"&amp;Catalog!B407))</f>
        <v>ACC:</v>
      </c>
      <c r="J434" s="16">
        <f>Catalog!L407</f>
        <v>0</v>
      </c>
      <c r="K434" s="16">
        <f>IF(Catalog!AH407&lt;&gt;"",Catalog!AH407,Catalog!AF407)</f>
        <v>0</v>
      </c>
      <c r="L434" s="16">
        <f>Catalog!AE407</f>
        <v>0</v>
      </c>
      <c r="M434" s="16">
        <f>Catalog!W407</f>
        <v>0</v>
      </c>
      <c r="N434" s="16">
        <f>Catalog!R407</f>
        <v>0</v>
      </c>
      <c r="O434" s="16">
        <f>Catalog!AG407</f>
        <v>0</v>
      </c>
    </row>
    <row r="435" spans="1:15" ht="15.75" x14ac:dyDescent="0.25">
      <c r="A435" s="16">
        <f>Catalog!D408</f>
        <v>0</v>
      </c>
      <c r="B435" s="16">
        <f>Catalog!F408</f>
        <v>0</v>
      </c>
      <c r="C435" s="16" t="str">
        <f>IF(Catalog!I408="","",Catalog!I408)&amp;IF(AND(Catalog!I408&lt;&gt;"",Catalog!J408&lt;&gt;""),"; ","")&amp;IF(Catalog!J408="","",Catalog!J408)</f>
        <v/>
      </c>
      <c r="D435" s="16">
        <f>Catalog!Q408</f>
        <v>0</v>
      </c>
      <c r="E435" s="16">
        <f>Catalog!S408</f>
        <v>0</v>
      </c>
      <c r="F435" s="16">
        <f>Catalog!N408</f>
        <v>0</v>
      </c>
      <c r="G435" s="16" t="str">
        <f>Catalog!K408&amp;" / "&amp;Catalog!M408</f>
        <v xml:space="preserve"> / </v>
      </c>
      <c r="H435" s="16" t="str">
        <f t="shared" si="6"/>
        <v>Print</v>
      </c>
      <c r="I435" s="16" t="str">
        <f>IF(Catalog!T408&lt;&gt;"","ISBN:"&amp;Catalog!T408,IF(Catalog!U408&lt;&gt;"","ISSN:"&amp;Catalog!U408,"ACC:"&amp;Catalog!B408))</f>
        <v>ACC:</v>
      </c>
      <c r="J435" s="16">
        <f>Catalog!L408</f>
        <v>0</v>
      </c>
      <c r="K435" s="16">
        <f>IF(Catalog!AH408&lt;&gt;"",Catalog!AH408,Catalog!AF408)</f>
        <v>0</v>
      </c>
      <c r="L435" s="16">
        <f>Catalog!AE408</f>
        <v>0</v>
      </c>
      <c r="M435" s="16">
        <f>Catalog!W408</f>
        <v>0</v>
      </c>
      <c r="N435" s="16">
        <f>Catalog!R408</f>
        <v>0</v>
      </c>
      <c r="O435" s="16">
        <f>Catalog!AG408</f>
        <v>0</v>
      </c>
    </row>
    <row r="436" spans="1:15" ht="15.75" x14ac:dyDescent="0.25">
      <c r="A436" s="16">
        <f>Catalog!D409</f>
        <v>0</v>
      </c>
      <c r="B436" s="16">
        <f>Catalog!F409</f>
        <v>0</v>
      </c>
      <c r="C436" s="16" t="str">
        <f>IF(Catalog!I409="","",Catalog!I409)&amp;IF(AND(Catalog!I409&lt;&gt;"",Catalog!J409&lt;&gt;""),"; ","")&amp;IF(Catalog!J409="","",Catalog!J409)</f>
        <v/>
      </c>
      <c r="D436" s="16">
        <f>Catalog!Q409</f>
        <v>0</v>
      </c>
      <c r="E436" s="16">
        <f>Catalog!S409</f>
        <v>0</v>
      </c>
      <c r="F436" s="16">
        <f>Catalog!N409</f>
        <v>0</v>
      </c>
      <c r="G436" s="16" t="str">
        <f>Catalog!K409&amp;" / "&amp;Catalog!M409</f>
        <v xml:space="preserve"> / </v>
      </c>
      <c r="H436" s="16" t="str">
        <f t="shared" si="6"/>
        <v>Print</v>
      </c>
      <c r="I436" s="16" t="str">
        <f>IF(Catalog!T409&lt;&gt;"","ISBN:"&amp;Catalog!T409,IF(Catalog!U409&lt;&gt;"","ISSN:"&amp;Catalog!U409,"ACC:"&amp;Catalog!B409))</f>
        <v>ACC:</v>
      </c>
      <c r="J436" s="16">
        <f>Catalog!L409</f>
        <v>0</v>
      </c>
      <c r="K436" s="16">
        <f>IF(Catalog!AH409&lt;&gt;"",Catalog!AH409,Catalog!AF409)</f>
        <v>0</v>
      </c>
      <c r="L436" s="16">
        <f>Catalog!AE409</f>
        <v>0</v>
      </c>
      <c r="M436" s="16">
        <f>Catalog!W409</f>
        <v>0</v>
      </c>
      <c r="N436" s="16">
        <f>Catalog!R409</f>
        <v>0</v>
      </c>
      <c r="O436" s="16">
        <f>Catalog!AG409</f>
        <v>0</v>
      </c>
    </row>
    <row r="437" spans="1:15" ht="15.75" x14ac:dyDescent="0.25">
      <c r="A437" s="16">
        <f>Catalog!D410</f>
        <v>0</v>
      </c>
      <c r="B437" s="16">
        <f>Catalog!F410</f>
        <v>0</v>
      </c>
      <c r="C437" s="16" t="str">
        <f>IF(Catalog!I410="","",Catalog!I410)&amp;IF(AND(Catalog!I410&lt;&gt;"",Catalog!J410&lt;&gt;""),"; ","")&amp;IF(Catalog!J410="","",Catalog!J410)</f>
        <v/>
      </c>
      <c r="D437" s="16">
        <f>Catalog!Q410</f>
        <v>0</v>
      </c>
      <c r="E437" s="16">
        <f>Catalog!S410</f>
        <v>0</v>
      </c>
      <c r="F437" s="16">
        <f>Catalog!N410</f>
        <v>0</v>
      </c>
      <c r="G437" s="16" t="str">
        <f>Catalog!K410&amp;" / "&amp;Catalog!M410</f>
        <v xml:space="preserve"> / </v>
      </c>
      <c r="H437" s="16" t="str">
        <f t="shared" si="6"/>
        <v>Print</v>
      </c>
      <c r="I437" s="16" t="str">
        <f>IF(Catalog!T410&lt;&gt;"","ISBN:"&amp;Catalog!T410,IF(Catalog!U410&lt;&gt;"","ISSN:"&amp;Catalog!U410,"ACC:"&amp;Catalog!B410))</f>
        <v>ACC:</v>
      </c>
      <c r="J437" s="16">
        <f>Catalog!L410</f>
        <v>0</v>
      </c>
      <c r="K437" s="16">
        <f>IF(Catalog!AH410&lt;&gt;"",Catalog!AH410,Catalog!AF410)</f>
        <v>0</v>
      </c>
      <c r="L437" s="16">
        <f>Catalog!AE410</f>
        <v>0</v>
      </c>
      <c r="M437" s="16">
        <f>Catalog!W410</f>
        <v>0</v>
      </c>
      <c r="N437" s="16">
        <f>Catalog!R410</f>
        <v>0</v>
      </c>
      <c r="O437" s="16">
        <f>Catalog!AG410</f>
        <v>0</v>
      </c>
    </row>
    <row r="438" spans="1:15" ht="15.75" x14ac:dyDescent="0.25">
      <c r="A438" s="16">
        <f>Catalog!D411</f>
        <v>0</v>
      </c>
      <c r="B438" s="16">
        <f>Catalog!F411</f>
        <v>0</v>
      </c>
      <c r="C438" s="16" t="str">
        <f>IF(Catalog!I411="","",Catalog!I411)&amp;IF(AND(Catalog!I411&lt;&gt;"",Catalog!J411&lt;&gt;""),"; ","")&amp;IF(Catalog!J411="","",Catalog!J411)</f>
        <v/>
      </c>
      <c r="D438" s="16">
        <f>Catalog!Q411</f>
        <v>0</v>
      </c>
      <c r="E438" s="16">
        <f>Catalog!S411</f>
        <v>0</v>
      </c>
      <c r="F438" s="16">
        <f>Catalog!N411</f>
        <v>0</v>
      </c>
      <c r="G438" s="16" t="str">
        <f>Catalog!K411&amp;" / "&amp;Catalog!M411</f>
        <v xml:space="preserve"> / </v>
      </c>
      <c r="H438" s="16" t="str">
        <f t="shared" si="6"/>
        <v>Print</v>
      </c>
      <c r="I438" s="16" t="str">
        <f>IF(Catalog!T411&lt;&gt;"","ISBN:"&amp;Catalog!T411,IF(Catalog!U411&lt;&gt;"","ISSN:"&amp;Catalog!U411,"ACC:"&amp;Catalog!B411))</f>
        <v>ACC:</v>
      </c>
      <c r="J438" s="16">
        <f>Catalog!L411</f>
        <v>0</v>
      </c>
      <c r="K438" s="16">
        <f>IF(Catalog!AH411&lt;&gt;"",Catalog!AH411,Catalog!AF411)</f>
        <v>0</v>
      </c>
      <c r="L438" s="16">
        <f>Catalog!AE411</f>
        <v>0</v>
      </c>
      <c r="M438" s="16">
        <f>Catalog!W411</f>
        <v>0</v>
      </c>
      <c r="N438" s="16">
        <f>Catalog!R411</f>
        <v>0</v>
      </c>
      <c r="O438" s="16">
        <f>Catalog!AG411</f>
        <v>0</v>
      </c>
    </row>
    <row r="439" spans="1:15" ht="15.75" x14ac:dyDescent="0.25">
      <c r="A439" s="16">
        <f>Catalog!D412</f>
        <v>0</v>
      </c>
      <c r="B439" s="16">
        <f>Catalog!F412</f>
        <v>0</v>
      </c>
      <c r="C439" s="16" t="str">
        <f>IF(Catalog!I412="","",Catalog!I412)&amp;IF(AND(Catalog!I412&lt;&gt;"",Catalog!J412&lt;&gt;""),"; ","")&amp;IF(Catalog!J412="","",Catalog!J412)</f>
        <v/>
      </c>
      <c r="D439" s="16">
        <f>Catalog!Q412</f>
        <v>0</v>
      </c>
      <c r="E439" s="16">
        <f>Catalog!S412</f>
        <v>0</v>
      </c>
      <c r="F439" s="16">
        <f>Catalog!N412</f>
        <v>0</v>
      </c>
      <c r="G439" s="16" t="str">
        <f>Catalog!K412&amp;" / "&amp;Catalog!M412</f>
        <v xml:space="preserve"> / </v>
      </c>
      <c r="H439" s="16" t="str">
        <f t="shared" si="6"/>
        <v>Print</v>
      </c>
      <c r="I439" s="16" t="str">
        <f>IF(Catalog!T412&lt;&gt;"","ISBN:"&amp;Catalog!T412,IF(Catalog!U412&lt;&gt;"","ISSN:"&amp;Catalog!U412,"ACC:"&amp;Catalog!B412))</f>
        <v>ACC:</v>
      </c>
      <c r="J439" s="16">
        <f>Catalog!L412</f>
        <v>0</v>
      </c>
      <c r="K439" s="16">
        <f>IF(Catalog!AH412&lt;&gt;"",Catalog!AH412,Catalog!AF412)</f>
        <v>0</v>
      </c>
      <c r="L439" s="16">
        <f>Catalog!AE412</f>
        <v>0</v>
      </c>
      <c r="M439" s="16">
        <f>Catalog!W412</f>
        <v>0</v>
      </c>
      <c r="N439" s="16">
        <f>Catalog!R412</f>
        <v>0</v>
      </c>
      <c r="O439" s="16">
        <f>Catalog!AG412</f>
        <v>0</v>
      </c>
    </row>
    <row r="440" spans="1:15" ht="15.75" x14ac:dyDescent="0.25">
      <c r="A440" s="16">
        <f>Catalog!D413</f>
        <v>0</v>
      </c>
      <c r="B440" s="16">
        <f>Catalog!F413</f>
        <v>0</v>
      </c>
      <c r="C440" s="16" t="str">
        <f>IF(Catalog!I413="","",Catalog!I413)&amp;IF(AND(Catalog!I413&lt;&gt;"",Catalog!J413&lt;&gt;""),"; ","")&amp;IF(Catalog!J413="","",Catalog!J413)</f>
        <v/>
      </c>
      <c r="D440" s="16">
        <f>Catalog!Q413</f>
        <v>0</v>
      </c>
      <c r="E440" s="16">
        <f>Catalog!S413</f>
        <v>0</v>
      </c>
      <c r="F440" s="16">
        <f>Catalog!N413</f>
        <v>0</v>
      </c>
      <c r="G440" s="16" t="str">
        <f>Catalog!K413&amp;" / "&amp;Catalog!M413</f>
        <v xml:space="preserve"> / </v>
      </c>
      <c r="H440" s="16" t="str">
        <f t="shared" si="6"/>
        <v>Print</v>
      </c>
      <c r="I440" s="16" t="str">
        <f>IF(Catalog!T413&lt;&gt;"","ISBN:"&amp;Catalog!T413,IF(Catalog!U413&lt;&gt;"","ISSN:"&amp;Catalog!U413,"ACC:"&amp;Catalog!B413))</f>
        <v>ACC:</v>
      </c>
      <c r="J440" s="16">
        <f>Catalog!L413</f>
        <v>0</v>
      </c>
      <c r="K440" s="16">
        <f>IF(Catalog!AH413&lt;&gt;"",Catalog!AH413,Catalog!AF413)</f>
        <v>0</v>
      </c>
      <c r="L440" s="16">
        <f>Catalog!AE413</f>
        <v>0</v>
      </c>
      <c r="M440" s="16">
        <f>Catalog!W413</f>
        <v>0</v>
      </c>
      <c r="N440" s="16">
        <f>Catalog!R413</f>
        <v>0</v>
      </c>
      <c r="O440" s="16">
        <f>Catalog!AG413</f>
        <v>0</v>
      </c>
    </row>
    <row r="441" spans="1:15" ht="15.75" x14ac:dyDescent="0.25">
      <c r="A441" s="16">
        <f>Catalog!D414</f>
        <v>0</v>
      </c>
      <c r="B441" s="16">
        <f>Catalog!F414</f>
        <v>0</v>
      </c>
      <c r="C441" s="16" t="str">
        <f>IF(Catalog!I414="","",Catalog!I414)&amp;IF(AND(Catalog!I414&lt;&gt;"",Catalog!J414&lt;&gt;""),"; ","")&amp;IF(Catalog!J414="","",Catalog!J414)</f>
        <v/>
      </c>
      <c r="D441" s="16">
        <f>Catalog!Q414</f>
        <v>0</v>
      </c>
      <c r="E441" s="16">
        <f>Catalog!S414</f>
        <v>0</v>
      </c>
      <c r="F441" s="16">
        <f>Catalog!N414</f>
        <v>0</v>
      </c>
      <c r="G441" s="16" t="str">
        <f>Catalog!K414&amp;" / "&amp;Catalog!M414</f>
        <v xml:space="preserve"> / </v>
      </c>
      <c r="H441" s="16" t="str">
        <f t="shared" si="6"/>
        <v>Print</v>
      </c>
      <c r="I441" s="16" t="str">
        <f>IF(Catalog!T414&lt;&gt;"","ISBN:"&amp;Catalog!T414,IF(Catalog!U414&lt;&gt;"","ISSN:"&amp;Catalog!U414,"ACC:"&amp;Catalog!B414))</f>
        <v>ACC:</v>
      </c>
      <c r="J441" s="16">
        <f>Catalog!L414</f>
        <v>0</v>
      </c>
      <c r="K441" s="16">
        <f>IF(Catalog!AH414&lt;&gt;"",Catalog!AH414,Catalog!AF414)</f>
        <v>0</v>
      </c>
      <c r="L441" s="16">
        <f>Catalog!AE414</f>
        <v>0</v>
      </c>
      <c r="M441" s="16">
        <f>Catalog!W414</f>
        <v>0</v>
      </c>
      <c r="N441" s="16">
        <f>Catalog!R414</f>
        <v>0</v>
      </c>
      <c r="O441" s="16">
        <f>Catalog!AG414</f>
        <v>0</v>
      </c>
    </row>
    <row r="442" spans="1:15" ht="15.75" x14ac:dyDescent="0.25">
      <c r="A442" s="16">
        <f>Catalog!D415</f>
        <v>0</v>
      </c>
      <c r="B442" s="16">
        <f>Catalog!F415</f>
        <v>0</v>
      </c>
      <c r="C442" s="16" t="str">
        <f>IF(Catalog!I415="","",Catalog!I415)&amp;IF(AND(Catalog!I415&lt;&gt;"",Catalog!J415&lt;&gt;""),"; ","")&amp;IF(Catalog!J415="","",Catalog!J415)</f>
        <v/>
      </c>
      <c r="D442" s="16">
        <f>Catalog!Q415</f>
        <v>0</v>
      </c>
      <c r="E442" s="16">
        <f>Catalog!S415</f>
        <v>0</v>
      </c>
      <c r="F442" s="16">
        <f>Catalog!N415</f>
        <v>0</v>
      </c>
      <c r="G442" s="16" t="str">
        <f>Catalog!K415&amp;" / "&amp;Catalog!M415</f>
        <v xml:space="preserve"> / </v>
      </c>
      <c r="H442" s="16" t="str">
        <f t="shared" si="6"/>
        <v>Print</v>
      </c>
      <c r="I442" s="16" t="str">
        <f>IF(Catalog!T415&lt;&gt;"","ISBN:"&amp;Catalog!T415,IF(Catalog!U415&lt;&gt;"","ISSN:"&amp;Catalog!U415,"ACC:"&amp;Catalog!B415))</f>
        <v>ACC:</v>
      </c>
      <c r="J442" s="16">
        <f>Catalog!L415</f>
        <v>0</v>
      </c>
      <c r="K442" s="16">
        <f>IF(Catalog!AH415&lt;&gt;"",Catalog!AH415,Catalog!AF415)</f>
        <v>0</v>
      </c>
      <c r="L442" s="16">
        <f>Catalog!AE415</f>
        <v>0</v>
      </c>
      <c r="M442" s="16">
        <f>Catalog!W415</f>
        <v>0</v>
      </c>
      <c r="N442" s="16">
        <f>Catalog!R415</f>
        <v>0</v>
      </c>
      <c r="O442" s="16">
        <f>Catalog!AG415</f>
        <v>0</v>
      </c>
    </row>
    <row r="443" spans="1:15" ht="15.75" x14ac:dyDescent="0.25">
      <c r="A443" s="16">
        <f>Catalog!D416</f>
        <v>0</v>
      </c>
      <c r="B443" s="16">
        <f>Catalog!F416</f>
        <v>0</v>
      </c>
      <c r="C443" s="16" t="str">
        <f>IF(Catalog!I416="","",Catalog!I416)&amp;IF(AND(Catalog!I416&lt;&gt;"",Catalog!J416&lt;&gt;""),"; ","")&amp;IF(Catalog!J416="","",Catalog!J416)</f>
        <v/>
      </c>
      <c r="D443" s="16">
        <f>Catalog!Q416</f>
        <v>0</v>
      </c>
      <c r="E443" s="16">
        <f>Catalog!S416</f>
        <v>0</v>
      </c>
      <c r="F443" s="16">
        <f>Catalog!N416</f>
        <v>0</v>
      </c>
      <c r="G443" s="16" t="str">
        <f>Catalog!K416&amp;" / "&amp;Catalog!M416</f>
        <v xml:space="preserve"> / </v>
      </c>
      <c r="H443" s="16" t="str">
        <f t="shared" si="6"/>
        <v>Print</v>
      </c>
      <c r="I443" s="16" t="str">
        <f>IF(Catalog!T416&lt;&gt;"","ISBN:"&amp;Catalog!T416,IF(Catalog!U416&lt;&gt;"","ISSN:"&amp;Catalog!U416,"ACC:"&amp;Catalog!B416))</f>
        <v>ACC:</v>
      </c>
      <c r="J443" s="16">
        <f>Catalog!L416</f>
        <v>0</v>
      </c>
      <c r="K443" s="16">
        <f>IF(Catalog!AH416&lt;&gt;"",Catalog!AH416,Catalog!AF416)</f>
        <v>0</v>
      </c>
      <c r="L443" s="16">
        <f>Catalog!AE416</f>
        <v>0</v>
      </c>
      <c r="M443" s="16">
        <f>Catalog!W416</f>
        <v>0</v>
      </c>
      <c r="N443" s="16">
        <f>Catalog!R416</f>
        <v>0</v>
      </c>
      <c r="O443" s="16">
        <f>Catalog!AG416</f>
        <v>0</v>
      </c>
    </row>
    <row r="444" spans="1:15" ht="15.75" x14ac:dyDescent="0.25">
      <c r="A444" s="16">
        <f>Catalog!D417</f>
        <v>0</v>
      </c>
      <c r="B444" s="16">
        <f>Catalog!F417</f>
        <v>0</v>
      </c>
      <c r="C444" s="16" t="str">
        <f>IF(Catalog!I417="","",Catalog!I417)&amp;IF(AND(Catalog!I417&lt;&gt;"",Catalog!J417&lt;&gt;""),"; ","")&amp;IF(Catalog!J417="","",Catalog!J417)</f>
        <v/>
      </c>
      <c r="D444" s="16">
        <f>Catalog!Q417</f>
        <v>0</v>
      </c>
      <c r="E444" s="16">
        <f>Catalog!S417</f>
        <v>0</v>
      </c>
      <c r="F444" s="16">
        <f>Catalog!N417</f>
        <v>0</v>
      </c>
      <c r="G444" s="16" t="str">
        <f>Catalog!K417&amp;" / "&amp;Catalog!M417</f>
        <v xml:space="preserve"> / </v>
      </c>
      <c r="H444" s="16" t="str">
        <f t="shared" si="6"/>
        <v>Print</v>
      </c>
      <c r="I444" s="16" t="str">
        <f>IF(Catalog!T417&lt;&gt;"","ISBN:"&amp;Catalog!T417,IF(Catalog!U417&lt;&gt;"","ISSN:"&amp;Catalog!U417,"ACC:"&amp;Catalog!B417))</f>
        <v>ACC:</v>
      </c>
      <c r="J444" s="16">
        <f>Catalog!L417</f>
        <v>0</v>
      </c>
      <c r="K444" s="16">
        <f>IF(Catalog!AH417&lt;&gt;"",Catalog!AH417,Catalog!AF417)</f>
        <v>0</v>
      </c>
      <c r="L444" s="16">
        <f>Catalog!AE417</f>
        <v>0</v>
      </c>
      <c r="M444" s="16">
        <f>Catalog!W417</f>
        <v>0</v>
      </c>
      <c r="N444" s="16">
        <f>Catalog!R417</f>
        <v>0</v>
      </c>
      <c r="O444" s="16">
        <f>Catalog!AG417</f>
        <v>0</v>
      </c>
    </row>
    <row r="445" spans="1:15" ht="15.75" x14ac:dyDescent="0.25">
      <c r="A445" s="16">
        <f>Catalog!D418</f>
        <v>0</v>
      </c>
      <c r="B445" s="16">
        <f>Catalog!F418</f>
        <v>0</v>
      </c>
      <c r="C445" s="16" t="str">
        <f>IF(Catalog!I418="","",Catalog!I418)&amp;IF(AND(Catalog!I418&lt;&gt;"",Catalog!J418&lt;&gt;""),"; ","")&amp;IF(Catalog!J418="","",Catalog!J418)</f>
        <v/>
      </c>
      <c r="D445" s="16">
        <f>Catalog!Q418</f>
        <v>0</v>
      </c>
      <c r="E445" s="16">
        <f>Catalog!S418</f>
        <v>0</v>
      </c>
      <c r="F445" s="16">
        <f>Catalog!N418</f>
        <v>0</v>
      </c>
      <c r="G445" s="16" t="str">
        <f>Catalog!K418&amp;" / "&amp;Catalog!M418</f>
        <v xml:space="preserve"> / </v>
      </c>
      <c r="H445" s="16" t="str">
        <f t="shared" si="6"/>
        <v>Print</v>
      </c>
      <c r="I445" s="16" t="str">
        <f>IF(Catalog!T418&lt;&gt;"","ISBN:"&amp;Catalog!T418,IF(Catalog!U418&lt;&gt;"","ISSN:"&amp;Catalog!U418,"ACC:"&amp;Catalog!B418))</f>
        <v>ACC:</v>
      </c>
      <c r="J445" s="16">
        <f>Catalog!L418</f>
        <v>0</v>
      </c>
      <c r="K445" s="16">
        <f>IF(Catalog!AH418&lt;&gt;"",Catalog!AH418,Catalog!AF418)</f>
        <v>0</v>
      </c>
      <c r="L445" s="16">
        <f>Catalog!AE418</f>
        <v>0</v>
      </c>
      <c r="M445" s="16">
        <f>Catalog!W418</f>
        <v>0</v>
      </c>
      <c r="N445" s="16">
        <f>Catalog!R418</f>
        <v>0</v>
      </c>
      <c r="O445" s="16">
        <f>Catalog!AG418</f>
        <v>0</v>
      </c>
    </row>
    <row r="446" spans="1:15" ht="15.75" x14ac:dyDescent="0.25">
      <c r="A446" s="16">
        <f>Catalog!D419</f>
        <v>0</v>
      </c>
      <c r="B446" s="16">
        <f>Catalog!F419</f>
        <v>0</v>
      </c>
      <c r="C446" s="16" t="str">
        <f>IF(Catalog!I419="","",Catalog!I419)&amp;IF(AND(Catalog!I419&lt;&gt;"",Catalog!J419&lt;&gt;""),"; ","")&amp;IF(Catalog!J419="","",Catalog!J419)</f>
        <v/>
      </c>
      <c r="D446" s="16">
        <f>Catalog!Q419</f>
        <v>0</v>
      </c>
      <c r="E446" s="16">
        <f>Catalog!S419</f>
        <v>0</v>
      </c>
      <c r="F446" s="16">
        <f>Catalog!N419</f>
        <v>0</v>
      </c>
      <c r="G446" s="16" t="str">
        <f>Catalog!K419&amp;" / "&amp;Catalog!M419</f>
        <v xml:space="preserve"> / </v>
      </c>
      <c r="H446" s="16" t="str">
        <f t="shared" si="6"/>
        <v>Print</v>
      </c>
      <c r="I446" s="16" t="str">
        <f>IF(Catalog!T419&lt;&gt;"","ISBN:"&amp;Catalog!T419,IF(Catalog!U419&lt;&gt;"","ISSN:"&amp;Catalog!U419,"ACC:"&amp;Catalog!B419))</f>
        <v>ACC:</v>
      </c>
      <c r="J446" s="16">
        <f>Catalog!L419</f>
        <v>0</v>
      </c>
      <c r="K446" s="16">
        <f>IF(Catalog!AH419&lt;&gt;"",Catalog!AH419,Catalog!AF419)</f>
        <v>0</v>
      </c>
      <c r="L446" s="16">
        <f>Catalog!AE419</f>
        <v>0</v>
      </c>
      <c r="M446" s="16">
        <f>Catalog!W419</f>
        <v>0</v>
      </c>
      <c r="N446" s="16">
        <f>Catalog!R419</f>
        <v>0</v>
      </c>
      <c r="O446" s="16">
        <f>Catalog!AG419</f>
        <v>0</v>
      </c>
    </row>
    <row r="447" spans="1:15" ht="15.75" x14ac:dyDescent="0.25">
      <c r="A447" s="16">
        <f>Catalog!D420</f>
        <v>0</v>
      </c>
      <c r="B447" s="16">
        <f>Catalog!F420</f>
        <v>0</v>
      </c>
      <c r="C447" s="16" t="str">
        <f>IF(Catalog!I420="","",Catalog!I420)&amp;IF(AND(Catalog!I420&lt;&gt;"",Catalog!J420&lt;&gt;""),"; ","")&amp;IF(Catalog!J420="","",Catalog!J420)</f>
        <v/>
      </c>
      <c r="D447" s="16">
        <f>Catalog!Q420</f>
        <v>0</v>
      </c>
      <c r="E447" s="16">
        <f>Catalog!S420</f>
        <v>0</v>
      </c>
      <c r="F447" s="16">
        <f>Catalog!N420</f>
        <v>0</v>
      </c>
      <c r="G447" s="16" t="str">
        <f>Catalog!K420&amp;" / "&amp;Catalog!M420</f>
        <v xml:space="preserve"> / </v>
      </c>
      <c r="H447" s="16" t="str">
        <f t="shared" si="6"/>
        <v>Print</v>
      </c>
      <c r="I447" s="16" t="str">
        <f>IF(Catalog!T420&lt;&gt;"","ISBN:"&amp;Catalog!T420,IF(Catalog!U420&lt;&gt;"","ISSN:"&amp;Catalog!U420,"ACC:"&amp;Catalog!B420))</f>
        <v>ACC:</v>
      </c>
      <c r="J447" s="16">
        <f>Catalog!L420</f>
        <v>0</v>
      </c>
      <c r="K447" s="16">
        <f>IF(Catalog!AH420&lt;&gt;"",Catalog!AH420,Catalog!AF420)</f>
        <v>0</v>
      </c>
      <c r="L447" s="16">
        <f>Catalog!AE420</f>
        <v>0</v>
      </c>
      <c r="M447" s="16">
        <f>Catalog!W420</f>
        <v>0</v>
      </c>
      <c r="N447" s="16">
        <f>Catalog!R420</f>
        <v>0</v>
      </c>
      <c r="O447" s="16">
        <f>Catalog!AG420</f>
        <v>0</v>
      </c>
    </row>
    <row r="448" spans="1:15" ht="15.75" x14ac:dyDescent="0.25">
      <c r="A448" s="16">
        <f>Catalog!D421</f>
        <v>0</v>
      </c>
      <c r="B448" s="16">
        <f>Catalog!F421</f>
        <v>0</v>
      </c>
      <c r="C448" s="16" t="str">
        <f>IF(Catalog!I421="","",Catalog!I421)&amp;IF(AND(Catalog!I421&lt;&gt;"",Catalog!J421&lt;&gt;""),"; ","")&amp;IF(Catalog!J421="","",Catalog!J421)</f>
        <v/>
      </c>
      <c r="D448" s="16">
        <f>Catalog!Q421</f>
        <v>0</v>
      </c>
      <c r="E448" s="16">
        <f>Catalog!S421</f>
        <v>0</v>
      </c>
      <c r="F448" s="16">
        <f>Catalog!N421</f>
        <v>0</v>
      </c>
      <c r="G448" s="16" t="str">
        <f>Catalog!K421&amp;" / "&amp;Catalog!M421</f>
        <v xml:space="preserve"> / </v>
      </c>
      <c r="H448" s="16" t="str">
        <f t="shared" si="6"/>
        <v>Print</v>
      </c>
      <c r="I448" s="16" t="str">
        <f>IF(Catalog!T421&lt;&gt;"","ISBN:"&amp;Catalog!T421,IF(Catalog!U421&lt;&gt;"","ISSN:"&amp;Catalog!U421,"ACC:"&amp;Catalog!B421))</f>
        <v>ACC:</v>
      </c>
      <c r="J448" s="16">
        <f>Catalog!L421</f>
        <v>0</v>
      </c>
      <c r="K448" s="16">
        <f>IF(Catalog!AH421&lt;&gt;"",Catalog!AH421,Catalog!AF421)</f>
        <v>0</v>
      </c>
      <c r="L448" s="16">
        <f>Catalog!AE421</f>
        <v>0</v>
      </c>
      <c r="M448" s="16">
        <f>Catalog!W421</f>
        <v>0</v>
      </c>
      <c r="N448" s="16">
        <f>Catalog!R421</f>
        <v>0</v>
      </c>
      <c r="O448" s="16">
        <f>Catalog!AG421</f>
        <v>0</v>
      </c>
    </row>
    <row r="449" spans="1:15" ht="15.75" x14ac:dyDescent="0.25">
      <c r="A449" s="16">
        <f>Catalog!D422</f>
        <v>0</v>
      </c>
      <c r="B449" s="16">
        <f>Catalog!F422</f>
        <v>0</v>
      </c>
      <c r="C449" s="16" t="str">
        <f>IF(Catalog!I422="","",Catalog!I422)&amp;IF(AND(Catalog!I422&lt;&gt;"",Catalog!J422&lt;&gt;""),"; ","")&amp;IF(Catalog!J422="","",Catalog!J422)</f>
        <v/>
      </c>
      <c r="D449" s="16">
        <f>Catalog!Q422</f>
        <v>0</v>
      </c>
      <c r="E449" s="16">
        <f>Catalog!S422</f>
        <v>0</v>
      </c>
      <c r="F449" s="16">
        <f>Catalog!N422</f>
        <v>0</v>
      </c>
      <c r="G449" s="16" t="str">
        <f>Catalog!K422&amp;" / "&amp;Catalog!M422</f>
        <v xml:space="preserve"> / </v>
      </c>
      <c r="H449" s="16" t="str">
        <f t="shared" si="6"/>
        <v>Print</v>
      </c>
      <c r="I449" s="16" t="str">
        <f>IF(Catalog!T422&lt;&gt;"","ISBN:"&amp;Catalog!T422,IF(Catalog!U422&lt;&gt;"","ISSN:"&amp;Catalog!U422,"ACC:"&amp;Catalog!B422))</f>
        <v>ACC:</v>
      </c>
      <c r="J449" s="16">
        <f>Catalog!L422</f>
        <v>0</v>
      </c>
      <c r="K449" s="16">
        <f>IF(Catalog!AH422&lt;&gt;"",Catalog!AH422,Catalog!AF422)</f>
        <v>0</v>
      </c>
      <c r="L449" s="16">
        <f>Catalog!AE422</f>
        <v>0</v>
      </c>
      <c r="M449" s="16">
        <f>Catalog!W422</f>
        <v>0</v>
      </c>
      <c r="N449" s="16">
        <f>Catalog!R422</f>
        <v>0</v>
      </c>
      <c r="O449" s="16">
        <f>Catalog!AG422</f>
        <v>0</v>
      </c>
    </row>
    <row r="450" spans="1:15" ht="15.75" x14ac:dyDescent="0.25">
      <c r="A450" s="16">
        <f>Catalog!D423</f>
        <v>0</v>
      </c>
      <c r="B450" s="16">
        <f>Catalog!F423</f>
        <v>0</v>
      </c>
      <c r="C450" s="16" t="str">
        <f>IF(Catalog!I423="","",Catalog!I423)&amp;IF(AND(Catalog!I423&lt;&gt;"",Catalog!J423&lt;&gt;""),"; ","")&amp;IF(Catalog!J423="","",Catalog!J423)</f>
        <v/>
      </c>
      <c r="D450" s="16">
        <f>Catalog!Q423</f>
        <v>0</v>
      </c>
      <c r="E450" s="16">
        <f>Catalog!S423</f>
        <v>0</v>
      </c>
      <c r="F450" s="16">
        <f>Catalog!N423</f>
        <v>0</v>
      </c>
      <c r="G450" s="16" t="str">
        <f>Catalog!K423&amp;" / "&amp;Catalog!M423</f>
        <v xml:space="preserve"> / </v>
      </c>
      <c r="H450" s="16" t="str">
        <f t="shared" si="6"/>
        <v>Print</v>
      </c>
      <c r="I450" s="16" t="str">
        <f>IF(Catalog!T423&lt;&gt;"","ISBN:"&amp;Catalog!T423,IF(Catalog!U423&lt;&gt;"","ISSN:"&amp;Catalog!U423,"ACC:"&amp;Catalog!B423))</f>
        <v>ACC:</v>
      </c>
      <c r="J450" s="16">
        <f>Catalog!L423</f>
        <v>0</v>
      </c>
      <c r="K450" s="16">
        <f>IF(Catalog!AH423&lt;&gt;"",Catalog!AH423,Catalog!AF423)</f>
        <v>0</v>
      </c>
      <c r="L450" s="16">
        <f>Catalog!AE423</f>
        <v>0</v>
      </c>
      <c r="M450" s="16">
        <f>Catalog!W423</f>
        <v>0</v>
      </c>
      <c r="N450" s="16">
        <f>Catalog!R423</f>
        <v>0</v>
      </c>
      <c r="O450" s="16">
        <f>Catalog!AG423</f>
        <v>0</v>
      </c>
    </row>
    <row r="451" spans="1:15" ht="15.75" x14ac:dyDescent="0.25">
      <c r="A451" s="16">
        <f>Catalog!D424</f>
        <v>0</v>
      </c>
      <c r="B451" s="16">
        <f>Catalog!F424</f>
        <v>0</v>
      </c>
      <c r="C451" s="16" t="str">
        <f>IF(Catalog!I424="","",Catalog!I424)&amp;IF(AND(Catalog!I424&lt;&gt;"",Catalog!J424&lt;&gt;""),"; ","")&amp;IF(Catalog!J424="","",Catalog!J424)</f>
        <v/>
      </c>
      <c r="D451" s="16">
        <f>Catalog!Q424</f>
        <v>0</v>
      </c>
      <c r="E451" s="16">
        <f>Catalog!S424</f>
        <v>0</v>
      </c>
      <c r="F451" s="16">
        <f>Catalog!N424</f>
        <v>0</v>
      </c>
      <c r="G451" s="16" t="str">
        <f>Catalog!K424&amp;" / "&amp;Catalog!M424</f>
        <v xml:space="preserve"> / </v>
      </c>
      <c r="H451" s="16" t="str">
        <f t="shared" si="6"/>
        <v>Print</v>
      </c>
      <c r="I451" s="16" t="str">
        <f>IF(Catalog!T424&lt;&gt;"","ISBN:"&amp;Catalog!T424,IF(Catalog!U424&lt;&gt;"","ISSN:"&amp;Catalog!U424,"ACC:"&amp;Catalog!B424))</f>
        <v>ACC:</v>
      </c>
      <c r="J451" s="16">
        <f>Catalog!L424</f>
        <v>0</v>
      </c>
      <c r="K451" s="16">
        <f>IF(Catalog!AH424&lt;&gt;"",Catalog!AH424,Catalog!AF424)</f>
        <v>0</v>
      </c>
      <c r="L451" s="16">
        <f>Catalog!AE424</f>
        <v>0</v>
      </c>
      <c r="M451" s="16">
        <f>Catalog!W424</f>
        <v>0</v>
      </c>
      <c r="N451" s="16">
        <f>Catalog!R424</f>
        <v>0</v>
      </c>
      <c r="O451" s="16">
        <f>Catalog!AG424</f>
        <v>0</v>
      </c>
    </row>
    <row r="452" spans="1:15" ht="15.75" x14ac:dyDescent="0.25">
      <c r="A452" s="16">
        <f>Catalog!D425</f>
        <v>0</v>
      </c>
      <c r="B452" s="16">
        <f>Catalog!F425</f>
        <v>0</v>
      </c>
      <c r="C452" s="16" t="str">
        <f>IF(Catalog!I425="","",Catalog!I425)&amp;IF(AND(Catalog!I425&lt;&gt;"",Catalog!J425&lt;&gt;""),"; ","")&amp;IF(Catalog!J425="","",Catalog!J425)</f>
        <v/>
      </c>
      <c r="D452" s="16">
        <f>Catalog!Q425</f>
        <v>0</v>
      </c>
      <c r="E452" s="16">
        <f>Catalog!S425</f>
        <v>0</v>
      </c>
      <c r="F452" s="16">
        <f>Catalog!N425</f>
        <v>0</v>
      </c>
      <c r="G452" s="16" t="str">
        <f>Catalog!K425&amp;" / "&amp;Catalog!M425</f>
        <v xml:space="preserve"> / </v>
      </c>
      <c r="H452" s="16" t="str">
        <f t="shared" si="6"/>
        <v>Print</v>
      </c>
      <c r="I452" s="16" t="str">
        <f>IF(Catalog!T425&lt;&gt;"","ISBN:"&amp;Catalog!T425,IF(Catalog!U425&lt;&gt;"","ISSN:"&amp;Catalog!U425,"ACC:"&amp;Catalog!B425))</f>
        <v>ACC:</v>
      </c>
      <c r="J452" s="16">
        <f>Catalog!L425</f>
        <v>0</v>
      </c>
      <c r="K452" s="16">
        <f>IF(Catalog!AH425&lt;&gt;"",Catalog!AH425,Catalog!AF425)</f>
        <v>0</v>
      </c>
      <c r="L452" s="16">
        <f>Catalog!AE425</f>
        <v>0</v>
      </c>
      <c r="M452" s="16">
        <f>Catalog!W425</f>
        <v>0</v>
      </c>
      <c r="N452" s="16">
        <f>Catalog!R425</f>
        <v>0</v>
      </c>
      <c r="O452" s="16">
        <f>Catalog!AG425</f>
        <v>0</v>
      </c>
    </row>
    <row r="453" spans="1:15" ht="15.75" x14ac:dyDescent="0.25">
      <c r="A453" s="16">
        <f>Catalog!D426</f>
        <v>0</v>
      </c>
      <c r="B453" s="16">
        <f>Catalog!F426</f>
        <v>0</v>
      </c>
      <c r="C453" s="16" t="str">
        <f>IF(Catalog!I426="","",Catalog!I426)&amp;IF(AND(Catalog!I426&lt;&gt;"",Catalog!J426&lt;&gt;""),"; ","")&amp;IF(Catalog!J426="","",Catalog!J426)</f>
        <v/>
      </c>
      <c r="D453" s="16">
        <f>Catalog!Q426</f>
        <v>0</v>
      </c>
      <c r="E453" s="16">
        <f>Catalog!S426</f>
        <v>0</v>
      </c>
      <c r="F453" s="16">
        <f>Catalog!N426</f>
        <v>0</v>
      </c>
      <c r="G453" s="16" t="str">
        <f>Catalog!K426&amp;" / "&amp;Catalog!M426</f>
        <v xml:space="preserve"> / </v>
      </c>
      <c r="H453" s="16" t="str">
        <f t="shared" si="6"/>
        <v>Print</v>
      </c>
      <c r="I453" s="16" t="str">
        <f>IF(Catalog!T426&lt;&gt;"","ISBN:"&amp;Catalog!T426,IF(Catalog!U426&lt;&gt;"","ISSN:"&amp;Catalog!U426,"ACC:"&amp;Catalog!B426))</f>
        <v>ACC:</v>
      </c>
      <c r="J453" s="16">
        <f>Catalog!L426</f>
        <v>0</v>
      </c>
      <c r="K453" s="16">
        <f>IF(Catalog!AH426&lt;&gt;"",Catalog!AH426,Catalog!AF426)</f>
        <v>0</v>
      </c>
      <c r="L453" s="16">
        <f>Catalog!AE426</f>
        <v>0</v>
      </c>
      <c r="M453" s="16">
        <f>Catalog!W426</f>
        <v>0</v>
      </c>
      <c r="N453" s="16">
        <f>Catalog!R426</f>
        <v>0</v>
      </c>
      <c r="O453" s="16">
        <f>Catalog!AG426</f>
        <v>0</v>
      </c>
    </row>
    <row r="454" spans="1:15" ht="15.75" x14ac:dyDescent="0.25">
      <c r="A454" s="16">
        <f>Catalog!D427</f>
        <v>0</v>
      </c>
      <c r="B454" s="16">
        <f>Catalog!F427</f>
        <v>0</v>
      </c>
      <c r="C454" s="16" t="str">
        <f>IF(Catalog!I427="","",Catalog!I427)&amp;IF(AND(Catalog!I427&lt;&gt;"",Catalog!J427&lt;&gt;""),"; ","")&amp;IF(Catalog!J427="","",Catalog!J427)</f>
        <v/>
      </c>
      <c r="D454" s="16">
        <f>Catalog!Q427</f>
        <v>0</v>
      </c>
      <c r="E454" s="16">
        <f>Catalog!S427</f>
        <v>0</v>
      </c>
      <c r="F454" s="16">
        <f>Catalog!N427</f>
        <v>0</v>
      </c>
      <c r="G454" s="16" t="str">
        <f>Catalog!K427&amp;" / "&amp;Catalog!M427</f>
        <v xml:space="preserve"> / </v>
      </c>
      <c r="H454" s="16" t="str">
        <f t="shared" si="6"/>
        <v>Print</v>
      </c>
      <c r="I454" s="16" t="str">
        <f>IF(Catalog!T427&lt;&gt;"","ISBN:"&amp;Catalog!T427,IF(Catalog!U427&lt;&gt;"","ISSN:"&amp;Catalog!U427,"ACC:"&amp;Catalog!B427))</f>
        <v>ACC:</v>
      </c>
      <c r="J454" s="16">
        <f>Catalog!L427</f>
        <v>0</v>
      </c>
      <c r="K454" s="16">
        <f>IF(Catalog!AH427&lt;&gt;"",Catalog!AH427,Catalog!AF427)</f>
        <v>0</v>
      </c>
      <c r="L454" s="16">
        <f>Catalog!AE427</f>
        <v>0</v>
      </c>
      <c r="M454" s="16">
        <f>Catalog!W427</f>
        <v>0</v>
      </c>
      <c r="N454" s="16">
        <f>Catalog!R427</f>
        <v>0</v>
      </c>
      <c r="O454" s="16">
        <f>Catalog!AG427</f>
        <v>0</v>
      </c>
    </row>
    <row r="455" spans="1:15" ht="15.75" x14ac:dyDescent="0.25">
      <c r="A455" s="16">
        <f>Catalog!D428</f>
        <v>0</v>
      </c>
      <c r="B455" s="16">
        <f>Catalog!F428</f>
        <v>0</v>
      </c>
      <c r="C455" s="16" t="str">
        <f>IF(Catalog!I428="","",Catalog!I428)&amp;IF(AND(Catalog!I428&lt;&gt;"",Catalog!J428&lt;&gt;""),"; ","")&amp;IF(Catalog!J428="","",Catalog!J428)</f>
        <v/>
      </c>
      <c r="D455" s="16">
        <f>Catalog!Q428</f>
        <v>0</v>
      </c>
      <c r="E455" s="16">
        <f>Catalog!S428</f>
        <v>0</v>
      </c>
      <c r="F455" s="16">
        <f>Catalog!N428</f>
        <v>0</v>
      </c>
      <c r="G455" s="16" t="str">
        <f>Catalog!K428&amp;" / "&amp;Catalog!M428</f>
        <v xml:space="preserve"> / </v>
      </c>
      <c r="H455" s="16" t="str">
        <f t="shared" si="6"/>
        <v>Print</v>
      </c>
      <c r="I455" s="16" t="str">
        <f>IF(Catalog!T428&lt;&gt;"","ISBN:"&amp;Catalog!T428,IF(Catalog!U428&lt;&gt;"","ISSN:"&amp;Catalog!U428,"ACC:"&amp;Catalog!B428))</f>
        <v>ACC:</v>
      </c>
      <c r="J455" s="16">
        <f>Catalog!L428</f>
        <v>0</v>
      </c>
      <c r="K455" s="16">
        <f>IF(Catalog!AH428&lt;&gt;"",Catalog!AH428,Catalog!AF428)</f>
        <v>0</v>
      </c>
      <c r="L455" s="16">
        <f>Catalog!AE428</f>
        <v>0</v>
      </c>
      <c r="M455" s="16">
        <f>Catalog!W428</f>
        <v>0</v>
      </c>
      <c r="N455" s="16">
        <f>Catalog!R428</f>
        <v>0</v>
      </c>
      <c r="O455" s="16">
        <f>Catalog!AG428</f>
        <v>0</v>
      </c>
    </row>
    <row r="456" spans="1:15" ht="15.75" x14ac:dyDescent="0.25">
      <c r="A456" s="16">
        <f>Catalog!D429</f>
        <v>0</v>
      </c>
      <c r="B456" s="16">
        <f>Catalog!F429</f>
        <v>0</v>
      </c>
      <c r="C456" s="16" t="str">
        <f>IF(Catalog!I429="","",Catalog!I429)&amp;IF(AND(Catalog!I429&lt;&gt;"",Catalog!J429&lt;&gt;""),"; ","")&amp;IF(Catalog!J429="","",Catalog!J429)</f>
        <v/>
      </c>
      <c r="D456" s="16">
        <f>Catalog!Q429</f>
        <v>0</v>
      </c>
      <c r="E456" s="16">
        <f>Catalog!S429</f>
        <v>0</v>
      </c>
      <c r="F456" s="16">
        <f>Catalog!N429</f>
        <v>0</v>
      </c>
      <c r="G456" s="16" t="str">
        <f>Catalog!K429&amp;" / "&amp;Catalog!M429</f>
        <v xml:space="preserve"> / </v>
      </c>
      <c r="H456" s="16" t="str">
        <f t="shared" si="6"/>
        <v>Print</v>
      </c>
      <c r="I456" s="16" t="str">
        <f>IF(Catalog!T429&lt;&gt;"","ISBN:"&amp;Catalog!T429,IF(Catalog!U429&lt;&gt;"","ISSN:"&amp;Catalog!U429,"ACC:"&amp;Catalog!B429))</f>
        <v>ACC:</v>
      </c>
      <c r="J456" s="16">
        <f>Catalog!L429</f>
        <v>0</v>
      </c>
      <c r="K456" s="16">
        <f>IF(Catalog!AH429&lt;&gt;"",Catalog!AH429,Catalog!AF429)</f>
        <v>0</v>
      </c>
      <c r="L456" s="16">
        <f>Catalog!AE429</f>
        <v>0</v>
      </c>
      <c r="M456" s="16">
        <f>Catalog!W429</f>
        <v>0</v>
      </c>
      <c r="N456" s="16">
        <f>Catalog!R429</f>
        <v>0</v>
      </c>
      <c r="O456" s="16">
        <f>Catalog!AG429</f>
        <v>0</v>
      </c>
    </row>
    <row r="457" spans="1:15" ht="15.75" x14ac:dyDescent="0.25">
      <c r="A457" s="16">
        <f>Catalog!D430</f>
        <v>0</v>
      </c>
      <c r="B457" s="16">
        <f>Catalog!F430</f>
        <v>0</v>
      </c>
      <c r="C457" s="16" t="str">
        <f>IF(Catalog!I430="","",Catalog!I430)&amp;IF(AND(Catalog!I430&lt;&gt;"",Catalog!J430&lt;&gt;""),"; ","")&amp;IF(Catalog!J430="","",Catalog!J430)</f>
        <v/>
      </c>
      <c r="D457" s="16">
        <f>Catalog!Q430</f>
        <v>0</v>
      </c>
      <c r="E457" s="16">
        <f>Catalog!S430</f>
        <v>0</v>
      </c>
      <c r="F457" s="16">
        <f>Catalog!N430</f>
        <v>0</v>
      </c>
      <c r="G457" s="16" t="str">
        <f>Catalog!K430&amp;" / "&amp;Catalog!M430</f>
        <v xml:space="preserve"> / </v>
      </c>
      <c r="H457" s="16" t="str">
        <f t="shared" si="6"/>
        <v>Print</v>
      </c>
      <c r="I457" s="16" t="str">
        <f>IF(Catalog!T430&lt;&gt;"","ISBN:"&amp;Catalog!T430,IF(Catalog!U430&lt;&gt;"","ISSN:"&amp;Catalog!U430,"ACC:"&amp;Catalog!B430))</f>
        <v>ACC:</v>
      </c>
      <c r="J457" s="16">
        <f>Catalog!L430</f>
        <v>0</v>
      </c>
      <c r="K457" s="16">
        <f>IF(Catalog!AH430&lt;&gt;"",Catalog!AH430,Catalog!AF430)</f>
        <v>0</v>
      </c>
      <c r="L457" s="16">
        <f>Catalog!AE430</f>
        <v>0</v>
      </c>
      <c r="M457" s="16">
        <f>Catalog!W430</f>
        <v>0</v>
      </c>
      <c r="N457" s="16">
        <f>Catalog!R430</f>
        <v>0</v>
      </c>
      <c r="O457" s="16">
        <f>Catalog!AG430</f>
        <v>0</v>
      </c>
    </row>
    <row r="458" spans="1:15" ht="15.75" x14ac:dyDescent="0.25">
      <c r="A458" s="16">
        <f>Catalog!D431</f>
        <v>0</v>
      </c>
      <c r="B458" s="16">
        <f>Catalog!F431</f>
        <v>0</v>
      </c>
      <c r="C458" s="16" t="str">
        <f>IF(Catalog!I431="","",Catalog!I431)&amp;IF(AND(Catalog!I431&lt;&gt;"",Catalog!J431&lt;&gt;""),"; ","")&amp;IF(Catalog!J431="","",Catalog!J431)</f>
        <v/>
      </c>
      <c r="D458" s="16">
        <f>Catalog!Q431</f>
        <v>0</v>
      </c>
      <c r="E458" s="16">
        <f>Catalog!S431</f>
        <v>0</v>
      </c>
      <c r="F458" s="16">
        <f>Catalog!N431</f>
        <v>0</v>
      </c>
      <c r="G458" s="16" t="str">
        <f>Catalog!K431&amp;" / "&amp;Catalog!M431</f>
        <v xml:space="preserve"> / </v>
      </c>
      <c r="H458" s="16" t="str">
        <f t="shared" si="6"/>
        <v>Print</v>
      </c>
      <c r="I458" s="16" t="str">
        <f>IF(Catalog!T431&lt;&gt;"","ISBN:"&amp;Catalog!T431,IF(Catalog!U431&lt;&gt;"","ISSN:"&amp;Catalog!U431,"ACC:"&amp;Catalog!B431))</f>
        <v>ACC:</v>
      </c>
      <c r="J458" s="16">
        <f>Catalog!L431</f>
        <v>0</v>
      </c>
      <c r="K458" s="16">
        <f>IF(Catalog!AH431&lt;&gt;"",Catalog!AH431,Catalog!AF431)</f>
        <v>0</v>
      </c>
      <c r="L458" s="16">
        <f>Catalog!AE431</f>
        <v>0</v>
      </c>
      <c r="M458" s="16">
        <f>Catalog!W431</f>
        <v>0</v>
      </c>
      <c r="N458" s="16">
        <f>Catalog!R431</f>
        <v>0</v>
      </c>
      <c r="O458" s="16">
        <f>Catalog!AG431</f>
        <v>0</v>
      </c>
    </row>
    <row r="459" spans="1:15" ht="15.75" x14ac:dyDescent="0.25">
      <c r="A459" s="16">
        <f>Catalog!D432</f>
        <v>0</v>
      </c>
      <c r="B459" s="16">
        <f>Catalog!F432</f>
        <v>0</v>
      </c>
      <c r="C459" s="16" t="str">
        <f>IF(Catalog!I432="","",Catalog!I432)&amp;IF(AND(Catalog!I432&lt;&gt;"",Catalog!J432&lt;&gt;""),"; ","")&amp;IF(Catalog!J432="","",Catalog!J432)</f>
        <v/>
      </c>
      <c r="D459" s="16">
        <f>Catalog!Q432</f>
        <v>0</v>
      </c>
      <c r="E459" s="16">
        <f>Catalog!S432</f>
        <v>0</v>
      </c>
      <c r="F459" s="16">
        <f>Catalog!N432</f>
        <v>0</v>
      </c>
      <c r="G459" s="16" t="str">
        <f>Catalog!K432&amp;" / "&amp;Catalog!M432</f>
        <v xml:space="preserve"> / </v>
      </c>
      <c r="H459" s="16" t="str">
        <f t="shared" si="6"/>
        <v>Print</v>
      </c>
      <c r="I459" s="16" t="str">
        <f>IF(Catalog!T432&lt;&gt;"","ISBN:"&amp;Catalog!T432,IF(Catalog!U432&lt;&gt;"","ISSN:"&amp;Catalog!U432,"ACC:"&amp;Catalog!B432))</f>
        <v>ACC:</v>
      </c>
      <c r="J459" s="16">
        <f>Catalog!L432</f>
        <v>0</v>
      </c>
      <c r="K459" s="16">
        <f>IF(Catalog!AH432&lt;&gt;"",Catalog!AH432,Catalog!AF432)</f>
        <v>0</v>
      </c>
      <c r="L459" s="16">
        <f>Catalog!AE432</f>
        <v>0</v>
      </c>
      <c r="M459" s="16">
        <f>Catalog!W432</f>
        <v>0</v>
      </c>
      <c r="N459" s="16">
        <f>Catalog!R432</f>
        <v>0</v>
      </c>
      <c r="O459" s="16">
        <f>Catalog!AG432</f>
        <v>0</v>
      </c>
    </row>
    <row r="460" spans="1:15" ht="15.75" x14ac:dyDescent="0.25">
      <c r="A460" s="16">
        <f>Catalog!D433</f>
        <v>0</v>
      </c>
      <c r="B460" s="16">
        <f>Catalog!F433</f>
        <v>0</v>
      </c>
      <c r="C460" s="16" t="str">
        <f>IF(Catalog!I433="","",Catalog!I433)&amp;IF(AND(Catalog!I433&lt;&gt;"",Catalog!J433&lt;&gt;""),"; ","")&amp;IF(Catalog!J433="","",Catalog!J433)</f>
        <v/>
      </c>
      <c r="D460" s="16">
        <f>Catalog!Q433</f>
        <v>0</v>
      </c>
      <c r="E460" s="16">
        <f>Catalog!S433</f>
        <v>0</v>
      </c>
      <c r="F460" s="16">
        <f>Catalog!N433</f>
        <v>0</v>
      </c>
      <c r="G460" s="16" t="str">
        <f>Catalog!K433&amp;" / "&amp;Catalog!M433</f>
        <v xml:space="preserve"> / </v>
      </c>
      <c r="H460" s="16" t="str">
        <f t="shared" si="6"/>
        <v>Print</v>
      </c>
      <c r="I460" s="16" t="str">
        <f>IF(Catalog!T433&lt;&gt;"","ISBN:"&amp;Catalog!T433,IF(Catalog!U433&lt;&gt;"","ISSN:"&amp;Catalog!U433,"ACC:"&amp;Catalog!B433))</f>
        <v>ACC:</v>
      </c>
      <c r="J460" s="16">
        <f>Catalog!L433</f>
        <v>0</v>
      </c>
      <c r="K460" s="16">
        <f>IF(Catalog!AH433&lt;&gt;"",Catalog!AH433,Catalog!AF433)</f>
        <v>0</v>
      </c>
      <c r="L460" s="16">
        <f>Catalog!AE433</f>
        <v>0</v>
      </c>
      <c r="M460" s="16">
        <f>Catalog!W433</f>
        <v>0</v>
      </c>
      <c r="N460" s="16">
        <f>Catalog!R433</f>
        <v>0</v>
      </c>
      <c r="O460" s="16">
        <f>Catalog!AG433</f>
        <v>0</v>
      </c>
    </row>
    <row r="461" spans="1:15" ht="15.75" x14ac:dyDescent="0.25">
      <c r="A461" s="16">
        <f>Catalog!D434</f>
        <v>0</v>
      </c>
      <c r="B461" s="16">
        <f>Catalog!F434</f>
        <v>0</v>
      </c>
      <c r="C461" s="16" t="str">
        <f>IF(Catalog!I434="","",Catalog!I434)&amp;IF(AND(Catalog!I434&lt;&gt;"",Catalog!J434&lt;&gt;""),"; ","")&amp;IF(Catalog!J434="","",Catalog!J434)</f>
        <v/>
      </c>
      <c r="D461" s="16">
        <f>Catalog!Q434</f>
        <v>0</v>
      </c>
      <c r="E461" s="16">
        <f>Catalog!S434</f>
        <v>0</v>
      </c>
      <c r="F461" s="16">
        <f>Catalog!N434</f>
        <v>0</v>
      </c>
      <c r="G461" s="16" t="str">
        <f>Catalog!K434&amp;" / "&amp;Catalog!M434</f>
        <v xml:space="preserve"> / </v>
      </c>
      <c r="H461" s="16" t="str">
        <f t="shared" si="6"/>
        <v>Print</v>
      </c>
      <c r="I461" s="16" t="str">
        <f>IF(Catalog!T434&lt;&gt;"","ISBN:"&amp;Catalog!T434,IF(Catalog!U434&lt;&gt;"","ISSN:"&amp;Catalog!U434,"ACC:"&amp;Catalog!B434))</f>
        <v>ACC:</v>
      </c>
      <c r="J461" s="16">
        <f>Catalog!L434</f>
        <v>0</v>
      </c>
      <c r="K461" s="16">
        <f>IF(Catalog!AH434&lt;&gt;"",Catalog!AH434,Catalog!AF434)</f>
        <v>0</v>
      </c>
      <c r="L461" s="16">
        <f>Catalog!AE434</f>
        <v>0</v>
      </c>
      <c r="M461" s="16">
        <f>Catalog!W434</f>
        <v>0</v>
      </c>
      <c r="N461" s="16">
        <f>Catalog!R434</f>
        <v>0</v>
      </c>
      <c r="O461" s="16">
        <f>Catalog!AG434</f>
        <v>0</v>
      </c>
    </row>
    <row r="462" spans="1:15" ht="15.75" x14ac:dyDescent="0.25">
      <c r="A462" s="16">
        <f>Catalog!D435</f>
        <v>0</v>
      </c>
      <c r="B462" s="16">
        <f>Catalog!F435</f>
        <v>0</v>
      </c>
      <c r="C462" s="16" t="str">
        <f>IF(Catalog!I435="","",Catalog!I435)&amp;IF(AND(Catalog!I435&lt;&gt;"",Catalog!J435&lt;&gt;""),"; ","")&amp;IF(Catalog!J435="","",Catalog!J435)</f>
        <v/>
      </c>
      <c r="D462" s="16">
        <f>Catalog!Q435</f>
        <v>0</v>
      </c>
      <c r="E462" s="16">
        <f>Catalog!S435</f>
        <v>0</v>
      </c>
      <c r="F462" s="16">
        <f>Catalog!N435</f>
        <v>0</v>
      </c>
      <c r="G462" s="16" t="str">
        <f>Catalog!K435&amp;" / "&amp;Catalog!M435</f>
        <v xml:space="preserve"> / </v>
      </c>
      <c r="H462" s="16" t="str">
        <f t="shared" si="6"/>
        <v>Print</v>
      </c>
      <c r="I462" s="16" t="str">
        <f>IF(Catalog!T435&lt;&gt;"","ISBN:"&amp;Catalog!T435,IF(Catalog!U435&lt;&gt;"","ISSN:"&amp;Catalog!U435,"ACC:"&amp;Catalog!B435))</f>
        <v>ACC:</v>
      </c>
      <c r="J462" s="16">
        <f>Catalog!L435</f>
        <v>0</v>
      </c>
      <c r="K462" s="16">
        <f>IF(Catalog!AH435&lt;&gt;"",Catalog!AH435,Catalog!AF435)</f>
        <v>0</v>
      </c>
      <c r="L462" s="16">
        <f>Catalog!AE435</f>
        <v>0</v>
      </c>
      <c r="M462" s="16">
        <f>Catalog!W435</f>
        <v>0</v>
      </c>
      <c r="N462" s="16">
        <f>Catalog!R435</f>
        <v>0</v>
      </c>
      <c r="O462" s="16">
        <f>Catalog!AG435</f>
        <v>0</v>
      </c>
    </row>
    <row r="463" spans="1:15" ht="15.75" x14ac:dyDescent="0.25">
      <c r="A463" s="16">
        <f>Catalog!D436</f>
        <v>0</v>
      </c>
      <c r="B463" s="16">
        <f>Catalog!F436</f>
        <v>0</v>
      </c>
      <c r="C463" s="16" t="str">
        <f>IF(Catalog!I436="","",Catalog!I436)&amp;IF(AND(Catalog!I436&lt;&gt;"",Catalog!J436&lt;&gt;""),"; ","")&amp;IF(Catalog!J436="","",Catalog!J436)</f>
        <v/>
      </c>
      <c r="D463" s="16">
        <f>Catalog!Q436</f>
        <v>0</v>
      </c>
      <c r="E463" s="16">
        <f>Catalog!S436</f>
        <v>0</v>
      </c>
      <c r="F463" s="16">
        <f>Catalog!N436</f>
        <v>0</v>
      </c>
      <c r="G463" s="16" t="str">
        <f>Catalog!K436&amp;" / "&amp;Catalog!M436</f>
        <v xml:space="preserve"> / </v>
      </c>
      <c r="H463" s="16" t="str">
        <f t="shared" si="6"/>
        <v>Print</v>
      </c>
      <c r="I463" s="16" t="str">
        <f>IF(Catalog!T436&lt;&gt;"","ISBN:"&amp;Catalog!T436,IF(Catalog!U436&lt;&gt;"","ISSN:"&amp;Catalog!U436,"ACC:"&amp;Catalog!B436))</f>
        <v>ACC:</v>
      </c>
      <c r="J463" s="16">
        <f>Catalog!L436</f>
        <v>0</v>
      </c>
      <c r="K463" s="16">
        <f>IF(Catalog!AH436&lt;&gt;"",Catalog!AH436,Catalog!AF436)</f>
        <v>0</v>
      </c>
      <c r="L463" s="16">
        <f>Catalog!AE436</f>
        <v>0</v>
      </c>
      <c r="M463" s="16">
        <f>Catalog!W436</f>
        <v>0</v>
      </c>
      <c r="N463" s="16">
        <f>Catalog!R436</f>
        <v>0</v>
      </c>
      <c r="O463" s="16">
        <f>Catalog!AG436</f>
        <v>0</v>
      </c>
    </row>
    <row r="464" spans="1:15" ht="15.75" x14ac:dyDescent="0.25">
      <c r="A464" s="16">
        <f>Catalog!D437</f>
        <v>0</v>
      </c>
      <c r="B464" s="16">
        <f>Catalog!F437</f>
        <v>0</v>
      </c>
      <c r="C464" s="16" t="str">
        <f>IF(Catalog!I437="","",Catalog!I437)&amp;IF(AND(Catalog!I437&lt;&gt;"",Catalog!J437&lt;&gt;""),"; ","")&amp;IF(Catalog!J437="","",Catalog!J437)</f>
        <v/>
      </c>
      <c r="D464" s="16">
        <f>Catalog!Q437</f>
        <v>0</v>
      </c>
      <c r="E464" s="16">
        <f>Catalog!S437</f>
        <v>0</v>
      </c>
      <c r="F464" s="16">
        <f>Catalog!N437</f>
        <v>0</v>
      </c>
      <c r="G464" s="16" t="str">
        <f>Catalog!K437&amp;" / "&amp;Catalog!M437</f>
        <v xml:space="preserve"> / </v>
      </c>
      <c r="H464" s="16" t="str">
        <f t="shared" si="6"/>
        <v>Print</v>
      </c>
      <c r="I464" s="16" t="str">
        <f>IF(Catalog!T437&lt;&gt;"","ISBN:"&amp;Catalog!T437,IF(Catalog!U437&lt;&gt;"","ISSN:"&amp;Catalog!U437,"ACC:"&amp;Catalog!B437))</f>
        <v>ACC:</v>
      </c>
      <c r="J464" s="16">
        <f>Catalog!L437</f>
        <v>0</v>
      </c>
      <c r="K464" s="16">
        <f>IF(Catalog!AH437&lt;&gt;"",Catalog!AH437,Catalog!AF437)</f>
        <v>0</v>
      </c>
      <c r="L464" s="16">
        <f>Catalog!AE437</f>
        <v>0</v>
      </c>
      <c r="M464" s="16">
        <f>Catalog!W437</f>
        <v>0</v>
      </c>
      <c r="N464" s="16">
        <f>Catalog!R437</f>
        <v>0</v>
      </c>
      <c r="O464" s="16">
        <f>Catalog!AG437</f>
        <v>0</v>
      </c>
    </row>
    <row r="465" spans="1:15" ht="15.75" x14ac:dyDescent="0.25">
      <c r="A465" s="16">
        <f>Catalog!D438</f>
        <v>0</v>
      </c>
      <c r="B465" s="16">
        <f>Catalog!F438</f>
        <v>0</v>
      </c>
      <c r="C465" s="16" t="str">
        <f>IF(Catalog!I438="","",Catalog!I438)&amp;IF(AND(Catalog!I438&lt;&gt;"",Catalog!J438&lt;&gt;""),"; ","")&amp;IF(Catalog!J438="","",Catalog!J438)</f>
        <v/>
      </c>
      <c r="D465" s="16">
        <f>Catalog!Q438</f>
        <v>0</v>
      </c>
      <c r="E465" s="16">
        <f>Catalog!S438</f>
        <v>0</v>
      </c>
      <c r="F465" s="16">
        <f>Catalog!N438</f>
        <v>0</v>
      </c>
      <c r="G465" s="16" t="str">
        <f>Catalog!K438&amp;" / "&amp;Catalog!M438</f>
        <v xml:space="preserve"> / </v>
      </c>
      <c r="H465" s="16" t="str">
        <f t="shared" si="6"/>
        <v>Print</v>
      </c>
      <c r="I465" s="16" t="str">
        <f>IF(Catalog!T438&lt;&gt;"","ISBN:"&amp;Catalog!T438,IF(Catalog!U438&lt;&gt;"","ISSN:"&amp;Catalog!U438,"ACC:"&amp;Catalog!B438))</f>
        <v>ACC:</v>
      </c>
      <c r="J465" s="16">
        <f>Catalog!L438</f>
        <v>0</v>
      </c>
      <c r="K465" s="16">
        <f>IF(Catalog!AH438&lt;&gt;"",Catalog!AH438,Catalog!AF438)</f>
        <v>0</v>
      </c>
      <c r="L465" s="16">
        <f>Catalog!AE438</f>
        <v>0</v>
      </c>
      <c r="M465" s="16">
        <f>Catalog!W438</f>
        <v>0</v>
      </c>
      <c r="N465" s="16">
        <f>Catalog!R438</f>
        <v>0</v>
      </c>
      <c r="O465" s="16">
        <f>Catalog!AG438</f>
        <v>0</v>
      </c>
    </row>
    <row r="466" spans="1:15" ht="15.75" x14ac:dyDescent="0.25">
      <c r="A466" s="16">
        <f>Catalog!D439</f>
        <v>0</v>
      </c>
      <c r="B466" s="16">
        <f>Catalog!F439</f>
        <v>0</v>
      </c>
      <c r="C466" s="16" t="str">
        <f>IF(Catalog!I439="","",Catalog!I439)&amp;IF(AND(Catalog!I439&lt;&gt;"",Catalog!J439&lt;&gt;""),"; ","")&amp;IF(Catalog!J439="","",Catalog!J439)</f>
        <v/>
      </c>
      <c r="D466" s="16">
        <f>Catalog!Q439</f>
        <v>0</v>
      </c>
      <c r="E466" s="16">
        <f>Catalog!S439</f>
        <v>0</v>
      </c>
      <c r="F466" s="16">
        <f>Catalog!N439</f>
        <v>0</v>
      </c>
      <c r="G466" s="16" t="str">
        <f>Catalog!K439&amp;" / "&amp;Catalog!M439</f>
        <v xml:space="preserve"> / </v>
      </c>
      <c r="H466" s="16" t="str">
        <f t="shared" si="6"/>
        <v>Print</v>
      </c>
      <c r="I466" s="16" t="str">
        <f>IF(Catalog!T439&lt;&gt;"","ISBN:"&amp;Catalog!T439,IF(Catalog!U439&lt;&gt;"","ISSN:"&amp;Catalog!U439,"ACC:"&amp;Catalog!B439))</f>
        <v>ACC:</v>
      </c>
      <c r="J466" s="16">
        <f>Catalog!L439</f>
        <v>0</v>
      </c>
      <c r="K466" s="16">
        <f>IF(Catalog!AH439&lt;&gt;"",Catalog!AH439,Catalog!AF439)</f>
        <v>0</v>
      </c>
      <c r="L466" s="16">
        <f>Catalog!AE439</f>
        <v>0</v>
      </c>
      <c r="M466" s="16">
        <f>Catalog!W439</f>
        <v>0</v>
      </c>
      <c r="N466" s="16">
        <f>Catalog!R439</f>
        <v>0</v>
      </c>
      <c r="O466" s="16">
        <f>Catalog!AG439</f>
        <v>0</v>
      </c>
    </row>
    <row r="467" spans="1:15" ht="15.75" x14ac:dyDescent="0.25">
      <c r="A467" s="16">
        <f>Catalog!D440</f>
        <v>0</v>
      </c>
      <c r="B467" s="16">
        <f>Catalog!F440</f>
        <v>0</v>
      </c>
      <c r="C467" s="16" t="str">
        <f>IF(Catalog!I440="","",Catalog!I440)&amp;IF(AND(Catalog!I440&lt;&gt;"",Catalog!J440&lt;&gt;""),"; ","")&amp;IF(Catalog!J440="","",Catalog!J440)</f>
        <v/>
      </c>
      <c r="D467" s="16">
        <f>Catalog!Q440</f>
        <v>0</v>
      </c>
      <c r="E467" s="16">
        <f>Catalog!S440</f>
        <v>0</v>
      </c>
      <c r="F467" s="16">
        <f>Catalog!N440</f>
        <v>0</v>
      </c>
      <c r="G467" s="16" t="str">
        <f>Catalog!K440&amp;" / "&amp;Catalog!M440</f>
        <v xml:space="preserve"> / </v>
      </c>
      <c r="H467" s="16" t="str">
        <f t="shared" si="6"/>
        <v>Print</v>
      </c>
      <c r="I467" s="16" t="str">
        <f>IF(Catalog!T440&lt;&gt;"","ISBN:"&amp;Catalog!T440,IF(Catalog!U440&lt;&gt;"","ISSN:"&amp;Catalog!U440,"ACC:"&amp;Catalog!B440))</f>
        <v>ACC:</v>
      </c>
      <c r="J467" s="16">
        <f>Catalog!L440</f>
        <v>0</v>
      </c>
      <c r="K467" s="16">
        <f>IF(Catalog!AH440&lt;&gt;"",Catalog!AH440,Catalog!AF440)</f>
        <v>0</v>
      </c>
      <c r="L467" s="16">
        <f>Catalog!AE440</f>
        <v>0</v>
      </c>
      <c r="M467" s="16">
        <f>Catalog!W440</f>
        <v>0</v>
      </c>
      <c r="N467" s="16">
        <f>Catalog!R440</f>
        <v>0</v>
      </c>
      <c r="O467" s="16">
        <f>Catalog!AG440</f>
        <v>0</v>
      </c>
    </row>
    <row r="468" spans="1:15" ht="15.75" x14ac:dyDescent="0.25">
      <c r="A468" s="16">
        <f>Catalog!D441</f>
        <v>0</v>
      </c>
      <c r="B468" s="16">
        <f>Catalog!F441</f>
        <v>0</v>
      </c>
      <c r="C468" s="16" t="str">
        <f>IF(Catalog!I441="","",Catalog!I441)&amp;IF(AND(Catalog!I441&lt;&gt;"",Catalog!J441&lt;&gt;""),"; ","")&amp;IF(Catalog!J441="","",Catalog!J441)</f>
        <v/>
      </c>
      <c r="D468" s="16">
        <f>Catalog!Q441</f>
        <v>0</v>
      </c>
      <c r="E468" s="16">
        <f>Catalog!S441</f>
        <v>0</v>
      </c>
      <c r="F468" s="16">
        <f>Catalog!N441</f>
        <v>0</v>
      </c>
      <c r="G468" s="16" t="str">
        <f>Catalog!K441&amp;" / "&amp;Catalog!M441</f>
        <v xml:space="preserve"> / </v>
      </c>
      <c r="H468" s="16" t="str">
        <f t="shared" si="6"/>
        <v>Print</v>
      </c>
      <c r="I468" s="16" t="str">
        <f>IF(Catalog!T441&lt;&gt;"","ISBN:"&amp;Catalog!T441,IF(Catalog!U441&lt;&gt;"","ISSN:"&amp;Catalog!U441,"ACC:"&amp;Catalog!B441))</f>
        <v>ACC:</v>
      </c>
      <c r="J468" s="16">
        <f>Catalog!L441</f>
        <v>0</v>
      </c>
      <c r="K468" s="16">
        <f>IF(Catalog!AH441&lt;&gt;"",Catalog!AH441,Catalog!AF441)</f>
        <v>0</v>
      </c>
      <c r="L468" s="16">
        <f>Catalog!AE441</f>
        <v>0</v>
      </c>
      <c r="M468" s="16">
        <f>Catalog!W441</f>
        <v>0</v>
      </c>
      <c r="N468" s="16">
        <f>Catalog!R441</f>
        <v>0</v>
      </c>
      <c r="O468" s="16">
        <f>Catalog!AG441</f>
        <v>0</v>
      </c>
    </row>
    <row r="469" spans="1:15" ht="15.75" x14ac:dyDescent="0.25">
      <c r="A469" s="16">
        <f>Catalog!D442</f>
        <v>0</v>
      </c>
      <c r="B469" s="16">
        <f>Catalog!F442</f>
        <v>0</v>
      </c>
      <c r="C469" s="16" t="str">
        <f>IF(Catalog!I442="","",Catalog!I442)&amp;IF(AND(Catalog!I442&lt;&gt;"",Catalog!J442&lt;&gt;""),"; ","")&amp;IF(Catalog!J442="","",Catalog!J442)</f>
        <v/>
      </c>
      <c r="D469" s="16">
        <f>Catalog!Q442</f>
        <v>0</v>
      </c>
      <c r="E469" s="16">
        <f>Catalog!S442</f>
        <v>0</v>
      </c>
      <c r="F469" s="16">
        <f>Catalog!N442</f>
        <v>0</v>
      </c>
      <c r="G469" s="16" t="str">
        <f>Catalog!K442&amp;" / "&amp;Catalog!M442</f>
        <v xml:space="preserve"> / </v>
      </c>
      <c r="H469" s="16" t="str">
        <f t="shared" si="6"/>
        <v>Print</v>
      </c>
      <c r="I469" s="16" t="str">
        <f>IF(Catalog!T442&lt;&gt;"","ISBN:"&amp;Catalog!T442,IF(Catalog!U442&lt;&gt;"","ISSN:"&amp;Catalog!U442,"ACC:"&amp;Catalog!B442))</f>
        <v>ACC:</v>
      </c>
      <c r="J469" s="16">
        <f>Catalog!L442</f>
        <v>0</v>
      </c>
      <c r="K469" s="16">
        <f>IF(Catalog!AH442&lt;&gt;"",Catalog!AH442,Catalog!AF442)</f>
        <v>0</v>
      </c>
      <c r="L469" s="16">
        <f>Catalog!AE442</f>
        <v>0</v>
      </c>
      <c r="M469" s="16">
        <f>Catalog!W442</f>
        <v>0</v>
      </c>
      <c r="N469" s="16">
        <f>Catalog!R442</f>
        <v>0</v>
      </c>
      <c r="O469" s="16">
        <f>Catalog!AG442</f>
        <v>0</v>
      </c>
    </row>
    <row r="470" spans="1:15" ht="15.75" x14ac:dyDescent="0.25">
      <c r="A470" s="16">
        <f>Catalog!D443</f>
        <v>0</v>
      </c>
      <c r="B470" s="16">
        <f>Catalog!F443</f>
        <v>0</v>
      </c>
      <c r="C470" s="16" t="str">
        <f>IF(Catalog!I443="","",Catalog!I443)&amp;IF(AND(Catalog!I443&lt;&gt;"",Catalog!J443&lt;&gt;""),"; ","")&amp;IF(Catalog!J443="","",Catalog!J443)</f>
        <v/>
      </c>
      <c r="D470" s="16">
        <f>Catalog!Q443</f>
        <v>0</v>
      </c>
      <c r="E470" s="16">
        <f>Catalog!S443</f>
        <v>0</v>
      </c>
      <c r="F470" s="16">
        <f>Catalog!N443</f>
        <v>0</v>
      </c>
      <c r="G470" s="16" t="str">
        <f>Catalog!K443&amp;" / "&amp;Catalog!M443</f>
        <v xml:space="preserve"> / </v>
      </c>
      <c r="H470" s="16" t="str">
        <f t="shared" si="6"/>
        <v>Print</v>
      </c>
      <c r="I470" s="16" t="str">
        <f>IF(Catalog!T443&lt;&gt;"","ISBN:"&amp;Catalog!T443,IF(Catalog!U443&lt;&gt;"","ISSN:"&amp;Catalog!U443,"ACC:"&amp;Catalog!B443))</f>
        <v>ACC:</v>
      </c>
      <c r="J470" s="16">
        <f>Catalog!L443</f>
        <v>0</v>
      </c>
      <c r="K470" s="16">
        <f>IF(Catalog!AH443&lt;&gt;"",Catalog!AH443,Catalog!AF443)</f>
        <v>0</v>
      </c>
      <c r="L470" s="16">
        <f>Catalog!AE443</f>
        <v>0</v>
      </c>
      <c r="M470" s="16">
        <f>Catalog!W443</f>
        <v>0</v>
      </c>
      <c r="N470" s="16">
        <f>Catalog!R443</f>
        <v>0</v>
      </c>
      <c r="O470" s="16">
        <f>Catalog!AG443</f>
        <v>0</v>
      </c>
    </row>
    <row r="471" spans="1:15" ht="15.75" x14ac:dyDescent="0.25">
      <c r="A471" s="16">
        <f>Catalog!D444</f>
        <v>0</v>
      </c>
      <c r="B471" s="16">
        <f>Catalog!F444</f>
        <v>0</v>
      </c>
      <c r="C471" s="16" t="str">
        <f>IF(Catalog!I444="","",Catalog!I444)&amp;IF(AND(Catalog!I444&lt;&gt;"",Catalog!J444&lt;&gt;""),"; ","")&amp;IF(Catalog!J444="","",Catalog!J444)</f>
        <v/>
      </c>
      <c r="D471" s="16">
        <f>Catalog!Q444</f>
        <v>0</v>
      </c>
      <c r="E471" s="16">
        <f>Catalog!S444</f>
        <v>0</v>
      </c>
      <c r="F471" s="16">
        <f>Catalog!N444</f>
        <v>0</v>
      </c>
      <c r="G471" s="16" t="str">
        <f>Catalog!K444&amp;" / "&amp;Catalog!M444</f>
        <v xml:space="preserve"> / </v>
      </c>
      <c r="H471" s="16" t="str">
        <f t="shared" si="6"/>
        <v>Print</v>
      </c>
      <c r="I471" s="16" t="str">
        <f>IF(Catalog!T444&lt;&gt;"","ISBN:"&amp;Catalog!T444,IF(Catalog!U444&lt;&gt;"","ISSN:"&amp;Catalog!U444,"ACC:"&amp;Catalog!B444))</f>
        <v>ACC:</v>
      </c>
      <c r="J471" s="16">
        <f>Catalog!L444</f>
        <v>0</v>
      </c>
      <c r="K471" s="16">
        <f>IF(Catalog!AH444&lt;&gt;"",Catalog!AH444,Catalog!AF444)</f>
        <v>0</v>
      </c>
      <c r="L471" s="16">
        <f>Catalog!AE444</f>
        <v>0</v>
      </c>
      <c r="M471" s="16">
        <f>Catalog!W444</f>
        <v>0</v>
      </c>
      <c r="N471" s="16">
        <f>Catalog!R444</f>
        <v>0</v>
      </c>
      <c r="O471" s="16">
        <f>Catalog!AG444</f>
        <v>0</v>
      </c>
    </row>
    <row r="472" spans="1:15" ht="15.75" x14ac:dyDescent="0.25">
      <c r="A472" s="16">
        <f>Catalog!D445</f>
        <v>0</v>
      </c>
      <c r="B472" s="16">
        <f>Catalog!F445</f>
        <v>0</v>
      </c>
      <c r="C472" s="16" t="str">
        <f>IF(Catalog!I445="","",Catalog!I445)&amp;IF(AND(Catalog!I445&lt;&gt;"",Catalog!J445&lt;&gt;""),"; ","")&amp;IF(Catalog!J445="","",Catalog!J445)</f>
        <v/>
      </c>
      <c r="D472" s="16">
        <f>Catalog!Q445</f>
        <v>0</v>
      </c>
      <c r="E472" s="16">
        <f>Catalog!S445</f>
        <v>0</v>
      </c>
      <c r="F472" s="16">
        <f>Catalog!N445</f>
        <v>0</v>
      </c>
      <c r="G472" s="16" t="str">
        <f>Catalog!K445&amp;" / "&amp;Catalog!M445</f>
        <v xml:space="preserve"> / </v>
      </c>
      <c r="H472" s="16" t="str">
        <f t="shared" si="6"/>
        <v>Print</v>
      </c>
      <c r="I472" s="16" t="str">
        <f>IF(Catalog!T445&lt;&gt;"","ISBN:"&amp;Catalog!T445,IF(Catalog!U445&lt;&gt;"","ISSN:"&amp;Catalog!U445,"ACC:"&amp;Catalog!B445))</f>
        <v>ACC:</v>
      </c>
      <c r="J472" s="16">
        <f>Catalog!L445</f>
        <v>0</v>
      </c>
      <c r="K472" s="16">
        <f>IF(Catalog!AH445&lt;&gt;"",Catalog!AH445,Catalog!AF445)</f>
        <v>0</v>
      </c>
      <c r="L472" s="16">
        <f>Catalog!AE445</f>
        <v>0</v>
      </c>
      <c r="M472" s="16">
        <f>Catalog!W445</f>
        <v>0</v>
      </c>
      <c r="N472" s="16">
        <f>Catalog!R445</f>
        <v>0</v>
      </c>
      <c r="O472" s="16">
        <f>Catalog!AG445</f>
        <v>0</v>
      </c>
    </row>
    <row r="473" spans="1:15" ht="15.75" x14ac:dyDescent="0.25">
      <c r="A473" s="16">
        <f>Catalog!D446</f>
        <v>0</v>
      </c>
      <c r="B473" s="16">
        <f>Catalog!F446</f>
        <v>0</v>
      </c>
      <c r="C473" s="16" t="str">
        <f>IF(Catalog!I446="","",Catalog!I446)&amp;IF(AND(Catalog!I446&lt;&gt;"",Catalog!J446&lt;&gt;""),"; ","")&amp;IF(Catalog!J446="","",Catalog!J446)</f>
        <v/>
      </c>
      <c r="D473" s="16">
        <f>Catalog!Q446</f>
        <v>0</v>
      </c>
      <c r="E473" s="16">
        <f>Catalog!S446</f>
        <v>0</v>
      </c>
      <c r="F473" s="16">
        <f>Catalog!N446</f>
        <v>0</v>
      </c>
      <c r="G473" s="16" t="str">
        <f>Catalog!K446&amp;" / "&amp;Catalog!M446</f>
        <v xml:space="preserve"> / </v>
      </c>
      <c r="H473" s="16" t="str">
        <f t="shared" si="6"/>
        <v>Print</v>
      </c>
      <c r="I473" s="16" t="str">
        <f>IF(Catalog!T446&lt;&gt;"","ISBN:"&amp;Catalog!T446,IF(Catalog!U446&lt;&gt;"","ISSN:"&amp;Catalog!U446,"ACC:"&amp;Catalog!B446))</f>
        <v>ACC:</v>
      </c>
      <c r="J473" s="16">
        <f>Catalog!L446</f>
        <v>0</v>
      </c>
      <c r="K473" s="16">
        <f>IF(Catalog!AH446&lt;&gt;"",Catalog!AH446,Catalog!AF446)</f>
        <v>0</v>
      </c>
      <c r="L473" s="16">
        <f>Catalog!AE446</f>
        <v>0</v>
      </c>
      <c r="M473" s="16">
        <f>Catalog!W446</f>
        <v>0</v>
      </c>
      <c r="N473" s="16">
        <f>Catalog!R446</f>
        <v>0</v>
      </c>
      <c r="O473" s="16">
        <f>Catalog!AG446</f>
        <v>0</v>
      </c>
    </row>
    <row r="474" spans="1:15" ht="15.75" x14ac:dyDescent="0.25">
      <c r="A474" s="16">
        <f>Catalog!D447</f>
        <v>0</v>
      </c>
      <c r="B474" s="16">
        <f>Catalog!F447</f>
        <v>0</v>
      </c>
      <c r="C474" s="16" t="str">
        <f>IF(Catalog!I447="","",Catalog!I447)&amp;IF(AND(Catalog!I447&lt;&gt;"",Catalog!J447&lt;&gt;""),"; ","")&amp;IF(Catalog!J447="","",Catalog!J447)</f>
        <v/>
      </c>
      <c r="D474" s="16">
        <f>Catalog!Q447</f>
        <v>0</v>
      </c>
      <c r="E474" s="16">
        <f>Catalog!S447</f>
        <v>0</v>
      </c>
      <c r="F474" s="16">
        <f>Catalog!N447</f>
        <v>0</v>
      </c>
      <c r="G474" s="16" t="str">
        <f>Catalog!K447&amp;" / "&amp;Catalog!M447</f>
        <v xml:space="preserve"> / </v>
      </c>
      <c r="H474" s="16" t="str">
        <f t="shared" si="6"/>
        <v>Print</v>
      </c>
      <c r="I474" s="16" t="str">
        <f>IF(Catalog!T447&lt;&gt;"","ISBN:"&amp;Catalog!T447,IF(Catalog!U447&lt;&gt;"","ISSN:"&amp;Catalog!U447,"ACC:"&amp;Catalog!B447))</f>
        <v>ACC:</v>
      </c>
      <c r="J474" s="16">
        <f>Catalog!L447</f>
        <v>0</v>
      </c>
      <c r="K474" s="16">
        <f>IF(Catalog!AH447&lt;&gt;"",Catalog!AH447,Catalog!AF447)</f>
        <v>0</v>
      </c>
      <c r="L474" s="16">
        <f>Catalog!AE447</f>
        <v>0</v>
      </c>
      <c r="M474" s="16">
        <f>Catalog!W447</f>
        <v>0</v>
      </c>
      <c r="N474" s="16">
        <f>Catalog!R447</f>
        <v>0</v>
      </c>
      <c r="O474" s="16">
        <f>Catalog!AG447</f>
        <v>0</v>
      </c>
    </row>
    <row r="475" spans="1:15" ht="15.75" x14ac:dyDescent="0.25">
      <c r="A475" s="16">
        <f>Catalog!D448</f>
        <v>0</v>
      </c>
      <c r="B475" s="16">
        <f>Catalog!F448</f>
        <v>0</v>
      </c>
      <c r="C475" s="16" t="str">
        <f>IF(Catalog!I448="","",Catalog!I448)&amp;IF(AND(Catalog!I448&lt;&gt;"",Catalog!J448&lt;&gt;""),"; ","")&amp;IF(Catalog!J448="","",Catalog!J448)</f>
        <v/>
      </c>
      <c r="D475" s="16">
        <f>Catalog!Q448</f>
        <v>0</v>
      </c>
      <c r="E475" s="16">
        <f>Catalog!S448</f>
        <v>0</v>
      </c>
      <c r="F475" s="16">
        <f>Catalog!N448</f>
        <v>0</v>
      </c>
      <c r="G475" s="16" t="str">
        <f>Catalog!K448&amp;" / "&amp;Catalog!M448</f>
        <v xml:space="preserve"> / </v>
      </c>
      <c r="H475" s="16" t="str">
        <f t="shared" si="6"/>
        <v>Print</v>
      </c>
      <c r="I475" s="16" t="str">
        <f>IF(Catalog!T448&lt;&gt;"","ISBN:"&amp;Catalog!T448,IF(Catalog!U448&lt;&gt;"","ISSN:"&amp;Catalog!U448,"ACC:"&amp;Catalog!B448))</f>
        <v>ACC:</v>
      </c>
      <c r="J475" s="16">
        <f>Catalog!L448</f>
        <v>0</v>
      </c>
      <c r="K475" s="16">
        <f>IF(Catalog!AH448&lt;&gt;"",Catalog!AH448,Catalog!AF448)</f>
        <v>0</v>
      </c>
      <c r="L475" s="16">
        <f>Catalog!AE448</f>
        <v>0</v>
      </c>
      <c r="M475" s="16">
        <f>Catalog!W448</f>
        <v>0</v>
      </c>
      <c r="N475" s="16">
        <f>Catalog!R448</f>
        <v>0</v>
      </c>
      <c r="O475" s="16">
        <f>Catalog!AG448</f>
        <v>0</v>
      </c>
    </row>
    <row r="476" spans="1:15" ht="15.75" x14ac:dyDescent="0.25">
      <c r="A476" s="16">
        <f>Catalog!D449</f>
        <v>0</v>
      </c>
      <c r="B476" s="16">
        <f>Catalog!F449</f>
        <v>0</v>
      </c>
      <c r="C476" s="16" t="str">
        <f>IF(Catalog!I449="","",Catalog!I449)&amp;IF(AND(Catalog!I449&lt;&gt;"",Catalog!J449&lt;&gt;""),"; ","")&amp;IF(Catalog!J449="","",Catalog!J449)</f>
        <v/>
      </c>
      <c r="D476" s="16">
        <f>Catalog!Q449</f>
        <v>0</v>
      </c>
      <c r="E476" s="16">
        <f>Catalog!S449</f>
        <v>0</v>
      </c>
      <c r="F476" s="16">
        <f>Catalog!N449</f>
        <v>0</v>
      </c>
      <c r="G476" s="16" t="str">
        <f>Catalog!K449&amp;" / "&amp;Catalog!M449</f>
        <v xml:space="preserve"> / </v>
      </c>
      <c r="H476" s="16" t="str">
        <f t="shared" si="6"/>
        <v>Print</v>
      </c>
      <c r="I476" s="16" t="str">
        <f>IF(Catalog!T449&lt;&gt;"","ISBN:"&amp;Catalog!T449,IF(Catalog!U449&lt;&gt;"","ISSN:"&amp;Catalog!U449,"ACC:"&amp;Catalog!B449))</f>
        <v>ACC:</v>
      </c>
      <c r="J476" s="16">
        <f>Catalog!L449</f>
        <v>0</v>
      </c>
      <c r="K476" s="16">
        <f>IF(Catalog!AH449&lt;&gt;"",Catalog!AH449,Catalog!AF449)</f>
        <v>0</v>
      </c>
      <c r="L476" s="16">
        <f>Catalog!AE449</f>
        <v>0</v>
      </c>
      <c r="M476" s="16">
        <f>Catalog!W449</f>
        <v>0</v>
      </c>
      <c r="N476" s="16">
        <f>Catalog!R449</f>
        <v>0</v>
      </c>
      <c r="O476" s="16">
        <f>Catalog!AG449</f>
        <v>0</v>
      </c>
    </row>
    <row r="477" spans="1:15" ht="15.75" x14ac:dyDescent="0.25">
      <c r="A477" s="16">
        <f>Catalog!D450</f>
        <v>0</v>
      </c>
      <c r="B477" s="16">
        <f>Catalog!F450</f>
        <v>0</v>
      </c>
      <c r="C477" s="16" t="str">
        <f>IF(Catalog!I450="","",Catalog!I450)&amp;IF(AND(Catalog!I450&lt;&gt;"",Catalog!J450&lt;&gt;""),"; ","")&amp;IF(Catalog!J450="","",Catalog!J450)</f>
        <v/>
      </c>
      <c r="D477" s="16">
        <f>Catalog!Q450</f>
        <v>0</v>
      </c>
      <c r="E477" s="16">
        <f>Catalog!S450</f>
        <v>0</v>
      </c>
      <c r="F477" s="16">
        <f>Catalog!N450</f>
        <v>0</v>
      </c>
      <c r="G477" s="16" t="str">
        <f>Catalog!K450&amp;" / "&amp;Catalog!M450</f>
        <v xml:space="preserve"> / </v>
      </c>
      <c r="H477" s="16" t="str">
        <f t="shared" ref="H477:H528" si="7">"Print"</f>
        <v>Print</v>
      </c>
      <c r="I477" s="16" t="str">
        <f>IF(Catalog!T450&lt;&gt;"","ISBN:"&amp;Catalog!T450,IF(Catalog!U450&lt;&gt;"","ISSN:"&amp;Catalog!U450,"ACC:"&amp;Catalog!B450))</f>
        <v>ACC:</v>
      </c>
      <c r="J477" s="16">
        <f>Catalog!L450</f>
        <v>0</v>
      </c>
      <c r="K477" s="16">
        <f>IF(Catalog!AH450&lt;&gt;"",Catalog!AH450,Catalog!AF450)</f>
        <v>0</v>
      </c>
      <c r="L477" s="16">
        <f>Catalog!AE450</f>
        <v>0</v>
      </c>
      <c r="M477" s="16">
        <f>Catalog!W450</f>
        <v>0</v>
      </c>
      <c r="N477" s="16">
        <f>Catalog!R450</f>
        <v>0</v>
      </c>
      <c r="O477" s="16">
        <f>Catalog!AG450</f>
        <v>0</v>
      </c>
    </row>
    <row r="478" spans="1:15" ht="15.75" x14ac:dyDescent="0.25">
      <c r="A478" s="16">
        <f>Catalog!D451</f>
        <v>0</v>
      </c>
      <c r="B478" s="16">
        <f>Catalog!F451</f>
        <v>0</v>
      </c>
      <c r="C478" s="16" t="str">
        <f>IF(Catalog!I451="","",Catalog!I451)&amp;IF(AND(Catalog!I451&lt;&gt;"",Catalog!J451&lt;&gt;""),"; ","")&amp;IF(Catalog!J451="","",Catalog!J451)</f>
        <v/>
      </c>
      <c r="D478" s="16">
        <f>Catalog!Q451</f>
        <v>0</v>
      </c>
      <c r="E478" s="16">
        <f>Catalog!S451</f>
        <v>0</v>
      </c>
      <c r="F478" s="16">
        <f>Catalog!N451</f>
        <v>0</v>
      </c>
      <c r="G478" s="16" t="str">
        <f>Catalog!K451&amp;" / "&amp;Catalog!M451</f>
        <v xml:space="preserve"> / </v>
      </c>
      <c r="H478" s="16" t="str">
        <f t="shared" si="7"/>
        <v>Print</v>
      </c>
      <c r="I478" s="16" t="str">
        <f>IF(Catalog!T451&lt;&gt;"","ISBN:"&amp;Catalog!T451,IF(Catalog!U451&lt;&gt;"","ISSN:"&amp;Catalog!U451,"ACC:"&amp;Catalog!B451))</f>
        <v>ACC:</v>
      </c>
      <c r="J478" s="16">
        <f>Catalog!L451</f>
        <v>0</v>
      </c>
      <c r="K478" s="16">
        <f>IF(Catalog!AH451&lt;&gt;"",Catalog!AH451,Catalog!AF451)</f>
        <v>0</v>
      </c>
      <c r="L478" s="16">
        <f>Catalog!AE451</f>
        <v>0</v>
      </c>
      <c r="M478" s="16">
        <f>Catalog!W451</f>
        <v>0</v>
      </c>
      <c r="N478" s="16">
        <f>Catalog!R451</f>
        <v>0</v>
      </c>
      <c r="O478" s="16">
        <f>Catalog!AG451</f>
        <v>0</v>
      </c>
    </row>
    <row r="479" spans="1:15" ht="15.75" x14ac:dyDescent="0.25">
      <c r="A479" s="16">
        <f>Catalog!D452</f>
        <v>0</v>
      </c>
      <c r="B479" s="16">
        <f>Catalog!F452</f>
        <v>0</v>
      </c>
      <c r="C479" s="16" t="str">
        <f>IF(Catalog!I452="","",Catalog!I452)&amp;IF(AND(Catalog!I452&lt;&gt;"",Catalog!J452&lt;&gt;""),"; ","")&amp;IF(Catalog!J452="","",Catalog!J452)</f>
        <v/>
      </c>
      <c r="D479" s="16">
        <f>Catalog!Q452</f>
        <v>0</v>
      </c>
      <c r="E479" s="16">
        <f>Catalog!S452</f>
        <v>0</v>
      </c>
      <c r="F479" s="16">
        <f>Catalog!N452</f>
        <v>0</v>
      </c>
      <c r="G479" s="16" t="str">
        <f>Catalog!K452&amp;" / "&amp;Catalog!M452</f>
        <v xml:space="preserve"> / </v>
      </c>
      <c r="H479" s="16" t="str">
        <f t="shared" si="7"/>
        <v>Print</v>
      </c>
      <c r="I479" s="16" t="str">
        <f>IF(Catalog!T452&lt;&gt;"","ISBN:"&amp;Catalog!T452,IF(Catalog!U452&lt;&gt;"","ISSN:"&amp;Catalog!U452,"ACC:"&amp;Catalog!B452))</f>
        <v>ACC:</v>
      </c>
      <c r="J479" s="16">
        <f>Catalog!L452</f>
        <v>0</v>
      </c>
      <c r="K479" s="16">
        <f>IF(Catalog!AH452&lt;&gt;"",Catalog!AH452,Catalog!AF452)</f>
        <v>0</v>
      </c>
      <c r="L479" s="16">
        <f>Catalog!AE452</f>
        <v>0</v>
      </c>
      <c r="M479" s="16">
        <f>Catalog!W452</f>
        <v>0</v>
      </c>
      <c r="N479" s="16">
        <f>Catalog!R452</f>
        <v>0</v>
      </c>
      <c r="O479" s="16">
        <f>Catalog!AG452</f>
        <v>0</v>
      </c>
    </row>
    <row r="480" spans="1:15" ht="15.75" x14ac:dyDescent="0.25">
      <c r="A480" s="16">
        <f>Catalog!D453</f>
        <v>0</v>
      </c>
      <c r="B480" s="16">
        <f>Catalog!F453</f>
        <v>0</v>
      </c>
      <c r="C480" s="16" t="str">
        <f>IF(Catalog!I453="","",Catalog!I453)&amp;IF(AND(Catalog!I453&lt;&gt;"",Catalog!J453&lt;&gt;""),"; ","")&amp;IF(Catalog!J453="","",Catalog!J453)</f>
        <v/>
      </c>
      <c r="D480" s="16">
        <f>Catalog!Q453</f>
        <v>0</v>
      </c>
      <c r="E480" s="16">
        <f>Catalog!S453</f>
        <v>0</v>
      </c>
      <c r="F480" s="16">
        <f>Catalog!N453</f>
        <v>0</v>
      </c>
      <c r="G480" s="16" t="str">
        <f>Catalog!K453&amp;" / "&amp;Catalog!M453</f>
        <v xml:space="preserve"> / </v>
      </c>
      <c r="H480" s="16" t="str">
        <f t="shared" si="7"/>
        <v>Print</v>
      </c>
      <c r="I480" s="16" t="str">
        <f>IF(Catalog!T453&lt;&gt;"","ISBN:"&amp;Catalog!T453,IF(Catalog!U453&lt;&gt;"","ISSN:"&amp;Catalog!U453,"ACC:"&amp;Catalog!B453))</f>
        <v>ACC:</v>
      </c>
      <c r="J480" s="16">
        <f>Catalog!L453</f>
        <v>0</v>
      </c>
      <c r="K480" s="16">
        <f>IF(Catalog!AH453&lt;&gt;"",Catalog!AH453,Catalog!AF453)</f>
        <v>0</v>
      </c>
      <c r="L480" s="16">
        <f>Catalog!AE453</f>
        <v>0</v>
      </c>
      <c r="M480" s="16">
        <f>Catalog!W453</f>
        <v>0</v>
      </c>
      <c r="N480" s="16">
        <f>Catalog!R453</f>
        <v>0</v>
      </c>
      <c r="O480" s="16">
        <f>Catalog!AG453</f>
        <v>0</v>
      </c>
    </row>
    <row r="481" spans="1:15" ht="15.75" x14ac:dyDescent="0.25">
      <c r="A481" s="16">
        <f>Catalog!D454</f>
        <v>0</v>
      </c>
      <c r="B481" s="16">
        <f>Catalog!F454</f>
        <v>0</v>
      </c>
      <c r="C481" s="16" t="str">
        <f>IF(Catalog!I454="","",Catalog!I454)&amp;IF(AND(Catalog!I454&lt;&gt;"",Catalog!J454&lt;&gt;""),"; ","")&amp;IF(Catalog!J454="","",Catalog!J454)</f>
        <v/>
      </c>
      <c r="D481" s="16">
        <f>Catalog!Q454</f>
        <v>0</v>
      </c>
      <c r="E481" s="16">
        <f>Catalog!S454</f>
        <v>0</v>
      </c>
      <c r="F481" s="16">
        <f>Catalog!N454</f>
        <v>0</v>
      </c>
      <c r="G481" s="16" t="str">
        <f>Catalog!K454&amp;" / "&amp;Catalog!M454</f>
        <v xml:space="preserve"> / </v>
      </c>
      <c r="H481" s="16" t="str">
        <f t="shared" si="7"/>
        <v>Print</v>
      </c>
      <c r="I481" s="16" t="str">
        <f>IF(Catalog!T454&lt;&gt;"","ISBN:"&amp;Catalog!T454,IF(Catalog!U454&lt;&gt;"","ISSN:"&amp;Catalog!U454,"ACC:"&amp;Catalog!B454))</f>
        <v>ACC:</v>
      </c>
      <c r="J481" s="16">
        <f>Catalog!L454</f>
        <v>0</v>
      </c>
      <c r="K481" s="16">
        <f>IF(Catalog!AH454&lt;&gt;"",Catalog!AH454,Catalog!AF454)</f>
        <v>0</v>
      </c>
      <c r="L481" s="16">
        <f>Catalog!AE454</f>
        <v>0</v>
      </c>
      <c r="M481" s="16">
        <f>Catalog!W454</f>
        <v>0</v>
      </c>
      <c r="N481" s="16">
        <f>Catalog!R454</f>
        <v>0</v>
      </c>
      <c r="O481" s="16">
        <f>Catalog!AG454</f>
        <v>0</v>
      </c>
    </row>
    <row r="482" spans="1:15" ht="15.75" x14ac:dyDescent="0.25">
      <c r="A482" s="16">
        <f>Catalog!D455</f>
        <v>0</v>
      </c>
      <c r="B482" s="16">
        <f>Catalog!F455</f>
        <v>0</v>
      </c>
      <c r="C482" s="16" t="str">
        <f>IF(Catalog!I455="","",Catalog!I455)&amp;IF(AND(Catalog!I455&lt;&gt;"",Catalog!J455&lt;&gt;""),"; ","")&amp;IF(Catalog!J455="","",Catalog!J455)</f>
        <v/>
      </c>
      <c r="D482" s="16">
        <f>Catalog!Q455</f>
        <v>0</v>
      </c>
      <c r="E482" s="16">
        <f>Catalog!S455</f>
        <v>0</v>
      </c>
      <c r="F482" s="16">
        <f>Catalog!N455</f>
        <v>0</v>
      </c>
      <c r="G482" s="16" t="str">
        <f>Catalog!K455&amp;" / "&amp;Catalog!M455</f>
        <v xml:space="preserve"> / </v>
      </c>
      <c r="H482" s="16" t="str">
        <f t="shared" si="7"/>
        <v>Print</v>
      </c>
      <c r="I482" s="16" t="str">
        <f>IF(Catalog!T455&lt;&gt;"","ISBN:"&amp;Catalog!T455,IF(Catalog!U455&lt;&gt;"","ISSN:"&amp;Catalog!U455,"ACC:"&amp;Catalog!B455))</f>
        <v>ACC:</v>
      </c>
      <c r="J482" s="16">
        <f>Catalog!L455</f>
        <v>0</v>
      </c>
      <c r="K482" s="16">
        <f>IF(Catalog!AH455&lt;&gt;"",Catalog!AH455,Catalog!AF455)</f>
        <v>0</v>
      </c>
      <c r="L482" s="16">
        <f>Catalog!AE455</f>
        <v>0</v>
      </c>
      <c r="M482" s="16">
        <f>Catalog!W455</f>
        <v>0</v>
      </c>
      <c r="N482" s="16">
        <f>Catalog!R455</f>
        <v>0</v>
      </c>
      <c r="O482" s="16">
        <f>Catalog!AG455</f>
        <v>0</v>
      </c>
    </row>
    <row r="483" spans="1:15" ht="15.75" x14ac:dyDescent="0.25">
      <c r="A483" s="16">
        <f>Catalog!D456</f>
        <v>0</v>
      </c>
      <c r="B483" s="16">
        <f>Catalog!F456</f>
        <v>0</v>
      </c>
      <c r="C483" s="16" t="str">
        <f>IF(Catalog!I456="","",Catalog!I456)&amp;IF(AND(Catalog!I456&lt;&gt;"",Catalog!J456&lt;&gt;""),"; ","")&amp;IF(Catalog!J456="","",Catalog!J456)</f>
        <v/>
      </c>
      <c r="D483" s="16">
        <f>Catalog!Q456</f>
        <v>0</v>
      </c>
      <c r="E483" s="16">
        <f>Catalog!S456</f>
        <v>0</v>
      </c>
      <c r="F483" s="16">
        <f>Catalog!N456</f>
        <v>0</v>
      </c>
      <c r="G483" s="16" t="str">
        <f>Catalog!K456&amp;" / "&amp;Catalog!M456</f>
        <v xml:space="preserve"> / </v>
      </c>
      <c r="H483" s="16" t="str">
        <f t="shared" si="7"/>
        <v>Print</v>
      </c>
      <c r="I483" s="16" t="str">
        <f>IF(Catalog!T456&lt;&gt;"","ISBN:"&amp;Catalog!T456,IF(Catalog!U456&lt;&gt;"","ISSN:"&amp;Catalog!U456,"ACC:"&amp;Catalog!B456))</f>
        <v>ACC:</v>
      </c>
      <c r="J483" s="16">
        <f>Catalog!L456</f>
        <v>0</v>
      </c>
      <c r="K483" s="16">
        <f>IF(Catalog!AH456&lt;&gt;"",Catalog!AH456,Catalog!AF456)</f>
        <v>0</v>
      </c>
      <c r="L483" s="16">
        <f>Catalog!AE456</f>
        <v>0</v>
      </c>
      <c r="M483" s="16">
        <f>Catalog!W456</f>
        <v>0</v>
      </c>
      <c r="N483" s="16">
        <f>Catalog!R456</f>
        <v>0</v>
      </c>
      <c r="O483" s="16">
        <f>Catalog!AG456</f>
        <v>0</v>
      </c>
    </row>
    <row r="484" spans="1:15" ht="15.75" x14ac:dyDescent="0.25">
      <c r="A484" s="16">
        <f>Catalog!D457</f>
        <v>0</v>
      </c>
      <c r="B484" s="16">
        <f>Catalog!F457</f>
        <v>0</v>
      </c>
      <c r="C484" s="16" t="str">
        <f>IF(Catalog!I457="","",Catalog!I457)&amp;IF(AND(Catalog!I457&lt;&gt;"",Catalog!J457&lt;&gt;""),"; ","")&amp;IF(Catalog!J457="","",Catalog!J457)</f>
        <v/>
      </c>
      <c r="D484" s="16">
        <f>Catalog!Q457</f>
        <v>0</v>
      </c>
      <c r="E484" s="16">
        <f>Catalog!S457</f>
        <v>0</v>
      </c>
      <c r="F484" s="16">
        <f>Catalog!N457</f>
        <v>0</v>
      </c>
      <c r="G484" s="16" t="str">
        <f>Catalog!K457&amp;" / "&amp;Catalog!M457</f>
        <v xml:space="preserve"> / </v>
      </c>
      <c r="H484" s="16" t="str">
        <f t="shared" si="7"/>
        <v>Print</v>
      </c>
      <c r="I484" s="16" t="str">
        <f>IF(Catalog!T457&lt;&gt;"","ISBN:"&amp;Catalog!T457,IF(Catalog!U457&lt;&gt;"","ISSN:"&amp;Catalog!U457,"ACC:"&amp;Catalog!B457))</f>
        <v>ACC:</v>
      </c>
      <c r="J484" s="16">
        <f>Catalog!L457</f>
        <v>0</v>
      </c>
      <c r="K484" s="16">
        <f>IF(Catalog!AH457&lt;&gt;"",Catalog!AH457,Catalog!AF457)</f>
        <v>0</v>
      </c>
      <c r="L484" s="16">
        <f>Catalog!AE457</f>
        <v>0</v>
      </c>
      <c r="M484" s="16">
        <f>Catalog!W457</f>
        <v>0</v>
      </c>
      <c r="N484" s="16">
        <f>Catalog!R457</f>
        <v>0</v>
      </c>
      <c r="O484" s="16">
        <f>Catalog!AG457</f>
        <v>0</v>
      </c>
    </row>
    <row r="485" spans="1:15" ht="15.75" x14ac:dyDescent="0.25">
      <c r="A485" s="16">
        <f>Catalog!D458</f>
        <v>0</v>
      </c>
      <c r="B485" s="16">
        <f>Catalog!F458</f>
        <v>0</v>
      </c>
      <c r="C485" s="16" t="str">
        <f>IF(Catalog!I458="","",Catalog!I458)&amp;IF(AND(Catalog!I458&lt;&gt;"",Catalog!J458&lt;&gt;""),"; ","")&amp;IF(Catalog!J458="","",Catalog!J458)</f>
        <v/>
      </c>
      <c r="D485" s="16">
        <f>Catalog!Q458</f>
        <v>0</v>
      </c>
      <c r="E485" s="16">
        <f>Catalog!S458</f>
        <v>0</v>
      </c>
      <c r="F485" s="16">
        <f>Catalog!N458</f>
        <v>0</v>
      </c>
      <c r="G485" s="16" t="str">
        <f>Catalog!K458&amp;" / "&amp;Catalog!M458</f>
        <v xml:space="preserve"> / </v>
      </c>
      <c r="H485" s="16" t="str">
        <f t="shared" si="7"/>
        <v>Print</v>
      </c>
      <c r="I485" s="16" t="str">
        <f>IF(Catalog!T458&lt;&gt;"","ISBN:"&amp;Catalog!T458,IF(Catalog!U458&lt;&gt;"","ISSN:"&amp;Catalog!U458,"ACC:"&amp;Catalog!B458))</f>
        <v>ACC:</v>
      </c>
      <c r="J485" s="16">
        <f>Catalog!L458</f>
        <v>0</v>
      </c>
      <c r="K485" s="16">
        <f>IF(Catalog!AH458&lt;&gt;"",Catalog!AH458,Catalog!AF458)</f>
        <v>0</v>
      </c>
      <c r="L485" s="16">
        <f>Catalog!AE458</f>
        <v>0</v>
      </c>
      <c r="M485" s="16">
        <f>Catalog!W458</f>
        <v>0</v>
      </c>
      <c r="N485" s="16">
        <f>Catalog!R458</f>
        <v>0</v>
      </c>
      <c r="O485" s="16">
        <f>Catalog!AG458</f>
        <v>0</v>
      </c>
    </row>
    <row r="486" spans="1:15" ht="15.75" x14ac:dyDescent="0.25">
      <c r="A486" s="16">
        <f>Catalog!D459</f>
        <v>0</v>
      </c>
      <c r="B486" s="16">
        <f>Catalog!F459</f>
        <v>0</v>
      </c>
      <c r="C486" s="16" t="str">
        <f>IF(Catalog!I459="","",Catalog!I459)&amp;IF(AND(Catalog!I459&lt;&gt;"",Catalog!J459&lt;&gt;""),"; ","")&amp;IF(Catalog!J459="","",Catalog!J459)</f>
        <v/>
      </c>
      <c r="D486" s="16">
        <f>Catalog!Q459</f>
        <v>0</v>
      </c>
      <c r="E486" s="16">
        <f>Catalog!S459</f>
        <v>0</v>
      </c>
      <c r="F486" s="16">
        <f>Catalog!N459</f>
        <v>0</v>
      </c>
      <c r="G486" s="16" t="str">
        <f>Catalog!K459&amp;" / "&amp;Catalog!M459</f>
        <v xml:space="preserve"> / </v>
      </c>
      <c r="H486" s="16" t="str">
        <f t="shared" si="7"/>
        <v>Print</v>
      </c>
      <c r="I486" s="16" t="str">
        <f>IF(Catalog!T459&lt;&gt;"","ISBN:"&amp;Catalog!T459,IF(Catalog!U459&lt;&gt;"","ISSN:"&amp;Catalog!U459,"ACC:"&amp;Catalog!B459))</f>
        <v>ACC:</v>
      </c>
      <c r="J486" s="16">
        <f>Catalog!L459</f>
        <v>0</v>
      </c>
      <c r="K486" s="16">
        <f>IF(Catalog!AH459&lt;&gt;"",Catalog!AH459,Catalog!AF459)</f>
        <v>0</v>
      </c>
      <c r="L486" s="16">
        <f>Catalog!AE459</f>
        <v>0</v>
      </c>
      <c r="M486" s="16">
        <f>Catalog!W459</f>
        <v>0</v>
      </c>
      <c r="N486" s="16">
        <f>Catalog!R459</f>
        <v>0</v>
      </c>
      <c r="O486" s="16">
        <f>Catalog!AG459</f>
        <v>0</v>
      </c>
    </row>
    <row r="487" spans="1:15" ht="15.75" x14ac:dyDescent="0.25">
      <c r="A487" s="16">
        <f>Catalog!D460</f>
        <v>0</v>
      </c>
      <c r="B487" s="16">
        <f>Catalog!F460</f>
        <v>0</v>
      </c>
      <c r="C487" s="16" t="str">
        <f>IF(Catalog!I460="","",Catalog!I460)&amp;IF(AND(Catalog!I460&lt;&gt;"",Catalog!J460&lt;&gt;""),"; ","")&amp;IF(Catalog!J460="","",Catalog!J460)</f>
        <v/>
      </c>
      <c r="D487" s="16">
        <f>Catalog!Q460</f>
        <v>0</v>
      </c>
      <c r="E487" s="16">
        <f>Catalog!S460</f>
        <v>0</v>
      </c>
      <c r="F487" s="16">
        <f>Catalog!N460</f>
        <v>0</v>
      </c>
      <c r="G487" s="16" t="str">
        <f>Catalog!K460&amp;" / "&amp;Catalog!M460</f>
        <v xml:space="preserve"> / </v>
      </c>
      <c r="H487" s="16" t="str">
        <f t="shared" si="7"/>
        <v>Print</v>
      </c>
      <c r="I487" s="16" t="str">
        <f>IF(Catalog!T460&lt;&gt;"","ISBN:"&amp;Catalog!T460,IF(Catalog!U460&lt;&gt;"","ISSN:"&amp;Catalog!U460,"ACC:"&amp;Catalog!B460))</f>
        <v>ACC:</v>
      </c>
      <c r="J487" s="16">
        <f>Catalog!L460</f>
        <v>0</v>
      </c>
      <c r="K487" s="16">
        <f>IF(Catalog!AH460&lt;&gt;"",Catalog!AH460,Catalog!AF460)</f>
        <v>0</v>
      </c>
      <c r="L487" s="16">
        <f>Catalog!AE460</f>
        <v>0</v>
      </c>
      <c r="M487" s="16">
        <f>Catalog!W460</f>
        <v>0</v>
      </c>
      <c r="N487" s="16">
        <f>Catalog!R460</f>
        <v>0</v>
      </c>
      <c r="O487" s="16">
        <f>Catalog!AG460</f>
        <v>0</v>
      </c>
    </row>
    <row r="488" spans="1:15" ht="15.75" x14ac:dyDescent="0.25">
      <c r="A488" s="16">
        <f>Catalog!D461</f>
        <v>0</v>
      </c>
      <c r="B488" s="16">
        <f>Catalog!F461</f>
        <v>0</v>
      </c>
      <c r="C488" s="16" t="str">
        <f>IF(Catalog!I461="","",Catalog!I461)&amp;IF(AND(Catalog!I461&lt;&gt;"",Catalog!J461&lt;&gt;""),"; ","")&amp;IF(Catalog!J461="","",Catalog!J461)</f>
        <v/>
      </c>
      <c r="D488" s="16">
        <f>Catalog!Q461</f>
        <v>0</v>
      </c>
      <c r="E488" s="16">
        <f>Catalog!S461</f>
        <v>0</v>
      </c>
      <c r="F488" s="16">
        <f>Catalog!N461</f>
        <v>0</v>
      </c>
      <c r="G488" s="16" t="str">
        <f>Catalog!K461&amp;" / "&amp;Catalog!M461</f>
        <v xml:space="preserve"> / </v>
      </c>
      <c r="H488" s="16" t="str">
        <f t="shared" si="7"/>
        <v>Print</v>
      </c>
      <c r="I488" s="16" t="str">
        <f>IF(Catalog!T461&lt;&gt;"","ISBN:"&amp;Catalog!T461,IF(Catalog!U461&lt;&gt;"","ISSN:"&amp;Catalog!U461,"ACC:"&amp;Catalog!B461))</f>
        <v>ACC:</v>
      </c>
      <c r="J488" s="16">
        <f>Catalog!L461</f>
        <v>0</v>
      </c>
      <c r="K488" s="16">
        <f>IF(Catalog!AH461&lt;&gt;"",Catalog!AH461,Catalog!AF461)</f>
        <v>0</v>
      </c>
      <c r="L488" s="16">
        <f>Catalog!AE461</f>
        <v>0</v>
      </c>
      <c r="M488" s="16">
        <f>Catalog!W461</f>
        <v>0</v>
      </c>
      <c r="N488" s="16">
        <f>Catalog!R461</f>
        <v>0</v>
      </c>
      <c r="O488" s="16">
        <f>Catalog!AG461</f>
        <v>0</v>
      </c>
    </row>
    <row r="489" spans="1:15" ht="15.75" x14ac:dyDescent="0.25">
      <c r="A489" s="16">
        <f>Catalog!D462</f>
        <v>0</v>
      </c>
      <c r="B489" s="16">
        <f>Catalog!F462</f>
        <v>0</v>
      </c>
      <c r="C489" s="16" t="str">
        <f>IF(Catalog!I462="","",Catalog!I462)&amp;IF(AND(Catalog!I462&lt;&gt;"",Catalog!J462&lt;&gt;""),"; ","")&amp;IF(Catalog!J462="","",Catalog!J462)</f>
        <v/>
      </c>
      <c r="D489" s="16">
        <f>Catalog!Q462</f>
        <v>0</v>
      </c>
      <c r="E489" s="16">
        <f>Catalog!S462</f>
        <v>0</v>
      </c>
      <c r="F489" s="16">
        <f>Catalog!N462</f>
        <v>0</v>
      </c>
      <c r="G489" s="16" t="str">
        <f>Catalog!K462&amp;" / "&amp;Catalog!M462</f>
        <v xml:space="preserve"> / </v>
      </c>
      <c r="H489" s="16" t="str">
        <f t="shared" si="7"/>
        <v>Print</v>
      </c>
      <c r="I489" s="16" t="str">
        <f>IF(Catalog!T462&lt;&gt;"","ISBN:"&amp;Catalog!T462,IF(Catalog!U462&lt;&gt;"","ISSN:"&amp;Catalog!U462,"ACC:"&amp;Catalog!B462))</f>
        <v>ACC:</v>
      </c>
      <c r="J489" s="16">
        <f>Catalog!L462</f>
        <v>0</v>
      </c>
      <c r="K489" s="16">
        <f>IF(Catalog!AH462&lt;&gt;"",Catalog!AH462,Catalog!AF462)</f>
        <v>0</v>
      </c>
      <c r="L489" s="16">
        <f>Catalog!AE462</f>
        <v>0</v>
      </c>
      <c r="M489" s="16">
        <f>Catalog!W462</f>
        <v>0</v>
      </c>
      <c r="N489" s="16">
        <f>Catalog!R462</f>
        <v>0</v>
      </c>
      <c r="O489" s="16">
        <f>Catalog!AG462</f>
        <v>0</v>
      </c>
    </row>
    <row r="490" spans="1:15" ht="15.75" x14ac:dyDescent="0.25">
      <c r="A490" s="16">
        <f>Catalog!D463</f>
        <v>0</v>
      </c>
      <c r="B490" s="16">
        <f>Catalog!F463</f>
        <v>0</v>
      </c>
      <c r="C490" s="16" t="str">
        <f>IF(Catalog!I463="","",Catalog!I463)&amp;IF(AND(Catalog!I463&lt;&gt;"",Catalog!J463&lt;&gt;""),"; ","")&amp;IF(Catalog!J463="","",Catalog!J463)</f>
        <v/>
      </c>
      <c r="D490" s="16">
        <f>Catalog!Q463</f>
        <v>0</v>
      </c>
      <c r="E490" s="16">
        <f>Catalog!S463</f>
        <v>0</v>
      </c>
      <c r="F490" s="16">
        <f>Catalog!N463</f>
        <v>0</v>
      </c>
      <c r="G490" s="16" t="str">
        <f>Catalog!K463&amp;" / "&amp;Catalog!M463</f>
        <v xml:space="preserve"> / </v>
      </c>
      <c r="H490" s="16" t="str">
        <f t="shared" si="7"/>
        <v>Print</v>
      </c>
      <c r="I490" s="16" t="str">
        <f>IF(Catalog!T463&lt;&gt;"","ISBN:"&amp;Catalog!T463,IF(Catalog!U463&lt;&gt;"","ISSN:"&amp;Catalog!U463,"ACC:"&amp;Catalog!B463))</f>
        <v>ACC:</v>
      </c>
      <c r="J490" s="16">
        <f>Catalog!L463</f>
        <v>0</v>
      </c>
      <c r="K490" s="16">
        <f>IF(Catalog!AH463&lt;&gt;"",Catalog!AH463,Catalog!AF463)</f>
        <v>0</v>
      </c>
      <c r="L490" s="16">
        <f>Catalog!AE463</f>
        <v>0</v>
      </c>
      <c r="M490" s="16">
        <f>Catalog!W463</f>
        <v>0</v>
      </c>
      <c r="N490" s="16">
        <f>Catalog!R463</f>
        <v>0</v>
      </c>
      <c r="O490" s="16">
        <f>Catalog!AG463</f>
        <v>0</v>
      </c>
    </row>
    <row r="491" spans="1:15" ht="15.75" x14ac:dyDescent="0.25">
      <c r="A491" s="16">
        <f>Catalog!D464</f>
        <v>0</v>
      </c>
      <c r="B491" s="16">
        <f>Catalog!F464</f>
        <v>0</v>
      </c>
      <c r="C491" s="16" t="str">
        <f>IF(Catalog!I464="","",Catalog!I464)&amp;IF(AND(Catalog!I464&lt;&gt;"",Catalog!J464&lt;&gt;""),"; ","")&amp;IF(Catalog!J464="","",Catalog!J464)</f>
        <v/>
      </c>
      <c r="D491" s="16">
        <f>Catalog!Q464</f>
        <v>0</v>
      </c>
      <c r="E491" s="16">
        <f>Catalog!S464</f>
        <v>0</v>
      </c>
      <c r="F491" s="16">
        <f>Catalog!N464</f>
        <v>0</v>
      </c>
      <c r="G491" s="16" t="str">
        <f>Catalog!K464&amp;" / "&amp;Catalog!M464</f>
        <v xml:space="preserve"> / </v>
      </c>
      <c r="H491" s="16" t="str">
        <f t="shared" si="7"/>
        <v>Print</v>
      </c>
      <c r="I491" s="16" t="str">
        <f>IF(Catalog!T464&lt;&gt;"","ISBN:"&amp;Catalog!T464,IF(Catalog!U464&lt;&gt;"","ISSN:"&amp;Catalog!U464,"ACC:"&amp;Catalog!B464))</f>
        <v>ACC:</v>
      </c>
      <c r="J491" s="16">
        <f>Catalog!L464</f>
        <v>0</v>
      </c>
      <c r="K491" s="16">
        <f>IF(Catalog!AH464&lt;&gt;"",Catalog!AH464,Catalog!AF464)</f>
        <v>0</v>
      </c>
      <c r="L491" s="16">
        <f>Catalog!AE464</f>
        <v>0</v>
      </c>
      <c r="M491" s="16">
        <f>Catalog!W464</f>
        <v>0</v>
      </c>
      <c r="N491" s="16">
        <f>Catalog!R464</f>
        <v>0</v>
      </c>
      <c r="O491" s="16">
        <f>Catalog!AG464</f>
        <v>0</v>
      </c>
    </row>
    <row r="492" spans="1:15" ht="15.75" x14ac:dyDescent="0.25">
      <c r="A492" s="16">
        <f>Catalog!D465</f>
        <v>0</v>
      </c>
      <c r="B492" s="16">
        <f>Catalog!F465</f>
        <v>0</v>
      </c>
      <c r="C492" s="16" t="str">
        <f>IF(Catalog!I465="","",Catalog!I465)&amp;IF(AND(Catalog!I465&lt;&gt;"",Catalog!J465&lt;&gt;""),"; ","")&amp;IF(Catalog!J465="","",Catalog!J465)</f>
        <v/>
      </c>
      <c r="D492" s="16">
        <f>Catalog!Q465</f>
        <v>0</v>
      </c>
      <c r="E492" s="16">
        <f>Catalog!S465</f>
        <v>0</v>
      </c>
      <c r="F492" s="16">
        <f>Catalog!N465</f>
        <v>0</v>
      </c>
      <c r="G492" s="16" t="str">
        <f>Catalog!K465&amp;" / "&amp;Catalog!M465</f>
        <v xml:space="preserve"> / </v>
      </c>
      <c r="H492" s="16" t="str">
        <f t="shared" si="7"/>
        <v>Print</v>
      </c>
      <c r="I492" s="16" t="str">
        <f>IF(Catalog!T465&lt;&gt;"","ISBN:"&amp;Catalog!T465,IF(Catalog!U465&lt;&gt;"","ISSN:"&amp;Catalog!U465,"ACC:"&amp;Catalog!B465))</f>
        <v>ACC:</v>
      </c>
      <c r="J492" s="16">
        <f>Catalog!L465</f>
        <v>0</v>
      </c>
      <c r="K492" s="16">
        <f>IF(Catalog!AH465&lt;&gt;"",Catalog!AH465,Catalog!AF465)</f>
        <v>0</v>
      </c>
      <c r="L492" s="16">
        <f>Catalog!AE465</f>
        <v>0</v>
      </c>
      <c r="M492" s="16">
        <f>Catalog!W465</f>
        <v>0</v>
      </c>
      <c r="N492" s="16">
        <f>Catalog!R465</f>
        <v>0</v>
      </c>
      <c r="O492" s="16">
        <f>Catalog!AG465</f>
        <v>0</v>
      </c>
    </row>
    <row r="493" spans="1:15" ht="15.75" x14ac:dyDescent="0.25">
      <c r="A493" s="16">
        <f>Catalog!D466</f>
        <v>0</v>
      </c>
      <c r="B493" s="16">
        <f>Catalog!F466</f>
        <v>0</v>
      </c>
      <c r="C493" s="16" t="str">
        <f>IF(Catalog!I466="","",Catalog!I466)&amp;IF(AND(Catalog!I466&lt;&gt;"",Catalog!J466&lt;&gt;""),"; ","")&amp;IF(Catalog!J466="","",Catalog!J466)</f>
        <v/>
      </c>
      <c r="D493" s="16">
        <f>Catalog!Q466</f>
        <v>0</v>
      </c>
      <c r="E493" s="16">
        <f>Catalog!S466</f>
        <v>0</v>
      </c>
      <c r="F493" s="16">
        <f>Catalog!N466</f>
        <v>0</v>
      </c>
      <c r="G493" s="16" t="str">
        <f>Catalog!K466&amp;" / "&amp;Catalog!M466</f>
        <v xml:space="preserve"> / </v>
      </c>
      <c r="H493" s="16" t="str">
        <f t="shared" si="7"/>
        <v>Print</v>
      </c>
      <c r="I493" s="16" t="str">
        <f>IF(Catalog!T466&lt;&gt;"","ISBN:"&amp;Catalog!T466,IF(Catalog!U466&lt;&gt;"","ISSN:"&amp;Catalog!U466,"ACC:"&amp;Catalog!B466))</f>
        <v>ACC:</v>
      </c>
      <c r="J493" s="16">
        <f>Catalog!L466</f>
        <v>0</v>
      </c>
      <c r="K493" s="16">
        <f>IF(Catalog!AH466&lt;&gt;"",Catalog!AH466,Catalog!AF466)</f>
        <v>0</v>
      </c>
      <c r="L493" s="16">
        <f>Catalog!AE466</f>
        <v>0</v>
      </c>
      <c r="M493" s="16">
        <f>Catalog!W466</f>
        <v>0</v>
      </c>
      <c r="N493" s="16">
        <f>Catalog!R466</f>
        <v>0</v>
      </c>
      <c r="O493" s="16">
        <f>Catalog!AG466</f>
        <v>0</v>
      </c>
    </row>
    <row r="494" spans="1:15" ht="15.75" x14ac:dyDescent="0.25">
      <c r="A494" s="16">
        <f>Catalog!D467</f>
        <v>0</v>
      </c>
      <c r="B494" s="16">
        <f>Catalog!F467</f>
        <v>0</v>
      </c>
      <c r="C494" s="16" t="str">
        <f>IF(Catalog!I467="","",Catalog!I467)&amp;IF(AND(Catalog!I467&lt;&gt;"",Catalog!J467&lt;&gt;""),"; ","")&amp;IF(Catalog!J467="","",Catalog!J467)</f>
        <v/>
      </c>
      <c r="D494" s="16">
        <f>Catalog!Q467</f>
        <v>0</v>
      </c>
      <c r="E494" s="16">
        <f>Catalog!S467</f>
        <v>0</v>
      </c>
      <c r="F494" s="16">
        <f>Catalog!N467</f>
        <v>0</v>
      </c>
      <c r="G494" s="16" t="str">
        <f>Catalog!K467&amp;" / "&amp;Catalog!M467</f>
        <v xml:space="preserve"> / </v>
      </c>
      <c r="H494" s="16" t="str">
        <f t="shared" si="7"/>
        <v>Print</v>
      </c>
      <c r="I494" s="16" t="str">
        <f>IF(Catalog!T467&lt;&gt;"","ISBN:"&amp;Catalog!T467,IF(Catalog!U467&lt;&gt;"","ISSN:"&amp;Catalog!U467,"ACC:"&amp;Catalog!B467))</f>
        <v>ACC:</v>
      </c>
      <c r="J494" s="16">
        <f>Catalog!L467</f>
        <v>0</v>
      </c>
      <c r="K494" s="16">
        <f>IF(Catalog!AH467&lt;&gt;"",Catalog!AH467,Catalog!AF467)</f>
        <v>0</v>
      </c>
      <c r="L494" s="16">
        <f>Catalog!AE467</f>
        <v>0</v>
      </c>
      <c r="M494" s="16">
        <f>Catalog!W467</f>
        <v>0</v>
      </c>
      <c r="N494" s="16">
        <f>Catalog!R467</f>
        <v>0</v>
      </c>
      <c r="O494" s="16">
        <f>Catalog!AG467</f>
        <v>0</v>
      </c>
    </row>
    <row r="495" spans="1:15" ht="15.75" x14ac:dyDescent="0.25">
      <c r="A495" s="16">
        <f>Catalog!D468</f>
        <v>0</v>
      </c>
      <c r="B495" s="16">
        <f>Catalog!F468</f>
        <v>0</v>
      </c>
      <c r="C495" s="16" t="str">
        <f>IF(Catalog!I468="","",Catalog!I468)&amp;IF(AND(Catalog!I468&lt;&gt;"",Catalog!J468&lt;&gt;""),"; ","")&amp;IF(Catalog!J468="","",Catalog!J468)</f>
        <v/>
      </c>
      <c r="D495" s="16">
        <f>Catalog!Q468</f>
        <v>0</v>
      </c>
      <c r="E495" s="16">
        <f>Catalog!S468</f>
        <v>0</v>
      </c>
      <c r="F495" s="16">
        <f>Catalog!N468</f>
        <v>0</v>
      </c>
      <c r="G495" s="16" t="str">
        <f>Catalog!K468&amp;" / "&amp;Catalog!M468</f>
        <v xml:space="preserve"> / </v>
      </c>
      <c r="H495" s="16" t="str">
        <f t="shared" si="7"/>
        <v>Print</v>
      </c>
      <c r="I495" s="16" t="str">
        <f>IF(Catalog!T468&lt;&gt;"","ISBN:"&amp;Catalog!T468,IF(Catalog!U468&lt;&gt;"","ISSN:"&amp;Catalog!U468,"ACC:"&amp;Catalog!B468))</f>
        <v>ACC:</v>
      </c>
      <c r="J495" s="16">
        <f>Catalog!L468</f>
        <v>0</v>
      </c>
      <c r="K495" s="16">
        <f>IF(Catalog!AH468&lt;&gt;"",Catalog!AH468,Catalog!AF468)</f>
        <v>0</v>
      </c>
      <c r="L495" s="16">
        <f>Catalog!AE468</f>
        <v>0</v>
      </c>
      <c r="M495" s="16">
        <f>Catalog!W468</f>
        <v>0</v>
      </c>
      <c r="N495" s="16">
        <f>Catalog!R468</f>
        <v>0</v>
      </c>
      <c r="O495" s="16">
        <f>Catalog!AG468</f>
        <v>0</v>
      </c>
    </row>
    <row r="496" spans="1:15" ht="15.75" x14ac:dyDescent="0.25">
      <c r="A496" s="16">
        <f>Catalog!D469</f>
        <v>0</v>
      </c>
      <c r="B496" s="16">
        <f>Catalog!F469</f>
        <v>0</v>
      </c>
      <c r="C496" s="16" t="str">
        <f>IF(Catalog!I469="","",Catalog!I469)&amp;IF(AND(Catalog!I469&lt;&gt;"",Catalog!J469&lt;&gt;""),"; ","")&amp;IF(Catalog!J469="","",Catalog!J469)</f>
        <v/>
      </c>
      <c r="D496" s="16">
        <f>Catalog!Q469</f>
        <v>0</v>
      </c>
      <c r="E496" s="16">
        <f>Catalog!S469</f>
        <v>0</v>
      </c>
      <c r="F496" s="16">
        <f>Catalog!N469</f>
        <v>0</v>
      </c>
      <c r="G496" s="16" t="str">
        <f>Catalog!K469&amp;" / "&amp;Catalog!M469</f>
        <v xml:space="preserve"> / </v>
      </c>
      <c r="H496" s="16" t="str">
        <f t="shared" si="7"/>
        <v>Print</v>
      </c>
      <c r="I496" s="16" t="str">
        <f>IF(Catalog!T469&lt;&gt;"","ISBN:"&amp;Catalog!T469,IF(Catalog!U469&lt;&gt;"","ISSN:"&amp;Catalog!U469,"ACC:"&amp;Catalog!B469))</f>
        <v>ACC:</v>
      </c>
      <c r="J496" s="16">
        <f>Catalog!L469</f>
        <v>0</v>
      </c>
      <c r="K496" s="16">
        <f>IF(Catalog!AH469&lt;&gt;"",Catalog!AH469,Catalog!AF469)</f>
        <v>0</v>
      </c>
      <c r="L496" s="16">
        <f>Catalog!AE469</f>
        <v>0</v>
      </c>
      <c r="M496" s="16">
        <f>Catalog!W469</f>
        <v>0</v>
      </c>
      <c r="N496" s="16">
        <f>Catalog!R469</f>
        <v>0</v>
      </c>
      <c r="O496" s="16">
        <f>Catalog!AG469</f>
        <v>0</v>
      </c>
    </row>
    <row r="497" spans="1:15" ht="15.75" x14ac:dyDescent="0.25">
      <c r="A497" s="16">
        <f>Catalog!D470</f>
        <v>0</v>
      </c>
      <c r="B497" s="16">
        <f>Catalog!F470</f>
        <v>0</v>
      </c>
      <c r="C497" s="16" t="str">
        <f>IF(Catalog!I470="","",Catalog!I470)&amp;IF(AND(Catalog!I470&lt;&gt;"",Catalog!J470&lt;&gt;""),"; ","")&amp;IF(Catalog!J470="","",Catalog!J470)</f>
        <v/>
      </c>
      <c r="D497" s="16">
        <f>Catalog!Q470</f>
        <v>0</v>
      </c>
      <c r="E497" s="16">
        <f>Catalog!S470</f>
        <v>0</v>
      </c>
      <c r="F497" s="16">
        <f>Catalog!N470</f>
        <v>0</v>
      </c>
      <c r="G497" s="16" t="str">
        <f>Catalog!K470&amp;" / "&amp;Catalog!M470</f>
        <v xml:space="preserve"> / </v>
      </c>
      <c r="H497" s="16" t="str">
        <f t="shared" si="7"/>
        <v>Print</v>
      </c>
      <c r="I497" s="16" t="str">
        <f>IF(Catalog!T470&lt;&gt;"","ISBN:"&amp;Catalog!T470,IF(Catalog!U470&lt;&gt;"","ISSN:"&amp;Catalog!U470,"ACC:"&amp;Catalog!B470))</f>
        <v>ACC:</v>
      </c>
      <c r="J497" s="16">
        <f>Catalog!L470</f>
        <v>0</v>
      </c>
      <c r="K497" s="16">
        <f>IF(Catalog!AH470&lt;&gt;"",Catalog!AH470,Catalog!AF470)</f>
        <v>0</v>
      </c>
      <c r="L497" s="16">
        <f>Catalog!AE470</f>
        <v>0</v>
      </c>
      <c r="M497" s="16">
        <f>Catalog!W470</f>
        <v>0</v>
      </c>
      <c r="N497" s="16">
        <f>Catalog!R470</f>
        <v>0</v>
      </c>
      <c r="O497" s="16">
        <f>Catalog!AG470</f>
        <v>0</v>
      </c>
    </row>
    <row r="498" spans="1:15" ht="15.75" x14ac:dyDescent="0.25">
      <c r="A498" s="16">
        <f>Catalog!D471</f>
        <v>0</v>
      </c>
      <c r="B498" s="16">
        <f>Catalog!F471</f>
        <v>0</v>
      </c>
      <c r="C498" s="16" t="str">
        <f>IF(Catalog!I471="","",Catalog!I471)&amp;IF(AND(Catalog!I471&lt;&gt;"",Catalog!J471&lt;&gt;""),"; ","")&amp;IF(Catalog!J471="","",Catalog!J471)</f>
        <v/>
      </c>
      <c r="D498" s="16">
        <f>Catalog!Q471</f>
        <v>0</v>
      </c>
      <c r="E498" s="16">
        <f>Catalog!S471</f>
        <v>0</v>
      </c>
      <c r="F498" s="16">
        <f>Catalog!N471</f>
        <v>0</v>
      </c>
      <c r="G498" s="16" t="str">
        <f>Catalog!K471&amp;" / "&amp;Catalog!M471</f>
        <v xml:space="preserve"> / </v>
      </c>
      <c r="H498" s="16" t="str">
        <f t="shared" si="7"/>
        <v>Print</v>
      </c>
      <c r="I498" s="16" t="str">
        <f>IF(Catalog!T471&lt;&gt;"","ISBN:"&amp;Catalog!T471,IF(Catalog!U471&lt;&gt;"","ISSN:"&amp;Catalog!U471,"ACC:"&amp;Catalog!B471))</f>
        <v>ACC:</v>
      </c>
      <c r="J498" s="16">
        <f>Catalog!L471</f>
        <v>0</v>
      </c>
      <c r="K498" s="16">
        <f>IF(Catalog!AH471&lt;&gt;"",Catalog!AH471,Catalog!AF471)</f>
        <v>0</v>
      </c>
      <c r="L498" s="16">
        <f>Catalog!AE471</f>
        <v>0</v>
      </c>
      <c r="M498" s="16">
        <f>Catalog!W471</f>
        <v>0</v>
      </c>
      <c r="N498" s="16">
        <f>Catalog!R471</f>
        <v>0</v>
      </c>
      <c r="O498" s="16">
        <f>Catalog!AG471</f>
        <v>0</v>
      </c>
    </row>
    <row r="499" spans="1:15" ht="15.75" x14ac:dyDescent="0.25">
      <c r="A499" s="16">
        <f>Catalog!D472</f>
        <v>0</v>
      </c>
      <c r="B499" s="16">
        <f>Catalog!F472</f>
        <v>0</v>
      </c>
      <c r="C499" s="16" t="str">
        <f>IF(Catalog!I472="","",Catalog!I472)&amp;IF(AND(Catalog!I472&lt;&gt;"",Catalog!J472&lt;&gt;""),"; ","")&amp;IF(Catalog!J472="","",Catalog!J472)</f>
        <v/>
      </c>
      <c r="D499" s="16">
        <f>Catalog!Q472</f>
        <v>0</v>
      </c>
      <c r="E499" s="16">
        <f>Catalog!S472</f>
        <v>0</v>
      </c>
      <c r="F499" s="16">
        <f>Catalog!N472</f>
        <v>0</v>
      </c>
      <c r="G499" s="16" t="str">
        <f>Catalog!K472&amp;" / "&amp;Catalog!M472</f>
        <v xml:space="preserve"> / </v>
      </c>
      <c r="H499" s="16" t="str">
        <f t="shared" si="7"/>
        <v>Print</v>
      </c>
      <c r="I499" s="16" t="str">
        <f>IF(Catalog!T472&lt;&gt;"","ISBN:"&amp;Catalog!T472,IF(Catalog!U472&lt;&gt;"","ISSN:"&amp;Catalog!U472,"ACC:"&amp;Catalog!B472))</f>
        <v>ACC:</v>
      </c>
      <c r="J499" s="16">
        <f>Catalog!L472</f>
        <v>0</v>
      </c>
      <c r="K499" s="16">
        <f>IF(Catalog!AH472&lt;&gt;"",Catalog!AH472,Catalog!AF472)</f>
        <v>0</v>
      </c>
      <c r="L499" s="16">
        <f>Catalog!AE472</f>
        <v>0</v>
      </c>
      <c r="M499" s="16">
        <f>Catalog!W472</f>
        <v>0</v>
      </c>
      <c r="N499" s="16">
        <f>Catalog!R472</f>
        <v>0</v>
      </c>
      <c r="O499" s="16">
        <f>Catalog!AG472</f>
        <v>0</v>
      </c>
    </row>
    <row r="500" spans="1:15" ht="15.75" x14ac:dyDescent="0.25">
      <c r="A500" s="16">
        <f>Catalog!D473</f>
        <v>0</v>
      </c>
      <c r="B500" s="16">
        <f>Catalog!F473</f>
        <v>0</v>
      </c>
      <c r="C500" s="16" t="str">
        <f>IF(Catalog!I473="","",Catalog!I473)&amp;IF(AND(Catalog!I473&lt;&gt;"",Catalog!J473&lt;&gt;""),"; ","")&amp;IF(Catalog!J473="","",Catalog!J473)</f>
        <v/>
      </c>
      <c r="D500" s="16">
        <f>Catalog!Q473</f>
        <v>0</v>
      </c>
      <c r="E500" s="16">
        <f>Catalog!S473</f>
        <v>0</v>
      </c>
      <c r="F500" s="16">
        <f>Catalog!N473</f>
        <v>0</v>
      </c>
      <c r="G500" s="16" t="str">
        <f>Catalog!K473&amp;" / "&amp;Catalog!M473</f>
        <v xml:space="preserve"> / </v>
      </c>
      <c r="H500" s="16" t="str">
        <f t="shared" si="7"/>
        <v>Print</v>
      </c>
      <c r="I500" s="16" t="str">
        <f>IF(Catalog!T473&lt;&gt;"","ISBN:"&amp;Catalog!T473,IF(Catalog!U473&lt;&gt;"","ISSN:"&amp;Catalog!U473,"ACC:"&amp;Catalog!B473))</f>
        <v>ACC:</v>
      </c>
      <c r="J500" s="16">
        <f>Catalog!L473</f>
        <v>0</v>
      </c>
      <c r="K500" s="16">
        <f>IF(Catalog!AH473&lt;&gt;"",Catalog!AH473,Catalog!AF473)</f>
        <v>0</v>
      </c>
      <c r="L500" s="16">
        <f>Catalog!AE473</f>
        <v>0</v>
      </c>
      <c r="M500" s="16">
        <f>Catalog!W473</f>
        <v>0</v>
      </c>
      <c r="N500" s="16">
        <f>Catalog!R473</f>
        <v>0</v>
      </c>
      <c r="O500" s="16">
        <f>Catalog!AG473</f>
        <v>0</v>
      </c>
    </row>
    <row r="501" spans="1:15" ht="15.75" x14ac:dyDescent="0.25">
      <c r="A501" s="16">
        <f>Catalog!D474</f>
        <v>0</v>
      </c>
      <c r="B501" s="16">
        <f>Catalog!F474</f>
        <v>0</v>
      </c>
      <c r="C501" s="16" t="str">
        <f>IF(Catalog!I474="","",Catalog!I474)&amp;IF(AND(Catalog!I474&lt;&gt;"",Catalog!J474&lt;&gt;""),"; ","")&amp;IF(Catalog!J474="","",Catalog!J474)</f>
        <v/>
      </c>
      <c r="D501" s="16">
        <f>Catalog!Q474</f>
        <v>0</v>
      </c>
      <c r="E501" s="16">
        <f>Catalog!S474</f>
        <v>0</v>
      </c>
      <c r="F501" s="16">
        <f>Catalog!N474</f>
        <v>0</v>
      </c>
      <c r="G501" s="16" t="str">
        <f>Catalog!K474&amp;" / "&amp;Catalog!M474</f>
        <v xml:space="preserve"> / </v>
      </c>
      <c r="H501" s="16" t="str">
        <f t="shared" si="7"/>
        <v>Print</v>
      </c>
      <c r="I501" s="16" t="str">
        <f>IF(Catalog!T474&lt;&gt;"","ISBN:"&amp;Catalog!T474,IF(Catalog!U474&lt;&gt;"","ISSN:"&amp;Catalog!U474,"ACC:"&amp;Catalog!B474))</f>
        <v>ACC:</v>
      </c>
      <c r="J501" s="16">
        <f>Catalog!L474</f>
        <v>0</v>
      </c>
      <c r="K501" s="16">
        <f>IF(Catalog!AH474&lt;&gt;"",Catalog!AH474,Catalog!AF474)</f>
        <v>0</v>
      </c>
      <c r="L501" s="16">
        <f>Catalog!AE474</f>
        <v>0</v>
      </c>
      <c r="M501" s="16">
        <f>Catalog!W474</f>
        <v>0</v>
      </c>
      <c r="N501" s="16">
        <f>Catalog!R474</f>
        <v>0</v>
      </c>
      <c r="O501" s="16">
        <f>Catalog!AG474</f>
        <v>0</v>
      </c>
    </row>
    <row r="502" spans="1:15" ht="15.75" x14ac:dyDescent="0.25">
      <c r="A502" s="16">
        <f>Catalog!D475</f>
        <v>0</v>
      </c>
      <c r="B502" s="16">
        <f>Catalog!F475</f>
        <v>0</v>
      </c>
      <c r="C502" s="16" t="str">
        <f>IF(Catalog!I475="","",Catalog!I475)&amp;IF(AND(Catalog!I475&lt;&gt;"",Catalog!J475&lt;&gt;""),"; ","")&amp;IF(Catalog!J475="","",Catalog!J475)</f>
        <v/>
      </c>
      <c r="D502" s="16">
        <f>Catalog!Q475</f>
        <v>0</v>
      </c>
      <c r="E502" s="16">
        <f>Catalog!S475</f>
        <v>0</v>
      </c>
      <c r="F502" s="16">
        <f>Catalog!N475</f>
        <v>0</v>
      </c>
      <c r="G502" s="16" t="str">
        <f>Catalog!K475&amp;" / "&amp;Catalog!M475</f>
        <v xml:space="preserve"> / </v>
      </c>
      <c r="H502" s="16" t="str">
        <f t="shared" si="7"/>
        <v>Print</v>
      </c>
      <c r="I502" s="16" t="str">
        <f>IF(Catalog!T475&lt;&gt;"","ISBN:"&amp;Catalog!T475,IF(Catalog!U475&lt;&gt;"","ISSN:"&amp;Catalog!U475,"ACC:"&amp;Catalog!B475))</f>
        <v>ACC:</v>
      </c>
      <c r="J502" s="16">
        <f>Catalog!L475</f>
        <v>0</v>
      </c>
      <c r="K502" s="16">
        <f>IF(Catalog!AH475&lt;&gt;"",Catalog!AH475,Catalog!AF475)</f>
        <v>0</v>
      </c>
      <c r="L502" s="16">
        <f>Catalog!AE475</f>
        <v>0</v>
      </c>
      <c r="M502" s="16">
        <f>Catalog!W475</f>
        <v>0</v>
      </c>
      <c r="N502" s="16">
        <f>Catalog!R475</f>
        <v>0</v>
      </c>
      <c r="O502" s="16">
        <f>Catalog!AG475</f>
        <v>0</v>
      </c>
    </row>
    <row r="503" spans="1:15" ht="15.75" x14ac:dyDescent="0.25">
      <c r="A503" s="16">
        <f>Catalog!D476</f>
        <v>0</v>
      </c>
      <c r="B503" s="16">
        <f>Catalog!F476</f>
        <v>0</v>
      </c>
      <c r="C503" s="16" t="str">
        <f>IF(Catalog!I476="","",Catalog!I476)&amp;IF(AND(Catalog!I476&lt;&gt;"",Catalog!J476&lt;&gt;""),"; ","")&amp;IF(Catalog!J476="","",Catalog!J476)</f>
        <v/>
      </c>
      <c r="D503" s="16">
        <f>Catalog!Q476</f>
        <v>0</v>
      </c>
      <c r="E503" s="16">
        <f>Catalog!S476</f>
        <v>0</v>
      </c>
      <c r="F503" s="16">
        <f>Catalog!N476</f>
        <v>0</v>
      </c>
      <c r="G503" s="16" t="str">
        <f>Catalog!K476&amp;" / "&amp;Catalog!M476</f>
        <v xml:space="preserve"> / </v>
      </c>
      <c r="H503" s="16" t="str">
        <f t="shared" si="7"/>
        <v>Print</v>
      </c>
      <c r="I503" s="16" t="str">
        <f>IF(Catalog!T476&lt;&gt;"","ISBN:"&amp;Catalog!T476,IF(Catalog!U476&lt;&gt;"","ISSN:"&amp;Catalog!U476,"ACC:"&amp;Catalog!B476))</f>
        <v>ACC:</v>
      </c>
      <c r="J503" s="16">
        <f>Catalog!L476</f>
        <v>0</v>
      </c>
      <c r="K503" s="16">
        <f>IF(Catalog!AH476&lt;&gt;"",Catalog!AH476,Catalog!AF476)</f>
        <v>0</v>
      </c>
      <c r="L503" s="16">
        <f>Catalog!AE476</f>
        <v>0</v>
      </c>
      <c r="M503" s="16">
        <f>Catalog!W476</f>
        <v>0</v>
      </c>
      <c r="N503" s="16">
        <f>Catalog!R476</f>
        <v>0</v>
      </c>
      <c r="O503" s="16">
        <f>Catalog!AG476</f>
        <v>0</v>
      </c>
    </row>
    <row r="504" spans="1:15" ht="15.75" x14ac:dyDescent="0.25">
      <c r="A504" s="16">
        <f>Catalog!D477</f>
        <v>0</v>
      </c>
      <c r="B504" s="16">
        <f>Catalog!F477</f>
        <v>0</v>
      </c>
      <c r="C504" s="16" t="str">
        <f>IF(Catalog!I477="","",Catalog!I477)&amp;IF(AND(Catalog!I477&lt;&gt;"",Catalog!J477&lt;&gt;""),"; ","")&amp;IF(Catalog!J477="","",Catalog!J477)</f>
        <v/>
      </c>
      <c r="D504" s="16">
        <f>Catalog!Q477</f>
        <v>0</v>
      </c>
      <c r="E504" s="16">
        <f>Catalog!S477</f>
        <v>0</v>
      </c>
      <c r="F504" s="16">
        <f>Catalog!N477</f>
        <v>0</v>
      </c>
      <c r="G504" s="16" t="str">
        <f>Catalog!K477&amp;" / "&amp;Catalog!M477</f>
        <v xml:space="preserve"> / </v>
      </c>
      <c r="H504" s="16" t="str">
        <f t="shared" si="7"/>
        <v>Print</v>
      </c>
      <c r="I504" s="16" t="str">
        <f>IF(Catalog!T477&lt;&gt;"","ISBN:"&amp;Catalog!T477,IF(Catalog!U477&lt;&gt;"","ISSN:"&amp;Catalog!U477,"ACC:"&amp;Catalog!B477))</f>
        <v>ACC:</v>
      </c>
      <c r="J504" s="16">
        <f>Catalog!L477</f>
        <v>0</v>
      </c>
      <c r="K504" s="16">
        <f>IF(Catalog!AH477&lt;&gt;"",Catalog!AH477,Catalog!AF477)</f>
        <v>0</v>
      </c>
      <c r="L504" s="16">
        <f>Catalog!AE477</f>
        <v>0</v>
      </c>
      <c r="M504" s="16">
        <f>Catalog!W477</f>
        <v>0</v>
      </c>
      <c r="N504" s="16">
        <f>Catalog!R477</f>
        <v>0</v>
      </c>
      <c r="O504" s="16">
        <f>Catalog!AG477</f>
        <v>0</v>
      </c>
    </row>
    <row r="505" spans="1:15" ht="15.75" x14ac:dyDescent="0.25">
      <c r="A505" s="16">
        <f>Catalog!D478</f>
        <v>0</v>
      </c>
      <c r="B505" s="16">
        <f>Catalog!F478</f>
        <v>0</v>
      </c>
      <c r="C505" s="16" t="str">
        <f>IF(Catalog!I478="","",Catalog!I478)&amp;IF(AND(Catalog!I478&lt;&gt;"",Catalog!J478&lt;&gt;""),"; ","")&amp;IF(Catalog!J478="","",Catalog!J478)</f>
        <v/>
      </c>
      <c r="D505" s="16">
        <f>Catalog!Q478</f>
        <v>0</v>
      </c>
      <c r="E505" s="16">
        <f>Catalog!S478</f>
        <v>0</v>
      </c>
      <c r="F505" s="16">
        <f>Catalog!N478</f>
        <v>0</v>
      </c>
      <c r="G505" s="16" t="str">
        <f>Catalog!K478&amp;" / "&amp;Catalog!M478</f>
        <v xml:space="preserve"> / </v>
      </c>
      <c r="H505" s="16" t="str">
        <f t="shared" si="7"/>
        <v>Print</v>
      </c>
      <c r="I505" s="16" t="str">
        <f>IF(Catalog!T478&lt;&gt;"","ISBN:"&amp;Catalog!T478,IF(Catalog!U478&lt;&gt;"","ISSN:"&amp;Catalog!U478,"ACC:"&amp;Catalog!B478))</f>
        <v>ACC:</v>
      </c>
      <c r="J505" s="16">
        <f>Catalog!L478</f>
        <v>0</v>
      </c>
      <c r="K505" s="16">
        <f>IF(Catalog!AH478&lt;&gt;"",Catalog!AH478,Catalog!AF478)</f>
        <v>0</v>
      </c>
      <c r="L505" s="16">
        <f>Catalog!AE478</f>
        <v>0</v>
      </c>
      <c r="M505" s="16">
        <f>Catalog!W478</f>
        <v>0</v>
      </c>
      <c r="N505" s="16">
        <f>Catalog!R478</f>
        <v>0</v>
      </c>
      <c r="O505" s="16">
        <f>Catalog!AG478</f>
        <v>0</v>
      </c>
    </row>
    <row r="506" spans="1:15" ht="15.75" x14ac:dyDescent="0.25">
      <c r="A506" s="16">
        <f>Catalog!D479</f>
        <v>0</v>
      </c>
      <c r="B506" s="16">
        <f>Catalog!F479</f>
        <v>0</v>
      </c>
      <c r="C506" s="16" t="str">
        <f>IF(Catalog!I479="","",Catalog!I479)&amp;IF(AND(Catalog!I479&lt;&gt;"",Catalog!J479&lt;&gt;""),"; ","")&amp;IF(Catalog!J479="","",Catalog!J479)</f>
        <v/>
      </c>
      <c r="D506" s="16">
        <f>Catalog!Q479</f>
        <v>0</v>
      </c>
      <c r="E506" s="16">
        <f>Catalog!S479</f>
        <v>0</v>
      </c>
      <c r="F506" s="16">
        <f>Catalog!N479</f>
        <v>0</v>
      </c>
      <c r="G506" s="16" t="str">
        <f>Catalog!K479&amp;" / "&amp;Catalog!M479</f>
        <v xml:space="preserve"> / </v>
      </c>
      <c r="H506" s="16" t="str">
        <f t="shared" si="7"/>
        <v>Print</v>
      </c>
      <c r="I506" s="16" t="str">
        <f>IF(Catalog!T479&lt;&gt;"","ISBN:"&amp;Catalog!T479,IF(Catalog!U479&lt;&gt;"","ISSN:"&amp;Catalog!U479,"ACC:"&amp;Catalog!B479))</f>
        <v>ACC:</v>
      </c>
      <c r="J506" s="16">
        <f>Catalog!L479</f>
        <v>0</v>
      </c>
      <c r="K506" s="16">
        <f>IF(Catalog!AH479&lt;&gt;"",Catalog!AH479,Catalog!AF479)</f>
        <v>0</v>
      </c>
      <c r="L506" s="16">
        <f>Catalog!AE479</f>
        <v>0</v>
      </c>
      <c r="M506" s="16">
        <f>Catalog!W479</f>
        <v>0</v>
      </c>
      <c r="N506" s="16">
        <f>Catalog!R479</f>
        <v>0</v>
      </c>
      <c r="O506" s="16">
        <f>Catalog!AG479</f>
        <v>0</v>
      </c>
    </row>
    <row r="507" spans="1:15" ht="15.75" x14ac:dyDescent="0.25">
      <c r="A507" s="16">
        <f>Catalog!D480</f>
        <v>0</v>
      </c>
      <c r="B507" s="16">
        <f>Catalog!F480</f>
        <v>0</v>
      </c>
      <c r="C507" s="16" t="str">
        <f>IF(Catalog!I480="","",Catalog!I480)&amp;IF(AND(Catalog!I480&lt;&gt;"",Catalog!J480&lt;&gt;""),"; ","")&amp;IF(Catalog!J480="","",Catalog!J480)</f>
        <v/>
      </c>
      <c r="D507" s="16">
        <f>Catalog!Q480</f>
        <v>0</v>
      </c>
      <c r="E507" s="16">
        <f>Catalog!S480</f>
        <v>0</v>
      </c>
      <c r="F507" s="16">
        <f>Catalog!N480</f>
        <v>0</v>
      </c>
      <c r="G507" s="16" t="str">
        <f>Catalog!K480&amp;" / "&amp;Catalog!M480</f>
        <v xml:space="preserve"> / </v>
      </c>
      <c r="H507" s="16" t="str">
        <f t="shared" si="7"/>
        <v>Print</v>
      </c>
      <c r="I507" s="16" t="str">
        <f>IF(Catalog!T480&lt;&gt;"","ISBN:"&amp;Catalog!T480,IF(Catalog!U480&lt;&gt;"","ISSN:"&amp;Catalog!U480,"ACC:"&amp;Catalog!B480))</f>
        <v>ACC:</v>
      </c>
      <c r="J507" s="16">
        <f>Catalog!L480</f>
        <v>0</v>
      </c>
      <c r="K507" s="16">
        <f>IF(Catalog!AH480&lt;&gt;"",Catalog!AH480,Catalog!AF480)</f>
        <v>0</v>
      </c>
      <c r="L507" s="16">
        <f>Catalog!AE480</f>
        <v>0</v>
      </c>
      <c r="M507" s="16">
        <f>Catalog!W480</f>
        <v>0</v>
      </c>
      <c r="N507" s="16">
        <f>Catalog!R480</f>
        <v>0</v>
      </c>
      <c r="O507" s="16">
        <f>Catalog!AG480</f>
        <v>0</v>
      </c>
    </row>
    <row r="508" spans="1:15" ht="15.75" x14ac:dyDescent="0.25">
      <c r="A508" s="16">
        <f>Catalog!D481</f>
        <v>0</v>
      </c>
      <c r="B508" s="16">
        <f>Catalog!F481</f>
        <v>0</v>
      </c>
      <c r="C508" s="16" t="str">
        <f>IF(Catalog!I481="","",Catalog!I481)&amp;IF(AND(Catalog!I481&lt;&gt;"",Catalog!J481&lt;&gt;""),"; ","")&amp;IF(Catalog!J481="","",Catalog!J481)</f>
        <v/>
      </c>
      <c r="D508" s="16">
        <f>Catalog!Q481</f>
        <v>0</v>
      </c>
      <c r="E508" s="16">
        <f>Catalog!S481</f>
        <v>0</v>
      </c>
      <c r="F508" s="16">
        <f>Catalog!N481</f>
        <v>0</v>
      </c>
      <c r="G508" s="16" t="str">
        <f>Catalog!K481&amp;" / "&amp;Catalog!M481</f>
        <v xml:space="preserve"> / </v>
      </c>
      <c r="H508" s="16" t="str">
        <f t="shared" si="7"/>
        <v>Print</v>
      </c>
      <c r="I508" s="16" t="str">
        <f>IF(Catalog!T481&lt;&gt;"","ISBN:"&amp;Catalog!T481,IF(Catalog!U481&lt;&gt;"","ISSN:"&amp;Catalog!U481,"ACC:"&amp;Catalog!B481))</f>
        <v>ACC:</v>
      </c>
      <c r="J508" s="16">
        <f>Catalog!L481</f>
        <v>0</v>
      </c>
      <c r="K508" s="16">
        <f>IF(Catalog!AH481&lt;&gt;"",Catalog!AH481,Catalog!AF481)</f>
        <v>0</v>
      </c>
      <c r="L508" s="16">
        <f>Catalog!AE481</f>
        <v>0</v>
      </c>
      <c r="M508" s="16">
        <f>Catalog!W481</f>
        <v>0</v>
      </c>
      <c r="N508" s="16">
        <f>Catalog!R481</f>
        <v>0</v>
      </c>
      <c r="O508" s="16">
        <f>Catalog!AG481</f>
        <v>0</v>
      </c>
    </row>
    <row r="509" spans="1:15" ht="15.75" x14ac:dyDescent="0.25">
      <c r="A509" s="16">
        <f>Catalog!D482</f>
        <v>0</v>
      </c>
      <c r="B509" s="16">
        <f>Catalog!F482</f>
        <v>0</v>
      </c>
      <c r="C509" s="16" t="str">
        <f>IF(Catalog!I482="","",Catalog!I482)&amp;IF(AND(Catalog!I482&lt;&gt;"",Catalog!J482&lt;&gt;""),"; ","")&amp;IF(Catalog!J482="","",Catalog!J482)</f>
        <v/>
      </c>
      <c r="D509" s="16">
        <f>Catalog!Q482</f>
        <v>0</v>
      </c>
      <c r="E509" s="16">
        <f>Catalog!S482</f>
        <v>0</v>
      </c>
      <c r="F509" s="16">
        <f>Catalog!N482</f>
        <v>0</v>
      </c>
      <c r="G509" s="16" t="str">
        <f>Catalog!K482&amp;" / "&amp;Catalog!M482</f>
        <v xml:space="preserve"> / </v>
      </c>
      <c r="H509" s="16" t="str">
        <f t="shared" si="7"/>
        <v>Print</v>
      </c>
      <c r="I509" s="16" t="str">
        <f>IF(Catalog!T482&lt;&gt;"","ISBN:"&amp;Catalog!T482,IF(Catalog!U482&lt;&gt;"","ISSN:"&amp;Catalog!U482,"ACC:"&amp;Catalog!B482))</f>
        <v>ACC:</v>
      </c>
      <c r="J509" s="16">
        <f>Catalog!L482</f>
        <v>0</v>
      </c>
      <c r="K509" s="16">
        <f>IF(Catalog!AH482&lt;&gt;"",Catalog!AH482,Catalog!AF482)</f>
        <v>0</v>
      </c>
      <c r="L509" s="16">
        <f>Catalog!AE482</f>
        <v>0</v>
      </c>
      <c r="M509" s="16">
        <f>Catalog!W482</f>
        <v>0</v>
      </c>
      <c r="N509" s="16">
        <f>Catalog!R482</f>
        <v>0</v>
      </c>
      <c r="O509" s="16">
        <f>Catalog!AG482</f>
        <v>0</v>
      </c>
    </row>
    <row r="510" spans="1:15" ht="15.75" x14ac:dyDescent="0.25">
      <c r="A510" s="16">
        <f>Catalog!D483</f>
        <v>0</v>
      </c>
      <c r="B510" s="16">
        <f>Catalog!F483</f>
        <v>0</v>
      </c>
      <c r="C510" s="16" t="str">
        <f>IF(Catalog!I483="","",Catalog!I483)&amp;IF(AND(Catalog!I483&lt;&gt;"",Catalog!J483&lt;&gt;""),"; ","")&amp;IF(Catalog!J483="","",Catalog!J483)</f>
        <v/>
      </c>
      <c r="D510" s="16">
        <f>Catalog!Q483</f>
        <v>0</v>
      </c>
      <c r="E510" s="16">
        <f>Catalog!S483</f>
        <v>0</v>
      </c>
      <c r="F510" s="16">
        <f>Catalog!N483</f>
        <v>0</v>
      </c>
      <c r="G510" s="16" t="str">
        <f>Catalog!K483&amp;" / "&amp;Catalog!M483</f>
        <v xml:space="preserve"> / </v>
      </c>
      <c r="H510" s="16" t="str">
        <f t="shared" si="7"/>
        <v>Print</v>
      </c>
      <c r="I510" s="16" t="str">
        <f>IF(Catalog!T483&lt;&gt;"","ISBN:"&amp;Catalog!T483,IF(Catalog!U483&lt;&gt;"","ISSN:"&amp;Catalog!U483,"ACC:"&amp;Catalog!B483))</f>
        <v>ACC:</v>
      </c>
      <c r="J510" s="16">
        <f>Catalog!L483</f>
        <v>0</v>
      </c>
      <c r="K510" s="16">
        <f>IF(Catalog!AH483&lt;&gt;"",Catalog!AH483,Catalog!AF483)</f>
        <v>0</v>
      </c>
      <c r="L510" s="16">
        <f>Catalog!AE483</f>
        <v>0</v>
      </c>
      <c r="M510" s="16">
        <f>Catalog!W483</f>
        <v>0</v>
      </c>
      <c r="N510" s="16">
        <f>Catalog!R483</f>
        <v>0</v>
      </c>
      <c r="O510" s="16">
        <f>Catalog!AG483</f>
        <v>0</v>
      </c>
    </row>
    <row r="511" spans="1:15" ht="15.75" x14ac:dyDescent="0.25">
      <c r="A511" s="16">
        <f>Catalog!D484</f>
        <v>0</v>
      </c>
      <c r="B511" s="16">
        <f>Catalog!F484</f>
        <v>0</v>
      </c>
      <c r="C511" s="16" t="str">
        <f>IF(Catalog!I484="","",Catalog!I484)&amp;IF(AND(Catalog!I484&lt;&gt;"",Catalog!J484&lt;&gt;""),"; ","")&amp;IF(Catalog!J484="","",Catalog!J484)</f>
        <v/>
      </c>
      <c r="D511" s="16">
        <f>Catalog!Q484</f>
        <v>0</v>
      </c>
      <c r="E511" s="16">
        <f>Catalog!S484</f>
        <v>0</v>
      </c>
      <c r="F511" s="16">
        <f>Catalog!N484</f>
        <v>0</v>
      </c>
      <c r="G511" s="16" t="str">
        <f>Catalog!K484&amp;" / "&amp;Catalog!M484</f>
        <v xml:space="preserve"> / </v>
      </c>
      <c r="H511" s="16" t="str">
        <f t="shared" si="7"/>
        <v>Print</v>
      </c>
      <c r="I511" s="16" t="str">
        <f>IF(Catalog!T484&lt;&gt;"","ISBN:"&amp;Catalog!T484,IF(Catalog!U484&lt;&gt;"","ISSN:"&amp;Catalog!U484,"ACC:"&amp;Catalog!B484))</f>
        <v>ACC:</v>
      </c>
      <c r="J511" s="16">
        <f>Catalog!L484</f>
        <v>0</v>
      </c>
      <c r="K511" s="16">
        <f>IF(Catalog!AH484&lt;&gt;"",Catalog!AH484,Catalog!AF484)</f>
        <v>0</v>
      </c>
      <c r="L511" s="16">
        <f>Catalog!AE484</f>
        <v>0</v>
      </c>
      <c r="M511" s="16">
        <f>Catalog!W484</f>
        <v>0</v>
      </c>
      <c r="N511" s="16">
        <f>Catalog!R484</f>
        <v>0</v>
      </c>
      <c r="O511" s="16">
        <f>Catalog!AG484</f>
        <v>0</v>
      </c>
    </row>
    <row r="512" spans="1:15" ht="15.75" x14ac:dyDescent="0.25">
      <c r="A512" s="16">
        <f>Catalog!D485</f>
        <v>0</v>
      </c>
      <c r="B512" s="16">
        <f>Catalog!F485</f>
        <v>0</v>
      </c>
      <c r="C512" s="16" t="str">
        <f>IF(Catalog!I485="","",Catalog!I485)&amp;IF(AND(Catalog!I485&lt;&gt;"",Catalog!J485&lt;&gt;""),"; ","")&amp;IF(Catalog!J485="","",Catalog!J485)</f>
        <v/>
      </c>
      <c r="D512" s="16">
        <f>Catalog!Q485</f>
        <v>0</v>
      </c>
      <c r="E512" s="16">
        <f>Catalog!S485</f>
        <v>0</v>
      </c>
      <c r="F512" s="16">
        <f>Catalog!N485</f>
        <v>0</v>
      </c>
      <c r="G512" s="16" t="str">
        <f>Catalog!K485&amp;" / "&amp;Catalog!M485</f>
        <v xml:space="preserve"> / </v>
      </c>
      <c r="H512" s="16" t="str">
        <f t="shared" si="7"/>
        <v>Print</v>
      </c>
      <c r="I512" s="16" t="str">
        <f>IF(Catalog!T485&lt;&gt;"","ISBN:"&amp;Catalog!T485,IF(Catalog!U485&lt;&gt;"","ISSN:"&amp;Catalog!U485,"ACC:"&amp;Catalog!B485))</f>
        <v>ACC:</v>
      </c>
      <c r="J512" s="16">
        <f>Catalog!L485</f>
        <v>0</v>
      </c>
      <c r="K512" s="16">
        <f>IF(Catalog!AH485&lt;&gt;"",Catalog!AH485,Catalog!AF485)</f>
        <v>0</v>
      </c>
      <c r="L512" s="16">
        <f>Catalog!AE485</f>
        <v>0</v>
      </c>
      <c r="M512" s="16">
        <f>Catalog!W485</f>
        <v>0</v>
      </c>
      <c r="N512" s="16">
        <f>Catalog!R485</f>
        <v>0</v>
      </c>
      <c r="O512" s="16">
        <f>Catalog!AG485</f>
        <v>0</v>
      </c>
    </row>
    <row r="513" spans="1:15" ht="15.75" x14ac:dyDescent="0.25">
      <c r="A513" s="16">
        <f>Catalog!D486</f>
        <v>0</v>
      </c>
      <c r="B513" s="16">
        <f>Catalog!F486</f>
        <v>0</v>
      </c>
      <c r="C513" s="16" t="str">
        <f>IF(Catalog!I486="","",Catalog!I486)&amp;IF(AND(Catalog!I486&lt;&gt;"",Catalog!J486&lt;&gt;""),"; ","")&amp;IF(Catalog!J486="","",Catalog!J486)</f>
        <v/>
      </c>
      <c r="D513" s="16">
        <f>Catalog!Q486</f>
        <v>0</v>
      </c>
      <c r="E513" s="16">
        <f>Catalog!S486</f>
        <v>0</v>
      </c>
      <c r="F513" s="16">
        <f>Catalog!N486</f>
        <v>0</v>
      </c>
      <c r="G513" s="16" t="str">
        <f>Catalog!K486&amp;" / "&amp;Catalog!M486</f>
        <v xml:space="preserve"> / </v>
      </c>
      <c r="H513" s="16" t="str">
        <f t="shared" si="7"/>
        <v>Print</v>
      </c>
      <c r="I513" s="16" t="str">
        <f>IF(Catalog!T486&lt;&gt;"","ISBN:"&amp;Catalog!T486,IF(Catalog!U486&lt;&gt;"","ISSN:"&amp;Catalog!U486,"ACC:"&amp;Catalog!B486))</f>
        <v>ACC:</v>
      </c>
      <c r="J513" s="16">
        <f>Catalog!L486</f>
        <v>0</v>
      </c>
      <c r="K513" s="16">
        <f>IF(Catalog!AH486&lt;&gt;"",Catalog!AH486,Catalog!AF486)</f>
        <v>0</v>
      </c>
      <c r="L513" s="16">
        <f>Catalog!AE486</f>
        <v>0</v>
      </c>
      <c r="M513" s="16">
        <f>Catalog!W486</f>
        <v>0</v>
      </c>
      <c r="N513" s="16">
        <f>Catalog!R486</f>
        <v>0</v>
      </c>
      <c r="O513" s="16">
        <f>Catalog!AG486</f>
        <v>0</v>
      </c>
    </row>
    <row r="514" spans="1:15" ht="15.75" x14ac:dyDescent="0.25">
      <c r="A514" s="16">
        <f>Catalog!D487</f>
        <v>0</v>
      </c>
      <c r="B514" s="16">
        <f>Catalog!F487</f>
        <v>0</v>
      </c>
      <c r="C514" s="16" t="str">
        <f>IF(Catalog!I487="","",Catalog!I487)&amp;IF(AND(Catalog!I487&lt;&gt;"",Catalog!J487&lt;&gt;""),"; ","")&amp;IF(Catalog!J487="","",Catalog!J487)</f>
        <v/>
      </c>
      <c r="D514" s="16">
        <f>Catalog!Q487</f>
        <v>0</v>
      </c>
      <c r="E514" s="16">
        <f>Catalog!S487</f>
        <v>0</v>
      </c>
      <c r="F514" s="16">
        <f>Catalog!N487</f>
        <v>0</v>
      </c>
      <c r="G514" s="16" t="str">
        <f>Catalog!K487&amp;" / "&amp;Catalog!M487</f>
        <v xml:space="preserve"> / </v>
      </c>
      <c r="H514" s="16" t="str">
        <f t="shared" si="7"/>
        <v>Print</v>
      </c>
      <c r="I514" s="16" t="str">
        <f>IF(Catalog!T487&lt;&gt;"","ISBN:"&amp;Catalog!T487,IF(Catalog!U487&lt;&gt;"","ISSN:"&amp;Catalog!U487,"ACC:"&amp;Catalog!B487))</f>
        <v>ACC:</v>
      </c>
      <c r="J514" s="16">
        <f>Catalog!L487</f>
        <v>0</v>
      </c>
      <c r="K514" s="16">
        <f>IF(Catalog!AH487&lt;&gt;"",Catalog!AH487,Catalog!AF487)</f>
        <v>0</v>
      </c>
      <c r="L514" s="16">
        <f>Catalog!AE487</f>
        <v>0</v>
      </c>
      <c r="M514" s="16">
        <f>Catalog!W487</f>
        <v>0</v>
      </c>
      <c r="N514" s="16">
        <f>Catalog!R487</f>
        <v>0</v>
      </c>
      <c r="O514" s="16">
        <f>Catalog!AG487</f>
        <v>0</v>
      </c>
    </row>
    <row r="515" spans="1:15" ht="15.75" x14ac:dyDescent="0.25">
      <c r="A515" s="16">
        <f>Catalog!D488</f>
        <v>0</v>
      </c>
      <c r="B515" s="16">
        <f>Catalog!F488</f>
        <v>0</v>
      </c>
      <c r="C515" s="16" t="str">
        <f>IF(Catalog!I488="","",Catalog!I488)&amp;IF(AND(Catalog!I488&lt;&gt;"",Catalog!J488&lt;&gt;""),"; ","")&amp;IF(Catalog!J488="","",Catalog!J488)</f>
        <v/>
      </c>
      <c r="D515" s="16">
        <f>Catalog!Q488</f>
        <v>0</v>
      </c>
      <c r="E515" s="16">
        <f>Catalog!S488</f>
        <v>0</v>
      </c>
      <c r="F515" s="16">
        <f>Catalog!N488</f>
        <v>0</v>
      </c>
      <c r="G515" s="16" t="str">
        <f>Catalog!K488&amp;" / "&amp;Catalog!M488</f>
        <v xml:space="preserve"> / </v>
      </c>
      <c r="H515" s="16" t="str">
        <f t="shared" si="7"/>
        <v>Print</v>
      </c>
      <c r="I515" s="16" t="str">
        <f>IF(Catalog!T488&lt;&gt;"","ISBN:"&amp;Catalog!T488,IF(Catalog!U488&lt;&gt;"","ISSN:"&amp;Catalog!U488,"ACC:"&amp;Catalog!B488))</f>
        <v>ACC:</v>
      </c>
      <c r="J515" s="16">
        <f>Catalog!L488</f>
        <v>0</v>
      </c>
      <c r="K515" s="16">
        <f>IF(Catalog!AH488&lt;&gt;"",Catalog!AH488,Catalog!AF488)</f>
        <v>0</v>
      </c>
      <c r="L515" s="16">
        <f>Catalog!AE488</f>
        <v>0</v>
      </c>
      <c r="M515" s="16">
        <f>Catalog!W488</f>
        <v>0</v>
      </c>
      <c r="N515" s="16">
        <f>Catalog!R488</f>
        <v>0</v>
      </c>
      <c r="O515" s="16">
        <f>Catalog!AG488</f>
        <v>0</v>
      </c>
    </row>
    <row r="516" spans="1:15" ht="15.75" x14ac:dyDescent="0.25">
      <c r="A516" s="16">
        <f>Catalog!D489</f>
        <v>0</v>
      </c>
      <c r="B516" s="16">
        <f>Catalog!F489</f>
        <v>0</v>
      </c>
      <c r="C516" s="16" t="str">
        <f>IF(Catalog!I489="","",Catalog!I489)&amp;IF(AND(Catalog!I489&lt;&gt;"",Catalog!J489&lt;&gt;""),"; ","")&amp;IF(Catalog!J489="","",Catalog!J489)</f>
        <v/>
      </c>
      <c r="D516" s="16">
        <f>Catalog!Q489</f>
        <v>0</v>
      </c>
      <c r="E516" s="16">
        <f>Catalog!S489</f>
        <v>0</v>
      </c>
      <c r="F516" s="16">
        <f>Catalog!N489</f>
        <v>0</v>
      </c>
      <c r="G516" s="16" t="str">
        <f>Catalog!K489&amp;" / "&amp;Catalog!M489</f>
        <v xml:space="preserve"> / </v>
      </c>
      <c r="H516" s="16" t="str">
        <f t="shared" si="7"/>
        <v>Print</v>
      </c>
      <c r="I516" s="16" t="str">
        <f>IF(Catalog!T489&lt;&gt;"","ISBN:"&amp;Catalog!T489,IF(Catalog!U489&lt;&gt;"","ISSN:"&amp;Catalog!U489,"ACC:"&amp;Catalog!B489))</f>
        <v>ACC:</v>
      </c>
      <c r="J516" s="16">
        <f>Catalog!L489</f>
        <v>0</v>
      </c>
      <c r="K516" s="16">
        <f>IF(Catalog!AH489&lt;&gt;"",Catalog!AH489,Catalog!AF489)</f>
        <v>0</v>
      </c>
      <c r="L516" s="16">
        <f>Catalog!AE489</f>
        <v>0</v>
      </c>
      <c r="M516" s="16">
        <f>Catalog!W489</f>
        <v>0</v>
      </c>
      <c r="N516" s="16">
        <f>Catalog!R489</f>
        <v>0</v>
      </c>
      <c r="O516" s="16">
        <f>Catalog!AG489</f>
        <v>0</v>
      </c>
    </row>
    <row r="517" spans="1:15" ht="15.75" x14ac:dyDescent="0.25">
      <c r="A517" s="16">
        <f>Catalog!D490</f>
        <v>0</v>
      </c>
      <c r="B517" s="16">
        <f>Catalog!F490</f>
        <v>0</v>
      </c>
      <c r="C517" s="16" t="str">
        <f>IF(Catalog!I490="","",Catalog!I490)&amp;IF(AND(Catalog!I490&lt;&gt;"",Catalog!J490&lt;&gt;""),"; ","")&amp;IF(Catalog!J490="","",Catalog!J490)</f>
        <v/>
      </c>
      <c r="D517" s="16">
        <f>Catalog!Q490</f>
        <v>0</v>
      </c>
      <c r="E517" s="16">
        <f>Catalog!S490</f>
        <v>0</v>
      </c>
      <c r="F517" s="16">
        <f>Catalog!N490</f>
        <v>0</v>
      </c>
      <c r="G517" s="16" t="str">
        <f>Catalog!K490&amp;" / "&amp;Catalog!M490</f>
        <v xml:space="preserve"> / </v>
      </c>
      <c r="H517" s="16" t="str">
        <f t="shared" si="7"/>
        <v>Print</v>
      </c>
      <c r="I517" s="16" t="str">
        <f>IF(Catalog!T490&lt;&gt;"","ISBN:"&amp;Catalog!T490,IF(Catalog!U490&lt;&gt;"","ISSN:"&amp;Catalog!U490,"ACC:"&amp;Catalog!B490))</f>
        <v>ACC:</v>
      </c>
      <c r="J517" s="16">
        <f>Catalog!L490</f>
        <v>0</v>
      </c>
      <c r="K517" s="16">
        <f>IF(Catalog!AH490&lt;&gt;"",Catalog!AH490,Catalog!AF490)</f>
        <v>0</v>
      </c>
      <c r="L517" s="16">
        <f>Catalog!AE490</f>
        <v>0</v>
      </c>
      <c r="M517" s="16">
        <f>Catalog!W490</f>
        <v>0</v>
      </c>
      <c r="N517" s="16">
        <f>Catalog!R490</f>
        <v>0</v>
      </c>
      <c r="O517" s="16">
        <f>Catalog!AG490</f>
        <v>0</v>
      </c>
    </row>
    <row r="518" spans="1:15" ht="15.75" x14ac:dyDescent="0.25">
      <c r="A518" s="16">
        <f>Catalog!D491</f>
        <v>0</v>
      </c>
      <c r="B518" s="16">
        <f>Catalog!F491</f>
        <v>0</v>
      </c>
      <c r="C518" s="16" t="str">
        <f>IF(Catalog!I491="","",Catalog!I491)&amp;IF(AND(Catalog!I491&lt;&gt;"",Catalog!J491&lt;&gt;""),"; ","")&amp;IF(Catalog!J491="","",Catalog!J491)</f>
        <v/>
      </c>
      <c r="D518" s="16">
        <f>Catalog!Q491</f>
        <v>0</v>
      </c>
      <c r="E518" s="16">
        <f>Catalog!S491</f>
        <v>0</v>
      </c>
      <c r="F518" s="16">
        <f>Catalog!N491</f>
        <v>0</v>
      </c>
      <c r="G518" s="16" t="str">
        <f>Catalog!K491&amp;" / "&amp;Catalog!M491</f>
        <v xml:space="preserve"> / </v>
      </c>
      <c r="H518" s="16" t="str">
        <f t="shared" si="7"/>
        <v>Print</v>
      </c>
      <c r="I518" s="16" t="str">
        <f>IF(Catalog!T491&lt;&gt;"","ISBN:"&amp;Catalog!T491,IF(Catalog!U491&lt;&gt;"","ISSN:"&amp;Catalog!U491,"ACC:"&amp;Catalog!B491))</f>
        <v>ACC:</v>
      </c>
      <c r="J518" s="16">
        <f>Catalog!L491</f>
        <v>0</v>
      </c>
      <c r="K518" s="16">
        <f>IF(Catalog!AH491&lt;&gt;"",Catalog!AH491,Catalog!AF491)</f>
        <v>0</v>
      </c>
      <c r="L518" s="16">
        <f>Catalog!AE491</f>
        <v>0</v>
      </c>
      <c r="M518" s="16">
        <f>Catalog!W491</f>
        <v>0</v>
      </c>
      <c r="N518" s="16">
        <f>Catalog!R491</f>
        <v>0</v>
      </c>
      <c r="O518" s="16">
        <f>Catalog!AG491</f>
        <v>0</v>
      </c>
    </row>
    <row r="519" spans="1:15" ht="15.75" x14ac:dyDescent="0.25">
      <c r="A519" s="16">
        <f>Catalog!D492</f>
        <v>0</v>
      </c>
      <c r="B519" s="16">
        <f>Catalog!F492</f>
        <v>0</v>
      </c>
      <c r="C519" s="16" t="str">
        <f>IF(Catalog!I492="","",Catalog!I492)&amp;IF(AND(Catalog!I492&lt;&gt;"",Catalog!J492&lt;&gt;""),"; ","")&amp;IF(Catalog!J492="","",Catalog!J492)</f>
        <v/>
      </c>
      <c r="D519" s="16">
        <f>Catalog!Q492</f>
        <v>0</v>
      </c>
      <c r="E519" s="16">
        <f>Catalog!S492</f>
        <v>0</v>
      </c>
      <c r="F519" s="16">
        <f>Catalog!N492</f>
        <v>0</v>
      </c>
      <c r="G519" s="16" t="str">
        <f>Catalog!K492&amp;" / "&amp;Catalog!M492</f>
        <v xml:space="preserve"> / </v>
      </c>
      <c r="H519" s="16" t="str">
        <f t="shared" si="7"/>
        <v>Print</v>
      </c>
      <c r="I519" s="16" t="str">
        <f>IF(Catalog!T492&lt;&gt;"","ISBN:"&amp;Catalog!T492,IF(Catalog!U492&lt;&gt;"","ISSN:"&amp;Catalog!U492,"ACC:"&amp;Catalog!B492))</f>
        <v>ACC:</v>
      </c>
      <c r="J519" s="16">
        <f>Catalog!L492</f>
        <v>0</v>
      </c>
      <c r="K519" s="16">
        <f>IF(Catalog!AH492&lt;&gt;"",Catalog!AH492,Catalog!AF492)</f>
        <v>0</v>
      </c>
      <c r="L519" s="16">
        <f>Catalog!AE492</f>
        <v>0</v>
      </c>
      <c r="M519" s="16">
        <f>Catalog!W492</f>
        <v>0</v>
      </c>
      <c r="N519" s="16">
        <f>Catalog!R492</f>
        <v>0</v>
      </c>
      <c r="O519" s="16">
        <f>Catalog!AG492</f>
        <v>0</v>
      </c>
    </row>
    <row r="520" spans="1:15" ht="15.75" x14ac:dyDescent="0.25">
      <c r="A520" s="16">
        <f>Catalog!D493</f>
        <v>0</v>
      </c>
      <c r="B520" s="16">
        <f>Catalog!F493</f>
        <v>0</v>
      </c>
      <c r="C520" s="16" t="str">
        <f>IF(Catalog!I493="","",Catalog!I493)&amp;IF(AND(Catalog!I493&lt;&gt;"",Catalog!J493&lt;&gt;""),"; ","")&amp;IF(Catalog!J493="","",Catalog!J493)</f>
        <v/>
      </c>
      <c r="D520" s="16">
        <f>Catalog!Q493</f>
        <v>0</v>
      </c>
      <c r="E520" s="16">
        <f>Catalog!S493</f>
        <v>0</v>
      </c>
      <c r="F520" s="16">
        <f>Catalog!N493</f>
        <v>0</v>
      </c>
      <c r="G520" s="16" t="str">
        <f>Catalog!K493&amp;" / "&amp;Catalog!M493</f>
        <v xml:space="preserve"> / </v>
      </c>
      <c r="H520" s="16" t="str">
        <f t="shared" si="7"/>
        <v>Print</v>
      </c>
      <c r="I520" s="16" t="str">
        <f>IF(Catalog!T493&lt;&gt;"","ISBN:"&amp;Catalog!T493,IF(Catalog!U493&lt;&gt;"","ISSN:"&amp;Catalog!U493,"ACC:"&amp;Catalog!B493))</f>
        <v>ACC:</v>
      </c>
      <c r="J520" s="16">
        <f>Catalog!L493</f>
        <v>0</v>
      </c>
      <c r="K520" s="16">
        <f>IF(Catalog!AH493&lt;&gt;"",Catalog!AH493,Catalog!AF493)</f>
        <v>0</v>
      </c>
      <c r="L520" s="16">
        <f>Catalog!AE493</f>
        <v>0</v>
      </c>
      <c r="M520" s="16">
        <f>Catalog!W493</f>
        <v>0</v>
      </c>
      <c r="N520" s="16">
        <f>Catalog!R493</f>
        <v>0</v>
      </c>
      <c r="O520" s="16">
        <f>Catalog!AG493</f>
        <v>0</v>
      </c>
    </row>
    <row r="521" spans="1:15" ht="15.75" x14ac:dyDescent="0.25">
      <c r="A521" s="16">
        <f>Catalog!D494</f>
        <v>0</v>
      </c>
      <c r="B521" s="16">
        <f>Catalog!F494</f>
        <v>0</v>
      </c>
      <c r="C521" s="16" t="str">
        <f>IF(Catalog!I494="","",Catalog!I494)&amp;IF(AND(Catalog!I494&lt;&gt;"",Catalog!J494&lt;&gt;""),"; ","")&amp;IF(Catalog!J494="","",Catalog!J494)</f>
        <v/>
      </c>
      <c r="D521" s="16">
        <f>Catalog!Q494</f>
        <v>0</v>
      </c>
      <c r="E521" s="16">
        <f>Catalog!S494</f>
        <v>0</v>
      </c>
      <c r="F521" s="16">
        <f>Catalog!N494</f>
        <v>0</v>
      </c>
      <c r="G521" s="16" t="str">
        <f>Catalog!K494&amp;" / "&amp;Catalog!M494</f>
        <v xml:space="preserve"> / </v>
      </c>
      <c r="H521" s="16" t="str">
        <f t="shared" si="7"/>
        <v>Print</v>
      </c>
      <c r="I521" s="16" t="str">
        <f>IF(Catalog!T494&lt;&gt;"","ISBN:"&amp;Catalog!T494,IF(Catalog!U494&lt;&gt;"","ISSN:"&amp;Catalog!U494,"ACC:"&amp;Catalog!B494))</f>
        <v>ACC:</v>
      </c>
      <c r="J521" s="16">
        <f>Catalog!L494</f>
        <v>0</v>
      </c>
      <c r="K521" s="16">
        <f>IF(Catalog!AH494&lt;&gt;"",Catalog!AH494,Catalog!AF494)</f>
        <v>0</v>
      </c>
      <c r="L521" s="16">
        <f>Catalog!AE494</f>
        <v>0</v>
      </c>
      <c r="M521" s="16">
        <f>Catalog!W494</f>
        <v>0</v>
      </c>
      <c r="N521" s="16">
        <f>Catalog!R494</f>
        <v>0</v>
      </c>
      <c r="O521" s="16">
        <f>Catalog!AG494</f>
        <v>0</v>
      </c>
    </row>
    <row r="522" spans="1:15" ht="15.75" x14ac:dyDescent="0.25">
      <c r="A522" s="16">
        <f>Catalog!D495</f>
        <v>0</v>
      </c>
      <c r="B522" s="16">
        <f>Catalog!F495</f>
        <v>0</v>
      </c>
      <c r="C522" s="16" t="str">
        <f>IF(Catalog!I495="","",Catalog!I495)&amp;IF(AND(Catalog!I495&lt;&gt;"",Catalog!J495&lt;&gt;""),"; ","")&amp;IF(Catalog!J495="","",Catalog!J495)</f>
        <v/>
      </c>
      <c r="D522" s="16">
        <f>Catalog!Q495</f>
        <v>0</v>
      </c>
      <c r="E522" s="16">
        <f>Catalog!S495</f>
        <v>0</v>
      </c>
      <c r="F522" s="16">
        <f>Catalog!N495</f>
        <v>0</v>
      </c>
      <c r="G522" s="16" t="str">
        <f>Catalog!K495&amp;" / "&amp;Catalog!M495</f>
        <v xml:space="preserve"> / </v>
      </c>
      <c r="H522" s="16" t="str">
        <f t="shared" si="7"/>
        <v>Print</v>
      </c>
      <c r="I522" s="16" t="str">
        <f>IF(Catalog!T495&lt;&gt;"","ISBN:"&amp;Catalog!T495,IF(Catalog!U495&lt;&gt;"","ISSN:"&amp;Catalog!U495,"ACC:"&amp;Catalog!B495))</f>
        <v>ACC:</v>
      </c>
      <c r="J522" s="16">
        <f>Catalog!L495</f>
        <v>0</v>
      </c>
      <c r="K522" s="16">
        <f>IF(Catalog!AH495&lt;&gt;"",Catalog!AH495,Catalog!AF495)</f>
        <v>0</v>
      </c>
      <c r="L522" s="16">
        <f>Catalog!AE495</f>
        <v>0</v>
      </c>
      <c r="M522" s="16">
        <f>Catalog!W495</f>
        <v>0</v>
      </c>
      <c r="N522" s="16">
        <f>Catalog!R495</f>
        <v>0</v>
      </c>
      <c r="O522" s="16">
        <f>Catalog!AG495</f>
        <v>0</v>
      </c>
    </row>
    <row r="523" spans="1:15" ht="15.75" x14ac:dyDescent="0.25">
      <c r="A523" s="16">
        <f>Catalog!D496</f>
        <v>0</v>
      </c>
      <c r="B523" s="16">
        <f>Catalog!F496</f>
        <v>0</v>
      </c>
      <c r="C523" s="16" t="str">
        <f>IF(Catalog!I496="","",Catalog!I496)&amp;IF(AND(Catalog!I496&lt;&gt;"",Catalog!J496&lt;&gt;""),"; ","")&amp;IF(Catalog!J496="","",Catalog!J496)</f>
        <v/>
      </c>
      <c r="D523" s="16">
        <f>Catalog!Q496</f>
        <v>0</v>
      </c>
      <c r="E523" s="16">
        <f>Catalog!S496</f>
        <v>0</v>
      </c>
      <c r="F523" s="16">
        <f>Catalog!N496</f>
        <v>0</v>
      </c>
      <c r="G523" s="16" t="str">
        <f>Catalog!K496&amp;" / "&amp;Catalog!M496</f>
        <v xml:space="preserve"> / </v>
      </c>
      <c r="H523" s="16" t="str">
        <f t="shared" si="7"/>
        <v>Print</v>
      </c>
      <c r="I523" s="16" t="str">
        <f>IF(Catalog!T496&lt;&gt;"","ISBN:"&amp;Catalog!T496,IF(Catalog!U496&lt;&gt;"","ISSN:"&amp;Catalog!U496,"ACC:"&amp;Catalog!B496))</f>
        <v>ACC:</v>
      </c>
      <c r="J523" s="16">
        <f>Catalog!L496</f>
        <v>0</v>
      </c>
      <c r="K523" s="16">
        <f>IF(Catalog!AH496&lt;&gt;"",Catalog!AH496,Catalog!AF496)</f>
        <v>0</v>
      </c>
      <c r="L523" s="16">
        <f>Catalog!AE496</f>
        <v>0</v>
      </c>
      <c r="M523" s="16">
        <f>Catalog!W496</f>
        <v>0</v>
      </c>
      <c r="N523" s="16">
        <f>Catalog!R496</f>
        <v>0</v>
      </c>
      <c r="O523" s="16">
        <f>Catalog!AG496</f>
        <v>0</v>
      </c>
    </row>
    <row r="524" spans="1:15" ht="15.75" x14ac:dyDescent="0.25">
      <c r="A524" s="16">
        <f>Catalog!D497</f>
        <v>0</v>
      </c>
      <c r="B524" s="16">
        <f>Catalog!F497</f>
        <v>0</v>
      </c>
      <c r="C524" s="16" t="str">
        <f>IF(Catalog!I497="","",Catalog!I497)&amp;IF(AND(Catalog!I497&lt;&gt;"",Catalog!J497&lt;&gt;""),"; ","")&amp;IF(Catalog!J497="","",Catalog!J497)</f>
        <v/>
      </c>
      <c r="D524" s="16">
        <f>Catalog!Q497</f>
        <v>0</v>
      </c>
      <c r="E524" s="16">
        <f>Catalog!S497</f>
        <v>0</v>
      </c>
      <c r="F524" s="16">
        <f>Catalog!N497</f>
        <v>0</v>
      </c>
      <c r="G524" s="16" t="str">
        <f>Catalog!K497&amp;" / "&amp;Catalog!M497</f>
        <v xml:space="preserve"> / </v>
      </c>
      <c r="H524" s="16" t="str">
        <f t="shared" si="7"/>
        <v>Print</v>
      </c>
      <c r="I524" s="16" t="str">
        <f>IF(Catalog!T497&lt;&gt;"","ISBN:"&amp;Catalog!T497,IF(Catalog!U497&lt;&gt;"","ISSN:"&amp;Catalog!U497,"ACC:"&amp;Catalog!B497))</f>
        <v>ACC:</v>
      </c>
      <c r="J524" s="16">
        <f>Catalog!L497</f>
        <v>0</v>
      </c>
      <c r="K524" s="16">
        <f>IF(Catalog!AH497&lt;&gt;"",Catalog!AH497,Catalog!AF497)</f>
        <v>0</v>
      </c>
      <c r="L524" s="16">
        <f>Catalog!AE497</f>
        <v>0</v>
      </c>
      <c r="M524" s="16">
        <f>Catalog!W497</f>
        <v>0</v>
      </c>
      <c r="N524" s="16">
        <f>Catalog!R497</f>
        <v>0</v>
      </c>
      <c r="O524" s="16">
        <f>Catalog!AG497</f>
        <v>0</v>
      </c>
    </row>
    <row r="525" spans="1:15" ht="15.75" x14ac:dyDescent="0.25">
      <c r="A525" s="16">
        <f>Catalog!D498</f>
        <v>0</v>
      </c>
      <c r="B525" s="16">
        <f>Catalog!F498</f>
        <v>0</v>
      </c>
      <c r="C525" s="16" t="str">
        <f>IF(Catalog!I498="","",Catalog!I498)&amp;IF(AND(Catalog!I498&lt;&gt;"",Catalog!J498&lt;&gt;""),"; ","")&amp;IF(Catalog!J498="","",Catalog!J498)</f>
        <v/>
      </c>
      <c r="D525" s="16">
        <f>Catalog!Q498</f>
        <v>0</v>
      </c>
      <c r="E525" s="16">
        <f>Catalog!S498</f>
        <v>0</v>
      </c>
      <c r="F525" s="16">
        <f>Catalog!N498</f>
        <v>0</v>
      </c>
      <c r="G525" s="16" t="str">
        <f>Catalog!K498&amp;" / "&amp;Catalog!M498</f>
        <v xml:space="preserve"> / </v>
      </c>
      <c r="H525" s="16" t="str">
        <f t="shared" si="7"/>
        <v>Print</v>
      </c>
      <c r="I525" s="16" t="str">
        <f>IF(Catalog!T498&lt;&gt;"","ISBN:"&amp;Catalog!T498,IF(Catalog!U498&lt;&gt;"","ISSN:"&amp;Catalog!U498,"ACC:"&amp;Catalog!B498))</f>
        <v>ACC:</v>
      </c>
      <c r="J525" s="16">
        <f>Catalog!L498</f>
        <v>0</v>
      </c>
      <c r="K525" s="16">
        <f>IF(Catalog!AH498&lt;&gt;"",Catalog!AH498,Catalog!AF498)</f>
        <v>0</v>
      </c>
      <c r="L525" s="16">
        <f>Catalog!AE498</f>
        <v>0</v>
      </c>
      <c r="M525" s="16">
        <f>Catalog!W498</f>
        <v>0</v>
      </c>
      <c r="N525" s="16">
        <f>Catalog!R498</f>
        <v>0</v>
      </c>
      <c r="O525" s="16">
        <f>Catalog!AG498</f>
        <v>0</v>
      </c>
    </row>
    <row r="526" spans="1:15" ht="15.75" x14ac:dyDescent="0.25">
      <c r="A526" s="16">
        <f>Catalog!D499</f>
        <v>0</v>
      </c>
      <c r="B526" s="16">
        <f>Catalog!F499</f>
        <v>0</v>
      </c>
      <c r="C526" s="16" t="str">
        <f>IF(Catalog!I499="","",Catalog!I499)&amp;IF(AND(Catalog!I499&lt;&gt;"",Catalog!J499&lt;&gt;""),"; ","")&amp;IF(Catalog!J499="","",Catalog!J499)</f>
        <v/>
      </c>
      <c r="D526" s="16">
        <f>Catalog!Q499</f>
        <v>0</v>
      </c>
      <c r="E526" s="16">
        <f>Catalog!S499</f>
        <v>0</v>
      </c>
      <c r="F526" s="16">
        <f>Catalog!N499</f>
        <v>0</v>
      </c>
      <c r="G526" s="16" t="str">
        <f>Catalog!K499&amp;" / "&amp;Catalog!M499</f>
        <v xml:space="preserve"> / </v>
      </c>
      <c r="H526" s="16" t="str">
        <f t="shared" si="7"/>
        <v>Print</v>
      </c>
      <c r="I526" s="16" t="str">
        <f>IF(Catalog!T499&lt;&gt;"","ISBN:"&amp;Catalog!T499,IF(Catalog!U499&lt;&gt;"","ISSN:"&amp;Catalog!U499,"ACC:"&amp;Catalog!B499))</f>
        <v>ACC:</v>
      </c>
      <c r="J526" s="16">
        <f>Catalog!L499</f>
        <v>0</v>
      </c>
      <c r="K526" s="16">
        <f>IF(Catalog!AH499&lt;&gt;"",Catalog!AH499,Catalog!AF499)</f>
        <v>0</v>
      </c>
      <c r="L526" s="16">
        <f>Catalog!AE499</f>
        <v>0</v>
      </c>
      <c r="M526" s="16">
        <f>Catalog!W499</f>
        <v>0</v>
      </c>
      <c r="N526" s="16">
        <f>Catalog!R499</f>
        <v>0</v>
      </c>
      <c r="O526" s="16">
        <f>Catalog!AG499</f>
        <v>0</v>
      </c>
    </row>
    <row r="527" spans="1:15" ht="15.75" x14ac:dyDescent="0.25">
      <c r="A527" s="16">
        <f>Catalog!D500</f>
        <v>0</v>
      </c>
      <c r="B527" s="16">
        <f>Catalog!F500</f>
        <v>0</v>
      </c>
      <c r="C527" s="16" t="str">
        <f>IF(Catalog!I500="","",Catalog!I500)&amp;IF(AND(Catalog!I500&lt;&gt;"",Catalog!J500&lt;&gt;""),"; ","")&amp;IF(Catalog!J500="","",Catalog!J500)</f>
        <v/>
      </c>
      <c r="D527" s="16">
        <f>Catalog!Q500</f>
        <v>0</v>
      </c>
      <c r="E527" s="16">
        <f>Catalog!S500</f>
        <v>0</v>
      </c>
      <c r="F527" s="16">
        <f>Catalog!N500</f>
        <v>0</v>
      </c>
      <c r="G527" s="16" t="str">
        <f>Catalog!K500&amp;" / "&amp;Catalog!M500</f>
        <v xml:space="preserve"> / </v>
      </c>
      <c r="H527" s="16" t="str">
        <f t="shared" si="7"/>
        <v>Print</v>
      </c>
      <c r="I527" s="16" t="str">
        <f>IF(Catalog!T500&lt;&gt;"","ISBN:"&amp;Catalog!T500,IF(Catalog!U500&lt;&gt;"","ISSN:"&amp;Catalog!U500,"ACC:"&amp;Catalog!B500))</f>
        <v>ACC:</v>
      </c>
      <c r="J527" s="16">
        <f>Catalog!L500</f>
        <v>0</v>
      </c>
      <c r="K527" s="16">
        <f>IF(Catalog!AH500&lt;&gt;"",Catalog!AH500,Catalog!AF500)</f>
        <v>0</v>
      </c>
      <c r="L527" s="16">
        <f>Catalog!AE500</f>
        <v>0</v>
      </c>
      <c r="M527" s="16">
        <f>Catalog!W500</f>
        <v>0</v>
      </c>
      <c r="N527" s="16">
        <f>Catalog!R500</f>
        <v>0</v>
      </c>
      <c r="O527" s="16">
        <f>Catalog!AG500</f>
        <v>0</v>
      </c>
    </row>
    <row r="528" spans="1:15" ht="15.75" x14ac:dyDescent="0.25">
      <c r="A528" s="16">
        <f>Catalog!D501</f>
        <v>0</v>
      </c>
      <c r="B528" s="16">
        <f>Catalog!F501</f>
        <v>0</v>
      </c>
      <c r="C528" s="16" t="str">
        <f>IF(Catalog!I501="","",Catalog!I501)&amp;IF(AND(Catalog!I501&lt;&gt;"",Catalog!J501&lt;&gt;""),"; ","")&amp;IF(Catalog!J501="","",Catalog!J501)</f>
        <v/>
      </c>
      <c r="D528" s="16">
        <f>Catalog!Q501</f>
        <v>0</v>
      </c>
      <c r="E528" s="16">
        <f>Catalog!S501</f>
        <v>0</v>
      </c>
      <c r="F528" s="16">
        <f>Catalog!N501</f>
        <v>0</v>
      </c>
      <c r="G528" s="16" t="str">
        <f>Catalog!K501&amp;" / "&amp;Catalog!M501</f>
        <v xml:space="preserve"> / </v>
      </c>
      <c r="H528" s="16" t="str">
        <f t="shared" si="7"/>
        <v>Print</v>
      </c>
      <c r="I528" s="16" t="str">
        <f>IF(Catalog!T501&lt;&gt;"","ISBN:"&amp;Catalog!T501,IF(Catalog!U501&lt;&gt;"","ISSN:"&amp;Catalog!U501,"ACC:"&amp;Catalog!B501))</f>
        <v>ACC:</v>
      </c>
      <c r="J528" s="16">
        <f>Catalog!L501</f>
        <v>0</v>
      </c>
      <c r="K528" s="16">
        <f>IF(Catalog!AH501&lt;&gt;"",Catalog!AH501,Catalog!AF501)</f>
        <v>0</v>
      </c>
      <c r="L528" s="16">
        <f>Catalog!AE501</f>
        <v>0</v>
      </c>
      <c r="M528" s="16">
        <f>Catalog!W501</f>
        <v>0</v>
      </c>
      <c r="N528" s="16">
        <f>Catalog!R501</f>
        <v>0</v>
      </c>
      <c r="O528" s="16">
        <f>Catalog!AG501</f>
        <v>0</v>
      </c>
    </row>
  </sheetData>
  <sheetProtection password="E720" sheet="1"/>
  <mergeCells count="1">
    <mergeCell ref="A1:C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525"/>
  <sheetViews>
    <sheetView workbookViewId="0">
      <pane ySplit="25" topLeftCell="A26" activePane="bottomLeft" state="frozen"/>
      <selection pane="bottomLeft" sqref="A1:B1"/>
    </sheetView>
  </sheetViews>
  <sheetFormatPr defaultRowHeight="15" x14ac:dyDescent="0.25"/>
  <cols>
    <col min="1" max="1" width="38" customWidth="1"/>
    <col min="2" max="2" width="14" customWidth="1"/>
  </cols>
  <sheetData>
    <row r="1" spans="1:2" ht="32.1" customHeight="1" x14ac:dyDescent="0.45">
      <c r="A1" s="33" t="s">
        <v>626</v>
      </c>
      <c r="B1" s="34"/>
    </row>
    <row r="3" spans="1:2" x14ac:dyDescent="0.25">
      <c r="A3" s="5" t="s">
        <v>627</v>
      </c>
      <c r="B3" s="6" t="s">
        <v>51</v>
      </c>
    </row>
    <row r="4" spans="1:2" ht="16.5" x14ac:dyDescent="0.3">
      <c r="A4" s="21" t="s">
        <v>628</v>
      </c>
      <c r="B4" s="22">
        <f>COUNTA(Catalog!$D$2:$D$501)</f>
        <v>20</v>
      </c>
    </row>
    <row r="5" spans="1:2" ht="16.5" x14ac:dyDescent="0.3">
      <c r="A5" s="23" t="s">
        <v>629</v>
      </c>
      <c r="B5" s="22">
        <f>COUNTA(Catalog!$A$2:$A$501)-COUNTA(Catalog!$D$2:$D$501)</f>
        <v>480</v>
      </c>
    </row>
    <row r="6" spans="1:2" ht="16.5" x14ac:dyDescent="0.3">
      <c r="A6" s="21" t="s">
        <v>630</v>
      </c>
      <c r="B6" s="22">
        <f>SUMPRODUCT((Catalog!$D$2:$D$501&lt;&gt;"")*(Catalog!$F$2:$F$501=""))</f>
        <v>1</v>
      </c>
    </row>
    <row r="7" spans="1:2" ht="16.5" x14ac:dyDescent="0.3">
      <c r="A7" s="23" t="s">
        <v>631</v>
      </c>
      <c r="B7" s="22">
        <f>SUMPRODUCT((Catalog!$D$2:$D$501&lt;&gt;"")*(Catalog!$K$2:$K$501=""))</f>
        <v>0</v>
      </c>
    </row>
    <row r="8" spans="1:2" ht="16.5" x14ac:dyDescent="0.3">
      <c r="A8" s="21" t="s">
        <v>632</v>
      </c>
      <c r="B8" s="22">
        <f>SUMPRODUCT((Catalog!$D$2:$D$501&lt;&gt;"")*(Catalog!$L$2:$L$501=""))</f>
        <v>0</v>
      </c>
    </row>
    <row r="9" spans="1:2" ht="16.5" x14ac:dyDescent="0.3">
      <c r="A9" s="23" t="s">
        <v>633</v>
      </c>
      <c r="B9" s="22">
        <f>SUMPRODUCT((Catalog!$D$2:$D$501&lt;&gt;"")*(Catalog!$M$2:$M$501=""))</f>
        <v>0</v>
      </c>
    </row>
    <row r="10" spans="1:2" ht="16.5" x14ac:dyDescent="0.3">
      <c r="A10" s="21" t="s">
        <v>634</v>
      </c>
      <c r="B10" s="22">
        <f>SUMPRODUCT((Catalog!$D$2:$D$501&lt;&gt;"")*(Catalog!$X$2:$X$501=""))</f>
        <v>0</v>
      </c>
    </row>
    <row r="11" spans="1:2" ht="16.5" x14ac:dyDescent="0.3">
      <c r="A11" s="23" t="s">
        <v>635</v>
      </c>
      <c r="B11" s="22">
        <f>SUMPRODUCT((Catalog!$D$2:$D$501&lt;&gt;"")*(Catalog!$Y$2:$Y$501=""))</f>
        <v>0</v>
      </c>
    </row>
    <row r="12" spans="1:2" ht="16.5" x14ac:dyDescent="0.3">
      <c r="A12" s="21" t="s">
        <v>636</v>
      </c>
      <c r="B12" s="22">
        <f>SUMPRODUCT((Catalog!$T$2:$T$501&lt;&gt;"")*(COUNTIF(Catalog!$T$2:$T$501,Catalog!$T$2:$T$501)&gt;1))/2</f>
        <v>0</v>
      </c>
    </row>
    <row r="13" spans="1:2" ht="16.5" x14ac:dyDescent="0.3">
      <c r="A13" s="23" t="s">
        <v>637</v>
      </c>
      <c r="B13" s="22">
        <f>SUMPRODUCT((Catalog!$U$2:$U$501&lt;&gt;"")*(COUNTIF(Catalog!$U$2:$U$501,Catalog!$U$2:$U$501)&gt;1))/2</f>
        <v>0</v>
      </c>
    </row>
    <row r="14" spans="1:2" ht="16.5" x14ac:dyDescent="0.3">
      <c r="A14" s="21" t="s">
        <v>638</v>
      </c>
      <c r="B14" s="22">
        <f>SUMPRODUCT((Catalog!$B$2:$B$501&lt;&gt;"")*(COUNTIF(Catalog!$B$2:$B$501,Catalog!$B$2:$B$501)&gt;1))/2</f>
        <v>0</v>
      </c>
    </row>
    <row r="15" spans="1:2" ht="16.5" x14ac:dyDescent="0.3">
      <c r="A15" s="23" t="s">
        <v>639</v>
      </c>
      <c r="B15" s="22">
        <f>COUNTA(Digital_Catalog!$C$2:$C$501)</f>
        <v>6</v>
      </c>
    </row>
    <row r="16" spans="1:2" ht="16.5" x14ac:dyDescent="0.3">
      <c r="A16" s="21" t="s">
        <v>640</v>
      </c>
      <c r="B16" s="22">
        <f>COUNTA(Archive!$B$2:$B$201)</f>
        <v>6</v>
      </c>
    </row>
    <row r="17" spans="1:3" ht="16.5" x14ac:dyDescent="0.3">
      <c r="A17" s="23" t="s">
        <v>641</v>
      </c>
      <c r="B17" s="22">
        <f>SUMPRODUCT((Archive!$B$2:$B$201&lt;&gt;"")*(Archive!$U$2:$U$201=""))</f>
        <v>0</v>
      </c>
    </row>
    <row r="18" spans="1:3" ht="16.5" x14ac:dyDescent="0.3">
      <c r="A18" s="21" t="s">
        <v>642</v>
      </c>
      <c r="B18" s="22">
        <f>SUMPRODUCT((Archive!$B$2:$B$201&lt;&gt;"")*(Archive!$V$2:$V$201=""))</f>
        <v>2</v>
      </c>
    </row>
    <row r="19" spans="1:3" ht="16.5" x14ac:dyDescent="0.3">
      <c r="A19" s="23" t="s">
        <v>643</v>
      </c>
      <c r="B19" s="22">
        <f ca="1">COUNTIF(Circulation!$H$2:$H$501,"Active")</f>
        <v>0</v>
      </c>
    </row>
    <row r="20" spans="1:3" ht="16.5" x14ac:dyDescent="0.3">
      <c r="A20" s="21" t="s">
        <v>644</v>
      </c>
      <c r="B20" s="22">
        <f ca="1">COUNTIF(Circulation!$H$2:$H$501,"Overdue")</f>
        <v>0</v>
      </c>
    </row>
    <row r="24" spans="1:3" ht="21" x14ac:dyDescent="0.35">
      <c r="A24" s="19" t="s">
        <v>645</v>
      </c>
    </row>
    <row r="25" spans="1:3" x14ac:dyDescent="0.25">
      <c r="A25" s="5" t="s">
        <v>358</v>
      </c>
      <c r="B25" s="5" t="s">
        <v>361</v>
      </c>
      <c r="C25" s="5" t="s">
        <v>646</v>
      </c>
    </row>
    <row r="26" spans="1:3" x14ac:dyDescent="0.25">
      <c r="A26" s="24">
        <f>Catalog!A2</f>
        <v>1</v>
      </c>
      <c r="B26" s="25" t="str">
        <f>Catalog!D2</f>
        <v>Rabindra Rachanabali</v>
      </c>
      <c r="C26" s="26" t="str">
        <f>IF(Catalog!D2="","",IF(ISBLANK(Catalog!F2),"Missing Creator; ","")&amp;IF(ISBLANK(Catalog!K2),"Missing Item Type; ","")&amp;IF(ISBLANK(Catalog!L2),"Missing Subject; ","")&amp;IF(ISBLANK(Catalog!M2),"Missing Genre/Form; ","")&amp;IF(ISBLANK(Catalog!X2),"Missing Location Type; ","")&amp;IF(ISBLANK(Catalog!Y2),"Missing Location Id; ","")&amp;IF(AND(Catalog!T2&lt;&gt;"",COUNTIF(Catalog!$T$2:$T$501,Catalog!T2)&gt;1),"Duplicate ISBN; ","")&amp;IF(AND(Catalog!B2&lt;&gt;"",COUNTIF(Catalog!$B$2:$B$501,Catalog!B2)&gt;1),"Duplicate Accession; ",""))</f>
        <v/>
      </c>
    </row>
    <row r="27" spans="1:3" x14ac:dyDescent="0.25">
      <c r="A27" s="24">
        <f>Catalog!A3</f>
        <v>2</v>
      </c>
      <c r="B27" s="25" t="str">
        <f>Catalog!D3</f>
        <v>Rabindra Rachanabali</v>
      </c>
      <c r="C27" s="26" t="str">
        <f>IF(Catalog!D3="","",IF(ISBLANK(Catalog!F3),"Missing Creator; ","")&amp;IF(ISBLANK(Catalog!K3),"Missing Item Type; ","")&amp;IF(ISBLANK(Catalog!L3),"Missing Subject; ","")&amp;IF(ISBLANK(Catalog!M3),"Missing Genre/Form; ","")&amp;IF(ISBLANK(Catalog!X3),"Missing Location Type; ","")&amp;IF(ISBLANK(Catalog!Y3),"Missing Location Id; ","")&amp;IF(AND(Catalog!T3&lt;&gt;"",COUNTIF(Catalog!$T$2:$T$501,Catalog!T3)&gt;1),"Duplicate ISBN; ","")&amp;IF(AND(Catalog!B3&lt;&gt;"",COUNTIF(Catalog!$B$2:$B$501,Catalog!B3)&gt;1),"Duplicate Accession; ",""))</f>
        <v/>
      </c>
    </row>
    <row r="28" spans="1:3" x14ac:dyDescent="0.25">
      <c r="A28" s="24">
        <f>Catalog!A4</f>
        <v>3</v>
      </c>
      <c r="B28" s="25" t="str">
        <f>Catalog!D4</f>
        <v>Rabindra Rachanabali</v>
      </c>
      <c r="C28" s="26" t="str">
        <f>IF(Catalog!D4="","",IF(ISBLANK(Catalog!F4),"Missing Creator; ","")&amp;IF(ISBLANK(Catalog!K4),"Missing Item Type; ","")&amp;IF(ISBLANK(Catalog!L4),"Missing Subject; ","")&amp;IF(ISBLANK(Catalog!M4),"Missing Genre/Form; ","")&amp;IF(ISBLANK(Catalog!X4),"Missing Location Type; ","")&amp;IF(ISBLANK(Catalog!Y4),"Missing Location Id; ","")&amp;IF(AND(Catalog!T4&lt;&gt;"",COUNTIF(Catalog!$T$2:$T$501,Catalog!T4)&gt;1),"Duplicate ISBN; ","")&amp;IF(AND(Catalog!B4&lt;&gt;"",COUNTIF(Catalog!$B$2:$B$501,Catalog!B4)&gt;1),"Duplicate Accession; ",""))</f>
        <v/>
      </c>
    </row>
    <row r="29" spans="1:3" x14ac:dyDescent="0.25">
      <c r="A29" s="24">
        <f>Catalog!A5</f>
        <v>4</v>
      </c>
      <c r="B29" s="25" t="str">
        <f>Catalog!D5</f>
        <v>Rabindra Rachanabali</v>
      </c>
      <c r="C29" s="26" t="str">
        <f>IF(Catalog!D5="","",IF(ISBLANK(Catalog!F5),"Missing Creator; ","")&amp;IF(ISBLANK(Catalog!K5),"Missing Item Type; ","")&amp;IF(ISBLANK(Catalog!L5),"Missing Subject; ","")&amp;IF(ISBLANK(Catalog!M5),"Missing Genre/Form; ","")&amp;IF(ISBLANK(Catalog!X5),"Missing Location Type; ","")&amp;IF(ISBLANK(Catalog!Y5),"Missing Location Id; ","")&amp;IF(AND(Catalog!T5&lt;&gt;"",COUNTIF(Catalog!$T$2:$T$501,Catalog!T5)&gt;1),"Duplicate ISBN; ","")&amp;IF(AND(Catalog!B5&lt;&gt;"",COUNTIF(Catalog!$B$2:$B$501,Catalog!B5)&gt;1),"Duplicate Accession; ",""))</f>
        <v/>
      </c>
    </row>
    <row r="30" spans="1:3" x14ac:dyDescent="0.25">
      <c r="A30" s="24">
        <f>Catalog!A6</f>
        <v>5</v>
      </c>
      <c r="B30" s="25" t="str">
        <f>Catalog!D6</f>
        <v>Rabindra Rachanabali</v>
      </c>
      <c r="C30" s="26" t="str">
        <f>IF(Catalog!D6="","",IF(ISBLANK(Catalog!F6),"Missing Creator; ","")&amp;IF(ISBLANK(Catalog!K6),"Missing Item Type; ","")&amp;IF(ISBLANK(Catalog!L6),"Missing Subject; ","")&amp;IF(ISBLANK(Catalog!M6),"Missing Genre/Form; ","")&amp;IF(ISBLANK(Catalog!X6),"Missing Location Type; ","")&amp;IF(ISBLANK(Catalog!Y6),"Missing Location Id; ","")&amp;IF(AND(Catalog!T6&lt;&gt;"",COUNTIF(Catalog!$T$2:$T$501,Catalog!T6)&gt;1),"Duplicate ISBN; ","")&amp;IF(AND(Catalog!B6&lt;&gt;"",COUNTIF(Catalog!$B$2:$B$501,Catalog!B6)&gt;1),"Duplicate Accession; ",""))</f>
        <v/>
      </c>
    </row>
    <row r="31" spans="1:3" x14ac:dyDescent="0.25">
      <c r="A31" s="24">
        <f>Catalog!A7</f>
        <v>6</v>
      </c>
      <c r="B31" s="25" t="str">
        <f>Catalog!D7</f>
        <v>Rabindra Rachanabali</v>
      </c>
      <c r="C31" s="26" t="str">
        <f>IF(Catalog!D7="","",IF(ISBLANK(Catalog!F7),"Missing Creator; ","")&amp;IF(ISBLANK(Catalog!K7),"Missing Item Type; ","")&amp;IF(ISBLANK(Catalog!L7),"Missing Subject; ","")&amp;IF(ISBLANK(Catalog!M7),"Missing Genre/Form; ","")&amp;IF(ISBLANK(Catalog!X7),"Missing Location Type; ","")&amp;IF(ISBLANK(Catalog!Y7),"Missing Location Id; ","")&amp;IF(AND(Catalog!T7&lt;&gt;"",COUNTIF(Catalog!$T$2:$T$501,Catalog!T7)&gt;1),"Duplicate ISBN; ","")&amp;IF(AND(Catalog!B7&lt;&gt;"",COUNTIF(Catalog!$B$2:$B$501,Catalog!B7)&gt;1),"Duplicate Accession; ",""))</f>
        <v/>
      </c>
    </row>
    <row r="32" spans="1:3" x14ac:dyDescent="0.25">
      <c r="A32" s="24">
        <f>Catalog!A8</f>
        <v>7</v>
      </c>
      <c r="B32" s="25" t="str">
        <f>Catalog!D8</f>
        <v>Rabindra Rachanabali</v>
      </c>
      <c r="C32" s="26" t="str">
        <f>IF(Catalog!D8="","",IF(ISBLANK(Catalog!F8),"Missing Creator; ","")&amp;IF(ISBLANK(Catalog!K8),"Missing Item Type; ","")&amp;IF(ISBLANK(Catalog!L8),"Missing Subject; ","")&amp;IF(ISBLANK(Catalog!M8),"Missing Genre/Form; ","")&amp;IF(ISBLANK(Catalog!X8),"Missing Location Type; ","")&amp;IF(ISBLANK(Catalog!Y8),"Missing Location Id; ","")&amp;IF(AND(Catalog!T8&lt;&gt;"",COUNTIF(Catalog!$T$2:$T$501,Catalog!T8)&gt;1),"Duplicate ISBN; ","")&amp;IF(AND(Catalog!B8&lt;&gt;"",COUNTIF(Catalog!$B$2:$B$501,Catalog!B8)&gt;1),"Duplicate Accession; ",""))</f>
        <v/>
      </c>
    </row>
    <row r="33" spans="1:3" x14ac:dyDescent="0.25">
      <c r="A33" s="24">
        <f>Catalog!A9</f>
        <v>8</v>
      </c>
      <c r="B33" s="25" t="str">
        <f>Catalog!D9</f>
        <v>Rabindra Rachanabali</v>
      </c>
      <c r="C33" s="26" t="str">
        <f>IF(Catalog!D9="","",IF(ISBLANK(Catalog!F9),"Missing Creator; ","")&amp;IF(ISBLANK(Catalog!K9),"Missing Item Type; ","")&amp;IF(ISBLANK(Catalog!L9),"Missing Subject; ","")&amp;IF(ISBLANK(Catalog!M9),"Missing Genre/Form; ","")&amp;IF(ISBLANK(Catalog!X9),"Missing Location Type; ","")&amp;IF(ISBLANK(Catalog!Y9),"Missing Location Id; ","")&amp;IF(AND(Catalog!T9&lt;&gt;"",COUNTIF(Catalog!$T$2:$T$501,Catalog!T9)&gt;1),"Duplicate ISBN; ","")&amp;IF(AND(Catalog!B9&lt;&gt;"",COUNTIF(Catalog!$B$2:$B$501,Catalog!B9)&gt;1),"Duplicate Accession; ",""))</f>
        <v/>
      </c>
    </row>
    <row r="34" spans="1:3" x14ac:dyDescent="0.25">
      <c r="A34" s="24">
        <f>Catalog!A10</f>
        <v>9</v>
      </c>
      <c r="B34" s="25" t="str">
        <f>Catalog!D10</f>
        <v>Rabindra Rachanabali</v>
      </c>
      <c r="C34" s="26" t="str">
        <f>IF(Catalog!D10="","",IF(ISBLANK(Catalog!F10),"Missing Creator; ","")&amp;IF(ISBLANK(Catalog!K10),"Missing Item Type; ","")&amp;IF(ISBLANK(Catalog!L10),"Missing Subject; ","")&amp;IF(ISBLANK(Catalog!M10),"Missing Genre/Form; ","")&amp;IF(ISBLANK(Catalog!X10),"Missing Location Type; ","")&amp;IF(ISBLANK(Catalog!Y10),"Missing Location Id; ","")&amp;IF(AND(Catalog!T10&lt;&gt;"",COUNTIF(Catalog!$T$2:$T$501,Catalog!T10)&gt;1),"Duplicate ISBN; ","")&amp;IF(AND(Catalog!B10&lt;&gt;"",COUNTIF(Catalog!$B$2:$B$501,Catalog!B10)&gt;1),"Duplicate Accession; ",""))</f>
        <v/>
      </c>
    </row>
    <row r="35" spans="1:3" x14ac:dyDescent="0.25">
      <c r="A35" s="24">
        <f>Catalog!A11</f>
        <v>10</v>
      </c>
      <c r="B35" s="25" t="str">
        <f>Catalog!D11</f>
        <v>Rabindra Rachanabali</v>
      </c>
      <c r="C35" s="26" t="str">
        <f>IF(Catalog!D11="","",IF(ISBLANK(Catalog!F11),"Missing Creator; ","")&amp;IF(ISBLANK(Catalog!K11),"Missing Item Type; ","")&amp;IF(ISBLANK(Catalog!L11),"Missing Subject; ","")&amp;IF(ISBLANK(Catalog!M11),"Missing Genre/Form; ","")&amp;IF(ISBLANK(Catalog!X11),"Missing Location Type; ","")&amp;IF(ISBLANK(Catalog!Y11),"Missing Location Id; ","")&amp;IF(AND(Catalog!T11&lt;&gt;"",COUNTIF(Catalog!$T$2:$T$501,Catalog!T11)&gt;1),"Duplicate ISBN; ","")&amp;IF(AND(Catalog!B11&lt;&gt;"",COUNTIF(Catalog!$B$2:$B$501,Catalog!B11)&gt;1),"Duplicate Accession; ",""))</f>
        <v/>
      </c>
    </row>
    <row r="36" spans="1:3" x14ac:dyDescent="0.25">
      <c r="A36" s="24">
        <f>Catalog!A12</f>
        <v>11</v>
      </c>
      <c r="B36" s="25" t="str">
        <f>Catalog!D12</f>
        <v>Rabindra Rachanabali</v>
      </c>
      <c r="C36" s="26" t="str">
        <f>IF(Catalog!D12="","",IF(ISBLANK(Catalog!F12),"Missing Creator; ","")&amp;IF(ISBLANK(Catalog!K12),"Missing Item Type; ","")&amp;IF(ISBLANK(Catalog!L12),"Missing Subject; ","")&amp;IF(ISBLANK(Catalog!M12),"Missing Genre/Form; ","")&amp;IF(ISBLANK(Catalog!X12),"Missing Location Type; ","")&amp;IF(ISBLANK(Catalog!Y12),"Missing Location Id; ","")&amp;IF(AND(Catalog!T12&lt;&gt;"",COUNTIF(Catalog!$T$2:$T$501,Catalog!T12)&gt;1),"Duplicate ISBN; ","")&amp;IF(AND(Catalog!B12&lt;&gt;"",COUNTIF(Catalog!$B$2:$B$501,Catalog!B12)&gt;1),"Duplicate Accession; ",""))</f>
        <v/>
      </c>
    </row>
    <row r="37" spans="1:3" x14ac:dyDescent="0.25">
      <c r="A37" s="24">
        <f>Catalog!A13</f>
        <v>12</v>
      </c>
      <c r="B37" s="25" t="str">
        <f>Catalog!D13</f>
        <v>Rabindra Rachanabali</v>
      </c>
      <c r="C37" s="26" t="str">
        <f>IF(Catalog!D13="","",IF(ISBLANK(Catalog!F13),"Missing Creator; ","")&amp;IF(ISBLANK(Catalog!K13),"Missing Item Type; ","")&amp;IF(ISBLANK(Catalog!L13),"Missing Subject; ","")&amp;IF(ISBLANK(Catalog!M13),"Missing Genre/Form; ","")&amp;IF(ISBLANK(Catalog!X13),"Missing Location Type; ","")&amp;IF(ISBLANK(Catalog!Y13),"Missing Location Id; ","")&amp;IF(AND(Catalog!T13&lt;&gt;"",COUNTIF(Catalog!$T$2:$T$501,Catalog!T13)&gt;1),"Duplicate ISBN; ","")&amp;IF(AND(Catalog!B13&lt;&gt;"",COUNTIF(Catalog!$B$2:$B$501,Catalog!B13)&gt;1),"Duplicate Accession; ",""))</f>
        <v/>
      </c>
    </row>
    <row r="38" spans="1:3" x14ac:dyDescent="0.25">
      <c r="A38" s="24">
        <f>Catalog!A14</f>
        <v>13</v>
      </c>
      <c r="B38" s="25" t="str">
        <f>Catalog!D14</f>
        <v>Rabindra Rachanabali</v>
      </c>
      <c r="C38" s="26" t="str">
        <f>IF(Catalog!D14="","",IF(ISBLANK(Catalog!F14),"Missing Creator; ","")&amp;IF(ISBLANK(Catalog!K14),"Missing Item Type; ","")&amp;IF(ISBLANK(Catalog!L14),"Missing Subject; ","")&amp;IF(ISBLANK(Catalog!M14),"Missing Genre/Form; ","")&amp;IF(ISBLANK(Catalog!X14),"Missing Location Type; ","")&amp;IF(ISBLANK(Catalog!Y14),"Missing Location Id; ","")&amp;IF(AND(Catalog!T14&lt;&gt;"",COUNTIF(Catalog!$T$2:$T$501,Catalog!T14)&gt;1),"Duplicate ISBN; ","")&amp;IF(AND(Catalog!B14&lt;&gt;"",COUNTIF(Catalog!$B$2:$B$501,Catalog!B14)&gt;1),"Duplicate Accession; ",""))</f>
        <v/>
      </c>
    </row>
    <row r="39" spans="1:3" x14ac:dyDescent="0.25">
      <c r="A39" s="24">
        <f>Catalog!A15</f>
        <v>14</v>
      </c>
      <c r="B39" s="25" t="str">
        <f>Catalog!D15</f>
        <v>Rabindra Rachanabali</v>
      </c>
      <c r="C39" s="26" t="str">
        <f>IF(Catalog!D15="","",IF(ISBLANK(Catalog!F15),"Missing Creator; ","")&amp;IF(ISBLANK(Catalog!K15),"Missing Item Type; ","")&amp;IF(ISBLANK(Catalog!L15),"Missing Subject; ","")&amp;IF(ISBLANK(Catalog!M15),"Missing Genre/Form; ","")&amp;IF(ISBLANK(Catalog!X15),"Missing Location Type; ","")&amp;IF(ISBLANK(Catalog!Y15),"Missing Location Id; ","")&amp;IF(AND(Catalog!T15&lt;&gt;"",COUNTIF(Catalog!$T$2:$T$501,Catalog!T15)&gt;1),"Duplicate ISBN; ","")&amp;IF(AND(Catalog!B15&lt;&gt;"",COUNTIF(Catalog!$B$2:$B$501,Catalog!B15)&gt;1),"Duplicate Accession; ",""))</f>
        <v/>
      </c>
    </row>
    <row r="40" spans="1:3" x14ac:dyDescent="0.25">
      <c r="A40" s="24">
        <f>Catalog!A16</f>
        <v>15</v>
      </c>
      <c r="B40" s="25" t="str">
        <f>Catalog!D16</f>
        <v>Rabindra Rachanabali</v>
      </c>
      <c r="C40" s="26" t="str">
        <f>IF(Catalog!D16="","",IF(ISBLANK(Catalog!F16),"Missing Creator; ","")&amp;IF(ISBLANK(Catalog!K16),"Missing Item Type; ","")&amp;IF(ISBLANK(Catalog!L16),"Missing Subject; ","")&amp;IF(ISBLANK(Catalog!M16),"Missing Genre/Form; ","")&amp;IF(ISBLANK(Catalog!X16),"Missing Location Type; ","")&amp;IF(ISBLANK(Catalog!Y16),"Missing Location Id; ","")&amp;IF(AND(Catalog!T16&lt;&gt;"",COUNTIF(Catalog!$T$2:$T$501,Catalog!T16)&gt;1),"Duplicate ISBN; ","")&amp;IF(AND(Catalog!B16&lt;&gt;"",COUNTIF(Catalog!$B$2:$B$501,Catalog!B16)&gt;1),"Duplicate Accession; ",""))</f>
        <v/>
      </c>
    </row>
    <row r="41" spans="1:3" x14ac:dyDescent="0.25">
      <c r="A41" s="24">
        <f>Catalog!A17</f>
        <v>16</v>
      </c>
      <c r="B41" s="25" t="str">
        <f>Catalog!D17</f>
        <v>Rabindra Rachanabali</v>
      </c>
      <c r="C41" s="26" t="str">
        <f>IF(Catalog!D17="","",IF(ISBLANK(Catalog!F17),"Missing Creator; ","")&amp;IF(ISBLANK(Catalog!K17),"Missing Item Type; ","")&amp;IF(ISBLANK(Catalog!L17),"Missing Subject; ","")&amp;IF(ISBLANK(Catalog!M17),"Missing Genre/Form; ","")&amp;IF(ISBLANK(Catalog!X17),"Missing Location Type; ","")&amp;IF(ISBLANK(Catalog!Y17),"Missing Location Id; ","")&amp;IF(AND(Catalog!T17&lt;&gt;"",COUNTIF(Catalog!$T$2:$T$501,Catalog!T17)&gt;1),"Duplicate ISBN; ","")&amp;IF(AND(Catalog!B17&lt;&gt;"",COUNTIF(Catalog!$B$2:$B$501,Catalog!B17)&gt;1),"Duplicate Accession; ",""))</f>
        <v/>
      </c>
    </row>
    <row r="42" spans="1:3" x14ac:dyDescent="0.25">
      <c r="A42" s="24">
        <f>Catalog!A18</f>
        <v>17</v>
      </c>
      <c r="B42" s="25" t="str">
        <f>Catalog!D18</f>
        <v>Rabindra Rachanabali</v>
      </c>
      <c r="C42" s="26" t="str">
        <f>IF(Catalog!D18="","",IF(ISBLANK(Catalog!F18),"Missing Creator; ","")&amp;IF(ISBLANK(Catalog!K18),"Missing Item Type; ","")&amp;IF(ISBLANK(Catalog!L18),"Missing Subject; ","")&amp;IF(ISBLANK(Catalog!M18),"Missing Genre/Form; ","")&amp;IF(ISBLANK(Catalog!X18),"Missing Location Type; ","")&amp;IF(ISBLANK(Catalog!Y18),"Missing Location Id; ","")&amp;IF(AND(Catalog!T18&lt;&gt;"",COUNTIF(Catalog!$T$2:$T$501,Catalog!T18)&gt;1),"Duplicate ISBN; ","")&amp;IF(AND(Catalog!B18&lt;&gt;"",COUNTIF(Catalog!$B$2:$B$501,Catalog!B18)&gt;1),"Duplicate Accession; ",""))</f>
        <v/>
      </c>
    </row>
    <row r="43" spans="1:3" x14ac:dyDescent="0.25">
      <c r="A43" s="24">
        <f>Catalog!A19</f>
        <v>18</v>
      </c>
      <c r="B43" s="25" t="str">
        <f>Catalog!D19</f>
        <v>Rabindra Rachanabali</v>
      </c>
      <c r="C43" s="26" t="str">
        <f>IF(Catalog!D19="","",IF(ISBLANK(Catalog!F19),"Missing Creator; ","")&amp;IF(ISBLANK(Catalog!K19),"Missing Item Type; ","")&amp;IF(ISBLANK(Catalog!L19),"Missing Subject; ","")&amp;IF(ISBLANK(Catalog!M19),"Missing Genre/Form; ","")&amp;IF(ISBLANK(Catalog!X19),"Missing Location Type; ","")&amp;IF(ISBLANK(Catalog!Y19),"Missing Location Id; ","")&amp;IF(AND(Catalog!T19&lt;&gt;"",COUNTIF(Catalog!$T$2:$T$501,Catalog!T19)&gt;1),"Duplicate ISBN; ","")&amp;IF(AND(Catalog!B19&lt;&gt;"",COUNTIF(Catalog!$B$2:$B$501,Catalog!B19)&gt;1),"Duplicate Accession; ",""))</f>
        <v/>
      </c>
    </row>
    <row r="44" spans="1:3" x14ac:dyDescent="0.25">
      <c r="A44" s="24">
        <f>Catalog!A20</f>
        <v>19</v>
      </c>
      <c r="B44" s="25" t="str">
        <f>Catalog!D20</f>
        <v>নীলকণ্ঠ পাখির খোঁজে</v>
      </c>
      <c r="C44" s="26" t="str">
        <f>IF(Catalog!D20="","",IF(ISBLANK(Catalog!F20),"Missing Creator; ","")&amp;IF(ISBLANK(Catalog!K20),"Missing Item Type; ","")&amp;IF(ISBLANK(Catalog!L20),"Missing Subject; ","")&amp;IF(ISBLANK(Catalog!M20),"Missing Genre/Form; ","")&amp;IF(ISBLANK(Catalog!X20),"Missing Location Type; ","")&amp;IF(ISBLANK(Catalog!Y20),"Missing Location Id; ","")&amp;IF(AND(Catalog!T20&lt;&gt;"",COUNTIF(Catalog!$T$2:$T$501,Catalog!T20)&gt;1),"Duplicate ISBN; ","")&amp;IF(AND(Catalog!B20&lt;&gt;"",COUNTIF(Catalog!$B$2:$B$501,Catalog!B20)&gt;1),"Duplicate Accession; ",""))</f>
        <v/>
      </c>
    </row>
    <row r="45" spans="1:3" x14ac:dyDescent="0.25">
      <c r="A45" s="24">
        <f>Catalog!A21</f>
        <v>20</v>
      </c>
      <c r="B45" s="25" t="str">
        <f>Catalog!D21</f>
        <v>Desh</v>
      </c>
      <c r="C45" s="26" t="str">
        <f>IF(Catalog!D21="","",IF(ISBLANK(Catalog!F21),"Missing Creator; ","")&amp;IF(ISBLANK(Catalog!K21),"Missing Item Type; ","")&amp;IF(ISBLANK(Catalog!L21),"Missing Subject; ","")&amp;IF(ISBLANK(Catalog!M21),"Missing Genre/Form; ","")&amp;IF(ISBLANK(Catalog!X21),"Missing Location Type; ","")&amp;IF(ISBLANK(Catalog!Y21),"Missing Location Id; ","")&amp;IF(AND(Catalog!T21&lt;&gt;"",COUNTIF(Catalog!$T$2:$T$501,Catalog!T21)&gt;1),"Duplicate ISBN; ","")&amp;IF(AND(Catalog!B21&lt;&gt;"",COUNTIF(Catalog!$B$2:$B$501,Catalog!B21)&gt;1),"Duplicate Accession; ",""))</f>
        <v xml:space="preserve">Missing Creator; </v>
      </c>
    </row>
    <row r="46" spans="1:3" x14ac:dyDescent="0.25">
      <c r="A46" s="24" t="str">
        <f>Catalog!A22</f>
        <v/>
      </c>
      <c r="B46" s="25">
        <f>Catalog!D22</f>
        <v>0</v>
      </c>
      <c r="C46" s="26" t="str">
        <f>IF(Catalog!D22="","",IF(ISBLANK(Catalog!F22),"Missing Creator; ","")&amp;IF(ISBLANK(Catalog!K22),"Missing Item Type; ","")&amp;IF(ISBLANK(Catalog!L22),"Missing Subject; ","")&amp;IF(ISBLANK(Catalog!M22),"Missing Genre/Form; ","")&amp;IF(ISBLANK(Catalog!X22),"Missing Location Type; ","")&amp;IF(ISBLANK(Catalog!Y22),"Missing Location Id; ","")&amp;IF(AND(Catalog!T22&lt;&gt;"",COUNTIF(Catalog!$T$2:$T$501,Catalog!T22)&gt;1),"Duplicate ISBN; ","")&amp;IF(AND(Catalog!B22&lt;&gt;"",COUNTIF(Catalog!$B$2:$B$501,Catalog!B22)&gt;1),"Duplicate Accession; ",""))</f>
        <v/>
      </c>
    </row>
    <row r="47" spans="1:3" x14ac:dyDescent="0.25">
      <c r="A47" s="24" t="str">
        <f>Catalog!A23</f>
        <v/>
      </c>
      <c r="B47" s="25">
        <f>Catalog!D23</f>
        <v>0</v>
      </c>
      <c r="C47" s="26" t="str">
        <f>IF(Catalog!D23="","",IF(ISBLANK(Catalog!F23),"Missing Creator; ","")&amp;IF(ISBLANK(Catalog!K23),"Missing Item Type; ","")&amp;IF(ISBLANK(Catalog!L23),"Missing Subject; ","")&amp;IF(ISBLANK(Catalog!M23),"Missing Genre/Form; ","")&amp;IF(ISBLANK(Catalog!X23),"Missing Location Type; ","")&amp;IF(ISBLANK(Catalog!Y23),"Missing Location Id; ","")&amp;IF(AND(Catalog!T23&lt;&gt;"",COUNTIF(Catalog!$T$2:$T$501,Catalog!T23)&gt;1),"Duplicate ISBN; ","")&amp;IF(AND(Catalog!B23&lt;&gt;"",COUNTIF(Catalog!$B$2:$B$501,Catalog!B23)&gt;1),"Duplicate Accession; ",""))</f>
        <v/>
      </c>
    </row>
    <row r="48" spans="1:3" x14ac:dyDescent="0.25">
      <c r="A48" s="24" t="str">
        <f>Catalog!A24</f>
        <v/>
      </c>
      <c r="B48" s="25">
        <f>Catalog!D24</f>
        <v>0</v>
      </c>
      <c r="C48" s="26" t="str">
        <f>IF(Catalog!D24="","",IF(ISBLANK(Catalog!F24),"Missing Creator; ","")&amp;IF(ISBLANK(Catalog!K24),"Missing Item Type; ","")&amp;IF(ISBLANK(Catalog!L24),"Missing Subject; ","")&amp;IF(ISBLANK(Catalog!M24),"Missing Genre/Form; ","")&amp;IF(ISBLANK(Catalog!X24),"Missing Location Type; ","")&amp;IF(ISBLANK(Catalog!Y24),"Missing Location Id; ","")&amp;IF(AND(Catalog!T24&lt;&gt;"",COUNTIF(Catalog!$T$2:$T$501,Catalog!T24)&gt;1),"Duplicate ISBN; ","")&amp;IF(AND(Catalog!B24&lt;&gt;"",COUNTIF(Catalog!$B$2:$B$501,Catalog!B24)&gt;1),"Duplicate Accession; ",""))</f>
        <v/>
      </c>
    </row>
    <row r="49" spans="1:3" x14ac:dyDescent="0.25">
      <c r="A49" s="24" t="str">
        <f>Catalog!A25</f>
        <v/>
      </c>
      <c r="B49" s="25">
        <f>Catalog!D25</f>
        <v>0</v>
      </c>
      <c r="C49" s="26" t="str">
        <f>IF(Catalog!D25="","",IF(ISBLANK(Catalog!F25),"Missing Creator; ","")&amp;IF(ISBLANK(Catalog!K25),"Missing Item Type; ","")&amp;IF(ISBLANK(Catalog!L25),"Missing Subject; ","")&amp;IF(ISBLANK(Catalog!M25),"Missing Genre/Form; ","")&amp;IF(ISBLANK(Catalog!X25),"Missing Location Type; ","")&amp;IF(ISBLANK(Catalog!Y25),"Missing Location Id; ","")&amp;IF(AND(Catalog!T25&lt;&gt;"",COUNTIF(Catalog!$T$2:$T$501,Catalog!T25)&gt;1),"Duplicate ISBN; ","")&amp;IF(AND(Catalog!B25&lt;&gt;"",COUNTIF(Catalog!$B$2:$B$501,Catalog!B25)&gt;1),"Duplicate Accession; ",""))</f>
        <v/>
      </c>
    </row>
    <row r="50" spans="1:3" x14ac:dyDescent="0.25">
      <c r="A50" s="24" t="str">
        <f>Catalog!A26</f>
        <v/>
      </c>
      <c r="B50" s="25">
        <f>Catalog!D26</f>
        <v>0</v>
      </c>
      <c r="C50" s="26" t="str">
        <f>IF(Catalog!D26="","",IF(ISBLANK(Catalog!F26),"Missing Creator; ","")&amp;IF(ISBLANK(Catalog!K26),"Missing Item Type; ","")&amp;IF(ISBLANK(Catalog!L26),"Missing Subject; ","")&amp;IF(ISBLANK(Catalog!M26),"Missing Genre/Form; ","")&amp;IF(ISBLANK(Catalog!X26),"Missing Location Type; ","")&amp;IF(ISBLANK(Catalog!Y26),"Missing Location Id; ","")&amp;IF(AND(Catalog!T26&lt;&gt;"",COUNTIF(Catalog!$T$2:$T$501,Catalog!T26)&gt;1),"Duplicate ISBN; ","")&amp;IF(AND(Catalog!B26&lt;&gt;"",COUNTIF(Catalog!$B$2:$B$501,Catalog!B26)&gt;1),"Duplicate Accession; ",""))</f>
        <v/>
      </c>
    </row>
    <row r="51" spans="1:3" x14ac:dyDescent="0.25">
      <c r="A51" s="24" t="str">
        <f>Catalog!A27</f>
        <v/>
      </c>
      <c r="B51" s="25">
        <f>Catalog!D27</f>
        <v>0</v>
      </c>
      <c r="C51" s="26" t="str">
        <f>IF(Catalog!D27="","",IF(ISBLANK(Catalog!F27),"Missing Creator; ","")&amp;IF(ISBLANK(Catalog!K27),"Missing Item Type; ","")&amp;IF(ISBLANK(Catalog!L27),"Missing Subject; ","")&amp;IF(ISBLANK(Catalog!M27),"Missing Genre/Form; ","")&amp;IF(ISBLANK(Catalog!X27),"Missing Location Type; ","")&amp;IF(ISBLANK(Catalog!Y27),"Missing Location Id; ","")&amp;IF(AND(Catalog!T27&lt;&gt;"",COUNTIF(Catalog!$T$2:$T$501,Catalog!T27)&gt;1),"Duplicate ISBN; ","")&amp;IF(AND(Catalog!B27&lt;&gt;"",COUNTIF(Catalog!$B$2:$B$501,Catalog!B27)&gt;1),"Duplicate Accession; ",""))</f>
        <v/>
      </c>
    </row>
    <row r="52" spans="1:3" x14ac:dyDescent="0.25">
      <c r="A52" s="24" t="str">
        <f>Catalog!A28</f>
        <v/>
      </c>
      <c r="B52" s="25">
        <f>Catalog!D28</f>
        <v>0</v>
      </c>
      <c r="C52" s="26" t="str">
        <f>IF(Catalog!D28="","",IF(ISBLANK(Catalog!F28),"Missing Creator; ","")&amp;IF(ISBLANK(Catalog!K28),"Missing Item Type; ","")&amp;IF(ISBLANK(Catalog!L28),"Missing Subject; ","")&amp;IF(ISBLANK(Catalog!M28),"Missing Genre/Form; ","")&amp;IF(ISBLANK(Catalog!X28),"Missing Location Type; ","")&amp;IF(ISBLANK(Catalog!Y28),"Missing Location Id; ","")&amp;IF(AND(Catalog!T28&lt;&gt;"",COUNTIF(Catalog!$T$2:$T$501,Catalog!T28)&gt;1),"Duplicate ISBN; ","")&amp;IF(AND(Catalog!B28&lt;&gt;"",COUNTIF(Catalog!$B$2:$B$501,Catalog!B28)&gt;1),"Duplicate Accession; ",""))</f>
        <v/>
      </c>
    </row>
    <row r="53" spans="1:3" x14ac:dyDescent="0.25">
      <c r="A53" s="24" t="str">
        <f>Catalog!A29</f>
        <v/>
      </c>
      <c r="B53" s="25">
        <f>Catalog!D29</f>
        <v>0</v>
      </c>
      <c r="C53" s="26" t="str">
        <f>IF(Catalog!D29="","",IF(ISBLANK(Catalog!F29),"Missing Creator; ","")&amp;IF(ISBLANK(Catalog!K29),"Missing Item Type; ","")&amp;IF(ISBLANK(Catalog!L29),"Missing Subject; ","")&amp;IF(ISBLANK(Catalog!M29),"Missing Genre/Form; ","")&amp;IF(ISBLANK(Catalog!X29),"Missing Location Type; ","")&amp;IF(ISBLANK(Catalog!Y29),"Missing Location Id; ","")&amp;IF(AND(Catalog!T29&lt;&gt;"",COUNTIF(Catalog!$T$2:$T$501,Catalog!T29)&gt;1),"Duplicate ISBN; ","")&amp;IF(AND(Catalog!B29&lt;&gt;"",COUNTIF(Catalog!$B$2:$B$501,Catalog!B29)&gt;1),"Duplicate Accession; ",""))</f>
        <v/>
      </c>
    </row>
    <row r="54" spans="1:3" x14ac:dyDescent="0.25">
      <c r="A54" s="24" t="str">
        <f>Catalog!A30</f>
        <v/>
      </c>
      <c r="B54" s="25">
        <f>Catalog!D30</f>
        <v>0</v>
      </c>
      <c r="C54" s="26" t="str">
        <f>IF(Catalog!D30="","",IF(ISBLANK(Catalog!F30),"Missing Creator; ","")&amp;IF(ISBLANK(Catalog!K30),"Missing Item Type; ","")&amp;IF(ISBLANK(Catalog!L30),"Missing Subject; ","")&amp;IF(ISBLANK(Catalog!M30),"Missing Genre/Form; ","")&amp;IF(ISBLANK(Catalog!X30),"Missing Location Type; ","")&amp;IF(ISBLANK(Catalog!Y30),"Missing Location Id; ","")&amp;IF(AND(Catalog!T30&lt;&gt;"",COUNTIF(Catalog!$T$2:$T$501,Catalog!T30)&gt;1),"Duplicate ISBN; ","")&amp;IF(AND(Catalog!B30&lt;&gt;"",COUNTIF(Catalog!$B$2:$B$501,Catalog!B30)&gt;1),"Duplicate Accession; ",""))</f>
        <v/>
      </c>
    </row>
    <row r="55" spans="1:3" x14ac:dyDescent="0.25">
      <c r="A55" s="24" t="str">
        <f>Catalog!A31</f>
        <v/>
      </c>
      <c r="B55" s="25">
        <f>Catalog!D31</f>
        <v>0</v>
      </c>
      <c r="C55" s="26" t="str">
        <f>IF(Catalog!D31="","",IF(ISBLANK(Catalog!F31),"Missing Creator; ","")&amp;IF(ISBLANK(Catalog!K31),"Missing Item Type; ","")&amp;IF(ISBLANK(Catalog!L31),"Missing Subject; ","")&amp;IF(ISBLANK(Catalog!M31),"Missing Genre/Form; ","")&amp;IF(ISBLANK(Catalog!X31),"Missing Location Type; ","")&amp;IF(ISBLANK(Catalog!Y31),"Missing Location Id; ","")&amp;IF(AND(Catalog!T31&lt;&gt;"",COUNTIF(Catalog!$T$2:$T$501,Catalog!T31)&gt;1),"Duplicate ISBN; ","")&amp;IF(AND(Catalog!B31&lt;&gt;"",COUNTIF(Catalog!$B$2:$B$501,Catalog!B31)&gt;1),"Duplicate Accession; ",""))</f>
        <v/>
      </c>
    </row>
    <row r="56" spans="1:3" x14ac:dyDescent="0.25">
      <c r="A56" s="24" t="str">
        <f>Catalog!A32</f>
        <v/>
      </c>
      <c r="B56" s="25">
        <f>Catalog!D32</f>
        <v>0</v>
      </c>
      <c r="C56" s="26" t="str">
        <f>IF(Catalog!D32="","",IF(ISBLANK(Catalog!F32),"Missing Creator; ","")&amp;IF(ISBLANK(Catalog!K32),"Missing Item Type; ","")&amp;IF(ISBLANK(Catalog!L32),"Missing Subject; ","")&amp;IF(ISBLANK(Catalog!M32),"Missing Genre/Form; ","")&amp;IF(ISBLANK(Catalog!X32),"Missing Location Type; ","")&amp;IF(ISBLANK(Catalog!Y32),"Missing Location Id; ","")&amp;IF(AND(Catalog!T32&lt;&gt;"",COUNTIF(Catalog!$T$2:$T$501,Catalog!T32)&gt;1),"Duplicate ISBN; ","")&amp;IF(AND(Catalog!B32&lt;&gt;"",COUNTIF(Catalog!$B$2:$B$501,Catalog!B32)&gt;1),"Duplicate Accession; ",""))</f>
        <v/>
      </c>
    </row>
    <row r="57" spans="1:3" x14ac:dyDescent="0.25">
      <c r="A57" s="24" t="str">
        <f>Catalog!A33</f>
        <v/>
      </c>
      <c r="B57" s="25">
        <f>Catalog!D33</f>
        <v>0</v>
      </c>
      <c r="C57" s="26" t="str">
        <f>IF(Catalog!D33="","",IF(ISBLANK(Catalog!F33),"Missing Creator; ","")&amp;IF(ISBLANK(Catalog!K33),"Missing Item Type; ","")&amp;IF(ISBLANK(Catalog!L33),"Missing Subject; ","")&amp;IF(ISBLANK(Catalog!M33),"Missing Genre/Form; ","")&amp;IF(ISBLANK(Catalog!X33),"Missing Location Type; ","")&amp;IF(ISBLANK(Catalog!Y33),"Missing Location Id; ","")&amp;IF(AND(Catalog!T33&lt;&gt;"",COUNTIF(Catalog!$T$2:$T$501,Catalog!T33)&gt;1),"Duplicate ISBN; ","")&amp;IF(AND(Catalog!B33&lt;&gt;"",COUNTIF(Catalog!$B$2:$B$501,Catalog!B33)&gt;1),"Duplicate Accession; ",""))</f>
        <v/>
      </c>
    </row>
    <row r="58" spans="1:3" x14ac:dyDescent="0.25">
      <c r="A58" s="24" t="str">
        <f>Catalog!A34</f>
        <v/>
      </c>
      <c r="B58" s="25">
        <f>Catalog!D34</f>
        <v>0</v>
      </c>
      <c r="C58" s="26" t="str">
        <f>IF(Catalog!D34="","",IF(ISBLANK(Catalog!F34),"Missing Creator; ","")&amp;IF(ISBLANK(Catalog!K34),"Missing Item Type; ","")&amp;IF(ISBLANK(Catalog!L34),"Missing Subject; ","")&amp;IF(ISBLANK(Catalog!M34),"Missing Genre/Form; ","")&amp;IF(ISBLANK(Catalog!X34),"Missing Location Type; ","")&amp;IF(ISBLANK(Catalog!Y34),"Missing Location Id; ","")&amp;IF(AND(Catalog!T34&lt;&gt;"",COUNTIF(Catalog!$T$2:$T$501,Catalog!T34)&gt;1),"Duplicate ISBN; ","")&amp;IF(AND(Catalog!B34&lt;&gt;"",COUNTIF(Catalog!$B$2:$B$501,Catalog!B34)&gt;1),"Duplicate Accession; ",""))</f>
        <v/>
      </c>
    </row>
    <row r="59" spans="1:3" x14ac:dyDescent="0.25">
      <c r="A59" s="24" t="str">
        <f>Catalog!A35</f>
        <v/>
      </c>
      <c r="B59" s="25">
        <f>Catalog!D35</f>
        <v>0</v>
      </c>
      <c r="C59" s="26" t="str">
        <f>IF(Catalog!D35="","",IF(ISBLANK(Catalog!F35),"Missing Creator; ","")&amp;IF(ISBLANK(Catalog!K35),"Missing Item Type; ","")&amp;IF(ISBLANK(Catalog!L35),"Missing Subject; ","")&amp;IF(ISBLANK(Catalog!M35),"Missing Genre/Form; ","")&amp;IF(ISBLANK(Catalog!X35),"Missing Location Type; ","")&amp;IF(ISBLANK(Catalog!Y35),"Missing Location Id; ","")&amp;IF(AND(Catalog!T35&lt;&gt;"",COUNTIF(Catalog!$T$2:$T$501,Catalog!T35)&gt;1),"Duplicate ISBN; ","")&amp;IF(AND(Catalog!B35&lt;&gt;"",COUNTIF(Catalog!$B$2:$B$501,Catalog!B35)&gt;1),"Duplicate Accession; ",""))</f>
        <v/>
      </c>
    </row>
    <row r="60" spans="1:3" x14ac:dyDescent="0.25">
      <c r="A60" s="24" t="str">
        <f>Catalog!A36</f>
        <v/>
      </c>
      <c r="B60" s="25">
        <f>Catalog!D36</f>
        <v>0</v>
      </c>
      <c r="C60" s="26" t="str">
        <f>IF(Catalog!D36="","",IF(ISBLANK(Catalog!F36),"Missing Creator; ","")&amp;IF(ISBLANK(Catalog!K36),"Missing Item Type; ","")&amp;IF(ISBLANK(Catalog!L36),"Missing Subject; ","")&amp;IF(ISBLANK(Catalog!M36),"Missing Genre/Form; ","")&amp;IF(ISBLANK(Catalog!X36),"Missing Location Type; ","")&amp;IF(ISBLANK(Catalog!Y36),"Missing Location Id; ","")&amp;IF(AND(Catalog!T36&lt;&gt;"",COUNTIF(Catalog!$T$2:$T$501,Catalog!T36)&gt;1),"Duplicate ISBN; ","")&amp;IF(AND(Catalog!B36&lt;&gt;"",COUNTIF(Catalog!$B$2:$B$501,Catalog!B36)&gt;1),"Duplicate Accession; ",""))</f>
        <v/>
      </c>
    </row>
    <row r="61" spans="1:3" x14ac:dyDescent="0.25">
      <c r="A61" s="24" t="str">
        <f>Catalog!A37</f>
        <v/>
      </c>
      <c r="B61" s="25">
        <f>Catalog!D37</f>
        <v>0</v>
      </c>
      <c r="C61" s="26" t="str">
        <f>IF(Catalog!D37="","",IF(ISBLANK(Catalog!F37),"Missing Creator; ","")&amp;IF(ISBLANK(Catalog!K37),"Missing Item Type; ","")&amp;IF(ISBLANK(Catalog!L37),"Missing Subject; ","")&amp;IF(ISBLANK(Catalog!M37),"Missing Genre/Form; ","")&amp;IF(ISBLANK(Catalog!X37),"Missing Location Type; ","")&amp;IF(ISBLANK(Catalog!Y37),"Missing Location Id; ","")&amp;IF(AND(Catalog!T37&lt;&gt;"",COUNTIF(Catalog!$T$2:$T$501,Catalog!T37)&gt;1),"Duplicate ISBN; ","")&amp;IF(AND(Catalog!B37&lt;&gt;"",COUNTIF(Catalog!$B$2:$B$501,Catalog!B37)&gt;1),"Duplicate Accession; ",""))</f>
        <v/>
      </c>
    </row>
    <row r="62" spans="1:3" x14ac:dyDescent="0.25">
      <c r="A62" s="24" t="str">
        <f>Catalog!A38</f>
        <v/>
      </c>
      <c r="B62" s="25">
        <f>Catalog!D38</f>
        <v>0</v>
      </c>
      <c r="C62" s="26" t="str">
        <f>IF(Catalog!D38="","",IF(ISBLANK(Catalog!F38),"Missing Creator; ","")&amp;IF(ISBLANK(Catalog!K38),"Missing Item Type; ","")&amp;IF(ISBLANK(Catalog!L38),"Missing Subject; ","")&amp;IF(ISBLANK(Catalog!M38),"Missing Genre/Form; ","")&amp;IF(ISBLANK(Catalog!X38),"Missing Location Type; ","")&amp;IF(ISBLANK(Catalog!Y38),"Missing Location Id; ","")&amp;IF(AND(Catalog!T38&lt;&gt;"",COUNTIF(Catalog!$T$2:$T$501,Catalog!T38)&gt;1),"Duplicate ISBN; ","")&amp;IF(AND(Catalog!B38&lt;&gt;"",COUNTIF(Catalog!$B$2:$B$501,Catalog!B38)&gt;1),"Duplicate Accession; ",""))</f>
        <v/>
      </c>
    </row>
    <row r="63" spans="1:3" x14ac:dyDescent="0.25">
      <c r="A63" s="24" t="str">
        <f>Catalog!A39</f>
        <v/>
      </c>
      <c r="B63" s="25">
        <f>Catalog!D39</f>
        <v>0</v>
      </c>
      <c r="C63" s="26" t="str">
        <f>IF(Catalog!D39="","",IF(ISBLANK(Catalog!F39),"Missing Creator; ","")&amp;IF(ISBLANK(Catalog!K39),"Missing Item Type; ","")&amp;IF(ISBLANK(Catalog!L39),"Missing Subject; ","")&amp;IF(ISBLANK(Catalog!M39),"Missing Genre/Form; ","")&amp;IF(ISBLANK(Catalog!X39),"Missing Location Type; ","")&amp;IF(ISBLANK(Catalog!Y39),"Missing Location Id; ","")&amp;IF(AND(Catalog!T39&lt;&gt;"",COUNTIF(Catalog!$T$2:$T$501,Catalog!T39)&gt;1),"Duplicate ISBN; ","")&amp;IF(AND(Catalog!B39&lt;&gt;"",COUNTIF(Catalog!$B$2:$B$501,Catalog!B39)&gt;1),"Duplicate Accession; ",""))</f>
        <v/>
      </c>
    </row>
    <row r="64" spans="1:3" x14ac:dyDescent="0.25">
      <c r="A64" s="24" t="str">
        <f>Catalog!A40</f>
        <v/>
      </c>
      <c r="B64" s="25">
        <f>Catalog!D40</f>
        <v>0</v>
      </c>
      <c r="C64" s="26" t="str">
        <f>IF(Catalog!D40="","",IF(ISBLANK(Catalog!F40),"Missing Creator; ","")&amp;IF(ISBLANK(Catalog!K40),"Missing Item Type; ","")&amp;IF(ISBLANK(Catalog!L40),"Missing Subject; ","")&amp;IF(ISBLANK(Catalog!M40),"Missing Genre/Form; ","")&amp;IF(ISBLANK(Catalog!X40),"Missing Location Type; ","")&amp;IF(ISBLANK(Catalog!Y40),"Missing Location Id; ","")&amp;IF(AND(Catalog!T40&lt;&gt;"",COUNTIF(Catalog!$T$2:$T$501,Catalog!T40)&gt;1),"Duplicate ISBN; ","")&amp;IF(AND(Catalog!B40&lt;&gt;"",COUNTIF(Catalog!$B$2:$B$501,Catalog!B40)&gt;1),"Duplicate Accession; ",""))</f>
        <v/>
      </c>
    </row>
    <row r="65" spans="1:3" x14ac:dyDescent="0.25">
      <c r="A65" s="24" t="str">
        <f>Catalog!A41</f>
        <v/>
      </c>
      <c r="B65" s="25">
        <f>Catalog!D41</f>
        <v>0</v>
      </c>
      <c r="C65" s="26" t="str">
        <f>IF(Catalog!D41="","",IF(ISBLANK(Catalog!F41),"Missing Creator; ","")&amp;IF(ISBLANK(Catalog!K41),"Missing Item Type; ","")&amp;IF(ISBLANK(Catalog!L41),"Missing Subject; ","")&amp;IF(ISBLANK(Catalog!M41),"Missing Genre/Form; ","")&amp;IF(ISBLANK(Catalog!X41),"Missing Location Type; ","")&amp;IF(ISBLANK(Catalog!Y41),"Missing Location Id; ","")&amp;IF(AND(Catalog!T41&lt;&gt;"",COUNTIF(Catalog!$T$2:$T$501,Catalog!T41)&gt;1),"Duplicate ISBN; ","")&amp;IF(AND(Catalog!B41&lt;&gt;"",COUNTIF(Catalog!$B$2:$B$501,Catalog!B41)&gt;1),"Duplicate Accession; ",""))</f>
        <v/>
      </c>
    </row>
    <row r="66" spans="1:3" x14ac:dyDescent="0.25">
      <c r="A66" s="24" t="str">
        <f>Catalog!A42</f>
        <v/>
      </c>
      <c r="B66" s="25">
        <f>Catalog!D42</f>
        <v>0</v>
      </c>
      <c r="C66" s="26" t="str">
        <f>IF(Catalog!D42="","",IF(ISBLANK(Catalog!F42),"Missing Creator; ","")&amp;IF(ISBLANK(Catalog!K42),"Missing Item Type; ","")&amp;IF(ISBLANK(Catalog!L42),"Missing Subject; ","")&amp;IF(ISBLANK(Catalog!M42),"Missing Genre/Form; ","")&amp;IF(ISBLANK(Catalog!X42),"Missing Location Type; ","")&amp;IF(ISBLANK(Catalog!Y42),"Missing Location Id; ","")&amp;IF(AND(Catalog!T42&lt;&gt;"",COUNTIF(Catalog!$T$2:$T$501,Catalog!T42)&gt;1),"Duplicate ISBN; ","")&amp;IF(AND(Catalog!B42&lt;&gt;"",COUNTIF(Catalog!$B$2:$B$501,Catalog!B42)&gt;1),"Duplicate Accession; ",""))</f>
        <v/>
      </c>
    </row>
    <row r="67" spans="1:3" x14ac:dyDescent="0.25">
      <c r="A67" s="24" t="str">
        <f>Catalog!A43</f>
        <v/>
      </c>
      <c r="B67" s="25">
        <f>Catalog!D43</f>
        <v>0</v>
      </c>
      <c r="C67" s="26" t="str">
        <f>IF(Catalog!D43="","",IF(ISBLANK(Catalog!F43),"Missing Creator; ","")&amp;IF(ISBLANK(Catalog!K43),"Missing Item Type; ","")&amp;IF(ISBLANK(Catalog!L43),"Missing Subject; ","")&amp;IF(ISBLANK(Catalog!M43),"Missing Genre/Form; ","")&amp;IF(ISBLANK(Catalog!X43),"Missing Location Type; ","")&amp;IF(ISBLANK(Catalog!Y43),"Missing Location Id; ","")&amp;IF(AND(Catalog!T43&lt;&gt;"",COUNTIF(Catalog!$T$2:$T$501,Catalog!T43)&gt;1),"Duplicate ISBN; ","")&amp;IF(AND(Catalog!B43&lt;&gt;"",COUNTIF(Catalog!$B$2:$B$501,Catalog!B43)&gt;1),"Duplicate Accession; ",""))</f>
        <v/>
      </c>
    </row>
    <row r="68" spans="1:3" x14ac:dyDescent="0.25">
      <c r="A68" s="24" t="str">
        <f>Catalog!A44</f>
        <v/>
      </c>
      <c r="B68" s="25">
        <f>Catalog!D44</f>
        <v>0</v>
      </c>
      <c r="C68" s="26" t="str">
        <f>IF(Catalog!D44="","",IF(ISBLANK(Catalog!F44),"Missing Creator; ","")&amp;IF(ISBLANK(Catalog!K44),"Missing Item Type; ","")&amp;IF(ISBLANK(Catalog!L44),"Missing Subject; ","")&amp;IF(ISBLANK(Catalog!M44),"Missing Genre/Form; ","")&amp;IF(ISBLANK(Catalog!X44),"Missing Location Type; ","")&amp;IF(ISBLANK(Catalog!Y44),"Missing Location Id; ","")&amp;IF(AND(Catalog!T44&lt;&gt;"",COUNTIF(Catalog!$T$2:$T$501,Catalog!T44)&gt;1),"Duplicate ISBN; ","")&amp;IF(AND(Catalog!B44&lt;&gt;"",COUNTIF(Catalog!$B$2:$B$501,Catalog!B44)&gt;1),"Duplicate Accession; ",""))</f>
        <v/>
      </c>
    </row>
    <row r="69" spans="1:3" x14ac:dyDescent="0.25">
      <c r="A69" s="24" t="str">
        <f>Catalog!A45</f>
        <v/>
      </c>
      <c r="B69" s="25">
        <f>Catalog!D45</f>
        <v>0</v>
      </c>
      <c r="C69" s="26" t="str">
        <f>IF(Catalog!D45="","",IF(ISBLANK(Catalog!F45),"Missing Creator; ","")&amp;IF(ISBLANK(Catalog!K45),"Missing Item Type; ","")&amp;IF(ISBLANK(Catalog!L45),"Missing Subject; ","")&amp;IF(ISBLANK(Catalog!M45),"Missing Genre/Form; ","")&amp;IF(ISBLANK(Catalog!X45),"Missing Location Type; ","")&amp;IF(ISBLANK(Catalog!Y45),"Missing Location Id; ","")&amp;IF(AND(Catalog!T45&lt;&gt;"",COUNTIF(Catalog!$T$2:$T$501,Catalog!T45)&gt;1),"Duplicate ISBN; ","")&amp;IF(AND(Catalog!B45&lt;&gt;"",COUNTIF(Catalog!$B$2:$B$501,Catalog!B45)&gt;1),"Duplicate Accession; ",""))</f>
        <v/>
      </c>
    </row>
    <row r="70" spans="1:3" x14ac:dyDescent="0.25">
      <c r="A70" s="24" t="str">
        <f>Catalog!A46</f>
        <v/>
      </c>
      <c r="B70" s="25">
        <f>Catalog!D46</f>
        <v>0</v>
      </c>
      <c r="C70" s="26" t="str">
        <f>IF(Catalog!D46="","",IF(ISBLANK(Catalog!F46),"Missing Creator; ","")&amp;IF(ISBLANK(Catalog!K46),"Missing Item Type; ","")&amp;IF(ISBLANK(Catalog!L46),"Missing Subject; ","")&amp;IF(ISBLANK(Catalog!M46),"Missing Genre/Form; ","")&amp;IF(ISBLANK(Catalog!X46),"Missing Location Type; ","")&amp;IF(ISBLANK(Catalog!Y46),"Missing Location Id; ","")&amp;IF(AND(Catalog!T46&lt;&gt;"",COUNTIF(Catalog!$T$2:$T$501,Catalog!T46)&gt;1),"Duplicate ISBN; ","")&amp;IF(AND(Catalog!B46&lt;&gt;"",COUNTIF(Catalog!$B$2:$B$501,Catalog!B46)&gt;1),"Duplicate Accession; ",""))</f>
        <v/>
      </c>
    </row>
    <row r="71" spans="1:3" x14ac:dyDescent="0.25">
      <c r="A71" s="24" t="str">
        <f>Catalog!A47</f>
        <v/>
      </c>
      <c r="B71" s="25">
        <f>Catalog!D47</f>
        <v>0</v>
      </c>
      <c r="C71" s="26" t="str">
        <f>IF(Catalog!D47="","",IF(ISBLANK(Catalog!F47),"Missing Creator; ","")&amp;IF(ISBLANK(Catalog!K47),"Missing Item Type; ","")&amp;IF(ISBLANK(Catalog!L47),"Missing Subject; ","")&amp;IF(ISBLANK(Catalog!M47),"Missing Genre/Form; ","")&amp;IF(ISBLANK(Catalog!X47),"Missing Location Type; ","")&amp;IF(ISBLANK(Catalog!Y47),"Missing Location Id; ","")&amp;IF(AND(Catalog!T47&lt;&gt;"",COUNTIF(Catalog!$T$2:$T$501,Catalog!T47)&gt;1),"Duplicate ISBN; ","")&amp;IF(AND(Catalog!B47&lt;&gt;"",COUNTIF(Catalog!$B$2:$B$501,Catalog!B47)&gt;1),"Duplicate Accession; ",""))</f>
        <v/>
      </c>
    </row>
    <row r="72" spans="1:3" x14ac:dyDescent="0.25">
      <c r="A72" s="24" t="str">
        <f>Catalog!A48</f>
        <v/>
      </c>
      <c r="B72" s="25">
        <f>Catalog!D48</f>
        <v>0</v>
      </c>
      <c r="C72" s="26" t="str">
        <f>IF(Catalog!D48="","",IF(ISBLANK(Catalog!F48),"Missing Creator; ","")&amp;IF(ISBLANK(Catalog!K48),"Missing Item Type; ","")&amp;IF(ISBLANK(Catalog!L48),"Missing Subject; ","")&amp;IF(ISBLANK(Catalog!M48),"Missing Genre/Form; ","")&amp;IF(ISBLANK(Catalog!X48),"Missing Location Type; ","")&amp;IF(ISBLANK(Catalog!Y48),"Missing Location Id; ","")&amp;IF(AND(Catalog!T48&lt;&gt;"",COUNTIF(Catalog!$T$2:$T$501,Catalog!T48)&gt;1),"Duplicate ISBN; ","")&amp;IF(AND(Catalog!B48&lt;&gt;"",COUNTIF(Catalog!$B$2:$B$501,Catalog!B48)&gt;1),"Duplicate Accession; ",""))</f>
        <v/>
      </c>
    </row>
    <row r="73" spans="1:3" x14ac:dyDescent="0.25">
      <c r="A73" s="24" t="str">
        <f>Catalog!A49</f>
        <v/>
      </c>
      <c r="B73" s="25">
        <f>Catalog!D49</f>
        <v>0</v>
      </c>
      <c r="C73" s="26" t="str">
        <f>IF(Catalog!D49="","",IF(ISBLANK(Catalog!F49),"Missing Creator; ","")&amp;IF(ISBLANK(Catalog!K49),"Missing Item Type; ","")&amp;IF(ISBLANK(Catalog!L49),"Missing Subject; ","")&amp;IF(ISBLANK(Catalog!M49),"Missing Genre/Form; ","")&amp;IF(ISBLANK(Catalog!X49),"Missing Location Type; ","")&amp;IF(ISBLANK(Catalog!Y49),"Missing Location Id; ","")&amp;IF(AND(Catalog!T49&lt;&gt;"",COUNTIF(Catalog!$T$2:$T$501,Catalog!T49)&gt;1),"Duplicate ISBN; ","")&amp;IF(AND(Catalog!B49&lt;&gt;"",COUNTIF(Catalog!$B$2:$B$501,Catalog!B49)&gt;1),"Duplicate Accession; ",""))</f>
        <v/>
      </c>
    </row>
    <row r="74" spans="1:3" x14ac:dyDescent="0.25">
      <c r="A74" s="24" t="str">
        <f>Catalog!A50</f>
        <v/>
      </c>
      <c r="B74" s="25">
        <f>Catalog!D50</f>
        <v>0</v>
      </c>
      <c r="C74" s="26" t="str">
        <f>IF(Catalog!D50="","",IF(ISBLANK(Catalog!F50),"Missing Creator; ","")&amp;IF(ISBLANK(Catalog!K50),"Missing Item Type; ","")&amp;IF(ISBLANK(Catalog!L50),"Missing Subject; ","")&amp;IF(ISBLANK(Catalog!M50),"Missing Genre/Form; ","")&amp;IF(ISBLANK(Catalog!X50),"Missing Location Type; ","")&amp;IF(ISBLANK(Catalog!Y50),"Missing Location Id; ","")&amp;IF(AND(Catalog!T50&lt;&gt;"",COUNTIF(Catalog!$T$2:$T$501,Catalog!T50)&gt;1),"Duplicate ISBN; ","")&amp;IF(AND(Catalog!B50&lt;&gt;"",COUNTIF(Catalog!$B$2:$B$501,Catalog!B50)&gt;1),"Duplicate Accession; ",""))</f>
        <v/>
      </c>
    </row>
    <row r="75" spans="1:3" x14ac:dyDescent="0.25">
      <c r="A75" s="24" t="str">
        <f>Catalog!A51</f>
        <v/>
      </c>
      <c r="B75" s="25">
        <f>Catalog!D51</f>
        <v>0</v>
      </c>
      <c r="C75" s="26" t="str">
        <f>IF(Catalog!D51="","",IF(ISBLANK(Catalog!F51),"Missing Creator; ","")&amp;IF(ISBLANK(Catalog!K51),"Missing Item Type; ","")&amp;IF(ISBLANK(Catalog!L51),"Missing Subject; ","")&amp;IF(ISBLANK(Catalog!M51),"Missing Genre/Form; ","")&amp;IF(ISBLANK(Catalog!X51),"Missing Location Type; ","")&amp;IF(ISBLANK(Catalog!Y51),"Missing Location Id; ","")&amp;IF(AND(Catalog!T51&lt;&gt;"",COUNTIF(Catalog!$T$2:$T$501,Catalog!T51)&gt;1),"Duplicate ISBN; ","")&amp;IF(AND(Catalog!B51&lt;&gt;"",COUNTIF(Catalog!$B$2:$B$501,Catalog!B51)&gt;1),"Duplicate Accession; ",""))</f>
        <v/>
      </c>
    </row>
    <row r="76" spans="1:3" x14ac:dyDescent="0.25">
      <c r="A76" s="24" t="str">
        <f>Catalog!A52</f>
        <v/>
      </c>
      <c r="B76" s="25">
        <f>Catalog!D52</f>
        <v>0</v>
      </c>
      <c r="C76" s="26" t="str">
        <f>IF(Catalog!D52="","",IF(ISBLANK(Catalog!F52),"Missing Creator; ","")&amp;IF(ISBLANK(Catalog!K52),"Missing Item Type; ","")&amp;IF(ISBLANK(Catalog!L52),"Missing Subject; ","")&amp;IF(ISBLANK(Catalog!M52),"Missing Genre/Form; ","")&amp;IF(ISBLANK(Catalog!X52),"Missing Location Type; ","")&amp;IF(ISBLANK(Catalog!Y52),"Missing Location Id; ","")&amp;IF(AND(Catalog!T52&lt;&gt;"",COUNTIF(Catalog!$T$2:$T$501,Catalog!T52)&gt;1),"Duplicate ISBN; ","")&amp;IF(AND(Catalog!B52&lt;&gt;"",COUNTIF(Catalog!$B$2:$B$501,Catalog!B52)&gt;1),"Duplicate Accession; ",""))</f>
        <v/>
      </c>
    </row>
    <row r="77" spans="1:3" x14ac:dyDescent="0.25">
      <c r="A77" s="24" t="str">
        <f>Catalog!A53</f>
        <v/>
      </c>
      <c r="B77" s="25">
        <f>Catalog!D53</f>
        <v>0</v>
      </c>
      <c r="C77" s="26" t="str">
        <f>IF(Catalog!D53="","",IF(ISBLANK(Catalog!F53),"Missing Creator; ","")&amp;IF(ISBLANK(Catalog!K53),"Missing Item Type; ","")&amp;IF(ISBLANK(Catalog!L53),"Missing Subject; ","")&amp;IF(ISBLANK(Catalog!M53),"Missing Genre/Form; ","")&amp;IF(ISBLANK(Catalog!X53),"Missing Location Type; ","")&amp;IF(ISBLANK(Catalog!Y53),"Missing Location Id; ","")&amp;IF(AND(Catalog!T53&lt;&gt;"",COUNTIF(Catalog!$T$2:$T$501,Catalog!T53)&gt;1),"Duplicate ISBN; ","")&amp;IF(AND(Catalog!B53&lt;&gt;"",COUNTIF(Catalog!$B$2:$B$501,Catalog!B53)&gt;1),"Duplicate Accession; ",""))</f>
        <v/>
      </c>
    </row>
    <row r="78" spans="1:3" x14ac:dyDescent="0.25">
      <c r="A78" s="24" t="str">
        <f>Catalog!A54</f>
        <v/>
      </c>
      <c r="B78" s="25">
        <f>Catalog!D54</f>
        <v>0</v>
      </c>
      <c r="C78" s="26" t="str">
        <f>IF(Catalog!D54="","",IF(ISBLANK(Catalog!F54),"Missing Creator; ","")&amp;IF(ISBLANK(Catalog!K54),"Missing Item Type; ","")&amp;IF(ISBLANK(Catalog!L54),"Missing Subject; ","")&amp;IF(ISBLANK(Catalog!M54),"Missing Genre/Form; ","")&amp;IF(ISBLANK(Catalog!X54),"Missing Location Type; ","")&amp;IF(ISBLANK(Catalog!Y54),"Missing Location Id; ","")&amp;IF(AND(Catalog!T54&lt;&gt;"",COUNTIF(Catalog!$T$2:$T$501,Catalog!T54)&gt;1),"Duplicate ISBN; ","")&amp;IF(AND(Catalog!B54&lt;&gt;"",COUNTIF(Catalog!$B$2:$B$501,Catalog!B54)&gt;1),"Duplicate Accession; ",""))</f>
        <v/>
      </c>
    </row>
    <row r="79" spans="1:3" x14ac:dyDescent="0.25">
      <c r="A79" s="24" t="str">
        <f>Catalog!A55</f>
        <v/>
      </c>
      <c r="B79" s="25">
        <f>Catalog!D55</f>
        <v>0</v>
      </c>
      <c r="C79" s="26" t="str">
        <f>IF(Catalog!D55="","",IF(ISBLANK(Catalog!F55),"Missing Creator; ","")&amp;IF(ISBLANK(Catalog!K55),"Missing Item Type; ","")&amp;IF(ISBLANK(Catalog!L55),"Missing Subject; ","")&amp;IF(ISBLANK(Catalog!M55),"Missing Genre/Form; ","")&amp;IF(ISBLANK(Catalog!X55),"Missing Location Type; ","")&amp;IF(ISBLANK(Catalog!Y55),"Missing Location Id; ","")&amp;IF(AND(Catalog!T55&lt;&gt;"",COUNTIF(Catalog!$T$2:$T$501,Catalog!T55)&gt;1),"Duplicate ISBN; ","")&amp;IF(AND(Catalog!B55&lt;&gt;"",COUNTIF(Catalog!$B$2:$B$501,Catalog!B55)&gt;1),"Duplicate Accession; ",""))</f>
        <v/>
      </c>
    </row>
    <row r="80" spans="1:3" x14ac:dyDescent="0.25">
      <c r="A80" s="24" t="str">
        <f>Catalog!A56</f>
        <v/>
      </c>
      <c r="B80" s="25">
        <f>Catalog!D56</f>
        <v>0</v>
      </c>
      <c r="C80" s="26" t="str">
        <f>IF(Catalog!D56="","",IF(ISBLANK(Catalog!F56),"Missing Creator; ","")&amp;IF(ISBLANK(Catalog!K56),"Missing Item Type; ","")&amp;IF(ISBLANK(Catalog!L56),"Missing Subject; ","")&amp;IF(ISBLANK(Catalog!M56),"Missing Genre/Form; ","")&amp;IF(ISBLANK(Catalog!X56),"Missing Location Type; ","")&amp;IF(ISBLANK(Catalog!Y56),"Missing Location Id; ","")&amp;IF(AND(Catalog!T56&lt;&gt;"",COUNTIF(Catalog!$T$2:$T$501,Catalog!T56)&gt;1),"Duplicate ISBN; ","")&amp;IF(AND(Catalog!B56&lt;&gt;"",COUNTIF(Catalog!$B$2:$B$501,Catalog!B56)&gt;1),"Duplicate Accession; ",""))</f>
        <v/>
      </c>
    </row>
    <row r="81" spans="1:3" x14ac:dyDescent="0.25">
      <c r="A81" s="24" t="str">
        <f>Catalog!A57</f>
        <v/>
      </c>
      <c r="B81" s="25">
        <f>Catalog!D57</f>
        <v>0</v>
      </c>
      <c r="C81" s="26" t="str">
        <f>IF(Catalog!D57="","",IF(ISBLANK(Catalog!F57),"Missing Creator; ","")&amp;IF(ISBLANK(Catalog!K57),"Missing Item Type; ","")&amp;IF(ISBLANK(Catalog!L57),"Missing Subject; ","")&amp;IF(ISBLANK(Catalog!M57),"Missing Genre/Form; ","")&amp;IF(ISBLANK(Catalog!X57),"Missing Location Type; ","")&amp;IF(ISBLANK(Catalog!Y57),"Missing Location Id; ","")&amp;IF(AND(Catalog!T57&lt;&gt;"",COUNTIF(Catalog!$T$2:$T$501,Catalog!T57)&gt;1),"Duplicate ISBN; ","")&amp;IF(AND(Catalog!B57&lt;&gt;"",COUNTIF(Catalog!$B$2:$B$501,Catalog!B57)&gt;1),"Duplicate Accession; ",""))</f>
        <v/>
      </c>
    </row>
    <row r="82" spans="1:3" x14ac:dyDescent="0.25">
      <c r="A82" s="24" t="str">
        <f>Catalog!A58</f>
        <v/>
      </c>
      <c r="B82" s="25">
        <f>Catalog!D58</f>
        <v>0</v>
      </c>
      <c r="C82" s="26" t="str">
        <f>IF(Catalog!D58="","",IF(ISBLANK(Catalog!F58),"Missing Creator; ","")&amp;IF(ISBLANK(Catalog!K58),"Missing Item Type; ","")&amp;IF(ISBLANK(Catalog!L58),"Missing Subject; ","")&amp;IF(ISBLANK(Catalog!M58),"Missing Genre/Form; ","")&amp;IF(ISBLANK(Catalog!X58),"Missing Location Type; ","")&amp;IF(ISBLANK(Catalog!Y58),"Missing Location Id; ","")&amp;IF(AND(Catalog!T58&lt;&gt;"",COUNTIF(Catalog!$T$2:$T$501,Catalog!T58)&gt;1),"Duplicate ISBN; ","")&amp;IF(AND(Catalog!B58&lt;&gt;"",COUNTIF(Catalog!$B$2:$B$501,Catalog!B58)&gt;1),"Duplicate Accession; ",""))</f>
        <v/>
      </c>
    </row>
    <row r="83" spans="1:3" x14ac:dyDescent="0.25">
      <c r="A83" s="24" t="str">
        <f>Catalog!A59</f>
        <v/>
      </c>
      <c r="B83" s="25">
        <f>Catalog!D59</f>
        <v>0</v>
      </c>
      <c r="C83" s="26" t="str">
        <f>IF(Catalog!D59="","",IF(ISBLANK(Catalog!F59),"Missing Creator; ","")&amp;IF(ISBLANK(Catalog!K59),"Missing Item Type; ","")&amp;IF(ISBLANK(Catalog!L59),"Missing Subject; ","")&amp;IF(ISBLANK(Catalog!M59),"Missing Genre/Form; ","")&amp;IF(ISBLANK(Catalog!X59),"Missing Location Type; ","")&amp;IF(ISBLANK(Catalog!Y59),"Missing Location Id; ","")&amp;IF(AND(Catalog!T59&lt;&gt;"",COUNTIF(Catalog!$T$2:$T$501,Catalog!T59)&gt;1),"Duplicate ISBN; ","")&amp;IF(AND(Catalog!B59&lt;&gt;"",COUNTIF(Catalog!$B$2:$B$501,Catalog!B59)&gt;1),"Duplicate Accession; ",""))</f>
        <v/>
      </c>
    </row>
    <row r="84" spans="1:3" x14ac:dyDescent="0.25">
      <c r="A84" s="24" t="str">
        <f>Catalog!A60</f>
        <v/>
      </c>
      <c r="B84" s="25">
        <f>Catalog!D60</f>
        <v>0</v>
      </c>
      <c r="C84" s="26" t="str">
        <f>IF(Catalog!D60="","",IF(ISBLANK(Catalog!F60),"Missing Creator; ","")&amp;IF(ISBLANK(Catalog!K60),"Missing Item Type; ","")&amp;IF(ISBLANK(Catalog!L60),"Missing Subject; ","")&amp;IF(ISBLANK(Catalog!M60),"Missing Genre/Form; ","")&amp;IF(ISBLANK(Catalog!X60),"Missing Location Type; ","")&amp;IF(ISBLANK(Catalog!Y60),"Missing Location Id; ","")&amp;IF(AND(Catalog!T60&lt;&gt;"",COUNTIF(Catalog!$T$2:$T$501,Catalog!T60)&gt;1),"Duplicate ISBN; ","")&amp;IF(AND(Catalog!B60&lt;&gt;"",COUNTIF(Catalog!$B$2:$B$501,Catalog!B60)&gt;1),"Duplicate Accession; ",""))</f>
        <v/>
      </c>
    </row>
    <row r="85" spans="1:3" x14ac:dyDescent="0.25">
      <c r="A85" s="24" t="str">
        <f>Catalog!A61</f>
        <v/>
      </c>
      <c r="B85" s="25">
        <f>Catalog!D61</f>
        <v>0</v>
      </c>
      <c r="C85" s="26" t="str">
        <f>IF(Catalog!D61="","",IF(ISBLANK(Catalog!F61),"Missing Creator; ","")&amp;IF(ISBLANK(Catalog!K61),"Missing Item Type; ","")&amp;IF(ISBLANK(Catalog!L61),"Missing Subject; ","")&amp;IF(ISBLANK(Catalog!M61),"Missing Genre/Form; ","")&amp;IF(ISBLANK(Catalog!X61),"Missing Location Type; ","")&amp;IF(ISBLANK(Catalog!Y61),"Missing Location Id; ","")&amp;IF(AND(Catalog!T61&lt;&gt;"",COUNTIF(Catalog!$T$2:$T$501,Catalog!T61)&gt;1),"Duplicate ISBN; ","")&amp;IF(AND(Catalog!B61&lt;&gt;"",COUNTIF(Catalog!$B$2:$B$501,Catalog!B61)&gt;1),"Duplicate Accession; ",""))</f>
        <v/>
      </c>
    </row>
    <row r="86" spans="1:3" x14ac:dyDescent="0.25">
      <c r="A86" s="24" t="str">
        <f>Catalog!A62</f>
        <v/>
      </c>
      <c r="B86" s="25">
        <f>Catalog!D62</f>
        <v>0</v>
      </c>
      <c r="C86" s="26" t="str">
        <f>IF(Catalog!D62="","",IF(ISBLANK(Catalog!F62),"Missing Creator; ","")&amp;IF(ISBLANK(Catalog!K62),"Missing Item Type; ","")&amp;IF(ISBLANK(Catalog!L62),"Missing Subject; ","")&amp;IF(ISBLANK(Catalog!M62),"Missing Genre/Form; ","")&amp;IF(ISBLANK(Catalog!X62),"Missing Location Type; ","")&amp;IF(ISBLANK(Catalog!Y62),"Missing Location Id; ","")&amp;IF(AND(Catalog!T62&lt;&gt;"",COUNTIF(Catalog!$T$2:$T$501,Catalog!T62)&gt;1),"Duplicate ISBN; ","")&amp;IF(AND(Catalog!B62&lt;&gt;"",COUNTIF(Catalog!$B$2:$B$501,Catalog!B62)&gt;1),"Duplicate Accession; ",""))</f>
        <v/>
      </c>
    </row>
    <row r="87" spans="1:3" x14ac:dyDescent="0.25">
      <c r="A87" s="24" t="str">
        <f>Catalog!A63</f>
        <v/>
      </c>
      <c r="B87" s="25">
        <f>Catalog!D63</f>
        <v>0</v>
      </c>
      <c r="C87" s="26" t="str">
        <f>IF(Catalog!D63="","",IF(ISBLANK(Catalog!F63),"Missing Creator; ","")&amp;IF(ISBLANK(Catalog!K63),"Missing Item Type; ","")&amp;IF(ISBLANK(Catalog!L63),"Missing Subject; ","")&amp;IF(ISBLANK(Catalog!M63),"Missing Genre/Form; ","")&amp;IF(ISBLANK(Catalog!X63),"Missing Location Type; ","")&amp;IF(ISBLANK(Catalog!Y63),"Missing Location Id; ","")&amp;IF(AND(Catalog!T63&lt;&gt;"",COUNTIF(Catalog!$T$2:$T$501,Catalog!T63)&gt;1),"Duplicate ISBN; ","")&amp;IF(AND(Catalog!B63&lt;&gt;"",COUNTIF(Catalog!$B$2:$B$501,Catalog!B63)&gt;1),"Duplicate Accession; ",""))</f>
        <v/>
      </c>
    </row>
    <row r="88" spans="1:3" x14ac:dyDescent="0.25">
      <c r="A88" s="24" t="str">
        <f>Catalog!A64</f>
        <v/>
      </c>
      <c r="B88" s="25">
        <f>Catalog!D64</f>
        <v>0</v>
      </c>
      <c r="C88" s="26" t="str">
        <f>IF(Catalog!D64="","",IF(ISBLANK(Catalog!F64),"Missing Creator; ","")&amp;IF(ISBLANK(Catalog!K64),"Missing Item Type; ","")&amp;IF(ISBLANK(Catalog!L64),"Missing Subject; ","")&amp;IF(ISBLANK(Catalog!M64),"Missing Genre/Form; ","")&amp;IF(ISBLANK(Catalog!X64),"Missing Location Type; ","")&amp;IF(ISBLANK(Catalog!Y64),"Missing Location Id; ","")&amp;IF(AND(Catalog!T64&lt;&gt;"",COUNTIF(Catalog!$T$2:$T$501,Catalog!T64)&gt;1),"Duplicate ISBN; ","")&amp;IF(AND(Catalog!B64&lt;&gt;"",COUNTIF(Catalog!$B$2:$B$501,Catalog!B64)&gt;1),"Duplicate Accession; ",""))</f>
        <v/>
      </c>
    </row>
    <row r="89" spans="1:3" x14ac:dyDescent="0.25">
      <c r="A89" s="24" t="str">
        <f>Catalog!A65</f>
        <v/>
      </c>
      <c r="B89" s="25">
        <f>Catalog!D65</f>
        <v>0</v>
      </c>
      <c r="C89" s="26" t="str">
        <f>IF(Catalog!D65="","",IF(ISBLANK(Catalog!F65),"Missing Creator; ","")&amp;IF(ISBLANK(Catalog!K65),"Missing Item Type; ","")&amp;IF(ISBLANK(Catalog!L65),"Missing Subject; ","")&amp;IF(ISBLANK(Catalog!M65),"Missing Genre/Form; ","")&amp;IF(ISBLANK(Catalog!X65),"Missing Location Type; ","")&amp;IF(ISBLANK(Catalog!Y65),"Missing Location Id; ","")&amp;IF(AND(Catalog!T65&lt;&gt;"",COUNTIF(Catalog!$T$2:$T$501,Catalog!T65)&gt;1),"Duplicate ISBN; ","")&amp;IF(AND(Catalog!B65&lt;&gt;"",COUNTIF(Catalog!$B$2:$B$501,Catalog!B65)&gt;1),"Duplicate Accession; ",""))</f>
        <v/>
      </c>
    </row>
    <row r="90" spans="1:3" x14ac:dyDescent="0.25">
      <c r="A90" s="24" t="str">
        <f>Catalog!A66</f>
        <v/>
      </c>
      <c r="B90" s="25">
        <f>Catalog!D66</f>
        <v>0</v>
      </c>
      <c r="C90" s="26" t="str">
        <f>IF(Catalog!D66="","",IF(ISBLANK(Catalog!F66),"Missing Creator; ","")&amp;IF(ISBLANK(Catalog!K66),"Missing Item Type; ","")&amp;IF(ISBLANK(Catalog!L66),"Missing Subject; ","")&amp;IF(ISBLANK(Catalog!M66),"Missing Genre/Form; ","")&amp;IF(ISBLANK(Catalog!X66),"Missing Location Type; ","")&amp;IF(ISBLANK(Catalog!Y66),"Missing Location Id; ","")&amp;IF(AND(Catalog!T66&lt;&gt;"",COUNTIF(Catalog!$T$2:$T$501,Catalog!T66)&gt;1),"Duplicate ISBN; ","")&amp;IF(AND(Catalog!B66&lt;&gt;"",COUNTIF(Catalog!$B$2:$B$501,Catalog!B66)&gt;1),"Duplicate Accession; ",""))</f>
        <v/>
      </c>
    </row>
    <row r="91" spans="1:3" x14ac:dyDescent="0.25">
      <c r="A91" s="24" t="str">
        <f>Catalog!A67</f>
        <v/>
      </c>
      <c r="B91" s="25">
        <f>Catalog!D67</f>
        <v>0</v>
      </c>
      <c r="C91" s="26" t="str">
        <f>IF(Catalog!D67="","",IF(ISBLANK(Catalog!F67),"Missing Creator; ","")&amp;IF(ISBLANK(Catalog!K67),"Missing Item Type; ","")&amp;IF(ISBLANK(Catalog!L67),"Missing Subject; ","")&amp;IF(ISBLANK(Catalog!M67),"Missing Genre/Form; ","")&amp;IF(ISBLANK(Catalog!X67),"Missing Location Type; ","")&amp;IF(ISBLANK(Catalog!Y67),"Missing Location Id; ","")&amp;IF(AND(Catalog!T67&lt;&gt;"",COUNTIF(Catalog!$T$2:$T$501,Catalog!T67)&gt;1),"Duplicate ISBN; ","")&amp;IF(AND(Catalog!B67&lt;&gt;"",COUNTIF(Catalog!$B$2:$B$501,Catalog!B67)&gt;1),"Duplicate Accession; ",""))</f>
        <v/>
      </c>
    </row>
    <row r="92" spans="1:3" x14ac:dyDescent="0.25">
      <c r="A92" s="24" t="str">
        <f>Catalog!A68</f>
        <v/>
      </c>
      <c r="B92" s="25">
        <f>Catalog!D68</f>
        <v>0</v>
      </c>
      <c r="C92" s="26" t="str">
        <f>IF(Catalog!D68="","",IF(ISBLANK(Catalog!F68),"Missing Creator; ","")&amp;IF(ISBLANK(Catalog!K68),"Missing Item Type; ","")&amp;IF(ISBLANK(Catalog!L68),"Missing Subject; ","")&amp;IF(ISBLANK(Catalog!M68),"Missing Genre/Form; ","")&amp;IF(ISBLANK(Catalog!X68),"Missing Location Type; ","")&amp;IF(ISBLANK(Catalog!Y68),"Missing Location Id; ","")&amp;IF(AND(Catalog!T68&lt;&gt;"",COUNTIF(Catalog!$T$2:$T$501,Catalog!T68)&gt;1),"Duplicate ISBN; ","")&amp;IF(AND(Catalog!B68&lt;&gt;"",COUNTIF(Catalog!$B$2:$B$501,Catalog!B68)&gt;1),"Duplicate Accession; ",""))</f>
        <v/>
      </c>
    </row>
    <row r="93" spans="1:3" x14ac:dyDescent="0.25">
      <c r="A93" s="24" t="str">
        <f>Catalog!A69</f>
        <v/>
      </c>
      <c r="B93" s="25">
        <f>Catalog!D69</f>
        <v>0</v>
      </c>
      <c r="C93" s="26" t="str">
        <f>IF(Catalog!D69="","",IF(ISBLANK(Catalog!F69),"Missing Creator; ","")&amp;IF(ISBLANK(Catalog!K69),"Missing Item Type; ","")&amp;IF(ISBLANK(Catalog!L69),"Missing Subject; ","")&amp;IF(ISBLANK(Catalog!M69),"Missing Genre/Form; ","")&amp;IF(ISBLANK(Catalog!X69),"Missing Location Type; ","")&amp;IF(ISBLANK(Catalog!Y69),"Missing Location Id; ","")&amp;IF(AND(Catalog!T69&lt;&gt;"",COUNTIF(Catalog!$T$2:$T$501,Catalog!T69)&gt;1),"Duplicate ISBN; ","")&amp;IF(AND(Catalog!B69&lt;&gt;"",COUNTIF(Catalog!$B$2:$B$501,Catalog!B69)&gt;1),"Duplicate Accession; ",""))</f>
        <v/>
      </c>
    </row>
    <row r="94" spans="1:3" x14ac:dyDescent="0.25">
      <c r="A94" s="24" t="str">
        <f>Catalog!A70</f>
        <v/>
      </c>
      <c r="B94" s="25">
        <f>Catalog!D70</f>
        <v>0</v>
      </c>
      <c r="C94" s="26" t="str">
        <f>IF(Catalog!D70="","",IF(ISBLANK(Catalog!F70),"Missing Creator; ","")&amp;IF(ISBLANK(Catalog!K70),"Missing Item Type; ","")&amp;IF(ISBLANK(Catalog!L70),"Missing Subject; ","")&amp;IF(ISBLANK(Catalog!M70),"Missing Genre/Form; ","")&amp;IF(ISBLANK(Catalog!X70),"Missing Location Type; ","")&amp;IF(ISBLANK(Catalog!Y70),"Missing Location Id; ","")&amp;IF(AND(Catalog!T70&lt;&gt;"",COUNTIF(Catalog!$T$2:$T$501,Catalog!T70)&gt;1),"Duplicate ISBN; ","")&amp;IF(AND(Catalog!B70&lt;&gt;"",COUNTIF(Catalog!$B$2:$B$501,Catalog!B70)&gt;1),"Duplicate Accession; ",""))</f>
        <v/>
      </c>
    </row>
    <row r="95" spans="1:3" x14ac:dyDescent="0.25">
      <c r="A95" s="24" t="str">
        <f>Catalog!A71</f>
        <v/>
      </c>
      <c r="B95" s="25">
        <f>Catalog!D71</f>
        <v>0</v>
      </c>
      <c r="C95" s="26" t="str">
        <f>IF(Catalog!D71="","",IF(ISBLANK(Catalog!F71),"Missing Creator; ","")&amp;IF(ISBLANK(Catalog!K71),"Missing Item Type; ","")&amp;IF(ISBLANK(Catalog!L71),"Missing Subject; ","")&amp;IF(ISBLANK(Catalog!M71),"Missing Genre/Form; ","")&amp;IF(ISBLANK(Catalog!X71),"Missing Location Type; ","")&amp;IF(ISBLANK(Catalog!Y71),"Missing Location Id; ","")&amp;IF(AND(Catalog!T71&lt;&gt;"",COUNTIF(Catalog!$T$2:$T$501,Catalog!T71)&gt;1),"Duplicate ISBN; ","")&amp;IF(AND(Catalog!B71&lt;&gt;"",COUNTIF(Catalog!$B$2:$B$501,Catalog!B71)&gt;1),"Duplicate Accession; ",""))</f>
        <v/>
      </c>
    </row>
    <row r="96" spans="1:3" x14ac:dyDescent="0.25">
      <c r="A96" s="24" t="str">
        <f>Catalog!A72</f>
        <v/>
      </c>
      <c r="B96" s="25">
        <f>Catalog!D72</f>
        <v>0</v>
      </c>
      <c r="C96" s="26" t="str">
        <f>IF(Catalog!D72="","",IF(ISBLANK(Catalog!F72),"Missing Creator; ","")&amp;IF(ISBLANK(Catalog!K72),"Missing Item Type; ","")&amp;IF(ISBLANK(Catalog!L72),"Missing Subject; ","")&amp;IF(ISBLANK(Catalog!M72),"Missing Genre/Form; ","")&amp;IF(ISBLANK(Catalog!X72),"Missing Location Type; ","")&amp;IF(ISBLANK(Catalog!Y72),"Missing Location Id; ","")&amp;IF(AND(Catalog!T72&lt;&gt;"",COUNTIF(Catalog!$T$2:$T$501,Catalog!T72)&gt;1),"Duplicate ISBN; ","")&amp;IF(AND(Catalog!B72&lt;&gt;"",COUNTIF(Catalog!$B$2:$B$501,Catalog!B72)&gt;1),"Duplicate Accession; ",""))</f>
        <v/>
      </c>
    </row>
    <row r="97" spans="1:3" x14ac:dyDescent="0.25">
      <c r="A97" s="24" t="str">
        <f>Catalog!A73</f>
        <v/>
      </c>
      <c r="B97" s="25">
        <f>Catalog!D73</f>
        <v>0</v>
      </c>
      <c r="C97" s="26" t="str">
        <f>IF(Catalog!D73="","",IF(ISBLANK(Catalog!F73),"Missing Creator; ","")&amp;IF(ISBLANK(Catalog!K73),"Missing Item Type; ","")&amp;IF(ISBLANK(Catalog!L73),"Missing Subject; ","")&amp;IF(ISBLANK(Catalog!M73),"Missing Genre/Form; ","")&amp;IF(ISBLANK(Catalog!X73),"Missing Location Type; ","")&amp;IF(ISBLANK(Catalog!Y73),"Missing Location Id; ","")&amp;IF(AND(Catalog!T73&lt;&gt;"",COUNTIF(Catalog!$T$2:$T$501,Catalog!T73)&gt;1),"Duplicate ISBN; ","")&amp;IF(AND(Catalog!B73&lt;&gt;"",COUNTIF(Catalog!$B$2:$B$501,Catalog!B73)&gt;1),"Duplicate Accession; ",""))</f>
        <v/>
      </c>
    </row>
    <row r="98" spans="1:3" x14ac:dyDescent="0.25">
      <c r="A98" s="24" t="str">
        <f>Catalog!A74</f>
        <v/>
      </c>
      <c r="B98" s="25">
        <f>Catalog!D74</f>
        <v>0</v>
      </c>
      <c r="C98" s="26" t="str">
        <f>IF(Catalog!D74="","",IF(ISBLANK(Catalog!F74),"Missing Creator; ","")&amp;IF(ISBLANK(Catalog!K74),"Missing Item Type; ","")&amp;IF(ISBLANK(Catalog!L74),"Missing Subject; ","")&amp;IF(ISBLANK(Catalog!M74),"Missing Genre/Form; ","")&amp;IF(ISBLANK(Catalog!X74),"Missing Location Type; ","")&amp;IF(ISBLANK(Catalog!Y74),"Missing Location Id; ","")&amp;IF(AND(Catalog!T74&lt;&gt;"",COUNTIF(Catalog!$T$2:$T$501,Catalog!T74)&gt;1),"Duplicate ISBN; ","")&amp;IF(AND(Catalog!B74&lt;&gt;"",COUNTIF(Catalog!$B$2:$B$501,Catalog!B74)&gt;1),"Duplicate Accession; ",""))</f>
        <v/>
      </c>
    </row>
    <row r="99" spans="1:3" x14ac:dyDescent="0.25">
      <c r="A99" s="24" t="str">
        <f>Catalog!A75</f>
        <v/>
      </c>
      <c r="B99" s="25">
        <f>Catalog!D75</f>
        <v>0</v>
      </c>
      <c r="C99" s="26" t="str">
        <f>IF(Catalog!D75="","",IF(ISBLANK(Catalog!F75),"Missing Creator; ","")&amp;IF(ISBLANK(Catalog!K75),"Missing Item Type; ","")&amp;IF(ISBLANK(Catalog!L75),"Missing Subject; ","")&amp;IF(ISBLANK(Catalog!M75),"Missing Genre/Form; ","")&amp;IF(ISBLANK(Catalog!X75),"Missing Location Type; ","")&amp;IF(ISBLANK(Catalog!Y75),"Missing Location Id; ","")&amp;IF(AND(Catalog!T75&lt;&gt;"",COUNTIF(Catalog!$T$2:$T$501,Catalog!T75)&gt;1),"Duplicate ISBN; ","")&amp;IF(AND(Catalog!B75&lt;&gt;"",COUNTIF(Catalog!$B$2:$B$501,Catalog!B75)&gt;1),"Duplicate Accession; ",""))</f>
        <v/>
      </c>
    </row>
    <row r="100" spans="1:3" x14ac:dyDescent="0.25">
      <c r="A100" s="24" t="str">
        <f>Catalog!A76</f>
        <v/>
      </c>
      <c r="B100" s="25">
        <f>Catalog!D76</f>
        <v>0</v>
      </c>
      <c r="C100" s="26" t="str">
        <f>IF(Catalog!D76="","",IF(ISBLANK(Catalog!F76),"Missing Creator; ","")&amp;IF(ISBLANK(Catalog!K76),"Missing Item Type; ","")&amp;IF(ISBLANK(Catalog!L76),"Missing Subject; ","")&amp;IF(ISBLANK(Catalog!M76),"Missing Genre/Form; ","")&amp;IF(ISBLANK(Catalog!X76),"Missing Location Type; ","")&amp;IF(ISBLANK(Catalog!Y76),"Missing Location Id; ","")&amp;IF(AND(Catalog!T76&lt;&gt;"",COUNTIF(Catalog!$T$2:$T$501,Catalog!T76)&gt;1),"Duplicate ISBN; ","")&amp;IF(AND(Catalog!B76&lt;&gt;"",COUNTIF(Catalog!$B$2:$B$501,Catalog!B76)&gt;1),"Duplicate Accession; ",""))</f>
        <v/>
      </c>
    </row>
    <row r="101" spans="1:3" x14ac:dyDescent="0.25">
      <c r="A101" s="24" t="str">
        <f>Catalog!A77</f>
        <v/>
      </c>
      <c r="B101" s="25">
        <f>Catalog!D77</f>
        <v>0</v>
      </c>
      <c r="C101" s="26" t="str">
        <f>IF(Catalog!D77="","",IF(ISBLANK(Catalog!F77),"Missing Creator; ","")&amp;IF(ISBLANK(Catalog!K77),"Missing Item Type; ","")&amp;IF(ISBLANK(Catalog!L77),"Missing Subject; ","")&amp;IF(ISBLANK(Catalog!M77),"Missing Genre/Form; ","")&amp;IF(ISBLANK(Catalog!X77),"Missing Location Type; ","")&amp;IF(ISBLANK(Catalog!Y77),"Missing Location Id; ","")&amp;IF(AND(Catalog!T77&lt;&gt;"",COUNTIF(Catalog!$T$2:$T$501,Catalog!T77)&gt;1),"Duplicate ISBN; ","")&amp;IF(AND(Catalog!B77&lt;&gt;"",COUNTIF(Catalog!$B$2:$B$501,Catalog!B77)&gt;1),"Duplicate Accession; ",""))</f>
        <v/>
      </c>
    </row>
    <row r="102" spans="1:3" x14ac:dyDescent="0.25">
      <c r="A102" s="24" t="str">
        <f>Catalog!A78</f>
        <v/>
      </c>
      <c r="B102" s="25">
        <f>Catalog!D78</f>
        <v>0</v>
      </c>
      <c r="C102" s="26" t="str">
        <f>IF(Catalog!D78="","",IF(ISBLANK(Catalog!F78),"Missing Creator; ","")&amp;IF(ISBLANK(Catalog!K78),"Missing Item Type; ","")&amp;IF(ISBLANK(Catalog!L78),"Missing Subject; ","")&amp;IF(ISBLANK(Catalog!M78),"Missing Genre/Form; ","")&amp;IF(ISBLANK(Catalog!X78),"Missing Location Type; ","")&amp;IF(ISBLANK(Catalog!Y78),"Missing Location Id; ","")&amp;IF(AND(Catalog!T78&lt;&gt;"",COUNTIF(Catalog!$T$2:$T$501,Catalog!T78)&gt;1),"Duplicate ISBN; ","")&amp;IF(AND(Catalog!B78&lt;&gt;"",COUNTIF(Catalog!$B$2:$B$501,Catalog!B78)&gt;1),"Duplicate Accession; ",""))</f>
        <v/>
      </c>
    </row>
    <row r="103" spans="1:3" x14ac:dyDescent="0.25">
      <c r="A103" s="24" t="str">
        <f>Catalog!A79</f>
        <v/>
      </c>
      <c r="B103" s="25">
        <f>Catalog!D79</f>
        <v>0</v>
      </c>
      <c r="C103" s="26" t="str">
        <f>IF(Catalog!D79="","",IF(ISBLANK(Catalog!F79),"Missing Creator; ","")&amp;IF(ISBLANK(Catalog!K79),"Missing Item Type; ","")&amp;IF(ISBLANK(Catalog!L79),"Missing Subject; ","")&amp;IF(ISBLANK(Catalog!M79),"Missing Genre/Form; ","")&amp;IF(ISBLANK(Catalog!X79),"Missing Location Type; ","")&amp;IF(ISBLANK(Catalog!Y79),"Missing Location Id; ","")&amp;IF(AND(Catalog!T79&lt;&gt;"",COUNTIF(Catalog!$T$2:$T$501,Catalog!T79)&gt;1),"Duplicate ISBN; ","")&amp;IF(AND(Catalog!B79&lt;&gt;"",COUNTIF(Catalog!$B$2:$B$501,Catalog!B79)&gt;1),"Duplicate Accession; ",""))</f>
        <v/>
      </c>
    </row>
    <row r="104" spans="1:3" x14ac:dyDescent="0.25">
      <c r="A104" s="24" t="str">
        <f>Catalog!A80</f>
        <v/>
      </c>
      <c r="B104" s="25">
        <f>Catalog!D80</f>
        <v>0</v>
      </c>
      <c r="C104" s="26" t="str">
        <f>IF(Catalog!D80="","",IF(ISBLANK(Catalog!F80),"Missing Creator; ","")&amp;IF(ISBLANK(Catalog!K80),"Missing Item Type; ","")&amp;IF(ISBLANK(Catalog!L80),"Missing Subject; ","")&amp;IF(ISBLANK(Catalog!M80),"Missing Genre/Form; ","")&amp;IF(ISBLANK(Catalog!X80),"Missing Location Type; ","")&amp;IF(ISBLANK(Catalog!Y80),"Missing Location Id; ","")&amp;IF(AND(Catalog!T80&lt;&gt;"",COUNTIF(Catalog!$T$2:$T$501,Catalog!T80)&gt;1),"Duplicate ISBN; ","")&amp;IF(AND(Catalog!B80&lt;&gt;"",COUNTIF(Catalog!$B$2:$B$501,Catalog!B80)&gt;1),"Duplicate Accession; ",""))</f>
        <v/>
      </c>
    </row>
    <row r="105" spans="1:3" x14ac:dyDescent="0.25">
      <c r="A105" s="24" t="str">
        <f>Catalog!A81</f>
        <v/>
      </c>
      <c r="B105" s="25">
        <f>Catalog!D81</f>
        <v>0</v>
      </c>
      <c r="C105" s="26" t="str">
        <f>IF(Catalog!D81="","",IF(ISBLANK(Catalog!F81),"Missing Creator; ","")&amp;IF(ISBLANK(Catalog!K81),"Missing Item Type; ","")&amp;IF(ISBLANK(Catalog!L81),"Missing Subject; ","")&amp;IF(ISBLANK(Catalog!M81),"Missing Genre/Form; ","")&amp;IF(ISBLANK(Catalog!X81),"Missing Location Type; ","")&amp;IF(ISBLANK(Catalog!Y81),"Missing Location Id; ","")&amp;IF(AND(Catalog!T81&lt;&gt;"",COUNTIF(Catalog!$T$2:$T$501,Catalog!T81)&gt;1),"Duplicate ISBN; ","")&amp;IF(AND(Catalog!B81&lt;&gt;"",COUNTIF(Catalog!$B$2:$B$501,Catalog!B81)&gt;1),"Duplicate Accession; ",""))</f>
        <v/>
      </c>
    </row>
    <row r="106" spans="1:3" x14ac:dyDescent="0.25">
      <c r="A106" s="24" t="str">
        <f>Catalog!A82</f>
        <v/>
      </c>
      <c r="B106" s="25">
        <f>Catalog!D82</f>
        <v>0</v>
      </c>
      <c r="C106" s="26" t="str">
        <f>IF(Catalog!D82="","",IF(ISBLANK(Catalog!F82),"Missing Creator; ","")&amp;IF(ISBLANK(Catalog!K82),"Missing Item Type; ","")&amp;IF(ISBLANK(Catalog!L82),"Missing Subject; ","")&amp;IF(ISBLANK(Catalog!M82),"Missing Genre/Form; ","")&amp;IF(ISBLANK(Catalog!X82),"Missing Location Type; ","")&amp;IF(ISBLANK(Catalog!Y82),"Missing Location Id; ","")&amp;IF(AND(Catalog!T82&lt;&gt;"",COUNTIF(Catalog!$T$2:$T$501,Catalog!T82)&gt;1),"Duplicate ISBN; ","")&amp;IF(AND(Catalog!B82&lt;&gt;"",COUNTIF(Catalog!$B$2:$B$501,Catalog!B82)&gt;1),"Duplicate Accession; ",""))</f>
        <v/>
      </c>
    </row>
    <row r="107" spans="1:3" x14ac:dyDescent="0.25">
      <c r="A107" s="24" t="str">
        <f>Catalog!A83</f>
        <v/>
      </c>
      <c r="B107" s="25">
        <f>Catalog!D83</f>
        <v>0</v>
      </c>
      <c r="C107" s="26" t="str">
        <f>IF(Catalog!D83="","",IF(ISBLANK(Catalog!F83),"Missing Creator; ","")&amp;IF(ISBLANK(Catalog!K83),"Missing Item Type; ","")&amp;IF(ISBLANK(Catalog!L83),"Missing Subject; ","")&amp;IF(ISBLANK(Catalog!M83),"Missing Genre/Form; ","")&amp;IF(ISBLANK(Catalog!X83),"Missing Location Type; ","")&amp;IF(ISBLANK(Catalog!Y83),"Missing Location Id; ","")&amp;IF(AND(Catalog!T83&lt;&gt;"",COUNTIF(Catalog!$T$2:$T$501,Catalog!T83)&gt;1),"Duplicate ISBN; ","")&amp;IF(AND(Catalog!B83&lt;&gt;"",COUNTIF(Catalog!$B$2:$B$501,Catalog!B83)&gt;1),"Duplicate Accession; ",""))</f>
        <v/>
      </c>
    </row>
    <row r="108" spans="1:3" x14ac:dyDescent="0.25">
      <c r="A108" s="24" t="str">
        <f>Catalog!A84</f>
        <v/>
      </c>
      <c r="B108" s="25">
        <f>Catalog!D84</f>
        <v>0</v>
      </c>
      <c r="C108" s="26" t="str">
        <f>IF(Catalog!D84="","",IF(ISBLANK(Catalog!F84),"Missing Creator; ","")&amp;IF(ISBLANK(Catalog!K84),"Missing Item Type; ","")&amp;IF(ISBLANK(Catalog!L84),"Missing Subject; ","")&amp;IF(ISBLANK(Catalog!M84),"Missing Genre/Form; ","")&amp;IF(ISBLANK(Catalog!X84),"Missing Location Type; ","")&amp;IF(ISBLANK(Catalog!Y84),"Missing Location Id; ","")&amp;IF(AND(Catalog!T84&lt;&gt;"",COUNTIF(Catalog!$T$2:$T$501,Catalog!T84)&gt;1),"Duplicate ISBN; ","")&amp;IF(AND(Catalog!B84&lt;&gt;"",COUNTIF(Catalog!$B$2:$B$501,Catalog!B84)&gt;1),"Duplicate Accession; ",""))</f>
        <v/>
      </c>
    </row>
    <row r="109" spans="1:3" x14ac:dyDescent="0.25">
      <c r="A109" s="24" t="str">
        <f>Catalog!A85</f>
        <v/>
      </c>
      <c r="B109" s="25">
        <f>Catalog!D85</f>
        <v>0</v>
      </c>
      <c r="C109" s="26" t="str">
        <f>IF(Catalog!D85="","",IF(ISBLANK(Catalog!F85),"Missing Creator; ","")&amp;IF(ISBLANK(Catalog!K85),"Missing Item Type; ","")&amp;IF(ISBLANK(Catalog!L85),"Missing Subject; ","")&amp;IF(ISBLANK(Catalog!M85),"Missing Genre/Form; ","")&amp;IF(ISBLANK(Catalog!X85),"Missing Location Type; ","")&amp;IF(ISBLANK(Catalog!Y85),"Missing Location Id; ","")&amp;IF(AND(Catalog!T85&lt;&gt;"",COUNTIF(Catalog!$T$2:$T$501,Catalog!T85)&gt;1),"Duplicate ISBN; ","")&amp;IF(AND(Catalog!B85&lt;&gt;"",COUNTIF(Catalog!$B$2:$B$501,Catalog!B85)&gt;1),"Duplicate Accession; ",""))</f>
        <v/>
      </c>
    </row>
    <row r="110" spans="1:3" x14ac:dyDescent="0.25">
      <c r="A110" s="24" t="str">
        <f>Catalog!A86</f>
        <v/>
      </c>
      <c r="B110" s="25">
        <f>Catalog!D86</f>
        <v>0</v>
      </c>
      <c r="C110" s="26" t="str">
        <f>IF(Catalog!D86="","",IF(ISBLANK(Catalog!F86),"Missing Creator; ","")&amp;IF(ISBLANK(Catalog!K86),"Missing Item Type; ","")&amp;IF(ISBLANK(Catalog!L86),"Missing Subject; ","")&amp;IF(ISBLANK(Catalog!M86),"Missing Genre/Form; ","")&amp;IF(ISBLANK(Catalog!X86),"Missing Location Type; ","")&amp;IF(ISBLANK(Catalog!Y86),"Missing Location Id; ","")&amp;IF(AND(Catalog!T86&lt;&gt;"",COUNTIF(Catalog!$T$2:$T$501,Catalog!T86)&gt;1),"Duplicate ISBN; ","")&amp;IF(AND(Catalog!B86&lt;&gt;"",COUNTIF(Catalog!$B$2:$B$501,Catalog!B86)&gt;1),"Duplicate Accession; ",""))</f>
        <v/>
      </c>
    </row>
    <row r="111" spans="1:3" x14ac:dyDescent="0.25">
      <c r="A111" s="24" t="str">
        <f>Catalog!A87</f>
        <v/>
      </c>
      <c r="B111" s="25">
        <f>Catalog!D87</f>
        <v>0</v>
      </c>
      <c r="C111" s="26" t="str">
        <f>IF(Catalog!D87="","",IF(ISBLANK(Catalog!F87),"Missing Creator; ","")&amp;IF(ISBLANK(Catalog!K87),"Missing Item Type; ","")&amp;IF(ISBLANK(Catalog!L87),"Missing Subject; ","")&amp;IF(ISBLANK(Catalog!M87),"Missing Genre/Form; ","")&amp;IF(ISBLANK(Catalog!X87),"Missing Location Type; ","")&amp;IF(ISBLANK(Catalog!Y87),"Missing Location Id; ","")&amp;IF(AND(Catalog!T87&lt;&gt;"",COUNTIF(Catalog!$T$2:$T$501,Catalog!T87)&gt;1),"Duplicate ISBN; ","")&amp;IF(AND(Catalog!B87&lt;&gt;"",COUNTIF(Catalog!$B$2:$B$501,Catalog!B87)&gt;1),"Duplicate Accession; ",""))</f>
        <v/>
      </c>
    </row>
    <row r="112" spans="1:3" x14ac:dyDescent="0.25">
      <c r="A112" s="24" t="str">
        <f>Catalog!A88</f>
        <v/>
      </c>
      <c r="B112" s="25">
        <f>Catalog!D88</f>
        <v>0</v>
      </c>
      <c r="C112" s="26" t="str">
        <f>IF(Catalog!D88="","",IF(ISBLANK(Catalog!F88),"Missing Creator; ","")&amp;IF(ISBLANK(Catalog!K88),"Missing Item Type; ","")&amp;IF(ISBLANK(Catalog!L88),"Missing Subject; ","")&amp;IF(ISBLANK(Catalog!M88),"Missing Genre/Form; ","")&amp;IF(ISBLANK(Catalog!X88),"Missing Location Type; ","")&amp;IF(ISBLANK(Catalog!Y88),"Missing Location Id; ","")&amp;IF(AND(Catalog!T88&lt;&gt;"",COUNTIF(Catalog!$T$2:$T$501,Catalog!T88)&gt;1),"Duplicate ISBN; ","")&amp;IF(AND(Catalog!B88&lt;&gt;"",COUNTIF(Catalog!$B$2:$B$501,Catalog!B88)&gt;1),"Duplicate Accession; ",""))</f>
        <v/>
      </c>
    </row>
    <row r="113" spans="1:3" x14ac:dyDescent="0.25">
      <c r="A113" s="24" t="str">
        <f>Catalog!A89</f>
        <v/>
      </c>
      <c r="B113" s="25">
        <f>Catalog!D89</f>
        <v>0</v>
      </c>
      <c r="C113" s="26" t="str">
        <f>IF(Catalog!D89="","",IF(ISBLANK(Catalog!F89),"Missing Creator; ","")&amp;IF(ISBLANK(Catalog!K89),"Missing Item Type; ","")&amp;IF(ISBLANK(Catalog!L89),"Missing Subject; ","")&amp;IF(ISBLANK(Catalog!M89),"Missing Genre/Form; ","")&amp;IF(ISBLANK(Catalog!X89),"Missing Location Type; ","")&amp;IF(ISBLANK(Catalog!Y89),"Missing Location Id; ","")&amp;IF(AND(Catalog!T89&lt;&gt;"",COUNTIF(Catalog!$T$2:$T$501,Catalog!T89)&gt;1),"Duplicate ISBN; ","")&amp;IF(AND(Catalog!B89&lt;&gt;"",COUNTIF(Catalog!$B$2:$B$501,Catalog!B89)&gt;1),"Duplicate Accession; ",""))</f>
        <v/>
      </c>
    </row>
    <row r="114" spans="1:3" x14ac:dyDescent="0.25">
      <c r="A114" s="24" t="str">
        <f>Catalog!A90</f>
        <v/>
      </c>
      <c r="B114" s="25">
        <f>Catalog!D90</f>
        <v>0</v>
      </c>
      <c r="C114" s="26" t="str">
        <f>IF(Catalog!D90="","",IF(ISBLANK(Catalog!F90),"Missing Creator; ","")&amp;IF(ISBLANK(Catalog!K90),"Missing Item Type; ","")&amp;IF(ISBLANK(Catalog!L90),"Missing Subject; ","")&amp;IF(ISBLANK(Catalog!M90),"Missing Genre/Form; ","")&amp;IF(ISBLANK(Catalog!X90),"Missing Location Type; ","")&amp;IF(ISBLANK(Catalog!Y90),"Missing Location Id; ","")&amp;IF(AND(Catalog!T90&lt;&gt;"",COUNTIF(Catalog!$T$2:$T$501,Catalog!T90)&gt;1),"Duplicate ISBN; ","")&amp;IF(AND(Catalog!B90&lt;&gt;"",COUNTIF(Catalog!$B$2:$B$501,Catalog!B90)&gt;1),"Duplicate Accession; ",""))</f>
        <v/>
      </c>
    </row>
    <row r="115" spans="1:3" x14ac:dyDescent="0.25">
      <c r="A115" s="24" t="str">
        <f>Catalog!A91</f>
        <v/>
      </c>
      <c r="B115" s="25">
        <f>Catalog!D91</f>
        <v>0</v>
      </c>
      <c r="C115" s="26" t="str">
        <f>IF(Catalog!D91="","",IF(ISBLANK(Catalog!F91),"Missing Creator; ","")&amp;IF(ISBLANK(Catalog!K91),"Missing Item Type; ","")&amp;IF(ISBLANK(Catalog!L91),"Missing Subject; ","")&amp;IF(ISBLANK(Catalog!M91),"Missing Genre/Form; ","")&amp;IF(ISBLANK(Catalog!X91),"Missing Location Type; ","")&amp;IF(ISBLANK(Catalog!Y91),"Missing Location Id; ","")&amp;IF(AND(Catalog!T91&lt;&gt;"",COUNTIF(Catalog!$T$2:$T$501,Catalog!T91)&gt;1),"Duplicate ISBN; ","")&amp;IF(AND(Catalog!B91&lt;&gt;"",COUNTIF(Catalog!$B$2:$B$501,Catalog!B91)&gt;1),"Duplicate Accession; ",""))</f>
        <v/>
      </c>
    </row>
    <row r="116" spans="1:3" x14ac:dyDescent="0.25">
      <c r="A116" s="24" t="str">
        <f>Catalog!A92</f>
        <v/>
      </c>
      <c r="B116" s="25">
        <f>Catalog!D92</f>
        <v>0</v>
      </c>
      <c r="C116" s="26" t="str">
        <f>IF(Catalog!D92="","",IF(ISBLANK(Catalog!F92),"Missing Creator; ","")&amp;IF(ISBLANK(Catalog!K92),"Missing Item Type; ","")&amp;IF(ISBLANK(Catalog!L92),"Missing Subject; ","")&amp;IF(ISBLANK(Catalog!M92),"Missing Genre/Form; ","")&amp;IF(ISBLANK(Catalog!X92),"Missing Location Type; ","")&amp;IF(ISBLANK(Catalog!Y92),"Missing Location Id; ","")&amp;IF(AND(Catalog!T92&lt;&gt;"",COUNTIF(Catalog!$T$2:$T$501,Catalog!T92)&gt;1),"Duplicate ISBN; ","")&amp;IF(AND(Catalog!B92&lt;&gt;"",COUNTIF(Catalog!$B$2:$B$501,Catalog!B92)&gt;1),"Duplicate Accession; ",""))</f>
        <v/>
      </c>
    </row>
    <row r="117" spans="1:3" x14ac:dyDescent="0.25">
      <c r="A117" s="24" t="str">
        <f>Catalog!A93</f>
        <v/>
      </c>
      <c r="B117" s="25">
        <f>Catalog!D93</f>
        <v>0</v>
      </c>
      <c r="C117" s="26" t="str">
        <f>IF(Catalog!D93="","",IF(ISBLANK(Catalog!F93),"Missing Creator; ","")&amp;IF(ISBLANK(Catalog!K93),"Missing Item Type; ","")&amp;IF(ISBLANK(Catalog!L93),"Missing Subject; ","")&amp;IF(ISBLANK(Catalog!M93),"Missing Genre/Form; ","")&amp;IF(ISBLANK(Catalog!X93),"Missing Location Type; ","")&amp;IF(ISBLANK(Catalog!Y93),"Missing Location Id; ","")&amp;IF(AND(Catalog!T93&lt;&gt;"",COUNTIF(Catalog!$T$2:$T$501,Catalog!T93)&gt;1),"Duplicate ISBN; ","")&amp;IF(AND(Catalog!B93&lt;&gt;"",COUNTIF(Catalog!$B$2:$B$501,Catalog!B93)&gt;1),"Duplicate Accession; ",""))</f>
        <v/>
      </c>
    </row>
    <row r="118" spans="1:3" x14ac:dyDescent="0.25">
      <c r="A118" s="24" t="str">
        <f>Catalog!A94</f>
        <v/>
      </c>
      <c r="B118" s="25">
        <f>Catalog!D94</f>
        <v>0</v>
      </c>
      <c r="C118" s="26" t="str">
        <f>IF(Catalog!D94="","",IF(ISBLANK(Catalog!F94),"Missing Creator; ","")&amp;IF(ISBLANK(Catalog!K94),"Missing Item Type; ","")&amp;IF(ISBLANK(Catalog!L94),"Missing Subject; ","")&amp;IF(ISBLANK(Catalog!M94),"Missing Genre/Form; ","")&amp;IF(ISBLANK(Catalog!X94),"Missing Location Type; ","")&amp;IF(ISBLANK(Catalog!Y94),"Missing Location Id; ","")&amp;IF(AND(Catalog!T94&lt;&gt;"",COUNTIF(Catalog!$T$2:$T$501,Catalog!T94)&gt;1),"Duplicate ISBN; ","")&amp;IF(AND(Catalog!B94&lt;&gt;"",COUNTIF(Catalog!$B$2:$B$501,Catalog!B94)&gt;1),"Duplicate Accession; ",""))</f>
        <v/>
      </c>
    </row>
    <row r="119" spans="1:3" x14ac:dyDescent="0.25">
      <c r="A119" s="24" t="str">
        <f>Catalog!A95</f>
        <v/>
      </c>
      <c r="B119" s="25">
        <f>Catalog!D95</f>
        <v>0</v>
      </c>
      <c r="C119" s="26" t="str">
        <f>IF(Catalog!D95="","",IF(ISBLANK(Catalog!F95),"Missing Creator; ","")&amp;IF(ISBLANK(Catalog!K95),"Missing Item Type; ","")&amp;IF(ISBLANK(Catalog!L95),"Missing Subject; ","")&amp;IF(ISBLANK(Catalog!M95),"Missing Genre/Form; ","")&amp;IF(ISBLANK(Catalog!X95),"Missing Location Type; ","")&amp;IF(ISBLANK(Catalog!Y95),"Missing Location Id; ","")&amp;IF(AND(Catalog!T95&lt;&gt;"",COUNTIF(Catalog!$T$2:$T$501,Catalog!T95)&gt;1),"Duplicate ISBN; ","")&amp;IF(AND(Catalog!B95&lt;&gt;"",COUNTIF(Catalog!$B$2:$B$501,Catalog!B95)&gt;1),"Duplicate Accession; ",""))</f>
        <v/>
      </c>
    </row>
    <row r="120" spans="1:3" x14ac:dyDescent="0.25">
      <c r="A120" s="24" t="str">
        <f>Catalog!A96</f>
        <v/>
      </c>
      <c r="B120" s="25">
        <f>Catalog!D96</f>
        <v>0</v>
      </c>
      <c r="C120" s="26" t="str">
        <f>IF(Catalog!D96="","",IF(ISBLANK(Catalog!F96),"Missing Creator; ","")&amp;IF(ISBLANK(Catalog!K96),"Missing Item Type; ","")&amp;IF(ISBLANK(Catalog!L96),"Missing Subject; ","")&amp;IF(ISBLANK(Catalog!M96),"Missing Genre/Form; ","")&amp;IF(ISBLANK(Catalog!X96),"Missing Location Type; ","")&amp;IF(ISBLANK(Catalog!Y96),"Missing Location Id; ","")&amp;IF(AND(Catalog!T96&lt;&gt;"",COUNTIF(Catalog!$T$2:$T$501,Catalog!T96)&gt;1),"Duplicate ISBN; ","")&amp;IF(AND(Catalog!B96&lt;&gt;"",COUNTIF(Catalog!$B$2:$B$501,Catalog!B96)&gt;1),"Duplicate Accession; ",""))</f>
        <v/>
      </c>
    </row>
    <row r="121" spans="1:3" x14ac:dyDescent="0.25">
      <c r="A121" s="24" t="str">
        <f>Catalog!A97</f>
        <v/>
      </c>
      <c r="B121" s="25">
        <f>Catalog!D97</f>
        <v>0</v>
      </c>
      <c r="C121" s="26" t="str">
        <f>IF(Catalog!D97="","",IF(ISBLANK(Catalog!F97),"Missing Creator; ","")&amp;IF(ISBLANK(Catalog!K97),"Missing Item Type; ","")&amp;IF(ISBLANK(Catalog!L97),"Missing Subject; ","")&amp;IF(ISBLANK(Catalog!M97),"Missing Genre/Form; ","")&amp;IF(ISBLANK(Catalog!X97),"Missing Location Type; ","")&amp;IF(ISBLANK(Catalog!Y97),"Missing Location Id; ","")&amp;IF(AND(Catalog!T97&lt;&gt;"",COUNTIF(Catalog!$T$2:$T$501,Catalog!T97)&gt;1),"Duplicate ISBN; ","")&amp;IF(AND(Catalog!B97&lt;&gt;"",COUNTIF(Catalog!$B$2:$B$501,Catalog!B97)&gt;1),"Duplicate Accession; ",""))</f>
        <v/>
      </c>
    </row>
    <row r="122" spans="1:3" x14ac:dyDescent="0.25">
      <c r="A122" s="24" t="str">
        <f>Catalog!A98</f>
        <v/>
      </c>
      <c r="B122" s="25">
        <f>Catalog!D98</f>
        <v>0</v>
      </c>
      <c r="C122" s="26" t="str">
        <f>IF(Catalog!D98="","",IF(ISBLANK(Catalog!F98),"Missing Creator; ","")&amp;IF(ISBLANK(Catalog!K98),"Missing Item Type; ","")&amp;IF(ISBLANK(Catalog!L98),"Missing Subject; ","")&amp;IF(ISBLANK(Catalog!M98),"Missing Genre/Form; ","")&amp;IF(ISBLANK(Catalog!X98),"Missing Location Type; ","")&amp;IF(ISBLANK(Catalog!Y98),"Missing Location Id; ","")&amp;IF(AND(Catalog!T98&lt;&gt;"",COUNTIF(Catalog!$T$2:$T$501,Catalog!T98)&gt;1),"Duplicate ISBN; ","")&amp;IF(AND(Catalog!B98&lt;&gt;"",COUNTIF(Catalog!$B$2:$B$501,Catalog!B98)&gt;1),"Duplicate Accession; ",""))</f>
        <v/>
      </c>
    </row>
    <row r="123" spans="1:3" x14ac:dyDescent="0.25">
      <c r="A123" s="24" t="str">
        <f>Catalog!A99</f>
        <v/>
      </c>
      <c r="B123" s="25">
        <f>Catalog!D99</f>
        <v>0</v>
      </c>
      <c r="C123" s="26" t="str">
        <f>IF(Catalog!D99="","",IF(ISBLANK(Catalog!F99),"Missing Creator; ","")&amp;IF(ISBLANK(Catalog!K99),"Missing Item Type; ","")&amp;IF(ISBLANK(Catalog!L99),"Missing Subject; ","")&amp;IF(ISBLANK(Catalog!M99),"Missing Genre/Form; ","")&amp;IF(ISBLANK(Catalog!X99),"Missing Location Type; ","")&amp;IF(ISBLANK(Catalog!Y99),"Missing Location Id; ","")&amp;IF(AND(Catalog!T99&lt;&gt;"",COUNTIF(Catalog!$T$2:$T$501,Catalog!T99)&gt;1),"Duplicate ISBN; ","")&amp;IF(AND(Catalog!B99&lt;&gt;"",COUNTIF(Catalog!$B$2:$B$501,Catalog!B99)&gt;1),"Duplicate Accession; ",""))</f>
        <v/>
      </c>
    </row>
    <row r="124" spans="1:3" x14ac:dyDescent="0.25">
      <c r="A124" s="24" t="str">
        <f>Catalog!A100</f>
        <v/>
      </c>
      <c r="B124" s="25">
        <f>Catalog!D100</f>
        <v>0</v>
      </c>
      <c r="C124" s="26" t="str">
        <f>IF(Catalog!D100="","",IF(ISBLANK(Catalog!F100),"Missing Creator; ","")&amp;IF(ISBLANK(Catalog!K100),"Missing Item Type; ","")&amp;IF(ISBLANK(Catalog!L100),"Missing Subject; ","")&amp;IF(ISBLANK(Catalog!M100),"Missing Genre/Form; ","")&amp;IF(ISBLANK(Catalog!X100),"Missing Location Type; ","")&amp;IF(ISBLANK(Catalog!Y100),"Missing Location Id; ","")&amp;IF(AND(Catalog!T100&lt;&gt;"",COUNTIF(Catalog!$T$2:$T$501,Catalog!T100)&gt;1),"Duplicate ISBN; ","")&amp;IF(AND(Catalog!B100&lt;&gt;"",COUNTIF(Catalog!$B$2:$B$501,Catalog!B100)&gt;1),"Duplicate Accession; ",""))</f>
        <v/>
      </c>
    </row>
    <row r="125" spans="1:3" x14ac:dyDescent="0.25">
      <c r="A125" s="24" t="str">
        <f>Catalog!A101</f>
        <v/>
      </c>
      <c r="B125" s="25">
        <f>Catalog!D101</f>
        <v>0</v>
      </c>
      <c r="C125" s="26" t="str">
        <f>IF(Catalog!D101="","",IF(ISBLANK(Catalog!F101),"Missing Creator; ","")&amp;IF(ISBLANK(Catalog!K101),"Missing Item Type; ","")&amp;IF(ISBLANK(Catalog!L101),"Missing Subject; ","")&amp;IF(ISBLANK(Catalog!M101),"Missing Genre/Form; ","")&amp;IF(ISBLANK(Catalog!X101),"Missing Location Type; ","")&amp;IF(ISBLANK(Catalog!Y101),"Missing Location Id; ","")&amp;IF(AND(Catalog!T101&lt;&gt;"",COUNTIF(Catalog!$T$2:$T$501,Catalog!T101)&gt;1),"Duplicate ISBN; ","")&amp;IF(AND(Catalog!B101&lt;&gt;"",COUNTIF(Catalog!$B$2:$B$501,Catalog!B101)&gt;1),"Duplicate Accession; ",""))</f>
        <v/>
      </c>
    </row>
    <row r="126" spans="1:3" x14ac:dyDescent="0.25">
      <c r="A126" s="24" t="str">
        <f>Catalog!A102</f>
        <v/>
      </c>
      <c r="B126" s="25">
        <f>Catalog!D102</f>
        <v>0</v>
      </c>
      <c r="C126" s="26" t="str">
        <f>IF(Catalog!D102="","",IF(ISBLANK(Catalog!F102),"Missing Creator; ","")&amp;IF(ISBLANK(Catalog!K102),"Missing Item Type; ","")&amp;IF(ISBLANK(Catalog!L102),"Missing Subject; ","")&amp;IF(ISBLANK(Catalog!M102),"Missing Genre/Form; ","")&amp;IF(ISBLANK(Catalog!X102),"Missing Location Type; ","")&amp;IF(ISBLANK(Catalog!Y102),"Missing Location Id; ","")&amp;IF(AND(Catalog!T102&lt;&gt;"",COUNTIF(Catalog!$T$2:$T$501,Catalog!T102)&gt;1),"Duplicate ISBN; ","")&amp;IF(AND(Catalog!B102&lt;&gt;"",COUNTIF(Catalog!$B$2:$B$501,Catalog!B102)&gt;1),"Duplicate Accession; ",""))</f>
        <v/>
      </c>
    </row>
    <row r="127" spans="1:3" x14ac:dyDescent="0.25">
      <c r="A127" s="24" t="str">
        <f>Catalog!A103</f>
        <v/>
      </c>
      <c r="B127" s="25">
        <f>Catalog!D103</f>
        <v>0</v>
      </c>
      <c r="C127" s="26" t="str">
        <f>IF(Catalog!D103="","",IF(ISBLANK(Catalog!F103),"Missing Creator; ","")&amp;IF(ISBLANK(Catalog!K103),"Missing Item Type; ","")&amp;IF(ISBLANK(Catalog!L103),"Missing Subject; ","")&amp;IF(ISBLANK(Catalog!M103),"Missing Genre/Form; ","")&amp;IF(ISBLANK(Catalog!X103),"Missing Location Type; ","")&amp;IF(ISBLANK(Catalog!Y103),"Missing Location Id; ","")&amp;IF(AND(Catalog!T103&lt;&gt;"",COUNTIF(Catalog!$T$2:$T$501,Catalog!T103)&gt;1),"Duplicate ISBN; ","")&amp;IF(AND(Catalog!B103&lt;&gt;"",COUNTIF(Catalog!$B$2:$B$501,Catalog!B103)&gt;1),"Duplicate Accession; ",""))</f>
        <v/>
      </c>
    </row>
    <row r="128" spans="1:3" x14ac:dyDescent="0.25">
      <c r="A128" s="24" t="str">
        <f>Catalog!A104</f>
        <v/>
      </c>
      <c r="B128" s="25">
        <f>Catalog!D104</f>
        <v>0</v>
      </c>
      <c r="C128" s="26" t="str">
        <f>IF(Catalog!D104="","",IF(ISBLANK(Catalog!F104),"Missing Creator; ","")&amp;IF(ISBLANK(Catalog!K104),"Missing Item Type; ","")&amp;IF(ISBLANK(Catalog!L104),"Missing Subject; ","")&amp;IF(ISBLANK(Catalog!M104),"Missing Genre/Form; ","")&amp;IF(ISBLANK(Catalog!X104),"Missing Location Type; ","")&amp;IF(ISBLANK(Catalog!Y104),"Missing Location Id; ","")&amp;IF(AND(Catalog!T104&lt;&gt;"",COUNTIF(Catalog!$T$2:$T$501,Catalog!T104)&gt;1),"Duplicate ISBN; ","")&amp;IF(AND(Catalog!B104&lt;&gt;"",COUNTIF(Catalog!$B$2:$B$501,Catalog!B104)&gt;1),"Duplicate Accession; ",""))</f>
        <v/>
      </c>
    </row>
    <row r="129" spans="1:3" x14ac:dyDescent="0.25">
      <c r="A129" s="24" t="str">
        <f>Catalog!A105</f>
        <v/>
      </c>
      <c r="B129" s="25">
        <f>Catalog!D105</f>
        <v>0</v>
      </c>
      <c r="C129" s="26" t="str">
        <f>IF(Catalog!D105="","",IF(ISBLANK(Catalog!F105),"Missing Creator; ","")&amp;IF(ISBLANK(Catalog!K105),"Missing Item Type; ","")&amp;IF(ISBLANK(Catalog!L105),"Missing Subject; ","")&amp;IF(ISBLANK(Catalog!M105),"Missing Genre/Form; ","")&amp;IF(ISBLANK(Catalog!X105),"Missing Location Type; ","")&amp;IF(ISBLANK(Catalog!Y105),"Missing Location Id; ","")&amp;IF(AND(Catalog!T105&lt;&gt;"",COUNTIF(Catalog!$T$2:$T$501,Catalog!T105)&gt;1),"Duplicate ISBN; ","")&amp;IF(AND(Catalog!B105&lt;&gt;"",COUNTIF(Catalog!$B$2:$B$501,Catalog!B105)&gt;1),"Duplicate Accession; ",""))</f>
        <v/>
      </c>
    </row>
    <row r="130" spans="1:3" x14ac:dyDescent="0.25">
      <c r="A130" s="24" t="str">
        <f>Catalog!A106</f>
        <v/>
      </c>
      <c r="B130" s="25">
        <f>Catalog!D106</f>
        <v>0</v>
      </c>
      <c r="C130" s="26" t="str">
        <f>IF(Catalog!D106="","",IF(ISBLANK(Catalog!F106),"Missing Creator; ","")&amp;IF(ISBLANK(Catalog!K106),"Missing Item Type; ","")&amp;IF(ISBLANK(Catalog!L106),"Missing Subject; ","")&amp;IF(ISBLANK(Catalog!M106),"Missing Genre/Form; ","")&amp;IF(ISBLANK(Catalog!X106),"Missing Location Type; ","")&amp;IF(ISBLANK(Catalog!Y106),"Missing Location Id; ","")&amp;IF(AND(Catalog!T106&lt;&gt;"",COUNTIF(Catalog!$T$2:$T$501,Catalog!T106)&gt;1),"Duplicate ISBN; ","")&amp;IF(AND(Catalog!B106&lt;&gt;"",COUNTIF(Catalog!$B$2:$B$501,Catalog!B106)&gt;1),"Duplicate Accession; ",""))</f>
        <v/>
      </c>
    </row>
    <row r="131" spans="1:3" x14ac:dyDescent="0.25">
      <c r="A131" s="24" t="str">
        <f>Catalog!A107</f>
        <v/>
      </c>
      <c r="B131" s="25">
        <f>Catalog!D107</f>
        <v>0</v>
      </c>
      <c r="C131" s="26" t="str">
        <f>IF(Catalog!D107="","",IF(ISBLANK(Catalog!F107),"Missing Creator; ","")&amp;IF(ISBLANK(Catalog!K107),"Missing Item Type; ","")&amp;IF(ISBLANK(Catalog!L107),"Missing Subject; ","")&amp;IF(ISBLANK(Catalog!M107),"Missing Genre/Form; ","")&amp;IF(ISBLANK(Catalog!X107),"Missing Location Type; ","")&amp;IF(ISBLANK(Catalog!Y107),"Missing Location Id; ","")&amp;IF(AND(Catalog!T107&lt;&gt;"",COUNTIF(Catalog!$T$2:$T$501,Catalog!T107)&gt;1),"Duplicate ISBN; ","")&amp;IF(AND(Catalog!B107&lt;&gt;"",COUNTIF(Catalog!$B$2:$B$501,Catalog!B107)&gt;1),"Duplicate Accession; ",""))</f>
        <v/>
      </c>
    </row>
    <row r="132" spans="1:3" x14ac:dyDescent="0.25">
      <c r="A132" s="24" t="str">
        <f>Catalog!A108</f>
        <v/>
      </c>
      <c r="B132" s="25">
        <f>Catalog!D108</f>
        <v>0</v>
      </c>
      <c r="C132" s="26" t="str">
        <f>IF(Catalog!D108="","",IF(ISBLANK(Catalog!F108),"Missing Creator; ","")&amp;IF(ISBLANK(Catalog!K108),"Missing Item Type; ","")&amp;IF(ISBLANK(Catalog!L108),"Missing Subject; ","")&amp;IF(ISBLANK(Catalog!M108),"Missing Genre/Form; ","")&amp;IF(ISBLANK(Catalog!X108),"Missing Location Type; ","")&amp;IF(ISBLANK(Catalog!Y108),"Missing Location Id; ","")&amp;IF(AND(Catalog!T108&lt;&gt;"",COUNTIF(Catalog!$T$2:$T$501,Catalog!T108)&gt;1),"Duplicate ISBN; ","")&amp;IF(AND(Catalog!B108&lt;&gt;"",COUNTIF(Catalog!$B$2:$B$501,Catalog!B108)&gt;1),"Duplicate Accession; ",""))</f>
        <v/>
      </c>
    </row>
    <row r="133" spans="1:3" x14ac:dyDescent="0.25">
      <c r="A133" s="24" t="str">
        <f>Catalog!A109</f>
        <v/>
      </c>
      <c r="B133" s="25">
        <f>Catalog!D109</f>
        <v>0</v>
      </c>
      <c r="C133" s="26" t="str">
        <f>IF(Catalog!D109="","",IF(ISBLANK(Catalog!F109),"Missing Creator; ","")&amp;IF(ISBLANK(Catalog!K109),"Missing Item Type; ","")&amp;IF(ISBLANK(Catalog!L109),"Missing Subject; ","")&amp;IF(ISBLANK(Catalog!M109),"Missing Genre/Form; ","")&amp;IF(ISBLANK(Catalog!X109),"Missing Location Type; ","")&amp;IF(ISBLANK(Catalog!Y109),"Missing Location Id; ","")&amp;IF(AND(Catalog!T109&lt;&gt;"",COUNTIF(Catalog!$T$2:$T$501,Catalog!T109)&gt;1),"Duplicate ISBN; ","")&amp;IF(AND(Catalog!B109&lt;&gt;"",COUNTIF(Catalog!$B$2:$B$501,Catalog!B109)&gt;1),"Duplicate Accession; ",""))</f>
        <v/>
      </c>
    </row>
    <row r="134" spans="1:3" x14ac:dyDescent="0.25">
      <c r="A134" s="24" t="str">
        <f>Catalog!A110</f>
        <v/>
      </c>
      <c r="B134" s="25">
        <f>Catalog!D110</f>
        <v>0</v>
      </c>
      <c r="C134" s="26" t="str">
        <f>IF(Catalog!D110="","",IF(ISBLANK(Catalog!F110),"Missing Creator; ","")&amp;IF(ISBLANK(Catalog!K110),"Missing Item Type; ","")&amp;IF(ISBLANK(Catalog!L110),"Missing Subject; ","")&amp;IF(ISBLANK(Catalog!M110),"Missing Genre/Form; ","")&amp;IF(ISBLANK(Catalog!X110),"Missing Location Type; ","")&amp;IF(ISBLANK(Catalog!Y110),"Missing Location Id; ","")&amp;IF(AND(Catalog!T110&lt;&gt;"",COUNTIF(Catalog!$T$2:$T$501,Catalog!T110)&gt;1),"Duplicate ISBN; ","")&amp;IF(AND(Catalog!B110&lt;&gt;"",COUNTIF(Catalog!$B$2:$B$501,Catalog!B110)&gt;1),"Duplicate Accession; ",""))</f>
        <v/>
      </c>
    </row>
    <row r="135" spans="1:3" x14ac:dyDescent="0.25">
      <c r="A135" s="24" t="str">
        <f>Catalog!A111</f>
        <v/>
      </c>
      <c r="B135" s="25">
        <f>Catalog!D111</f>
        <v>0</v>
      </c>
      <c r="C135" s="26" t="str">
        <f>IF(Catalog!D111="","",IF(ISBLANK(Catalog!F111),"Missing Creator; ","")&amp;IF(ISBLANK(Catalog!K111),"Missing Item Type; ","")&amp;IF(ISBLANK(Catalog!L111),"Missing Subject; ","")&amp;IF(ISBLANK(Catalog!M111),"Missing Genre/Form; ","")&amp;IF(ISBLANK(Catalog!X111),"Missing Location Type; ","")&amp;IF(ISBLANK(Catalog!Y111),"Missing Location Id; ","")&amp;IF(AND(Catalog!T111&lt;&gt;"",COUNTIF(Catalog!$T$2:$T$501,Catalog!T111)&gt;1),"Duplicate ISBN; ","")&amp;IF(AND(Catalog!B111&lt;&gt;"",COUNTIF(Catalog!$B$2:$B$501,Catalog!B111)&gt;1),"Duplicate Accession; ",""))</f>
        <v/>
      </c>
    </row>
    <row r="136" spans="1:3" x14ac:dyDescent="0.25">
      <c r="A136" s="24" t="str">
        <f>Catalog!A112</f>
        <v/>
      </c>
      <c r="B136" s="25">
        <f>Catalog!D112</f>
        <v>0</v>
      </c>
      <c r="C136" s="26" t="str">
        <f>IF(Catalog!D112="","",IF(ISBLANK(Catalog!F112),"Missing Creator; ","")&amp;IF(ISBLANK(Catalog!K112),"Missing Item Type; ","")&amp;IF(ISBLANK(Catalog!L112),"Missing Subject; ","")&amp;IF(ISBLANK(Catalog!M112),"Missing Genre/Form; ","")&amp;IF(ISBLANK(Catalog!X112),"Missing Location Type; ","")&amp;IF(ISBLANK(Catalog!Y112),"Missing Location Id; ","")&amp;IF(AND(Catalog!T112&lt;&gt;"",COUNTIF(Catalog!$T$2:$T$501,Catalog!T112)&gt;1),"Duplicate ISBN; ","")&amp;IF(AND(Catalog!B112&lt;&gt;"",COUNTIF(Catalog!$B$2:$B$501,Catalog!B112)&gt;1),"Duplicate Accession; ",""))</f>
        <v/>
      </c>
    </row>
    <row r="137" spans="1:3" x14ac:dyDescent="0.25">
      <c r="A137" s="24" t="str">
        <f>Catalog!A113</f>
        <v/>
      </c>
      <c r="B137" s="25">
        <f>Catalog!D113</f>
        <v>0</v>
      </c>
      <c r="C137" s="26" t="str">
        <f>IF(Catalog!D113="","",IF(ISBLANK(Catalog!F113),"Missing Creator; ","")&amp;IF(ISBLANK(Catalog!K113),"Missing Item Type; ","")&amp;IF(ISBLANK(Catalog!L113),"Missing Subject; ","")&amp;IF(ISBLANK(Catalog!M113),"Missing Genre/Form; ","")&amp;IF(ISBLANK(Catalog!X113),"Missing Location Type; ","")&amp;IF(ISBLANK(Catalog!Y113),"Missing Location Id; ","")&amp;IF(AND(Catalog!T113&lt;&gt;"",COUNTIF(Catalog!$T$2:$T$501,Catalog!T113)&gt;1),"Duplicate ISBN; ","")&amp;IF(AND(Catalog!B113&lt;&gt;"",COUNTIF(Catalog!$B$2:$B$501,Catalog!B113)&gt;1),"Duplicate Accession; ",""))</f>
        <v/>
      </c>
    </row>
    <row r="138" spans="1:3" x14ac:dyDescent="0.25">
      <c r="A138" s="24" t="str">
        <f>Catalog!A114</f>
        <v/>
      </c>
      <c r="B138" s="25">
        <f>Catalog!D114</f>
        <v>0</v>
      </c>
      <c r="C138" s="26" t="str">
        <f>IF(Catalog!D114="","",IF(ISBLANK(Catalog!F114),"Missing Creator; ","")&amp;IF(ISBLANK(Catalog!K114),"Missing Item Type; ","")&amp;IF(ISBLANK(Catalog!L114),"Missing Subject; ","")&amp;IF(ISBLANK(Catalog!M114),"Missing Genre/Form; ","")&amp;IF(ISBLANK(Catalog!X114),"Missing Location Type; ","")&amp;IF(ISBLANK(Catalog!Y114),"Missing Location Id; ","")&amp;IF(AND(Catalog!T114&lt;&gt;"",COUNTIF(Catalog!$T$2:$T$501,Catalog!T114)&gt;1),"Duplicate ISBN; ","")&amp;IF(AND(Catalog!B114&lt;&gt;"",COUNTIF(Catalog!$B$2:$B$501,Catalog!B114)&gt;1),"Duplicate Accession; ",""))</f>
        <v/>
      </c>
    </row>
    <row r="139" spans="1:3" x14ac:dyDescent="0.25">
      <c r="A139" s="24" t="str">
        <f>Catalog!A115</f>
        <v/>
      </c>
      <c r="B139" s="25">
        <f>Catalog!D115</f>
        <v>0</v>
      </c>
      <c r="C139" s="26" t="str">
        <f>IF(Catalog!D115="","",IF(ISBLANK(Catalog!F115),"Missing Creator; ","")&amp;IF(ISBLANK(Catalog!K115),"Missing Item Type; ","")&amp;IF(ISBLANK(Catalog!L115),"Missing Subject; ","")&amp;IF(ISBLANK(Catalog!M115),"Missing Genre/Form; ","")&amp;IF(ISBLANK(Catalog!X115),"Missing Location Type; ","")&amp;IF(ISBLANK(Catalog!Y115),"Missing Location Id; ","")&amp;IF(AND(Catalog!T115&lt;&gt;"",COUNTIF(Catalog!$T$2:$T$501,Catalog!T115)&gt;1),"Duplicate ISBN; ","")&amp;IF(AND(Catalog!B115&lt;&gt;"",COUNTIF(Catalog!$B$2:$B$501,Catalog!B115)&gt;1),"Duplicate Accession; ",""))</f>
        <v/>
      </c>
    </row>
    <row r="140" spans="1:3" x14ac:dyDescent="0.25">
      <c r="A140" s="24" t="str">
        <f>Catalog!A116</f>
        <v/>
      </c>
      <c r="B140" s="25">
        <f>Catalog!D116</f>
        <v>0</v>
      </c>
      <c r="C140" s="26" t="str">
        <f>IF(Catalog!D116="","",IF(ISBLANK(Catalog!F116),"Missing Creator; ","")&amp;IF(ISBLANK(Catalog!K116),"Missing Item Type; ","")&amp;IF(ISBLANK(Catalog!L116),"Missing Subject; ","")&amp;IF(ISBLANK(Catalog!M116),"Missing Genre/Form; ","")&amp;IF(ISBLANK(Catalog!X116),"Missing Location Type; ","")&amp;IF(ISBLANK(Catalog!Y116),"Missing Location Id; ","")&amp;IF(AND(Catalog!T116&lt;&gt;"",COUNTIF(Catalog!$T$2:$T$501,Catalog!T116)&gt;1),"Duplicate ISBN; ","")&amp;IF(AND(Catalog!B116&lt;&gt;"",COUNTIF(Catalog!$B$2:$B$501,Catalog!B116)&gt;1),"Duplicate Accession; ",""))</f>
        <v/>
      </c>
    </row>
    <row r="141" spans="1:3" x14ac:dyDescent="0.25">
      <c r="A141" s="24" t="str">
        <f>Catalog!A117</f>
        <v/>
      </c>
      <c r="B141" s="25">
        <f>Catalog!D117</f>
        <v>0</v>
      </c>
      <c r="C141" s="26" t="str">
        <f>IF(Catalog!D117="","",IF(ISBLANK(Catalog!F117),"Missing Creator; ","")&amp;IF(ISBLANK(Catalog!K117),"Missing Item Type; ","")&amp;IF(ISBLANK(Catalog!L117),"Missing Subject; ","")&amp;IF(ISBLANK(Catalog!M117),"Missing Genre/Form; ","")&amp;IF(ISBLANK(Catalog!X117),"Missing Location Type; ","")&amp;IF(ISBLANK(Catalog!Y117),"Missing Location Id; ","")&amp;IF(AND(Catalog!T117&lt;&gt;"",COUNTIF(Catalog!$T$2:$T$501,Catalog!T117)&gt;1),"Duplicate ISBN; ","")&amp;IF(AND(Catalog!B117&lt;&gt;"",COUNTIF(Catalog!$B$2:$B$501,Catalog!B117)&gt;1),"Duplicate Accession; ",""))</f>
        <v/>
      </c>
    </row>
    <row r="142" spans="1:3" x14ac:dyDescent="0.25">
      <c r="A142" s="24" t="str">
        <f>Catalog!A118</f>
        <v/>
      </c>
      <c r="B142" s="25">
        <f>Catalog!D118</f>
        <v>0</v>
      </c>
      <c r="C142" s="26" t="str">
        <f>IF(Catalog!D118="","",IF(ISBLANK(Catalog!F118),"Missing Creator; ","")&amp;IF(ISBLANK(Catalog!K118),"Missing Item Type; ","")&amp;IF(ISBLANK(Catalog!L118),"Missing Subject; ","")&amp;IF(ISBLANK(Catalog!M118),"Missing Genre/Form; ","")&amp;IF(ISBLANK(Catalog!X118),"Missing Location Type; ","")&amp;IF(ISBLANK(Catalog!Y118),"Missing Location Id; ","")&amp;IF(AND(Catalog!T118&lt;&gt;"",COUNTIF(Catalog!$T$2:$T$501,Catalog!T118)&gt;1),"Duplicate ISBN; ","")&amp;IF(AND(Catalog!B118&lt;&gt;"",COUNTIF(Catalog!$B$2:$B$501,Catalog!B118)&gt;1),"Duplicate Accession; ",""))</f>
        <v/>
      </c>
    </row>
    <row r="143" spans="1:3" x14ac:dyDescent="0.25">
      <c r="A143" s="24" t="str">
        <f>Catalog!A119</f>
        <v/>
      </c>
      <c r="B143" s="25">
        <f>Catalog!D119</f>
        <v>0</v>
      </c>
      <c r="C143" s="26" t="str">
        <f>IF(Catalog!D119="","",IF(ISBLANK(Catalog!F119),"Missing Creator; ","")&amp;IF(ISBLANK(Catalog!K119),"Missing Item Type; ","")&amp;IF(ISBLANK(Catalog!L119),"Missing Subject; ","")&amp;IF(ISBLANK(Catalog!M119),"Missing Genre/Form; ","")&amp;IF(ISBLANK(Catalog!X119),"Missing Location Type; ","")&amp;IF(ISBLANK(Catalog!Y119),"Missing Location Id; ","")&amp;IF(AND(Catalog!T119&lt;&gt;"",COUNTIF(Catalog!$T$2:$T$501,Catalog!T119)&gt;1),"Duplicate ISBN; ","")&amp;IF(AND(Catalog!B119&lt;&gt;"",COUNTIF(Catalog!$B$2:$B$501,Catalog!B119)&gt;1),"Duplicate Accession; ",""))</f>
        <v/>
      </c>
    </row>
    <row r="144" spans="1:3" x14ac:dyDescent="0.25">
      <c r="A144" s="24" t="str">
        <f>Catalog!A120</f>
        <v/>
      </c>
      <c r="B144" s="25">
        <f>Catalog!D120</f>
        <v>0</v>
      </c>
      <c r="C144" s="26" t="str">
        <f>IF(Catalog!D120="","",IF(ISBLANK(Catalog!F120),"Missing Creator; ","")&amp;IF(ISBLANK(Catalog!K120),"Missing Item Type; ","")&amp;IF(ISBLANK(Catalog!L120),"Missing Subject; ","")&amp;IF(ISBLANK(Catalog!M120),"Missing Genre/Form; ","")&amp;IF(ISBLANK(Catalog!X120),"Missing Location Type; ","")&amp;IF(ISBLANK(Catalog!Y120),"Missing Location Id; ","")&amp;IF(AND(Catalog!T120&lt;&gt;"",COUNTIF(Catalog!$T$2:$T$501,Catalog!T120)&gt;1),"Duplicate ISBN; ","")&amp;IF(AND(Catalog!B120&lt;&gt;"",COUNTIF(Catalog!$B$2:$B$501,Catalog!B120)&gt;1),"Duplicate Accession; ",""))</f>
        <v/>
      </c>
    </row>
    <row r="145" spans="1:3" x14ac:dyDescent="0.25">
      <c r="A145" s="24" t="str">
        <f>Catalog!A121</f>
        <v/>
      </c>
      <c r="B145" s="25">
        <f>Catalog!D121</f>
        <v>0</v>
      </c>
      <c r="C145" s="26" t="str">
        <f>IF(Catalog!D121="","",IF(ISBLANK(Catalog!F121),"Missing Creator; ","")&amp;IF(ISBLANK(Catalog!K121),"Missing Item Type; ","")&amp;IF(ISBLANK(Catalog!L121),"Missing Subject; ","")&amp;IF(ISBLANK(Catalog!M121),"Missing Genre/Form; ","")&amp;IF(ISBLANK(Catalog!X121),"Missing Location Type; ","")&amp;IF(ISBLANK(Catalog!Y121),"Missing Location Id; ","")&amp;IF(AND(Catalog!T121&lt;&gt;"",COUNTIF(Catalog!$T$2:$T$501,Catalog!T121)&gt;1),"Duplicate ISBN; ","")&amp;IF(AND(Catalog!B121&lt;&gt;"",COUNTIF(Catalog!$B$2:$B$501,Catalog!B121)&gt;1),"Duplicate Accession; ",""))</f>
        <v/>
      </c>
    </row>
    <row r="146" spans="1:3" x14ac:dyDescent="0.25">
      <c r="A146" s="24" t="str">
        <f>Catalog!A122</f>
        <v/>
      </c>
      <c r="B146" s="25">
        <f>Catalog!D122</f>
        <v>0</v>
      </c>
      <c r="C146" s="26" t="str">
        <f>IF(Catalog!D122="","",IF(ISBLANK(Catalog!F122),"Missing Creator; ","")&amp;IF(ISBLANK(Catalog!K122),"Missing Item Type; ","")&amp;IF(ISBLANK(Catalog!L122),"Missing Subject; ","")&amp;IF(ISBLANK(Catalog!M122),"Missing Genre/Form; ","")&amp;IF(ISBLANK(Catalog!X122),"Missing Location Type; ","")&amp;IF(ISBLANK(Catalog!Y122),"Missing Location Id; ","")&amp;IF(AND(Catalog!T122&lt;&gt;"",COUNTIF(Catalog!$T$2:$T$501,Catalog!T122)&gt;1),"Duplicate ISBN; ","")&amp;IF(AND(Catalog!B122&lt;&gt;"",COUNTIF(Catalog!$B$2:$B$501,Catalog!B122)&gt;1),"Duplicate Accession; ",""))</f>
        <v/>
      </c>
    </row>
    <row r="147" spans="1:3" x14ac:dyDescent="0.25">
      <c r="A147" s="24" t="str">
        <f>Catalog!A123</f>
        <v/>
      </c>
      <c r="B147" s="25">
        <f>Catalog!D123</f>
        <v>0</v>
      </c>
      <c r="C147" s="26" t="str">
        <f>IF(Catalog!D123="","",IF(ISBLANK(Catalog!F123),"Missing Creator; ","")&amp;IF(ISBLANK(Catalog!K123),"Missing Item Type; ","")&amp;IF(ISBLANK(Catalog!L123),"Missing Subject; ","")&amp;IF(ISBLANK(Catalog!M123),"Missing Genre/Form; ","")&amp;IF(ISBLANK(Catalog!X123),"Missing Location Type; ","")&amp;IF(ISBLANK(Catalog!Y123),"Missing Location Id; ","")&amp;IF(AND(Catalog!T123&lt;&gt;"",COUNTIF(Catalog!$T$2:$T$501,Catalog!T123)&gt;1),"Duplicate ISBN; ","")&amp;IF(AND(Catalog!B123&lt;&gt;"",COUNTIF(Catalog!$B$2:$B$501,Catalog!B123)&gt;1),"Duplicate Accession; ",""))</f>
        <v/>
      </c>
    </row>
    <row r="148" spans="1:3" x14ac:dyDescent="0.25">
      <c r="A148" s="24" t="str">
        <f>Catalog!A124</f>
        <v/>
      </c>
      <c r="B148" s="25">
        <f>Catalog!D124</f>
        <v>0</v>
      </c>
      <c r="C148" s="26" t="str">
        <f>IF(Catalog!D124="","",IF(ISBLANK(Catalog!F124),"Missing Creator; ","")&amp;IF(ISBLANK(Catalog!K124),"Missing Item Type; ","")&amp;IF(ISBLANK(Catalog!L124),"Missing Subject; ","")&amp;IF(ISBLANK(Catalog!M124),"Missing Genre/Form; ","")&amp;IF(ISBLANK(Catalog!X124),"Missing Location Type; ","")&amp;IF(ISBLANK(Catalog!Y124),"Missing Location Id; ","")&amp;IF(AND(Catalog!T124&lt;&gt;"",COUNTIF(Catalog!$T$2:$T$501,Catalog!T124)&gt;1),"Duplicate ISBN; ","")&amp;IF(AND(Catalog!B124&lt;&gt;"",COUNTIF(Catalog!$B$2:$B$501,Catalog!B124)&gt;1),"Duplicate Accession; ",""))</f>
        <v/>
      </c>
    </row>
    <row r="149" spans="1:3" x14ac:dyDescent="0.25">
      <c r="A149" s="24" t="str">
        <f>Catalog!A125</f>
        <v/>
      </c>
      <c r="B149" s="25">
        <f>Catalog!D125</f>
        <v>0</v>
      </c>
      <c r="C149" s="26" t="str">
        <f>IF(Catalog!D125="","",IF(ISBLANK(Catalog!F125),"Missing Creator; ","")&amp;IF(ISBLANK(Catalog!K125),"Missing Item Type; ","")&amp;IF(ISBLANK(Catalog!L125),"Missing Subject; ","")&amp;IF(ISBLANK(Catalog!M125),"Missing Genre/Form; ","")&amp;IF(ISBLANK(Catalog!X125),"Missing Location Type; ","")&amp;IF(ISBLANK(Catalog!Y125),"Missing Location Id; ","")&amp;IF(AND(Catalog!T125&lt;&gt;"",COUNTIF(Catalog!$T$2:$T$501,Catalog!T125)&gt;1),"Duplicate ISBN; ","")&amp;IF(AND(Catalog!B125&lt;&gt;"",COUNTIF(Catalog!$B$2:$B$501,Catalog!B125)&gt;1),"Duplicate Accession; ",""))</f>
        <v/>
      </c>
    </row>
    <row r="150" spans="1:3" x14ac:dyDescent="0.25">
      <c r="A150" s="24" t="str">
        <f>Catalog!A126</f>
        <v/>
      </c>
      <c r="B150" s="25">
        <f>Catalog!D126</f>
        <v>0</v>
      </c>
      <c r="C150" s="26" t="str">
        <f>IF(Catalog!D126="","",IF(ISBLANK(Catalog!F126),"Missing Creator; ","")&amp;IF(ISBLANK(Catalog!K126),"Missing Item Type; ","")&amp;IF(ISBLANK(Catalog!L126),"Missing Subject; ","")&amp;IF(ISBLANK(Catalog!M126),"Missing Genre/Form; ","")&amp;IF(ISBLANK(Catalog!X126),"Missing Location Type; ","")&amp;IF(ISBLANK(Catalog!Y126),"Missing Location Id; ","")&amp;IF(AND(Catalog!T126&lt;&gt;"",COUNTIF(Catalog!$T$2:$T$501,Catalog!T126)&gt;1),"Duplicate ISBN; ","")&amp;IF(AND(Catalog!B126&lt;&gt;"",COUNTIF(Catalog!$B$2:$B$501,Catalog!B126)&gt;1),"Duplicate Accession; ",""))</f>
        <v/>
      </c>
    </row>
    <row r="151" spans="1:3" x14ac:dyDescent="0.25">
      <c r="A151" s="24" t="str">
        <f>Catalog!A127</f>
        <v/>
      </c>
      <c r="B151" s="25">
        <f>Catalog!D127</f>
        <v>0</v>
      </c>
      <c r="C151" s="26" t="str">
        <f>IF(Catalog!D127="","",IF(ISBLANK(Catalog!F127),"Missing Creator; ","")&amp;IF(ISBLANK(Catalog!K127),"Missing Item Type; ","")&amp;IF(ISBLANK(Catalog!L127),"Missing Subject; ","")&amp;IF(ISBLANK(Catalog!M127),"Missing Genre/Form; ","")&amp;IF(ISBLANK(Catalog!X127),"Missing Location Type; ","")&amp;IF(ISBLANK(Catalog!Y127),"Missing Location Id; ","")&amp;IF(AND(Catalog!T127&lt;&gt;"",COUNTIF(Catalog!$T$2:$T$501,Catalog!T127)&gt;1),"Duplicate ISBN; ","")&amp;IF(AND(Catalog!B127&lt;&gt;"",COUNTIF(Catalog!$B$2:$B$501,Catalog!B127)&gt;1),"Duplicate Accession; ",""))</f>
        <v/>
      </c>
    </row>
    <row r="152" spans="1:3" x14ac:dyDescent="0.25">
      <c r="A152" s="24" t="str">
        <f>Catalog!A128</f>
        <v/>
      </c>
      <c r="B152" s="25">
        <f>Catalog!D128</f>
        <v>0</v>
      </c>
      <c r="C152" s="26" t="str">
        <f>IF(Catalog!D128="","",IF(ISBLANK(Catalog!F128),"Missing Creator; ","")&amp;IF(ISBLANK(Catalog!K128),"Missing Item Type; ","")&amp;IF(ISBLANK(Catalog!L128),"Missing Subject; ","")&amp;IF(ISBLANK(Catalog!M128),"Missing Genre/Form; ","")&amp;IF(ISBLANK(Catalog!X128),"Missing Location Type; ","")&amp;IF(ISBLANK(Catalog!Y128),"Missing Location Id; ","")&amp;IF(AND(Catalog!T128&lt;&gt;"",COUNTIF(Catalog!$T$2:$T$501,Catalog!T128)&gt;1),"Duplicate ISBN; ","")&amp;IF(AND(Catalog!B128&lt;&gt;"",COUNTIF(Catalog!$B$2:$B$501,Catalog!B128)&gt;1),"Duplicate Accession; ",""))</f>
        <v/>
      </c>
    </row>
    <row r="153" spans="1:3" x14ac:dyDescent="0.25">
      <c r="A153" s="24" t="str">
        <f>Catalog!A129</f>
        <v/>
      </c>
      <c r="B153" s="25">
        <f>Catalog!D129</f>
        <v>0</v>
      </c>
      <c r="C153" s="26" t="str">
        <f>IF(Catalog!D129="","",IF(ISBLANK(Catalog!F129),"Missing Creator; ","")&amp;IF(ISBLANK(Catalog!K129),"Missing Item Type; ","")&amp;IF(ISBLANK(Catalog!L129),"Missing Subject; ","")&amp;IF(ISBLANK(Catalog!M129),"Missing Genre/Form; ","")&amp;IF(ISBLANK(Catalog!X129),"Missing Location Type; ","")&amp;IF(ISBLANK(Catalog!Y129),"Missing Location Id; ","")&amp;IF(AND(Catalog!T129&lt;&gt;"",COUNTIF(Catalog!$T$2:$T$501,Catalog!T129)&gt;1),"Duplicate ISBN; ","")&amp;IF(AND(Catalog!B129&lt;&gt;"",COUNTIF(Catalog!$B$2:$B$501,Catalog!B129)&gt;1),"Duplicate Accession; ",""))</f>
        <v/>
      </c>
    </row>
    <row r="154" spans="1:3" x14ac:dyDescent="0.25">
      <c r="A154" s="24" t="str">
        <f>Catalog!A130</f>
        <v/>
      </c>
      <c r="B154" s="25">
        <f>Catalog!D130</f>
        <v>0</v>
      </c>
      <c r="C154" s="26" t="str">
        <f>IF(Catalog!D130="","",IF(ISBLANK(Catalog!F130),"Missing Creator; ","")&amp;IF(ISBLANK(Catalog!K130),"Missing Item Type; ","")&amp;IF(ISBLANK(Catalog!L130),"Missing Subject; ","")&amp;IF(ISBLANK(Catalog!M130),"Missing Genre/Form; ","")&amp;IF(ISBLANK(Catalog!X130),"Missing Location Type; ","")&amp;IF(ISBLANK(Catalog!Y130),"Missing Location Id; ","")&amp;IF(AND(Catalog!T130&lt;&gt;"",COUNTIF(Catalog!$T$2:$T$501,Catalog!T130)&gt;1),"Duplicate ISBN; ","")&amp;IF(AND(Catalog!B130&lt;&gt;"",COUNTIF(Catalog!$B$2:$B$501,Catalog!B130)&gt;1),"Duplicate Accession; ",""))</f>
        <v/>
      </c>
    </row>
    <row r="155" spans="1:3" x14ac:dyDescent="0.25">
      <c r="A155" s="24" t="str">
        <f>Catalog!A131</f>
        <v/>
      </c>
      <c r="B155" s="25">
        <f>Catalog!D131</f>
        <v>0</v>
      </c>
      <c r="C155" s="26" t="str">
        <f>IF(Catalog!D131="","",IF(ISBLANK(Catalog!F131),"Missing Creator; ","")&amp;IF(ISBLANK(Catalog!K131),"Missing Item Type; ","")&amp;IF(ISBLANK(Catalog!L131),"Missing Subject; ","")&amp;IF(ISBLANK(Catalog!M131),"Missing Genre/Form; ","")&amp;IF(ISBLANK(Catalog!X131),"Missing Location Type; ","")&amp;IF(ISBLANK(Catalog!Y131),"Missing Location Id; ","")&amp;IF(AND(Catalog!T131&lt;&gt;"",COUNTIF(Catalog!$T$2:$T$501,Catalog!T131)&gt;1),"Duplicate ISBN; ","")&amp;IF(AND(Catalog!B131&lt;&gt;"",COUNTIF(Catalog!$B$2:$B$501,Catalog!B131)&gt;1),"Duplicate Accession; ",""))</f>
        <v/>
      </c>
    </row>
    <row r="156" spans="1:3" x14ac:dyDescent="0.25">
      <c r="A156" s="24" t="str">
        <f>Catalog!A132</f>
        <v/>
      </c>
      <c r="B156" s="25">
        <f>Catalog!D132</f>
        <v>0</v>
      </c>
      <c r="C156" s="26" t="str">
        <f>IF(Catalog!D132="","",IF(ISBLANK(Catalog!F132),"Missing Creator; ","")&amp;IF(ISBLANK(Catalog!K132),"Missing Item Type; ","")&amp;IF(ISBLANK(Catalog!L132),"Missing Subject; ","")&amp;IF(ISBLANK(Catalog!M132),"Missing Genre/Form; ","")&amp;IF(ISBLANK(Catalog!X132),"Missing Location Type; ","")&amp;IF(ISBLANK(Catalog!Y132),"Missing Location Id; ","")&amp;IF(AND(Catalog!T132&lt;&gt;"",COUNTIF(Catalog!$T$2:$T$501,Catalog!T132)&gt;1),"Duplicate ISBN; ","")&amp;IF(AND(Catalog!B132&lt;&gt;"",COUNTIF(Catalog!$B$2:$B$501,Catalog!B132)&gt;1),"Duplicate Accession; ",""))</f>
        <v/>
      </c>
    </row>
    <row r="157" spans="1:3" x14ac:dyDescent="0.25">
      <c r="A157" s="24" t="str">
        <f>Catalog!A133</f>
        <v/>
      </c>
      <c r="B157" s="25">
        <f>Catalog!D133</f>
        <v>0</v>
      </c>
      <c r="C157" s="26" t="str">
        <f>IF(Catalog!D133="","",IF(ISBLANK(Catalog!F133),"Missing Creator; ","")&amp;IF(ISBLANK(Catalog!K133),"Missing Item Type; ","")&amp;IF(ISBLANK(Catalog!L133),"Missing Subject; ","")&amp;IF(ISBLANK(Catalog!M133),"Missing Genre/Form; ","")&amp;IF(ISBLANK(Catalog!X133),"Missing Location Type; ","")&amp;IF(ISBLANK(Catalog!Y133),"Missing Location Id; ","")&amp;IF(AND(Catalog!T133&lt;&gt;"",COUNTIF(Catalog!$T$2:$T$501,Catalog!T133)&gt;1),"Duplicate ISBN; ","")&amp;IF(AND(Catalog!B133&lt;&gt;"",COUNTIF(Catalog!$B$2:$B$501,Catalog!B133)&gt;1),"Duplicate Accession; ",""))</f>
        <v/>
      </c>
    </row>
    <row r="158" spans="1:3" x14ac:dyDescent="0.25">
      <c r="A158" s="24" t="str">
        <f>Catalog!A134</f>
        <v/>
      </c>
      <c r="B158" s="25">
        <f>Catalog!D134</f>
        <v>0</v>
      </c>
      <c r="C158" s="26" t="str">
        <f>IF(Catalog!D134="","",IF(ISBLANK(Catalog!F134),"Missing Creator; ","")&amp;IF(ISBLANK(Catalog!K134),"Missing Item Type; ","")&amp;IF(ISBLANK(Catalog!L134),"Missing Subject; ","")&amp;IF(ISBLANK(Catalog!M134),"Missing Genre/Form; ","")&amp;IF(ISBLANK(Catalog!X134),"Missing Location Type; ","")&amp;IF(ISBLANK(Catalog!Y134),"Missing Location Id; ","")&amp;IF(AND(Catalog!T134&lt;&gt;"",COUNTIF(Catalog!$T$2:$T$501,Catalog!T134)&gt;1),"Duplicate ISBN; ","")&amp;IF(AND(Catalog!B134&lt;&gt;"",COUNTIF(Catalog!$B$2:$B$501,Catalog!B134)&gt;1),"Duplicate Accession; ",""))</f>
        <v/>
      </c>
    </row>
    <row r="159" spans="1:3" x14ac:dyDescent="0.25">
      <c r="A159" s="24" t="str">
        <f>Catalog!A135</f>
        <v/>
      </c>
      <c r="B159" s="25">
        <f>Catalog!D135</f>
        <v>0</v>
      </c>
      <c r="C159" s="26" t="str">
        <f>IF(Catalog!D135="","",IF(ISBLANK(Catalog!F135),"Missing Creator; ","")&amp;IF(ISBLANK(Catalog!K135),"Missing Item Type; ","")&amp;IF(ISBLANK(Catalog!L135),"Missing Subject; ","")&amp;IF(ISBLANK(Catalog!M135),"Missing Genre/Form; ","")&amp;IF(ISBLANK(Catalog!X135),"Missing Location Type; ","")&amp;IF(ISBLANK(Catalog!Y135),"Missing Location Id; ","")&amp;IF(AND(Catalog!T135&lt;&gt;"",COUNTIF(Catalog!$T$2:$T$501,Catalog!T135)&gt;1),"Duplicate ISBN; ","")&amp;IF(AND(Catalog!B135&lt;&gt;"",COUNTIF(Catalog!$B$2:$B$501,Catalog!B135)&gt;1),"Duplicate Accession; ",""))</f>
        <v/>
      </c>
    </row>
    <row r="160" spans="1:3" x14ac:dyDescent="0.25">
      <c r="A160" s="24" t="str">
        <f>Catalog!A136</f>
        <v/>
      </c>
      <c r="B160" s="25">
        <f>Catalog!D136</f>
        <v>0</v>
      </c>
      <c r="C160" s="26" t="str">
        <f>IF(Catalog!D136="","",IF(ISBLANK(Catalog!F136),"Missing Creator; ","")&amp;IF(ISBLANK(Catalog!K136),"Missing Item Type; ","")&amp;IF(ISBLANK(Catalog!L136),"Missing Subject; ","")&amp;IF(ISBLANK(Catalog!M136),"Missing Genre/Form; ","")&amp;IF(ISBLANK(Catalog!X136),"Missing Location Type; ","")&amp;IF(ISBLANK(Catalog!Y136),"Missing Location Id; ","")&amp;IF(AND(Catalog!T136&lt;&gt;"",COUNTIF(Catalog!$T$2:$T$501,Catalog!T136)&gt;1),"Duplicate ISBN; ","")&amp;IF(AND(Catalog!B136&lt;&gt;"",COUNTIF(Catalog!$B$2:$B$501,Catalog!B136)&gt;1),"Duplicate Accession; ",""))</f>
        <v/>
      </c>
    </row>
    <row r="161" spans="1:3" x14ac:dyDescent="0.25">
      <c r="A161" s="24" t="str">
        <f>Catalog!A137</f>
        <v/>
      </c>
      <c r="B161" s="25">
        <f>Catalog!D137</f>
        <v>0</v>
      </c>
      <c r="C161" s="26" t="str">
        <f>IF(Catalog!D137="","",IF(ISBLANK(Catalog!F137),"Missing Creator; ","")&amp;IF(ISBLANK(Catalog!K137),"Missing Item Type; ","")&amp;IF(ISBLANK(Catalog!L137),"Missing Subject; ","")&amp;IF(ISBLANK(Catalog!M137),"Missing Genre/Form; ","")&amp;IF(ISBLANK(Catalog!X137),"Missing Location Type; ","")&amp;IF(ISBLANK(Catalog!Y137),"Missing Location Id; ","")&amp;IF(AND(Catalog!T137&lt;&gt;"",COUNTIF(Catalog!$T$2:$T$501,Catalog!T137)&gt;1),"Duplicate ISBN; ","")&amp;IF(AND(Catalog!B137&lt;&gt;"",COUNTIF(Catalog!$B$2:$B$501,Catalog!B137)&gt;1),"Duplicate Accession; ",""))</f>
        <v/>
      </c>
    </row>
    <row r="162" spans="1:3" x14ac:dyDescent="0.25">
      <c r="A162" s="24" t="str">
        <f>Catalog!A138</f>
        <v/>
      </c>
      <c r="B162" s="25">
        <f>Catalog!D138</f>
        <v>0</v>
      </c>
      <c r="C162" s="26" t="str">
        <f>IF(Catalog!D138="","",IF(ISBLANK(Catalog!F138),"Missing Creator; ","")&amp;IF(ISBLANK(Catalog!K138),"Missing Item Type; ","")&amp;IF(ISBLANK(Catalog!L138),"Missing Subject; ","")&amp;IF(ISBLANK(Catalog!M138),"Missing Genre/Form; ","")&amp;IF(ISBLANK(Catalog!X138),"Missing Location Type; ","")&amp;IF(ISBLANK(Catalog!Y138),"Missing Location Id; ","")&amp;IF(AND(Catalog!T138&lt;&gt;"",COUNTIF(Catalog!$T$2:$T$501,Catalog!T138)&gt;1),"Duplicate ISBN; ","")&amp;IF(AND(Catalog!B138&lt;&gt;"",COUNTIF(Catalog!$B$2:$B$501,Catalog!B138)&gt;1),"Duplicate Accession; ",""))</f>
        <v/>
      </c>
    </row>
    <row r="163" spans="1:3" x14ac:dyDescent="0.25">
      <c r="A163" s="24" t="str">
        <f>Catalog!A139</f>
        <v/>
      </c>
      <c r="B163" s="25">
        <f>Catalog!D139</f>
        <v>0</v>
      </c>
      <c r="C163" s="26" t="str">
        <f>IF(Catalog!D139="","",IF(ISBLANK(Catalog!F139),"Missing Creator; ","")&amp;IF(ISBLANK(Catalog!K139),"Missing Item Type; ","")&amp;IF(ISBLANK(Catalog!L139),"Missing Subject; ","")&amp;IF(ISBLANK(Catalog!M139),"Missing Genre/Form; ","")&amp;IF(ISBLANK(Catalog!X139),"Missing Location Type; ","")&amp;IF(ISBLANK(Catalog!Y139),"Missing Location Id; ","")&amp;IF(AND(Catalog!T139&lt;&gt;"",COUNTIF(Catalog!$T$2:$T$501,Catalog!T139)&gt;1),"Duplicate ISBN; ","")&amp;IF(AND(Catalog!B139&lt;&gt;"",COUNTIF(Catalog!$B$2:$B$501,Catalog!B139)&gt;1),"Duplicate Accession; ",""))</f>
        <v/>
      </c>
    </row>
    <row r="164" spans="1:3" x14ac:dyDescent="0.25">
      <c r="A164" s="24" t="str">
        <f>Catalog!A140</f>
        <v/>
      </c>
      <c r="B164" s="25">
        <f>Catalog!D140</f>
        <v>0</v>
      </c>
      <c r="C164" s="26" t="str">
        <f>IF(Catalog!D140="","",IF(ISBLANK(Catalog!F140),"Missing Creator; ","")&amp;IF(ISBLANK(Catalog!K140),"Missing Item Type; ","")&amp;IF(ISBLANK(Catalog!L140),"Missing Subject; ","")&amp;IF(ISBLANK(Catalog!M140),"Missing Genre/Form; ","")&amp;IF(ISBLANK(Catalog!X140),"Missing Location Type; ","")&amp;IF(ISBLANK(Catalog!Y140),"Missing Location Id; ","")&amp;IF(AND(Catalog!T140&lt;&gt;"",COUNTIF(Catalog!$T$2:$T$501,Catalog!T140)&gt;1),"Duplicate ISBN; ","")&amp;IF(AND(Catalog!B140&lt;&gt;"",COUNTIF(Catalog!$B$2:$B$501,Catalog!B140)&gt;1),"Duplicate Accession; ",""))</f>
        <v/>
      </c>
    </row>
    <row r="165" spans="1:3" x14ac:dyDescent="0.25">
      <c r="A165" s="24" t="str">
        <f>Catalog!A141</f>
        <v/>
      </c>
      <c r="B165" s="25">
        <f>Catalog!D141</f>
        <v>0</v>
      </c>
      <c r="C165" s="26" t="str">
        <f>IF(Catalog!D141="","",IF(ISBLANK(Catalog!F141),"Missing Creator; ","")&amp;IF(ISBLANK(Catalog!K141),"Missing Item Type; ","")&amp;IF(ISBLANK(Catalog!L141),"Missing Subject; ","")&amp;IF(ISBLANK(Catalog!M141),"Missing Genre/Form; ","")&amp;IF(ISBLANK(Catalog!X141),"Missing Location Type; ","")&amp;IF(ISBLANK(Catalog!Y141),"Missing Location Id; ","")&amp;IF(AND(Catalog!T141&lt;&gt;"",COUNTIF(Catalog!$T$2:$T$501,Catalog!T141)&gt;1),"Duplicate ISBN; ","")&amp;IF(AND(Catalog!B141&lt;&gt;"",COUNTIF(Catalog!$B$2:$B$501,Catalog!B141)&gt;1),"Duplicate Accession; ",""))</f>
        <v/>
      </c>
    </row>
    <row r="166" spans="1:3" x14ac:dyDescent="0.25">
      <c r="A166" s="24" t="str">
        <f>Catalog!A142</f>
        <v/>
      </c>
      <c r="B166" s="25">
        <f>Catalog!D142</f>
        <v>0</v>
      </c>
      <c r="C166" s="26" t="str">
        <f>IF(Catalog!D142="","",IF(ISBLANK(Catalog!F142),"Missing Creator; ","")&amp;IF(ISBLANK(Catalog!K142),"Missing Item Type; ","")&amp;IF(ISBLANK(Catalog!L142),"Missing Subject; ","")&amp;IF(ISBLANK(Catalog!M142),"Missing Genre/Form; ","")&amp;IF(ISBLANK(Catalog!X142),"Missing Location Type; ","")&amp;IF(ISBLANK(Catalog!Y142),"Missing Location Id; ","")&amp;IF(AND(Catalog!T142&lt;&gt;"",COUNTIF(Catalog!$T$2:$T$501,Catalog!T142)&gt;1),"Duplicate ISBN; ","")&amp;IF(AND(Catalog!B142&lt;&gt;"",COUNTIF(Catalog!$B$2:$B$501,Catalog!B142)&gt;1),"Duplicate Accession; ",""))</f>
        <v/>
      </c>
    </row>
    <row r="167" spans="1:3" x14ac:dyDescent="0.25">
      <c r="A167" s="24" t="str">
        <f>Catalog!A143</f>
        <v/>
      </c>
      <c r="B167" s="25">
        <f>Catalog!D143</f>
        <v>0</v>
      </c>
      <c r="C167" s="26" t="str">
        <f>IF(Catalog!D143="","",IF(ISBLANK(Catalog!F143),"Missing Creator; ","")&amp;IF(ISBLANK(Catalog!K143),"Missing Item Type; ","")&amp;IF(ISBLANK(Catalog!L143),"Missing Subject; ","")&amp;IF(ISBLANK(Catalog!M143),"Missing Genre/Form; ","")&amp;IF(ISBLANK(Catalog!X143),"Missing Location Type; ","")&amp;IF(ISBLANK(Catalog!Y143),"Missing Location Id; ","")&amp;IF(AND(Catalog!T143&lt;&gt;"",COUNTIF(Catalog!$T$2:$T$501,Catalog!T143)&gt;1),"Duplicate ISBN; ","")&amp;IF(AND(Catalog!B143&lt;&gt;"",COUNTIF(Catalog!$B$2:$B$501,Catalog!B143)&gt;1),"Duplicate Accession; ",""))</f>
        <v/>
      </c>
    </row>
    <row r="168" spans="1:3" x14ac:dyDescent="0.25">
      <c r="A168" s="24" t="str">
        <f>Catalog!A144</f>
        <v/>
      </c>
      <c r="B168" s="25">
        <f>Catalog!D144</f>
        <v>0</v>
      </c>
      <c r="C168" s="26" t="str">
        <f>IF(Catalog!D144="","",IF(ISBLANK(Catalog!F144),"Missing Creator; ","")&amp;IF(ISBLANK(Catalog!K144),"Missing Item Type; ","")&amp;IF(ISBLANK(Catalog!L144),"Missing Subject; ","")&amp;IF(ISBLANK(Catalog!M144),"Missing Genre/Form; ","")&amp;IF(ISBLANK(Catalog!X144),"Missing Location Type; ","")&amp;IF(ISBLANK(Catalog!Y144),"Missing Location Id; ","")&amp;IF(AND(Catalog!T144&lt;&gt;"",COUNTIF(Catalog!$T$2:$T$501,Catalog!T144)&gt;1),"Duplicate ISBN; ","")&amp;IF(AND(Catalog!B144&lt;&gt;"",COUNTIF(Catalog!$B$2:$B$501,Catalog!B144)&gt;1),"Duplicate Accession; ",""))</f>
        <v/>
      </c>
    </row>
    <row r="169" spans="1:3" x14ac:dyDescent="0.25">
      <c r="A169" s="24" t="str">
        <f>Catalog!A145</f>
        <v/>
      </c>
      <c r="B169" s="25">
        <f>Catalog!D145</f>
        <v>0</v>
      </c>
      <c r="C169" s="26" t="str">
        <f>IF(Catalog!D145="","",IF(ISBLANK(Catalog!F145),"Missing Creator; ","")&amp;IF(ISBLANK(Catalog!K145),"Missing Item Type; ","")&amp;IF(ISBLANK(Catalog!L145),"Missing Subject; ","")&amp;IF(ISBLANK(Catalog!M145),"Missing Genre/Form; ","")&amp;IF(ISBLANK(Catalog!X145),"Missing Location Type; ","")&amp;IF(ISBLANK(Catalog!Y145),"Missing Location Id; ","")&amp;IF(AND(Catalog!T145&lt;&gt;"",COUNTIF(Catalog!$T$2:$T$501,Catalog!T145)&gt;1),"Duplicate ISBN; ","")&amp;IF(AND(Catalog!B145&lt;&gt;"",COUNTIF(Catalog!$B$2:$B$501,Catalog!B145)&gt;1),"Duplicate Accession; ",""))</f>
        <v/>
      </c>
    </row>
    <row r="170" spans="1:3" x14ac:dyDescent="0.25">
      <c r="A170" s="24" t="str">
        <f>Catalog!A146</f>
        <v/>
      </c>
      <c r="B170" s="25">
        <f>Catalog!D146</f>
        <v>0</v>
      </c>
      <c r="C170" s="26" t="str">
        <f>IF(Catalog!D146="","",IF(ISBLANK(Catalog!F146),"Missing Creator; ","")&amp;IF(ISBLANK(Catalog!K146),"Missing Item Type; ","")&amp;IF(ISBLANK(Catalog!L146),"Missing Subject; ","")&amp;IF(ISBLANK(Catalog!M146),"Missing Genre/Form; ","")&amp;IF(ISBLANK(Catalog!X146),"Missing Location Type; ","")&amp;IF(ISBLANK(Catalog!Y146),"Missing Location Id; ","")&amp;IF(AND(Catalog!T146&lt;&gt;"",COUNTIF(Catalog!$T$2:$T$501,Catalog!T146)&gt;1),"Duplicate ISBN; ","")&amp;IF(AND(Catalog!B146&lt;&gt;"",COUNTIF(Catalog!$B$2:$B$501,Catalog!B146)&gt;1),"Duplicate Accession; ",""))</f>
        <v/>
      </c>
    </row>
    <row r="171" spans="1:3" x14ac:dyDescent="0.25">
      <c r="A171" s="24" t="str">
        <f>Catalog!A147</f>
        <v/>
      </c>
      <c r="B171" s="25">
        <f>Catalog!D147</f>
        <v>0</v>
      </c>
      <c r="C171" s="26" t="str">
        <f>IF(Catalog!D147="","",IF(ISBLANK(Catalog!F147),"Missing Creator; ","")&amp;IF(ISBLANK(Catalog!K147),"Missing Item Type; ","")&amp;IF(ISBLANK(Catalog!L147),"Missing Subject; ","")&amp;IF(ISBLANK(Catalog!M147),"Missing Genre/Form; ","")&amp;IF(ISBLANK(Catalog!X147),"Missing Location Type; ","")&amp;IF(ISBLANK(Catalog!Y147),"Missing Location Id; ","")&amp;IF(AND(Catalog!T147&lt;&gt;"",COUNTIF(Catalog!$T$2:$T$501,Catalog!T147)&gt;1),"Duplicate ISBN; ","")&amp;IF(AND(Catalog!B147&lt;&gt;"",COUNTIF(Catalog!$B$2:$B$501,Catalog!B147)&gt;1),"Duplicate Accession; ",""))</f>
        <v/>
      </c>
    </row>
    <row r="172" spans="1:3" x14ac:dyDescent="0.25">
      <c r="A172" s="24" t="str">
        <f>Catalog!A148</f>
        <v/>
      </c>
      <c r="B172" s="25">
        <f>Catalog!D148</f>
        <v>0</v>
      </c>
      <c r="C172" s="26" t="str">
        <f>IF(Catalog!D148="","",IF(ISBLANK(Catalog!F148),"Missing Creator; ","")&amp;IF(ISBLANK(Catalog!K148),"Missing Item Type; ","")&amp;IF(ISBLANK(Catalog!L148),"Missing Subject; ","")&amp;IF(ISBLANK(Catalog!M148),"Missing Genre/Form; ","")&amp;IF(ISBLANK(Catalog!X148),"Missing Location Type; ","")&amp;IF(ISBLANK(Catalog!Y148),"Missing Location Id; ","")&amp;IF(AND(Catalog!T148&lt;&gt;"",COUNTIF(Catalog!$T$2:$T$501,Catalog!T148)&gt;1),"Duplicate ISBN; ","")&amp;IF(AND(Catalog!B148&lt;&gt;"",COUNTIF(Catalog!$B$2:$B$501,Catalog!B148)&gt;1),"Duplicate Accession; ",""))</f>
        <v/>
      </c>
    </row>
    <row r="173" spans="1:3" x14ac:dyDescent="0.25">
      <c r="A173" s="24" t="str">
        <f>Catalog!A149</f>
        <v/>
      </c>
      <c r="B173" s="25">
        <f>Catalog!D149</f>
        <v>0</v>
      </c>
      <c r="C173" s="26" t="str">
        <f>IF(Catalog!D149="","",IF(ISBLANK(Catalog!F149),"Missing Creator; ","")&amp;IF(ISBLANK(Catalog!K149),"Missing Item Type; ","")&amp;IF(ISBLANK(Catalog!L149),"Missing Subject; ","")&amp;IF(ISBLANK(Catalog!M149),"Missing Genre/Form; ","")&amp;IF(ISBLANK(Catalog!X149),"Missing Location Type; ","")&amp;IF(ISBLANK(Catalog!Y149),"Missing Location Id; ","")&amp;IF(AND(Catalog!T149&lt;&gt;"",COUNTIF(Catalog!$T$2:$T$501,Catalog!T149)&gt;1),"Duplicate ISBN; ","")&amp;IF(AND(Catalog!B149&lt;&gt;"",COUNTIF(Catalog!$B$2:$B$501,Catalog!B149)&gt;1),"Duplicate Accession; ",""))</f>
        <v/>
      </c>
    </row>
    <row r="174" spans="1:3" x14ac:dyDescent="0.25">
      <c r="A174" s="24" t="str">
        <f>Catalog!A150</f>
        <v/>
      </c>
      <c r="B174" s="25">
        <f>Catalog!D150</f>
        <v>0</v>
      </c>
      <c r="C174" s="26" t="str">
        <f>IF(Catalog!D150="","",IF(ISBLANK(Catalog!F150),"Missing Creator; ","")&amp;IF(ISBLANK(Catalog!K150),"Missing Item Type; ","")&amp;IF(ISBLANK(Catalog!L150),"Missing Subject; ","")&amp;IF(ISBLANK(Catalog!M150),"Missing Genre/Form; ","")&amp;IF(ISBLANK(Catalog!X150),"Missing Location Type; ","")&amp;IF(ISBLANK(Catalog!Y150),"Missing Location Id; ","")&amp;IF(AND(Catalog!T150&lt;&gt;"",COUNTIF(Catalog!$T$2:$T$501,Catalog!T150)&gt;1),"Duplicate ISBN; ","")&amp;IF(AND(Catalog!B150&lt;&gt;"",COUNTIF(Catalog!$B$2:$B$501,Catalog!B150)&gt;1),"Duplicate Accession; ",""))</f>
        <v/>
      </c>
    </row>
    <row r="175" spans="1:3" x14ac:dyDescent="0.25">
      <c r="A175" s="24" t="str">
        <f>Catalog!A151</f>
        <v/>
      </c>
      <c r="B175" s="25">
        <f>Catalog!D151</f>
        <v>0</v>
      </c>
      <c r="C175" s="26" t="str">
        <f>IF(Catalog!D151="","",IF(ISBLANK(Catalog!F151),"Missing Creator; ","")&amp;IF(ISBLANK(Catalog!K151),"Missing Item Type; ","")&amp;IF(ISBLANK(Catalog!L151),"Missing Subject; ","")&amp;IF(ISBLANK(Catalog!M151),"Missing Genre/Form; ","")&amp;IF(ISBLANK(Catalog!X151),"Missing Location Type; ","")&amp;IF(ISBLANK(Catalog!Y151),"Missing Location Id; ","")&amp;IF(AND(Catalog!T151&lt;&gt;"",COUNTIF(Catalog!$T$2:$T$501,Catalog!T151)&gt;1),"Duplicate ISBN; ","")&amp;IF(AND(Catalog!B151&lt;&gt;"",COUNTIF(Catalog!$B$2:$B$501,Catalog!B151)&gt;1),"Duplicate Accession; ",""))</f>
        <v/>
      </c>
    </row>
    <row r="176" spans="1:3" x14ac:dyDescent="0.25">
      <c r="A176" s="24" t="str">
        <f>Catalog!A152</f>
        <v/>
      </c>
      <c r="B176" s="25">
        <f>Catalog!D152</f>
        <v>0</v>
      </c>
      <c r="C176" s="26" t="str">
        <f>IF(Catalog!D152="","",IF(ISBLANK(Catalog!F152),"Missing Creator; ","")&amp;IF(ISBLANK(Catalog!K152),"Missing Item Type; ","")&amp;IF(ISBLANK(Catalog!L152),"Missing Subject; ","")&amp;IF(ISBLANK(Catalog!M152),"Missing Genre/Form; ","")&amp;IF(ISBLANK(Catalog!X152),"Missing Location Type; ","")&amp;IF(ISBLANK(Catalog!Y152),"Missing Location Id; ","")&amp;IF(AND(Catalog!T152&lt;&gt;"",COUNTIF(Catalog!$T$2:$T$501,Catalog!T152)&gt;1),"Duplicate ISBN; ","")&amp;IF(AND(Catalog!B152&lt;&gt;"",COUNTIF(Catalog!$B$2:$B$501,Catalog!B152)&gt;1),"Duplicate Accession; ",""))</f>
        <v/>
      </c>
    </row>
    <row r="177" spans="1:3" x14ac:dyDescent="0.25">
      <c r="A177" s="24" t="str">
        <f>Catalog!A153</f>
        <v/>
      </c>
      <c r="B177" s="25">
        <f>Catalog!D153</f>
        <v>0</v>
      </c>
      <c r="C177" s="26" t="str">
        <f>IF(Catalog!D153="","",IF(ISBLANK(Catalog!F153),"Missing Creator; ","")&amp;IF(ISBLANK(Catalog!K153),"Missing Item Type; ","")&amp;IF(ISBLANK(Catalog!L153),"Missing Subject; ","")&amp;IF(ISBLANK(Catalog!M153),"Missing Genre/Form; ","")&amp;IF(ISBLANK(Catalog!X153),"Missing Location Type; ","")&amp;IF(ISBLANK(Catalog!Y153),"Missing Location Id; ","")&amp;IF(AND(Catalog!T153&lt;&gt;"",COUNTIF(Catalog!$T$2:$T$501,Catalog!T153)&gt;1),"Duplicate ISBN; ","")&amp;IF(AND(Catalog!B153&lt;&gt;"",COUNTIF(Catalog!$B$2:$B$501,Catalog!B153)&gt;1),"Duplicate Accession; ",""))</f>
        <v/>
      </c>
    </row>
    <row r="178" spans="1:3" x14ac:dyDescent="0.25">
      <c r="A178" s="24" t="str">
        <f>Catalog!A154</f>
        <v/>
      </c>
      <c r="B178" s="25">
        <f>Catalog!D154</f>
        <v>0</v>
      </c>
      <c r="C178" s="26" t="str">
        <f>IF(Catalog!D154="","",IF(ISBLANK(Catalog!F154),"Missing Creator; ","")&amp;IF(ISBLANK(Catalog!K154),"Missing Item Type; ","")&amp;IF(ISBLANK(Catalog!L154),"Missing Subject; ","")&amp;IF(ISBLANK(Catalog!M154),"Missing Genre/Form; ","")&amp;IF(ISBLANK(Catalog!X154),"Missing Location Type; ","")&amp;IF(ISBLANK(Catalog!Y154),"Missing Location Id; ","")&amp;IF(AND(Catalog!T154&lt;&gt;"",COUNTIF(Catalog!$T$2:$T$501,Catalog!T154)&gt;1),"Duplicate ISBN; ","")&amp;IF(AND(Catalog!B154&lt;&gt;"",COUNTIF(Catalog!$B$2:$B$501,Catalog!B154)&gt;1),"Duplicate Accession; ",""))</f>
        <v/>
      </c>
    </row>
    <row r="179" spans="1:3" x14ac:dyDescent="0.25">
      <c r="A179" s="24" t="str">
        <f>Catalog!A155</f>
        <v/>
      </c>
      <c r="B179" s="25">
        <f>Catalog!D155</f>
        <v>0</v>
      </c>
      <c r="C179" s="26" t="str">
        <f>IF(Catalog!D155="","",IF(ISBLANK(Catalog!F155),"Missing Creator; ","")&amp;IF(ISBLANK(Catalog!K155),"Missing Item Type; ","")&amp;IF(ISBLANK(Catalog!L155),"Missing Subject; ","")&amp;IF(ISBLANK(Catalog!M155),"Missing Genre/Form; ","")&amp;IF(ISBLANK(Catalog!X155),"Missing Location Type; ","")&amp;IF(ISBLANK(Catalog!Y155),"Missing Location Id; ","")&amp;IF(AND(Catalog!T155&lt;&gt;"",COUNTIF(Catalog!$T$2:$T$501,Catalog!T155)&gt;1),"Duplicate ISBN; ","")&amp;IF(AND(Catalog!B155&lt;&gt;"",COUNTIF(Catalog!$B$2:$B$501,Catalog!B155)&gt;1),"Duplicate Accession; ",""))</f>
        <v/>
      </c>
    </row>
    <row r="180" spans="1:3" x14ac:dyDescent="0.25">
      <c r="A180" s="24" t="str">
        <f>Catalog!A156</f>
        <v/>
      </c>
      <c r="B180" s="25">
        <f>Catalog!D156</f>
        <v>0</v>
      </c>
      <c r="C180" s="26" t="str">
        <f>IF(Catalog!D156="","",IF(ISBLANK(Catalog!F156),"Missing Creator; ","")&amp;IF(ISBLANK(Catalog!K156),"Missing Item Type; ","")&amp;IF(ISBLANK(Catalog!L156),"Missing Subject; ","")&amp;IF(ISBLANK(Catalog!M156),"Missing Genre/Form; ","")&amp;IF(ISBLANK(Catalog!X156),"Missing Location Type; ","")&amp;IF(ISBLANK(Catalog!Y156),"Missing Location Id; ","")&amp;IF(AND(Catalog!T156&lt;&gt;"",COUNTIF(Catalog!$T$2:$T$501,Catalog!T156)&gt;1),"Duplicate ISBN; ","")&amp;IF(AND(Catalog!B156&lt;&gt;"",COUNTIF(Catalog!$B$2:$B$501,Catalog!B156)&gt;1),"Duplicate Accession; ",""))</f>
        <v/>
      </c>
    </row>
    <row r="181" spans="1:3" x14ac:dyDescent="0.25">
      <c r="A181" s="24" t="str">
        <f>Catalog!A157</f>
        <v/>
      </c>
      <c r="B181" s="25">
        <f>Catalog!D157</f>
        <v>0</v>
      </c>
      <c r="C181" s="26" t="str">
        <f>IF(Catalog!D157="","",IF(ISBLANK(Catalog!F157),"Missing Creator; ","")&amp;IF(ISBLANK(Catalog!K157),"Missing Item Type; ","")&amp;IF(ISBLANK(Catalog!L157),"Missing Subject; ","")&amp;IF(ISBLANK(Catalog!M157),"Missing Genre/Form; ","")&amp;IF(ISBLANK(Catalog!X157),"Missing Location Type; ","")&amp;IF(ISBLANK(Catalog!Y157),"Missing Location Id; ","")&amp;IF(AND(Catalog!T157&lt;&gt;"",COUNTIF(Catalog!$T$2:$T$501,Catalog!T157)&gt;1),"Duplicate ISBN; ","")&amp;IF(AND(Catalog!B157&lt;&gt;"",COUNTIF(Catalog!$B$2:$B$501,Catalog!B157)&gt;1),"Duplicate Accession; ",""))</f>
        <v/>
      </c>
    </row>
    <row r="182" spans="1:3" x14ac:dyDescent="0.25">
      <c r="A182" s="24" t="str">
        <f>Catalog!A158</f>
        <v/>
      </c>
      <c r="B182" s="25">
        <f>Catalog!D158</f>
        <v>0</v>
      </c>
      <c r="C182" s="26" t="str">
        <f>IF(Catalog!D158="","",IF(ISBLANK(Catalog!F158),"Missing Creator; ","")&amp;IF(ISBLANK(Catalog!K158),"Missing Item Type; ","")&amp;IF(ISBLANK(Catalog!L158),"Missing Subject; ","")&amp;IF(ISBLANK(Catalog!M158),"Missing Genre/Form; ","")&amp;IF(ISBLANK(Catalog!X158),"Missing Location Type; ","")&amp;IF(ISBLANK(Catalog!Y158),"Missing Location Id; ","")&amp;IF(AND(Catalog!T158&lt;&gt;"",COUNTIF(Catalog!$T$2:$T$501,Catalog!T158)&gt;1),"Duplicate ISBN; ","")&amp;IF(AND(Catalog!B158&lt;&gt;"",COUNTIF(Catalog!$B$2:$B$501,Catalog!B158)&gt;1),"Duplicate Accession; ",""))</f>
        <v/>
      </c>
    </row>
    <row r="183" spans="1:3" x14ac:dyDescent="0.25">
      <c r="A183" s="24" t="str">
        <f>Catalog!A159</f>
        <v/>
      </c>
      <c r="B183" s="25">
        <f>Catalog!D159</f>
        <v>0</v>
      </c>
      <c r="C183" s="26" t="str">
        <f>IF(Catalog!D159="","",IF(ISBLANK(Catalog!F159),"Missing Creator; ","")&amp;IF(ISBLANK(Catalog!K159),"Missing Item Type; ","")&amp;IF(ISBLANK(Catalog!L159),"Missing Subject; ","")&amp;IF(ISBLANK(Catalog!M159),"Missing Genre/Form; ","")&amp;IF(ISBLANK(Catalog!X159),"Missing Location Type; ","")&amp;IF(ISBLANK(Catalog!Y159),"Missing Location Id; ","")&amp;IF(AND(Catalog!T159&lt;&gt;"",COUNTIF(Catalog!$T$2:$T$501,Catalog!T159)&gt;1),"Duplicate ISBN; ","")&amp;IF(AND(Catalog!B159&lt;&gt;"",COUNTIF(Catalog!$B$2:$B$501,Catalog!B159)&gt;1),"Duplicate Accession; ",""))</f>
        <v/>
      </c>
    </row>
    <row r="184" spans="1:3" x14ac:dyDescent="0.25">
      <c r="A184" s="24" t="str">
        <f>Catalog!A160</f>
        <v/>
      </c>
      <c r="B184" s="25">
        <f>Catalog!D160</f>
        <v>0</v>
      </c>
      <c r="C184" s="26" t="str">
        <f>IF(Catalog!D160="","",IF(ISBLANK(Catalog!F160),"Missing Creator; ","")&amp;IF(ISBLANK(Catalog!K160),"Missing Item Type; ","")&amp;IF(ISBLANK(Catalog!L160),"Missing Subject; ","")&amp;IF(ISBLANK(Catalog!M160),"Missing Genre/Form; ","")&amp;IF(ISBLANK(Catalog!X160),"Missing Location Type; ","")&amp;IF(ISBLANK(Catalog!Y160),"Missing Location Id; ","")&amp;IF(AND(Catalog!T160&lt;&gt;"",COUNTIF(Catalog!$T$2:$T$501,Catalog!T160)&gt;1),"Duplicate ISBN; ","")&amp;IF(AND(Catalog!B160&lt;&gt;"",COUNTIF(Catalog!$B$2:$B$501,Catalog!B160)&gt;1),"Duplicate Accession; ",""))</f>
        <v/>
      </c>
    </row>
    <row r="185" spans="1:3" x14ac:dyDescent="0.25">
      <c r="A185" s="24" t="str">
        <f>Catalog!A161</f>
        <v/>
      </c>
      <c r="B185" s="25">
        <f>Catalog!D161</f>
        <v>0</v>
      </c>
      <c r="C185" s="26" t="str">
        <f>IF(Catalog!D161="","",IF(ISBLANK(Catalog!F161),"Missing Creator; ","")&amp;IF(ISBLANK(Catalog!K161),"Missing Item Type; ","")&amp;IF(ISBLANK(Catalog!L161),"Missing Subject; ","")&amp;IF(ISBLANK(Catalog!M161),"Missing Genre/Form; ","")&amp;IF(ISBLANK(Catalog!X161),"Missing Location Type; ","")&amp;IF(ISBLANK(Catalog!Y161),"Missing Location Id; ","")&amp;IF(AND(Catalog!T161&lt;&gt;"",COUNTIF(Catalog!$T$2:$T$501,Catalog!T161)&gt;1),"Duplicate ISBN; ","")&amp;IF(AND(Catalog!B161&lt;&gt;"",COUNTIF(Catalog!$B$2:$B$501,Catalog!B161)&gt;1),"Duplicate Accession; ",""))</f>
        <v/>
      </c>
    </row>
    <row r="186" spans="1:3" x14ac:dyDescent="0.25">
      <c r="A186" s="24" t="str">
        <f>Catalog!A162</f>
        <v/>
      </c>
      <c r="B186" s="25">
        <f>Catalog!D162</f>
        <v>0</v>
      </c>
      <c r="C186" s="26" t="str">
        <f>IF(Catalog!D162="","",IF(ISBLANK(Catalog!F162),"Missing Creator; ","")&amp;IF(ISBLANK(Catalog!K162),"Missing Item Type; ","")&amp;IF(ISBLANK(Catalog!L162),"Missing Subject; ","")&amp;IF(ISBLANK(Catalog!M162),"Missing Genre/Form; ","")&amp;IF(ISBLANK(Catalog!X162),"Missing Location Type; ","")&amp;IF(ISBLANK(Catalog!Y162),"Missing Location Id; ","")&amp;IF(AND(Catalog!T162&lt;&gt;"",COUNTIF(Catalog!$T$2:$T$501,Catalog!T162)&gt;1),"Duplicate ISBN; ","")&amp;IF(AND(Catalog!B162&lt;&gt;"",COUNTIF(Catalog!$B$2:$B$501,Catalog!B162)&gt;1),"Duplicate Accession; ",""))</f>
        <v/>
      </c>
    </row>
    <row r="187" spans="1:3" x14ac:dyDescent="0.25">
      <c r="A187" s="24" t="str">
        <f>Catalog!A163</f>
        <v/>
      </c>
      <c r="B187" s="25">
        <f>Catalog!D163</f>
        <v>0</v>
      </c>
      <c r="C187" s="26" t="str">
        <f>IF(Catalog!D163="","",IF(ISBLANK(Catalog!F163),"Missing Creator; ","")&amp;IF(ISBLANK(Catalog!K163),"Missing Item Type; ","")&amp;IF(ISBLANK(Catalog!L163),"Missing Subject; ","")&amp;IF(ISBLANK(Catalog!M163),"Missing Genre/Form; ","")&amp;IF(ISBLANK(Catalog!X163),"Missing Location Type; ","")&amp;IF(ISBLANK(Catalog!Y163),"Missing Location Id; ","")&amp;IF(AND(Catalog!T163&lt;&gt;"",COUNTIF(Catalog!$T$2:$T$501,Catalog!T163)&gt;1),"Duplicate ISBN; ","")&amp;IF(AND(Catalog!B163&lt;&gt;"",COUNTIF(Catalog!$B$2:$B$501,Catalog!B163)&gt;1),"Duplicate Accession; ",""))</f>
        <v/>
      </c>
    </row>
    <row r="188" spans="1:3" x14ac:dyDescent="0.25">
      <c r="A188" s="24" t="str">
        <f>Catalog!A164</f>
        <v/>
      </c>
      <c r="B188" s="25">
        <f>Catalog!D164</f>
        <v>0</v>
      </c>
      <c r="C188" s="26" t="str">
        <f>IF(Catalog!D164="","",IF(ISBLANK(Catalog!F164),"Missing Creator; ","")&amp;IF(ISBLANK(Catalog!K164),"Missing Item Type; ","")&amp;IF(ISBLANK(Catalog!L164),"Missing Subject; ","")&amp;IF(ISBLANK(Catalog!M164),"Missing Genre/Form; ","")&amp;IF(ISBLANK(Catalog!X164),"Missing Location Type; ","")&amp;IF(ISBLANK(Catalog!Y164),"Missing Location Id; ","")&amp;IF(AND(Catalog!T164&lt;&gt;"",COUNTIF(Catalog!$T$2:$T$501,Catalog!T164)&gt;1),"Duplicate ISBN; ","")&amp;IF(AND(Catalog!B164&lt;&gt;"",COUNTIF(Catalog!$B$2:$B$501,Catalog!B164)&gt;1),"Duplicate Accession; ",""))</f>
        <v/>
      </c>
    </row>
    <row r="189" spans="1:3" x14ac:dyDescent="0.25">
      <c r="A189" s="24" t="str">
        <f>Catalog!A165</f>
        <v/>
      </c>
      <c r="B189" s="25">
        <f>Catalog!D165</f>
        <v>0</v>
      </c>
      <c r="C189" s="26" t="str">
        <f>IF(Catalog!D165="","",IF(ISBLANK(Catalog!F165),"Missing Creator; ","")&amp;IF(ISBLANK(Catalog!K165),"Missing Item Type; ","")&amp;IF(ISBLANK(Catalog!L165),"Missing Subject; ","")&amp;IF(ISBLANK(Catalog!M165),"Missing Genre/Form; ","")&amp;IF(ISBLANK(Catalog!X165),"Missing Location Type; ","")&amp;IF(ISBLANK(Catalog!Y165),"Missing Location Id; ","")&amp;IF(AND(Catalog!T165&lt;&gt;"",COUNTIF(Catalog!$T$2:$T$501,Catalog!T165)&gt;1),"Duplicate ISBN; ","")&amp;IF(AND(Catalog!B165&lt;&gt;"",COUNTIF(Catalog!$B$2:$B$501,Catalog!B165)&gt;1),"Duplicate Accession; ",""))</f>
        <v/>
      </c>
    </row>
    <row r="190" spans="1:3" x14ac:dyDescent="0.25">
      <c r="A190" s="24" t="str">
        <f>Catalog!A166</f>
        <v/>
      </c>
      <c r="B190" s="25">
        <f>Catalog!D166</f>
        <v>0</v>
      </c>
      <c r="C190" s="26" t="str">
        <f>IF(Catalog!D166="","",IF(ISBLANK(Catalog!F166),"Missing Creator; ","")&amp;IF(ISBLANK(Catalog!K166),"Missing Item Type; ","")&amp;IF(ISBLANK(Catalog!L166),"Missing Subject; ","")&amp;IF(ISBLANK(Catalog!M166),"Missing Genre/Form; ","")&amp;IF(ISBLANK(Catalog!X166),"Missing Location Type; ","")&amp;IF(ISBLANK(Catalog!Y166),"Missing Location Id; ","")&amp;IF(AND(Catalog!T166&lt;&gt;"",COUNTIF(Catalog!$T$2:$T$501,Catalog!T166)&gt;1),"Duplicate ISBN; ","")&amp;IF(AND(Catalog!B166&lt;&gt;"",COUNTIF(Catalog!$B$2:$B$501,Catalog!B166)&gt;1),"Duplicate Accession; ",""))</f>
        <v/>
      </c>
    </row>
    <row r="191" spans="1:3" x14ac:dyDescent="0.25">
      <c r="A191" s="24" t="str">
        <f>Catalog!A167</f>
        <v/>
      </c>
      <c r="B191" s="25">
        <f>Catalog!D167</f>
        <v>0</v>
      </c>
      <c r="C191" s="26" t="str">
        <f>IF(Catalog!D167="","",IF(ISBLANK(Catalog!F167),"Missing Creator; ","")&amp;IF(ISBLANK(Catalog!K167),"Missing Item Type; ","")&amp;IF(ISBLANK(Catalog!L167),"Missing Subject; ","")&amp;IF(ISBLANK(Catalog!M167),"Missing Genre/Form; ","")&amp;IF(ISBLANK(Catalog!X167),"Missing Location Type; ","")&amp;IF(ISBLANK(Catalog!Y167),"Missing Location Id; ","")&amp;IF(AND(Catalog!T167&lt;&gt;"",COUNTIF(Catalog!$T$2:$T$501,Catalog!T167)&gt;1),"Duplicate ISBN; ","")&amp;IF(AND(Catalog!B167&lt;&gt;"",COUNTIF(Catalog!$B$2:$B$501,Catalog!B167)&gt;1),"Duplicate Accession; ",""))</f>
        <v/>
      </c>
    </row>
    <row r="192" spans="1:3" x14ac:dyDescent="0.25">
      <c r="A192" s="24" t="str">
        <f>Catalog!A168</f>
        <v/>
      </c>
      <c r="B192" s="25">
        <f>Catalog!D168</f>
        <v>0</v>
      </c>
      <c r="C192" s="26" t="str">
        <f>IF(Catalog!D168="","",IF(ISBLANK(Catalog!F168),"Missing Creator; ","")&amp;IF(ISBLANK(Catalog!K168),"Missing Item Type; ","")&amp;IF(ISBLANK(Catalog!L168),"Missing Subject; ","")&amp;IF(ISBLANK(Catalog!M168),"Missing Genre/Form; ","")&amp;IF(ISBLANK(Catalog!X168),"Missing Location Type; ","")&amp;IF(ISBLANK(Catalog!Y168),"Missing Location Id; ","")&amp;IF(AND(Catalog!T168&lt;&gt;"",COUNTIF(Catalog!$T$2:$T$501,Catalog!T168)&gt;1),"Duplicate ISBN; ","")&amp;IF(AND(Catalog!B168&lt;&gt;"",COUNTIF(Catalog!$B$2:$B$501,Catalog!B168)&gt;1),"Duplicate Accession; ",""))</f>
        <v/>
      </c>
    </row>
    <row r="193" spans="1:3" x14ac:dyDescent="0.25">
      <c r="A193" s="24" t="str">
        <f>Catalog!A169</f>
        <v/>
      </c>
      <c r="B193" s="25">
        <f>Catalog!D169</f>
        <v>0</v>
      </c>
      <c r="C193" s="26" t="str">
        <f>IF(Catalog!D169="","",IF(ISBLANK(Catalog!F169),"Missing Creator; ","")&amp;IF(ISBLANK(Catalog!K169),"Missing Item Type; ","")&amp;IF(ISBLANK(Catalog!L169),"Missing Subject; ","")&amp;IF(ISBLANK(Catalog!M169),"Missing Genre/Form; ","")&amp;IF(ISBLANK(Catalog!X169),"Missing Location Type; ","")&amp;IF(ISBLANK(Catalog!Y169),"Missing Location Id; ","")&amp;IF(AND(Catalog!T169&lt;&gt;"",COUNTIF(Catalog!$T$2:$T$501,Catalog!T169)&gt;1),"Duplicate ISBN; ","")&amp;IF(AND(Catalog!B169&lt;&gt;"",COUNTIF(Catalog!$B$2:$B$501,Catalog!B169)&gt;1),"Duplicate Accession; ",""))</f>
        <v/>
      </c>
    </row>
    <row r="194" spans="1:3" x14ac:dyDescent="0.25">
      <c r="A194" s="24" t="str">
        <f>Catalog!A170</f>
        <v/>
      </c>
      <c r="B194" s="25">
        <f>Catalog!D170</f>
        <v>0</v>
      </c>
      <c r="C194" s="26" t="str">
        <f>IF(Catalog!D170="","",IF(ISBLANK(Catalog!F170),"Missing Creator; ","")&amp;IF(ISBLANK(Catalog!K170),"Missing Item Type; ","")&amp;IF(ISBLANK(Catalog!L170),"Missing Subject; ","")&amp;IF(ISBLANK(Catalog!M170),"Missing Genre/Form; ","")&amp;IF(ISBLANK(Catalog!X170),"Missing Location Type; ","")&amp;IF(ISBLANK(Catalog!Y170),"Missing Location Id; ","")&amp;IF(AND(Catalog!T170&lt;&gt;"",COUNTIF(Catalog!$T$2:$T$501,Catalog!T170)&gt;1),"Duplicate ISBN; ","")&amp;IF(AND(Catalog!B170&lt;&gt;"",COUNTIF(Catalog!$B$2:$B$501,Catalog!B170)&gt;1),"Duplicate Accession; ",""))</f>
        <v/>
      </c>
    </row>
    <row r="195" spans="1:3" x14ac:dyDescent="0.25">
      <c r="A195" s="24" t="str">
        <f>Catalog!A171</f>
        <v/>
      </c>
      <c r="B195" s="25">
        <f>Catalog!D171</f>
        <v>0</v>
      </c>
      <c r="C195" s="26" t="str">
        <f>IF(Catalog!D171="","",IF(ISBLANK(Catalog!F171),"Missing Creator; ","")&amp;IF(ISBLANK(Catalog!K171),"Missing Item Type; ","")&amp;IF(ISBLANK(Catalog!L171),"Missing Subject; ","")&amp;IF(ISBLANK(Catalog!M171),"Missing Genre/Form; ","")&amp;IF(ISBLANK(Catalog!X171),"Missing Location Type; ","")&amp;IF(ISBLANK(Catalog!Y171),"Missing Location Id; ","")&amp;IF(AND(Catalog!T171&lt;&gt;"",COUNTIF(Catalog!$T$2:$T$501,Catalog!T171)&gt;1),"Duplicate ISBN; ","")&amp;IF(AND(Catalog!B171&lt;&gt;"",COUNTIF(Catalog!$B$2:$B$501,Catalog!B171)&gt;1),"Duplicate Accession; ",""))</f>
        <v/>
      </c>
    </row>
    <row r="196" spans="1:3" x14ac:dyDescent="0.25">
      <c r="A196" s="24" t="str">
        <f>Catalog!A172</f>
        <v/>
      </c>
      <c r="B196" s="25">
        <f>Catalog!D172</f>
        <v>0</v>
      </c>
      <c r="C196" s="26" t="str">
        <f>IF(Catalog!D172="","",IF(ISBLANK(Catalog!F172),"Missing Creator; ","")&amp;IF(ISBLANK(Catalog!K172),"Missing Item Type; ","")&amp;IF(ISBLANK(Catalog!L172),"Missing Subject; ","")&amp;IF(ISBLANK(Catalog!M172),"Missing Genre/Form; ","")&amp;IF(ISBLANK(Catalog!X172),"Missing Location Type; ","")&amp;IF(ISBLANK(Catalog!Y172),"Missing Location Id; ","")&amp;IF(AND(Catalog!T172&lt;&gt;"",COUNTIF(Catalog!$T$2:$T$501,Catalog!T172)&gt;1),"Duplicate ISBN; ","")&amp;IF(AND(Catalog!B172&lt;&gt;"",COUNTIF(Catalog!$B$2:$B$501,Catalog!B172)&gt;1),"Duplicate Accession; ",""))</f>
        <v/>
      </c>
    </row>
    <row r="197" spans="1:3" x14ac:dyDescent="0.25">
      <c r="A197" s="24" t="str">
        <f>Catalog!A173</f>
        <v/>
      </c>
      <c r="B197" s="25">
        <f>Catalog!D173</f>
        <v>0</v>
      </c>
      <c r="C197" s="26" t="str">
        <f>IF(Catalog!D173="","",IF(ISBLANK(Catalog!F173),"Missing Creator; ","")&amp;IF(ISBLANK(Catalog!K173),"Missing Item Type; ","")&amp;IF(ISBLANK(Catalog!L173),"Missing Subject; ","")&amp;IF(ISBLANK(Catalog!M173),"Missing Genre/Form; ","")&amp;IF(ISBLANK(Catalog!X173),"Missing Location Type; ","")&amp;IF(ISBLANK(Catalog!Y173),"Missing Location Id; ","")&amp;IF(AND(Catalog!T173&lt;&gt;"",COUNTIF(Catalog!$T$2:$T$501,Catalog!T173)&gt;1),"Duplicate ISBN; ","")&amp;IF(AND(Catalog!B173&lt;&gt;"",COUNTIF(Catalog!$B$2:$B$501,Catalog!B173)&gt;1),"Duplicate Accession; ",""))</f>
        <v/>
      </c>
    </row>
    <row r="198" spans="1:3" x14ac:dyDescent="0.25">
      <c r="A198" s="24" t="str">
        <f>Catalog!A174</f>
        <v/>
      </c>
      <c r="B198" s="25">
        <f>Catalog!D174</f>
        <v>0</v>
      </c>
      <c r="C198" s="26" t="str">
        <f>IF(Catalog!D174="","",IF(ISBLANK(Catalog!F174),"Missing Creator; ","")&amp;IF(ISBLANK(Catalog!K174),"Missing Item Type; ","")&amp;IF(ISBLANK(Catalog!L174),"Missing Subject; ","")&amp;IF(ISBLANK(Catalog!M174),"Missing Genre/Form; ","")&amp;IF(ISBLANK(Catalog!X174),"Missing Location Type; ","")&amp;IF(ISBLANK(Catalog!Y174),"Missing Location Id; ","")&amp;IF(AND(Catalog!T174&lt;&gt;"",COUNTIF(Catalog!$T$2:$T$501,Catalog!T174)&gt;1),"Duplicate ISBN; ","")&amp;IF(AND(Catalog!B174&lt;&gt;"",COUNTIF(Catalog!$B$2:$B$501,Catalog!B174)&gt;1),"Duplicate Accession; ",""))</f>
        <v/>
      </c>
    </row>
    <row r="199" spans="1:3" x14ac:dyDescent="0.25">
      <c r="A199" s="24" t="str">
        <f>Catalog!A175</f>
        <v/>
      </c>
      <c r="B199" s="25">
        <f>Catalog!D175</f>
        <v>0</v>
      </c>
      <c r="C199" s="26" t="str">
        <f>IF(Catalog!D175="","",IF(ISBLANK(Catalog!F175),"Missing Creator; ","")&amp;IF(ISBLANK(Catalog!K175),"Missing Item Type; ","")&amp;IF(ISBLANK(Catalog!L175),"Missing Subject; ","")&amp;IF(ISBLANK(Catalog!M175),"Missing Genre/Form; ","")&amp;IF(ISBLANK(Catalog!X175),"Missing Location Type; ","")&amp;IF(ISBLANK(Catalog!Y175),"Missing Location Id; ","")&amp;IF(AND(Catalog!T175&lt;&gt;"",COUNTIF(Catalog!$T$2:$T$501,Catalog!T175)&gt;1),"Duplicate ISBN; ","")&amp;IF(AND(Catalog!B175&lt;&gt;"",COUNTIF(Catalog!$B$2:$B$501,Catalog!B175)&gt;1),"Duplicate Accession; ",""))</f>
        <v/>
      </c>
    </row>
    <row r="200" spans="1:3" x14ac:dyDescent="0.25">
      <c r="A200" s="24" t="str">
        <f>Catalog!A176</f>
        <v/>
      </c>
      <c r="B200" s="25">
        <f>Catalog!D176</f>
        <v>0</v>
      </c>
      <c r="C200" s="26" t="str">
        <f>IF(Catalog!D176="","",IF(ISBLANK(Catalog!F176),"Missing Creator; ","")&amp;IF(ISBLANK(Catalog!K176),"Missing Item Type; ","")&amp;IF(ISBLANK(Catalog!L176),"Missing Subject; ","")&amp;IF(ISBLANK(Catalog!M176),"Missing Genre/Form; ","")&amp;IF(ISBLANK(Catalog!X176),"Missing Location Type; ","")&amp;IF(ISBLANK(Catalog!Y176),"Missing Location Id; ","")&amp;IF(AND(Catalog!T176&lt;&gt;"",COUNTIF(Catalog!$T$2:$T$501,Catalog!T176)&gt;1),"Duplicate ISBN; ","")&amp;IF(AND(Catalog!B176&lt;&gt;"",COUNTIF(Catalog!$B$2:$B$501,Catalog!B176)&gt;1),"Duplicate Accession; ",""))</f>
        <v/>
      </c>
    </row>
    <row r="201" spans="1:3" x14ac:dyDescent="0.25">
      <c r="A201" s="24" t="str">
        <f>Catalog!A177</f>
        <v/>
      </c>
      <c r="B201" s="25">
        <f>Catalog!D177</f>
        <v>0</v>
      </c>
      <c r="C201" s="26" t="str">
        <f>IF(Catalog!D177="","",IF(ISBLANK(Catalog!F177),"Missing Creator; ","")&amp;IF(ISBLANK(Catalog!K177),"Missing Item Type; ","")&amp;IF(ISBLANK(Catalog!L177),"Missing Subject; ","")&amp;IF(ISBLANK(Catalog!M177),"Missing Genre/Form; ","")&amp;IF(ISBLANK(Catalog!X177),"Missing Location Type; ","")&amp;IF(ISBLANK(Catalog!Y177),"Missing Location Id; ","")&amp;IF(AND(Catalog!T177&lt;&gt;"",COUNTIF(Catalog!$T$2:$T$501,Catalog!T177)&gt;1),"Duplicate ISBN; ","")&amp;IF(AND(Catalog!B177&lt;&gt;"",COUNTIF(Catalog!$B$2:$B$501,Catalog!B177)&gt;1),"Duplicate Accession; ",""))</f>
        <v/>
      </c>
    </row>
    <row r="202" spans="1:3" x14ac:dyDescent="0.25">
      <c r="A202" s="24" t="str">
        <f>Catalog!A178</f>
        <v/>
      </c>
      <c r="B202" s="25">
        <f>Catalog!D178</f>
        <v>0</v>
      </c>
      <c r="C202" s="26" t="str">
        <f>IF(Catalog!D178="","",IF(ISBLANK(Catalog!F178),"Missing Creator; ","")&amp;IF(ISBLANK(Catalog!K178),"Missing Item Type; ","")&amp;IF(ISBLANK(Catalog!L178),"Missing Subject; ","")&amp;IF(ISBLANK(Catalog!M178),"Missing Genre/Form; ","")&amp;IF(ISBLANK(Catalog!X178),"Missing Location Type; ","")&amp;IF(ISBLANK(Catalog!Y178),"Missing Location Id; ","")&amp;IF(AND(Catalog!T178&lt;&gt;"",COUNTIF(Catalog!$T$2:$T$501,Catalog!T178)&gt;1),"Duplicate ISBN; ","")&amp;IF(AND(Catalog!B178&lt;&gt;"",COUNTIF(Catalog!$B$2:$B$501,Catalog!B178)&gt;1),"Duplicate Accession; ",""))</f>
        <v/>
      </c>
    </row>
    <row r="203" spans="1:3" x14ac:dyDescent="0.25">
      <c r="A203" s="24" t="str">
        <f>Catalog!A179</f>
        <v/>
      </c>
      <c r="B203" s="25">
        <f>Catalog!D179</f>
        <v>0</v>
      </c>
      <c r="C203" s="26" t="str">
        <f>IF(Catalog!D179="","",IF(ISBLANK(Catalog!F179),"Missing Creator; ","")&amp;IF(ISBLANK(Catalog!K179),"Missing Item Type; ","")&amp;IF(ISBLANK(Catalog!L179),"Missing Subject; ","")&amp;IF(ISBLANK(Catalog!M179),"Missing Genre/Form; ","")&amp;IF(ISBLANK(Catalog!X179),"Missing Location Type; ","")&amp;IF(ISBLANK(Catalog!Y179),"Missing Location Id; ","")&amp;IF(AND(Catalog!T179&lt;&gt;"",COUNTIF(Catalog!$T$2:$T$501,Catalog!T179)&gt;1),"Duplicate ISBN; ","")&amp;IF(AND(Catalog!B179&lt;&gt;"",COUNTIF(Catalog!$B$2:$B$501,Catalog!B179)&gt;1),"Duplicate Accession; ",""))</f>
        <v/>
      </c>
    </row>
    <row r="204" spans="1:3" x14ac:dyDescent="0.25">
      <c r="A204" s="24" t="str">
        <f>Catalog!A180</f>
        <v/>
      </c>
      <c r="B204" s="25">
        <f>Catalog!D180</f>
        <v>0</v>
      </c>
      <c r="C204" s="26" t="str">
        <f>IF(Catalog!D180="","",IF(ISBLANK(Catalog!F180),"Missing Creator; ","")&amp;IF(ISBLANK(Catalog!K180),"Missing Item Type; ","")&amp;IF(ISBLANK(Catalog!L180),"Missing Subject; ","")&amp;IF(ISBLANK(Catalog!M180),"Missing Genre/Form; ","")&amp;IF(ISBLANK(Catalog!X180),"Missing Location Type; ","")&amp;IF(ISBLANK(Catalog!Y180),"Missing Location Id; ","")&amp;IF(AND(Catalog!T180&lt;&gt;"",COUNTIF(Catalog!$T$2:$T$501,Catalog!T180)&gt;1),"Duplicate ISBN; ","")&amp;IF(AND(Catalog!B180&lt;&gt;"",COUNTIF(Catalog!$B$2:$B$501,Catalog!B180)&gt;1),"Duplicate Accession; ",""))</f>
        <v/>
      </c>
    </row>
    <row r="205" spans="1:3" x14ac:dyDescent="0.25">
      <c r="A205" s="24" t="str">
        <f>Catalog!A181</f>
        <v/>
      </c>
      <c r="B205" s="25">
        <f>Catalog!D181</f>
        <v>0</v>
      </c>
      <c r="C205" s="26" t="str">
        <f>IF(Catalog!D181="","",IF(ISBLANK(Catalog!F181),"Missing Creator; ","")&amp;IF(ISBLANK(Catalog!K181),"Missing Item Type; ","")&amp;IF(ISBLANK(Catalog!L181),"Missing Subject; ","")&amp;IF(ISBLANK(Catalog!M181),"Missing Genre/Form; ","")&amp;IF(ISBLANK(Catalog!X181),"Missing Location Type; ","")&amp;IF(ISBLANK(Catalog!Y181),"Missing Location Id; ","")&amp;IF(AND(Catalog!T181&lt;&gt;"",COUNTIF(Catalog!$T$2:$T$501,Catalog!T181)&gt;1),"Duplicate ISBN; ","")&amp;IF(AND(Catalog!B181&lt;&gt;"",COUNTIF(Catalog!$B$2:$B$501,Catalog!B181)&gt;1),"Duplicate Accession; ",""))</f>
        <v/>
      </c>
    </row>
    <row r="206" spans="1:3" x14ac:dyDescent="0.25">
      <c r="A206" s="24" t="str">
        <f>Catalog!A182</f>
        <v/>
      </c>
      <c r="B206" s="25">
        <f>Catalog!D182</f>
        <v>0</v>
      </c>
      <c r="C206" s="26" t="str">
        <f>IF(Catalog!D182="","",IF(ISBLANK(Catalog!F182),"Missing Creator; ","")&amp;IF(ISBLANK(Catalog!K182),"Missing Item Type; ","")&amp;IF(ISBLANK(Catalog!L182),"Missing Subject; ","")&amp;IF(ISBLANK(Catalog!M182),"Missing Genre/Form; ","")&amp;IF(ISBLANK(Catalog!X182),"Missing Location Type; ","")&amp;IF(ISBLANK(Catalog!Y182),"Missing Location Id; ","")&amp;IF(AND(Catalog!T182&lt;&gt;"",COUNTIF(Catalog!$T$2:$T$501,Catalog!T182)&gt;1),"Duplicate ISBN; ","")&amp;IF(AND(Catalog!B182&lt;&gt;"",COUNTIF(Catalog!$B$2:$B$501,Catalog!B182)&gt;1),"Duplicate Accession; ",""))</f>
        <v/>
      </c>
    </row>
    <row r="207" spans="1:3" x14ac:dyDescent="0.25">
      <c r="A207" s="24" t="str">
        <f>Catalog!A183</f>
        <v/>
      </c>
      <c r="B207" s="25">
        <f>Catalog!D183</f>
        <v>0</v>
      </c>
      <c r="C207" s="26" t="str">
        <f>IF(Catalog!D183="","",IF(ISBLANK(Catalog!F183),"Missing Creator; ","")&amp;IF(ISBLANK(Catalog!K183),"Missing Item Type; ","")&amp;IF(ISBLANK(Catalog!L183),"Missing Subject; ","")&amp;IF(ISBLANK(Catalog!M183),"Missing Genre/Form; ","")&amp;IF(ISBLANK(Catalog!X183),"Missing Location Type; ","")&amp;IF(ISBLANK(Catalog!Y183),"Missing Location Id; ","")&amp;IF(AND(Catalog!T183&lt;&gt;"",COUNTIF(Catalog!$T$2:$T$501,Catalog!T183)&gt;1),"Duplicate ISBN; ","")&amp;IF(AND(Catalog!B183&lt;&gt;"",COUNTIF(Catalog!$B$2:$B$501,Catalog!B183)&gt;1),"Duplicate Accession; ",""))</f>
        <v/>
      </c>
    </row>
    <row r="208" spans="1:3" x14ac:dyDescent="0.25">
      <c r="A208" s="24" t="str">
        <f>Catalog!A184</f>
        <v/>
      </c>
      <c r="B208" s="25">
        <f>Catalog!D184</f>
        <v>0</v>
      </c>
      <c r="C208" s="26" t="str">
        <f>IF(Catalog!D184="","",IF(ISBLANK(Catalog!F184),"Missing Creator; ","")&amp;IF(ISBLANK(Catalog!K184),"Missing Item Type; ","")&amp;IF(ISBLANK(Catalog!L184),"Missing Subject; ","")&amp;IF(ISBLANK(Catalog!M184),"Missing Genre/Form; ","")&amp;IF(ISBLANK(Catalog!X184),"Missing Location Type; ","")&amp;IF(ISBLANK(Catalog!Y184),"Missing Location Id; ","")&amp;IF(AND(Catalog!T184&lt;&gt;"",COUNTIF(Catalog!$T$2:$T$501,Catalog!T184)&gt;1),"Duplicate ISBN; ","")&amp;IF(AND(Catalog!B184&lt;&gt;"",COUNTIF(Catalog!$B$2:$B$501,Catalog!B184)&gt;1),"Duplicate Accession; ",""))</f>
        <v/>
      </c>
    </row>
    <row r="209" spans="1:3" x14ac:dyDescent="0.25">
      <c r="A209" s="24" t="str">
        <f>Catalog!A185</f>
        <v/>
      </c>
      <c r="B209" s="25">
        <f>Catalog!D185</f>
        <v>0</v>
      </c>
      <c r="C209" s="26" t="str">
        <f>IF(Catalog!D185="","",IF(ISBLANK(Catalog!F185),"Missing Creator; ","")&amp;IF(ISBLANK(Catalog!K185),"Missing Item Type; ","")&amp;IF(ISBLANK(Catalog!L185),"Missing Subject; ","")&amp;IF(ISBLANK(Catalog!M185),"Missing Genre/Form; ","")&amp;IF(ISBLANK(Catalog!X185),"Missing Location Type; ","")&amp;IF(ISBLANK(Catalog!Y185),"Missing Location Id; ","")&amp;IF(AND(Catalog!T185&lt;&gt;"",COUNTIF(Catalog!$T$2:$T$501,Catalog!T185)&gt;1),"Duplicate ISBN; ","")&amp;IF(AND(Catalog!B185&lt;&gt;"",COUNTIF(Catalog!$B$2:$B$501,Catalog!B185)&gt;1),"Duplicate Accession; ",""))</f>
        <v/>
      </c>
    </row>
    <row r="210" spans="1:3" x14ac:dyDescent="0.25">
      <c r="A210" s="24" t="str">
        <f>Catalog!A186</f>
        <v/>
      </c>
      <c r="B210" s="25">
        <f>Catalog!D186</f>
        <v>0</v>
      </c>
      <c r="C210" s="26" t="str">
        <f>IF(Catalog!D186="","",IF(ISBLANK(Catalog!F186),"Missing Creator; ","")&amp;IF(ISBLANK(Catalog!K186),"Missing Item Type; ","")&amp;IF(ISBLANK(Catalog!L186),"Missing Subject; ","")&amp;IF(ISBLANK(Catalog!M186),"Missing Genre/Form; ","")&amp;IF(ISBLANK(Catalog!X186),"Missing Location Type; ","")&amp;IF(ISBLANK(Catalog!Y186),"Missing Location Id; ","")&amp;IF(AND(Catalog!T186&lt;&gt;"",COUNTIF(Catalog!$T$2:$T$501,Catalog!T186)&gt;1),"Duplicate ISBN; ","")&amp;IF(AND(Catalog!B186&lt;&gt;"",COUNTIF(Catalog!$B$2:$B$501,Catalog!B186)&gt;1),"Duplicate Accession; ",""))</f>
        <v/>
      </c>
    </row>
    <row r="211" spans="1:3" x14ac:dyDescent="0.25">
      <c r="A211" s="24" t="str">
        <f>Catalog!A187</f>
        <v/>
      </c>
      <c r="B211" s="25">
        <f>Catalog!D187</f>
        <v>0</v>
      </c>
      <c r="C211" s="26" t="str">
        <f>IF(Catalog!D187="","",IF(ISBLANK(Catalog!F187),"Missing Creator; ","")&amp;IF(ISBLANK(Catalog!K187),"Missing Item Type; ","")&amp;IF(ISBLANK(Catalog!L187),"Missing Subject; ","")&amp;IF(ISBLANK(Catalog!M187),"Missing Genre/Form; ","")&amp;IF(ISBLANK(Catalog!X187),"Missing Location Type; ","")&amp;IF(ISBLANK(Catalog!Y187),"Missing Location Id; ","")&amp;IF(AND(Catalog!T187&lt;&gt;"",COUNTIF(Catalog!$T$2:$T$501,Catalog!T187)&gt;1),"Duplicate ISBN; ","")&amp;IF(AND(Catalog!B187&lt;&gt;"",COUNTIF(Catalog!$B$2:$B$501,Catalog!B187)&gt;1),"Duplicate Accession; ",""))</f>
        <v/>
      </c>
    </row>
    <row r="212" spans="1:3" x14ac:dyDescent="0.25">
      <c r="A212" s="24" t="str">
        <f>Catalog!A188</f>
        <v/>
      </c>
      <c r="B212" s="25">
        <f>Catalog!D188</f>
        <v>0</v>
      </c>
      <c r="C212" s="26" t="str">
        <f>IF(Catalog!D188="","",IF(ISBLANK(Catalog!F188),"Missing Creator; ","")&amp;IF(ISBLANK(Catalog!K188),"Missing Item Type; ","")&amp;IF(ISBLANK(Catalog!L188),"Missing Subject; ","")&amp;IF(ISBLANK(Catalog!M188),"Missing Genre/Form; ","")&amp;IF(ISBLANK(Catalog!X188),"Missing Location Type; ","")&amp;IF(ISBLANK(Catalog!Y188),"Missing Location Id; ","")&amp;IF(AND(Catalog!T188&lt;&gt;"",COUNTIF(Catalog!$T$2:$T$501,Catalog!T188)&gt;1),"Duplicate ISBN; ","")&amp;IF(AND(Catalog!B188&lt;&gt;"",COUNTIF(Catalog!$B$2:$B$501,Catalog!B188)&gt;1),"Duplicate Accession; ",""))</f>
        <v/>
      </c>
    </row>
    <row r="213" spans="1:3" x14ac:dyDescent="0.25">
      <c r="A213" s="24" t="str">
        <f>Catalog!A189</f>
        <v/>
      </c>
      <c r="B213" s="25">
        <f>Catalog!D189</f>
        <v>0</v>
      </c>
      <c r="C213" s="26" t="str">
        <f>IF(Catalog!D189="","",IF(ISBLANK(Catalog!F189),"Missing Creator; ","")&amp;IF(ISBLANK(Catalog!K189),"Missing Item Type; ","")&amp;IF(ISBLANK(Catalog!L189),"Missing Subject; ","")&amp;IF(ISBLANK(Catalog!M189),"Missing Genre/Form; ","")&amp;IF(ISBLANK(Catalog!X189),"Missing Location Type; ","")&amp;IF(ISBLANK(Catalog!Y189),"Missing Location Id; ","")&amp;IF(AND(Catalog!T189&lt;&gt;"",COUNTIF(Catalog!$T$2:$T$501,Catalog!T189)&gt;1),"Duplicate ISBN; ","")&amp;IF(AND(Catalog!B189&lt;&gt;"",COUNTIF(Catalog!$B$2:$B$501,Catalog!B189)&gt;1),"Duplicate Accession; ",""))</f>
        <v/>
      </c>
    </row>
    <row r="214" spans="1:3" x14ac:dyDescent="0.25">
      <c r="A214" s="24" t="str">
        <f>Catalog!A190</f>
        <v/>
      </c>
      <c r="B214" s="25">
        <f>Catalog!D190</f>
        <v>0</v>
      </c>
      <c r="C214" s="26" t="str">
        <f>IF(Catalog!D190="","",IF(ISBLANK(Catalog!F190),"Missing Creator; ","")&amp;IF(ISBLANK(Catalog!K190),"Missing Item Type; ","")&amp;IF(ISBLANK(Catalog!L190),"Missing Subject; ","")&amp;IF(ISBLANK(Catalog!M190),"Missing Genre/Form; ","")&amp;IF(ISBLANK(Catalog!X190),"Missing Location Type; ","")&amp;IF(ISBLANK(Catalog!Y190),"Missing Location Id; ","")&amp;IF(AND(Catalog!T190&lt;&gt;"",COUNTIF(Catalog!$T$2:$T$501,Catalog!T190)&gt;1),"Duplicate ISBN; ","")&amp;IF(AND(Catalog!B190&lt;&gt;"",COUNTIF(Catalog!$B$2:$B$501,Catalog!B190)&gt;1),"Duplicate Accession; ",""))</f>
        <v/>
      </c>
    </row>
    <row r="215" spans="1:3" x14ac:dyDescent="0.25">
      <c r="A215" s="24" t="str">
        <f>Catalog!A191</f>
        <v/>
      </c>
      <c r="B215" s="25">
        <f>Catalog!D191</f>
        <v>0</v>
      </c>
      <c r="C215" s="26" t="str">
        <f>IF(Catalog!D191="","",IF(ISBLANK(Catalog!F191),"Missing Creator; ","")&amp;IF(ISBLANK(Catalog!K191),"Missing Item Type; ","")&amp;IF(ISBLANK(Catalog!L191),"Missing Subject; ","")&amp;IF(ISBLANK(Catalog!M191),"Missing Genre/Form; ","")&amp;IF(ISBLANK(Catalog!X191),"Missing Location Type; ","")&amp;IF(ISBLANK(Catalog!Y191),"Missing Location Id; ","")&amp;IF(AND(Catalog!T191&lt;&gt;"",COUNTIF(Catalog!$T$2:$T$501,Catalog!T191)&gt;1),"Duplicate ISBN; ","")&amp;IF(AND(Catalog!B191&lt;&gt;"",COUNTIF(Catalog!$B$2:$B$501,Catalog!B191)&gt;1),"Duplicate Accession; ",""))</f>
        <v/>
      </c>
    </row>
    <row r="216" spans="1:3" x14ac:dyDescent="0.25">
      <c r="A216" s="24" t="str">
        <f>Catalog!A192</f>
        <v/>
      </c>
      <c r="B216" s="25">
        <f>Catalog!D192</f>
        <v>0</v>
      </c>
      <c r="C216" s="26" t="str">
        <f>IF(Catalog!D192="","",IF(ISBLANK(Catalog!F192),"Missing Creator; ","")&amp;IF(ISBLANK(Catalog!K192),"Missing Item Type; ","")&amp;IF(ISBLANK(Catalog!L192),"Missing Subject; ","")&amp;IF(ISBLANK(Catalog!M192),"Missing Genre/Form; ","")&amp;IF(ISBLANK(Catalog!X192),"Missing Location Type; ","")&amp;IF(ISBLANK(Catalog!Y192),"Missing Location Id; ","")&amp;IF(AND(Catalog!T192&lt;&gt;"",COUNTIF(Catalog!$T$2:$T$501,Catalog!T192)&gt;1),"Duplicate ISBN; ","")&amp;IF(AND(Catalog!B192&lt;&gt;"",COUNTIF(Catalog!$B$2:$B$501,Catalog!B192)&gt;1),"Duplicate Accession; ",""))</f>
        <v/>
      </c>
    </row>
    <row r="217" spans="1:3" x14ac:dyDescent="0.25">
      <c r="A217" s="24" t="str">
        <f>Catalog!A193</f>
        <v/>
      </c>
      <c r="B217" s="25">
        <f>Catalog!D193</f>
        <v>0</v>
      </c>
      <c r="C217" s="26" t="str">
        <f>IF(Catalog!D193="","",IF(ISBLANK(Catalog!F193),"Missing Creator; ","")&amp;IF(ISBLANK(Catalog!K193),"Missing Item Type; ","")&amp;IF(ISBLANK(Catalog!L193),"Missing Subject; ","")&amp;IF(ISBLANK(Catalog!M193),"Missing Genre/Form; ","")&amp;IF(ISBLANK(Catalog!X193),"Missing Location Type; ","")&amp;IF(ISBLANK(Catalog!Y193),"Missing Location Id; ","")&amp;IF(AND(Catalog!T193&lt;&gt;"",COUNTIF(Catalog!$T$2:$T$501,Catalog!T193)&gt;1),"Duplicate ISBN; ","")&amp;IF(AND(Catalog!B193&lt;&gt;"",COUNTIF(Catalog!$B$2:$B$501,Catalog!B193)&gt;1),"Duplicate Accession; ",""))</f>
        <v/>
      </c>
    </row>
    <row r="218" spans="1:3" x14ac:dyDescent="0.25">
      <c r="A218" s="24" t="str">
        <f>Catalog!A194</f>
        <v/>
      </c>
      <c r="B218" s="25">
        <f>Catalog!D194</f>
        <v>0</v>
      </c>
      <c r="C218" s="26" t="str">
        <f>IF(Catalog!D194="","",IF(ISBLANK(Catalog!F194),"Missing Creator; ","")&amp;IF(ISBLANK(Catalog!K194),"Missing Item Type; ","")&amp;IF(ISBLANK(Catalog!L194),"Missing Subject; ","")&amp;IF(ISBLANK(Catalog!M194),"Missing Genre/Form; ","")&amp;IF(ISBLANK(Catalog!X194),"Missing Location Type; ","")&amp;IF(ISBLANK(Catalog!Y194),"Missing Location Id; ","")&amp;IF(AND(Catalog!T194&lt;&gt;"",COUNTIF(Catalog!$T$2:$T$501,Catalog!T194)&gt;1),"Duplicate ISBN; ","")&amp;IF(AND(Catalog!B194&lt;&gt;"",COUNTIF(Catalog!$B$2:$B$501,Catalog!B194)&gt;1),"Duplicate Accession; ",""))</f>
        <v/>
      </c>
    </row>
    <row r="219" spans="1:3" x14ac:dyDescent="0.25">
      <c r="A219" s="24" t="str">
        <f>Catalog!A195</f>
        <v/>
      </c>
      <c r="B219" s="25">
        <f>Catalog!D195</f>
        <v>0</v>
      </c>
      <c r="C219" s="26" t="str">
        <f>IF(Catalog!D195="","",IF(ISBLANK(Catalog!F195),"Missing Creator; ","")&amp;IF(ISBLANK(Catalog!K195),"Missing Item Type; ","")&amp;IF(ISBLANK(Catalog!L195),"Missing Subject; ","")&amp;IF(ISBLANK(Catalog!M195),"Missing Genre/Form; ","")&amp;IF(ISBLANK(Catalog!X195),"Missing Location Type; ","")&amp;IF(ISBLANK(Catalog!Y195),"Missing Location Id; ","")&amp;IF(AND(Catalog!T195&lt;&gt;"",COUNTIF(Catalog!$T$2:$T$501,Catalog!T195)&gt;1),"Duplicate ISBN; ","")&amp;IF(AND(Catalog!B195&lt;&gt;"",COUNTIF(Catalog!$B$2:$B$501,Catalog!B195)&gt;1),"Duplicate Accession; ",""))</f>
        <v/>
      </c>
    </row>
    <row r="220" spans="1:3" x14ac:dyDescent="0.25">
      <c r="A220" s="24" t="str">
        <f>Catalog!A196</f>
        <v/>
      </c>
      <c r="B220" s="25">
        <f>Catalog!D196</f>
        <v>0</v>
      </c>
      <c r="C220" s="26" t="str">
        <f>IF(Catalog!D196="","",IF(ISBLANK(Catalog!F196),"Missing Creator; ","")&amp;IF(ISBLANK(Catalog!K196),"Missing Item Type; ","")&amp;IF(ISBLANK(Catalog!L196),"Missing Subject; ","")&amp;IF(ISBLANK(Catalog!M196),"Missing Genre/Form; ","")&amp;IF(ISBLANK(Catalog!X196),"Missing Location Type; ","")&amp;IF(ISBLANK(Catalog!Y196),"Missing Location Id; ","")&amp;IF(AND(Catalog!T196&lt;&gt;"",COUNTIF(Catalog!$T$2:$T$501,Catalog!T196)&gt;1),"Duplicate ISBN; ","")&amp;IF(AND(Catalog!B196&lt;&gt;"",COUNTIF(Catalog!$B$2:$B$501,Catalog!B196)&gt;1),"Duplicate Accession; ",""))</f>
        <v/>
      </c>
    </row>
    <row r="221" spans="1:3" x14ac:dyDescent="0.25">
      <c r="A221" s="24" t="str">
        <f>Catalog!A197</f>
        <v/>
      </c>
      <c r="B221" s="25">
        <f>Catalog!D197</f>
        <v>0</v>
      </c>
      <c r="C221" s="26" t="str">
        <f>IF(Catalog!D197="","",IF(ISBLANK(Catalog!F197),"Missing Creator; ","")&amp;IF(ISBLANK(Catalog!K197),"Missing Item Type; ","")&amp;IF(ISBLANK(Catalog!L197),"Missing Subject; ","")&amp;IF(ISBLANK(Catalog!M197),"Missing Genre/Form; ","")&amp;IF(ISBLANK(Catalog!X197),"Missing Location Type; ","")&amp;IF(ISBLANK(Catalog!Y197),"Missing Location Id; ","")&amp;IF(AND(Catalog!T197&lt;&gt;"",COUNTIF(Catalog!$T$2:$T$501,Catalog!T197)&gt;1),"Duplicate ISBN; ","")&amp;IF(AND(Catalog!B197&lt;&gt;"",COUNTIF(Catalog!$B$2:$B$501,Catalog!B197)&gt;1),"Duplicate Accession; ",""))</f>
        <v/>
      </c>
    </row>
    <row r="222" spans="1:3" x14ac:dyDescent="0.25">
      <c r="A222" s="24" t="str">
        <f>Catalog!A198</f>
        <v/>
      </c>
      <c r="B222" s="25">
        <f>Catalog!D198</f>
        <v>0</v>
      </c>
      <c r="C222" s="26" t="str">
        <f>IF(Catalog!D198="","",IF(ISBLANK(Catalog!F198),"Missing Creator; ","")&amp;IF(ISBLANK(Catalog!K198),"Missing Item Type; ","")&amp;IF(ISBLANK(Catalog!L198),"Missing Subject; ","")&amp;IF(ISBLANK(Catalog!M198),"Missing Genre/Form; ","")&amp;IF(ISBLANK(Catalog!X198),"Missing Location Type; ","")&amp;IF(ISBLANK(Catalog!Y198),"Missing Location Id; ","")&amp;IF(AND(Catalog!T198&lt;&gt;"",COUNTIF(Catalog!$T$2:$T$501,Catalog!T198)&gt;1),"Duplicate ISBN; ","")&amp;IF(AND(Catalog!B198&lt;&gt;"",COUNTIF(Catalog!$B$2:$B$501,Catalog!B198)&gt;1),"Duplicate Accession; ",""))</f>
        <v/>
      </c>
    </row>
    <row r="223" spans="1:3" x14ac:dyDescent="0.25">
      <c r="A223" s="24" t="str">
        <f>Catalog!A199</f>
        <v/>
      </c>
      <c r="B223" s="25">
        <f>Catalog!D199</f>
        <v>0</v>
      </c>
      <c r="C223" s="26" t="str">
        <f>IF(Catalog!D199="","",IF(ISBLANK(Catalog!F199),"Missing Creator; ","")&amp;IF(ISBLANK(Catalog!K199),"Missing Item Type; ","")&amp;IF(ISBLANK(Catalog!L199),"Missing Subject; ","")&amp;IF(ISBLANK(Catalog!M199),"Missing Genre/Form; ","")&amp;IF(ISBLANK(Catalog!X199),"Missing Location Type; ","")&amp;IF(ISBLANK(Catalog!Y199),"Missing Location Id; ","")&amp;IF(AND(Catalog!T199&lt;&gt;"",COUNTIF(Catalog!$T$2:$T$501,Catalog!T199)&gt;1),"Duplicate ISBN; ","")&amp;IF(AND(Catalog!B199&lt;&gt;"",COUNTIF(Catalog!$B$2:$B$501,Catalog!B199)&gt;1),"Duplicate Accession; ",""))</f>
        <v/>
      </c>
    </row>
    <row r="224" spans="1:3" x14ac:dyDescent="0.25">
      <c r="A224" s="24" t="str">
        <f>Catalog!A200</f>
        <v/>
      </c>
      <c r="B224" s="25">
        <f>Catalog!D200</f>
        <v>0</v>
      </c>
      <c r="C224" s="26" t="str">
        <f>IF(Catalog!D200="","",IF(ISBLANK(Catalog!F200),"Missing Creator; ","")&amp;IF(ISBLANK(Catalog!K200),"Missing Item Type; ","")&amp;IF(ISBLANK(Catalog!L200),"Missing Subject; ","")&amp;IF(ISBLANK(Catalog!M200),"Missing Genre/Form; ","")&amp;IF(ISBLANK(Catalog!X200),"Missing Location Type; ","")&amp;IF(ISBLANK(Catalog!Y200),"Missing Location Id; ","")&amp;IF(AND(Catalog!T200&lt;&gt;"",COUNTIF(Catalog!$T$2:$T$501,Catalog!T200)&gt;1),"Duplicate ISBN; ","")&amp;IF(AND(Catalog!B200&lt;&gt;"",COUNTIF(Catalog!$B$2:$B$501,Catalog!B200)&gt;1),"Duplicate Accession; ",""))</f>
        <v/>
      </c>
    </row>
    <row r="225" spans="1:3" x14ac:dyDescent="0.25">
      <c r="A225" s="24" t="str">
        <f>Catalog!A201</f>
        <v/>
      </c>
      <c r="B225" s="25">
        <f>Catalog!D201</f>
        <v>0</v>
      </c>
      <c r="C225" s="26" t="str">
        <f>IF(Catalog!D201="","",IF(ISBLANK(Catalog!F201),"Missing Creator; ","")&amp;IF(ISBLANK(Catalog!K201),"Missing Item Type; ","")&amp;IF(ISBLANK(Catalog!L201),"Missing Subject; ","")&amp;IF(ISBLANK(Catalog!M201),"Missing Genre/Form; ","")&amp;IF(ISBLANK(Catalog!X201),"Missing Location Type; ","")&amp;IF(ISBLANK(Catalog!Y201),"Missing Location Id; ","")&amp;IF(AND(Catalog!T201&lt;&gt;"",COUNTIF(Catalog!$T$2:$T$501,Catalog!T201)&gt;1),"Duplicate ISBN; ","")&amp;IF(AND(Catalog!B201&lt;&gt;"",COUNTIF(Catalog!$B$2:$B$501,Catalog!B201)&gt;1),"Duplicate Accession; ",""))</f>
        <v/>
      </c>
    </row>
    <row r="226" spans="1:3" x14ac:dyDescent="0.25">
      <c r="A226" s="24" t="str">
        <f>Catalog!A202</f>
        <v/>
      </c>
      <c r="B226" s="25">
        <f>Catalog!D202</f>
        <v>0</v>
      </c>
      <c r="C226" s="26" t="str">
        <f>IF(Catalog!D202="","",IF(ISBLANK(Catalog!F202),"Missing Creator; ","")&amp;IF(ISBLANK(Catalog!K202),"Missing Item Type; ","")&amp;IF(ISBLANK(Catalog!L202),"Missing Subject; ","")&amp;IF(ISBLANK(Catalog!M202),"Missing Genre/Form; ","")&amp;IF(ISBLANK(Catalog!X202),"Missing Location Type; ","")&amp;IF(ISBLANK(Catalog!Y202),"Missing Location Id; ","")&amp;IF(AND(Catalog!T202&lt;&gt;"",COUNTIF(Catalog!$T$2:$T$501,Catalog!T202)&gt;1),"Duplicate ISBN; ","")&amp;IF(AND(Catalog!B202&lt;&gt;"",COUNTIF(Catalog!$B$2:$B$501,Catalog!B202)&gt;1),"Duplicate Accession; ",""))</f>
        <v/>
      </c>
    </row>
    <row r="227" spans="1:3" x14ac:dyDescent="0.25">
      <c r="A227" s="24" t="str">
        <f>Catalog!A203</f>
        <v/>
      </c>
      <c r="B227" s="25">
        <f>Catalog!D203</f>
        <v>0</v>
      </c>
      <c r="C227" s="26" t="str">
        <f>IF(Catalog!D203="","",IF(ISBLANK(Catalog!F203),"Missing Creator; ","")&amp;IF(ISBLANK(Catalog!K203),"Missing Item Type; ","")&amp;IF(ISBLANK(Catalog!L203),"Missing Subject; ","")&amp;IF(ISBLANK(Catalog!M203),"Missing Genre/Form; ","")&amp;IF(ISBLANK(Catalog!X203),"Missing Location Type; ","")&amp;IF(ISBLANK(Catalog!Y203),"Missing Location Id; ","")&amp;IF(AND(Catalog!T203&lt;&gt;"",COUNTIF(Catalog!$T$2:$T$501,Catalog!T203)&gt;1),"Duplicate ISBN; ","")&amp;IF(AND(Catalog!B203&lt;&gt;"",COUNTIF(Catalog!$B$2:$B$501,Catalog!B203)&gt;1),"Duplicate Accession; ",""))</f>
        <v/>
      </c>
    </row>
    <row r="228" spans="1:3" x14ac:dyDescent="0.25">
      <c r="A228" s="24" t="str">
        <f>Catalog!A204</f>
        <v/>
      </c>
      <c r="B228" s="25">
        <f>Catalog!D204</f>
        <v>0</v>
      </c>
      <c r="C228" s="26" t="str">
        <f>IF(Catalog!D204="","",IF(ISBLANK(Catalog!F204),"Missing Creator; ","")&amp;IF(ISBLANK(Catalog!K204),"Missing Item Type; ","")&amp;IF(ISBLANK(Catalog!L204),"Missing Subject; ","")&amp;IF(ISBLANK(Catalog!M204),"Missing Genre/Form; ","")&amp;IF(ISBLANK(Catalog!X204),"Missing Location Type; ","")&amp;IF(ISBLANK(Catalog!Y204),"Missing Location Id; ","")&amp;IF(AND(Catalog!T204&lt;&gt;"",COUNTIF(Catalog!$T$2:$T$501,Catalog!T204)&gt;1),"Duplicate ISBN; ","")&amp;IF(AND(Catalog!B204&lt;&gt;"",COUNTIF(Catalog!$B$2:$B$501,Catalog!B204)&gt;1),"Duplicate Accession; ",""))</f>
        <v/>
      </c>
    </row>
    <row r="229" spans="1:3" x14ac:dyDescent="0.25">
      <c r="A229" s="24" t="str">
        <f>Catalog!A205</f>
        <v/>
      </c>
      <c r="B229" s="25">
        <f>Catalog!D205</f>
        <v>0</v>
      </c>
      <c r="C229" s="26" t="str">
        <f>IF(Catalog!D205="","",IF(ISBLANK(Catalog!F205),"Missing Creator; ","")&amp;IF(ISBLANK(Catalog!K205),"Missing Item Type; ","")&amp;IF(ISBLANK(Catalog!L205),"Missing Subject; ","")&amp;IF(ISBLANK(Catalog!M205),"Missing Genre/Form; ","")&amp;IF(ISBLANK(Catalog!X205),"Missing Location Type; ","")&amp;IF(ISBLANK(Catalog!Y205),"Missing Location Id; ","")&amp;IF(AND(Catalog!T205&lt;&gt;"",COUNTIF(Catalog!$T$2:$T$501,Catalog!T205)&gt;1),"Duplicate ISBN; ","")&amp;IF(AND(Catalog!B205&lt;&gt;"",COUNTIF(Catalog!$B$2:$B$501,Catalog!B205)&gt;1),"Duplicate Accession; ",""))</f>
        <v/>
      </c>
    </row>
    <row r="230" spans="1:3" x14ac:dyDescent="0.25">
      <c r="A230" s="24" t="str">
        <f>Catalog!A206</f>
        <v/>
      </c>
      <c r="B230" s="25">
        <f>Catalog!D206</f>
        <v>0</v>
      </c>
      <c r="C230" s="26" t="str">
        <f>IF(Catalog!D206="","",IF(ISBLANK(Catalog!F206),"Missing Creator; ","")&amp;IF(ISBLANK(Catalog!K206),"Missing Item Type; ","")&amp;IF(ISBLANK(Catalog!L206),"Missing Subject; ","")&amp;IF(ISBLANK(Catalog!M206),"Missing Genre/Form; ","")&amp;IF(ISBLANK(Catalog!X206),"Missing Location Type; ","")&amp;IF(ISBLANK(Catalog!Y206),"Missing Location Id; ","")&amp;IF(AND(Catalog!T206&lt;&gt;"",COUNTIF(Catalog!$T$2:$T$501,Catalog!T206)&gt;1),"Duplicate ISBN; ","")&amp;IF(AND(Catalog!B206&lt;&gt;"",COUNTIF(Catalog!$B$2:$B$501,Catalog!B206)&gt;1),"Duplicate Accession; ",""))</f>
        <v/>
      </c>
    </row>
    <row r="231" spans="1:3" x14ac:dyDescent="0.25">
      <c r="A231" s="24" t="str">
        <f>Catalog!A207</f>
        <v/>
      </c>
      <c r="B231" s="25">
        <f>Catalog!D207</f>
        <v>0</v>
      </c>
      <c r="C231" s="26" t="str">
        <f>IF(Catalog!D207="","",IF(ISBLANK(Catalog!F207),"Missing Creator; ","")&amp;IF(ISBLANK(Catalog!K207),"Missing Item Type; ","")&amp;IF(ISBLANK(Catalog!L207),"Missing Subject; ","")&amp;IF(ISBLANK(Catalog!M207),"Missing Genre/Form; ","")&amp;IF(ISBLANK(Catalog!X207),"Missing Location Type; ","")&amp;IF(ISBLANK(Catalog!Y207),"Missing Location Id; ","")&amp;IF(AND(Catalog!T207&lt;&gt;"",COUNTIF(Catalog!$T$2:$T$501,Catalog!T207)&gt;1),"Duplicate ISBN; ","")&amp;IF(AND(Catalog!B207&lt;&gt;"",COUNTIF(Catalog!$B$2:$B$501,Catalog!B207)&gt;1),"Duplicate Accession; ",""))</f>
        <v/>
      </c>
    </row>
    <row r="232" spans="1:3" x14ac:dyDescent="0.25">
      <c r="A232" s="24" t="str">
        <f>Catalog!A208</f>
        <v/>
      </c>
      <c r="B232" s="25">
        <f>Catalog!D208</f>
        <v>0</v>
      </c>
      <c r="C232" s="26" t="str">
        <f>IF(Catalog!D208="","",IF(ISBLANK(Catalog!F208),"Missing Creator; ","")&amp;IF(ISBLANK(Catalog!K208),"Missing Item Type; ","")&amp;IF(ISBLANK(Catalog!L208),"Missing Subject; ","")&amp;IF(ISBLANK(Catalog!M208),"Missing Genre/Form; ","")&amp;IF(ISBLANK(Catalog!X208),"Missing Location Type; ","")&amp;IF(ISBLANK(Catalog!Y208),"Missing Location Id; ","")&amp;IF(AND(Catalog!T208&lt;&gt;"",COUNTIF(Catalog!$T$2:$T$501,Catalog!T208)&gt;1),"Duplicate ISBN; ","")&amp;IF(AND(Catalog!B208&lt;&gt;"",COUNTIF(Catalog!$B$2:$B$501,Catalog!B208)&gt;1),"Duplicate Accession; ",""))</f>
        <v/>
      </c>
    </row>
    <row r="233" spans="1:3" x14ac:dyDescent="0.25">
      <c r="A233" s="24" t="str">
        <f>Catalog!A209</f>
        <v/>
      </c>
      <c r="B233" s="25">
        <f>Catalog!D209</f>
        <v>0</v>
      </c>
      <c r="C233" s="26" t="str">
        <f>IF(Catalog!D209="","",IF(ISBLANK(Catalog!F209),"Missing Creator; ","")&amp;IF(ISBLANK(Catalog!K209),"Missing Item Type; ","")&amp;IF(ISBLANK(Catalog!L209),"Missing Subject; ","")&amp;IF(ISBLANK(Catalog!M209),"Missing Genre/Form; ","")&amp;IF(ISBLANK(Catalog!X209),"Missing Location Type; ","")&amp;IF(ISBLANK(Catalog!Y209),"Missing Location Id; ","")&amp;IF(AND(Catalog!T209&lt;&gt;"",COUNTIF(Catalog!$T$2:$T$501,Catalog!T209)&gt;1),"Duplicate ISBN; ","")&amp;IF(AND(Catalog!B209&lt;&gt;"",COUNTIF(Catalog!$B$2:$B$501,Catalog!B209)&gt;1),"Duplicate Accession; ",""))</f>
        <v/>
      </c>
    </row>
    <row r="234" spans="1:3" x14ac:dyDescent="0.25">
      <c r="A234" s="24" t="str">
        <f>Catalog!A210</f>
        <v/>
      </c>
      <c r="B234" s="25">
        <f>Catalog!D210</f>
        <v>0</v>
      </c>
      <c r="C234" s="26" t="str">
        <f>IF(Catalog!D210="","",IF(ISBLANK(Catalog!F210),"Missing Creator; ","")&amp;IF(ISBLANK(Catalog!K210),"Missing Item Type; ","")&amp;IF(ISBLANK(Catalog!L210),"Missing Subject; ","")&amp;IF(ISBLANK(Catalog!M210),"Missing Genre/Form; ","")&amp;IF(ISBLANK(Catalog!X210),"Missing Location Type; ","")&amp;IF(ISBLANK(Catalog!Y210),"Missing Location Id; ","")&amp;IF(AND(Catalog!T210&lt;&gt;"",COUNTIF(Catalog!$T$2:$T$501,Catalog!T210)&gt;1),"Duplicate ISBN; ","")&amp;IF(AND(Catalog!B210&lt;&gt;"",COUNTIF(Catalog!$B$2:$B$501,Catalog!B210)&gt;1),"Duplicate Accession; ",""))</f>
        <v/>
      </c>
    </row>
    <row r="235" spans="1:3" x14ac:dyDescent="0.25">
      <c r="A235" s="24" t="str">
        <f>Catalog!A211</f>
        <v/>
      </c>
      <c r="B235" s="25">
        <f>Catalog!D211</f>
        <v>0</v>
      </c>
      <c r="C235" s="26" t="str">
        <f>IF(Catalog!D211="","",IF(ISBLANK(Catalog!F211),"Missing Creator; ","")&amp;IF(ISBLANK(Catalog!K211),"Missing Item Type; ","")&amp;IF(ISBLANK(Catalog!L211),"Missing Subject; ","")&amp;IF(ISBLANK(Catalog!M211),"Missing Genre/Form; ","")&amp;IF(ISBLANK(Catalog!X211),"Missing Location Type; ","")&amp;IF(ISBLANK(Catalog!Y211),"Missing Location Id; ","")&amp;IF(AND(Catalog!T211&lt;&gt;"",COUNTIF(Catalog!$T$2:$T$501,Catalog!T211)&gt;1),"Duplicate ISBN; ","")&amp;IF(AND(Catalog!B211&lt;&gt;"",COUNTIF(Catalog!$B$2:$B$501,Catalog!B211)&gt;1),"Duplicate Accession; ",""))</f>
        <v/>
      </c>
    </row>
    <row r="236" spans="1:3" x14ac:dyDescent="0.25">
      <c r="A236" s="24" t="str">
        <f>Catalog!A212</f>
        <v/>
      </c>
      <c r="B236" s="25">
        <f>Catalog!D212</f>
        <v>0</v>
      </c>
      <c r="C236" s="26" t="str">
        <f>IF(Catalog!D212="","",IF(ISBLANK(Catalog!F212),"Missing Creator; ","")&amp;IF(ISBLANK(Catalog!K212),"Missing Item Type; ","")&amp;IF(ISBLANK(Catalog!L212),"Missing Subject; ","")&amp;IF(ISBLANK(Catalog!M212),"Missing Genre/Form; ","")&amp;IF(ISBLANK(Catalog!X212),"Missing Location Type; ","")&amp;IF(ISBLANK(Catalog!Y212),"Missing Location Id; ","")&amp;IF(AND(Catalog!T212&lt;&gt;"",COUNTIF(Catalog!$T$2:$T$501,Catalog!T212)&gt;1),"Duplicate ISBN; ","")&amp;IF(AND(Catalog!B212&lt;&gt;"",COUNTIF(Catalog!$B$2:$B$501,Catalog!B212)&gt;1),"Duplicate Accession; ",""))</f>
        <v/>
      </c>
    </row>
    <row r="237" spans="1:3" x14ac:dyDescent="0.25">
      <c r="A237" s="24" t="str">
        <f>Catalog!A213</f>
        <v/>
      </c>
      <c r="B237" s="25">
        <f>Catalog!D213</f>
        <v>0</v>
      </c>
      <c r="C237" s="26" t="str">
        <f>IF(Catalog!D213="","",IF(ISBLANK(Catalog!F213),"Missing Creator; ","")&amp;IF(ISBLANK(Catalog!K213),"Missing Item Type; ","")&amp;IF(ISBLANK(Catalog!L213),"Missing Subject; ","")&amp;IF(ISBLANK(Catalog!M213),"Missing Genre/Form; ","")&amp;IF(ISBLANK(Catalog!X213),"Missing Location Type; ","")&amp;IF(ISBLANK(Catalog!Y213),"Missing Location Id; ","")&amp;IF(AND(Catalog!T213&lt;&gt;"",COUNTIF(Catalog!$T$2:$T$501,Catalog!T213)&gt;1),"Duplicate ISBN; ","")&amp;IF(AND(Catalog!B213&lt;&gt;"",COUNTIF(Catalog!$B$2:$B$501,Catalog!B213)&gt;1),"Duplicate Accession; ",""))</f>
        <v/>
      </c>
    </row>
    <row r="238" spans="1:3" x14ac:dyDescent="0.25">
      <c r="A238" s="24" t="str">
        <f>Catalog!A214</f>
        <v/>
      </c>
      <c r="B238" s="25">
        <f>Catalog!D214</f>
        <v>0</v>
      </c>
      <c r="C238" s="26" t="str">
        <f>IF(Catalog!D214="","",IF(ISBLANK(Catalog!F214),"Missing Creator; ","")&amp;IF(ISBLANK(Catalog!K214),"Missing Item Type; ","")&amp;IF(ISBLANK(Catalog!L214),"Missing Subject; ","")&amp;IF(ISBLANK(Catalog!M214),"Missing Genre/Form; ","")&amp;IF(ISBLANK(Catalog!X214),"Missing Location Type; ","")&amp;IF(ISBLANK(Catalog!Y214),"Missing Location Id; ","")&amp;IF(AND(Catalog!T214&lt;&gt;"",COUNTIF(Catalog!$T$2:$T$501,Catalog!T214)&gt;1),"Duplicate ISBN; ","")&amp;IF(AND(Catalog!B214&lt;&gt;"",COUNTIF(Catalog!$B$2:$B$501,Catalog!B214)&gt;1),"Duplicate Accession; ",""))</f>
        <v/>
      </c>
    </row>
    <row r="239" spans="1:3" x14ac:dyDescent="0.25">
      <c r="A239" s="24" t="str">
        <f>Catalog!A215</f>
        <v/>
      </c>
      <c r="B239" s="25">
        <f>Catalog!D215</f>
        <v>0</v>
      </c>
      <c r="C239" s="26" t="str">
        <f>IF(Catalog!D215="","",IF(ISBLANK(Catalog!F215),"Missing Creator; ","")&amp;IF(ISBLANK(Catalog!K215),"Missing Item Type; ","")&amp;IF(ISBLANK(Catalog!L215),"Missing Subject; ","")&amp;IF(ISBLANK(Catalog!M215),"Missing Genre/Form; ","")&amp;IF(ISBLANK(Catalog!X215),"Missing Location Type; ","")&amp;IF(ISBLANK(Catalog!Y215),"Missing Location Id; ","")&amp;IF(AND(Catalog!T215&lt;&gt;"",COUNTIF(Catalog!$T$2:$T$501,Catalog!T215)&gt;1),"Duplicate ISBN; ","")&amp;IF(AND(Catalog!B215&lt;&gt;"",COUNTIF(Catalog!$B$2:$B$501,Catalog!B215)&gt;1),"Duplicate Accession; ",""))</f>
        <v/>
      </c>
    </row>
    <row r="240" spans="1:3" x14ac:dyDescent="0.25">
      <c r="A240" s="24" t="str">
        <f>Catalog!A216</f>
        <v/>
      </c>
      <c r="B240" s="25">
        <f>Catalog!D216</f>
        <v>0</v>
      </c>
      <c r="C240" s="26" t="str">
        <f>IF(Catalog!D216="","",IF(ISBLANK(Catalog!F216),"Missing Creator; ","")&amp;IF(ISBLANK(Catalog!K216),"Missing Item Type; ","")&amp;IF(ISBLANK(Catalog!L216),"Missing Subject; ","")&amp;IF(ISBLANK(Catalog!M216),"Missing Genre/Form; ","")&amp;IF(ISBLANK(Catalog!X216),"Missing Location Type; ","")&amp;IF(ISBLANK(Catalog!Y216),"Missing Location Id; ","")&amp;IF(AND(Catalog!T216&lt;&gt;"",COUNTIF(Catalog!$T$2:$T$501,Catalog!T216)&gt;1),"Duplicate ISBN; ","")&amp;IF(AND(Catalog!B216&lt;&gt;"",COUNTIF(Catalog!$B$2:$B$501,Catalog!B216)&gt;1),"Duplicate Accession; ",""))</f>
        <v/>
      </c>
    </row>
    <row r="241" spans="1:3" x14ac:dyDescent="0.25">
      <c r="A241" s="24" t="str">
        <f>Catalog!A217</f>
        <v/>
      </c>
      <c r="B241" s="25">
        <f>Catalog!D217</f>
        <v>0</v>
      </c>
      <c r="C241" s="26" t="str">
        <f>IF(Catalog!D217="","",IF(ISBLANK(Catalog!F217),"Missing Creator; ","")&amp;IF(ISBLANK(Catalog!K217),"Missing Item Type; ","")&amp;IF(ISBLANK(Catalog!L217),"Missing Subject; ","")&amp;IF(ISBLANK(Catalog!M217),"Missing Genre/Form; ","")&amp;IF(ISBLANK(Catalog!X217),"Missing Location Type; ","")&amp;IF(ISBLANK(Catalog!Y217),"Missing Location Id; ","")&amp;IF(AND(Catalog!T217&lt;&gt;"",COUNTIF(Catalog!$T$2:$T$501,Catalog!T217)&gt;1),"Duplicate ISBN; ","")&amp;IF(AND(Catalog!B217&lt;&gt;"",COUNTIF(Catalog!$B$2:$B$501,Catalog!B217)&gt;1),"Duplicate Accession; ",""))</f>
        <v/>
      </c>
    </row>
    <row r="242" spans="1:3" x14ac:dyDescent="0.25">
      <c r="A242" s="24" t="str">
        <f>Catalog!A218</f>
        <v/>
      </c>
      <c r="B242" s="25">
        <f>Catalog!D218</f>
        <v>0</v>
      </c>
      <c r="C242" s="26" t="str">
        <f>IF(Catalog!D218="","",IF(ISBLANK(Catalog!F218),"Missing Creator; ","")&amp;IF(ISBLANK(Catalog!K218),"Missing Item Type; ","")&amp;IF(ISBLANK(Catalog!L218),"Missing Subject; ","")&amp;IF(ISBLANK(Catalog!M218),"Missing Genre/Form; ","")&amp;IF(ISBLANK(Catalog!X218),"Missing Location Type; ","")&amp;IF(ISBLANK(Catalog!Y218),"Missing Location Id; ","")&amp;IF(AND(Catalog!T218&lt;&gt;"",COUNTIF(Catalog!$T$2:$T$501,Catalog!T218)&gt;1),"Duplicate ISBN; ","")&amp;IF(AND(Catalog!B218&lt;&gt;"",COUNTIF(Catalog!$B$2:$B$501,Catalog!B218)&gt;1),"Duplicate Accession; ",""))</f>
        <v/>
      </c>
    </row>
    <row r="243" spans="1:3" x14ac:dyDescent="0.25">
      <c r="A243" s="24" t="str">
        <f>Catalog!A219</f>
        <v/>
      </c>
      <c r="B243" s="25">
        <f>Catalog!D219</f>
        <v>0</v>
      </c>
      <c r="C243" s="26" t="str">
        <f>IF(Catalog!D219="","",IF(ISBLANK(Catalog!F219),"Missing Creator; ","")&amp;IF(ISBLANK(Catalog!K219),"Missing Item Type; ","")&amp;IF(ISBLANK(Catalog!L219),"Missing Subject; ","")&amp;IF(ISBLANK(Catalog!M219),"Missing Genre/Form; ","")&amp;IF(ISBLANK(Catalog!X219),"Missing Location Type; ","")&amp;IF(ISBLANK(Catalog!Y219),"Missing Location Id; ","")&amp;IF(AND(Catalog!T219&lt;&gt;"",COUNTIF(Catalog!$T$2:$T$501,Catalog!T219)&gt;1),"Duplicate ISBN; ","")&amp;IF(AND(Catalog!B219&lt;&gt;"",COUNTIF(Catalog!$B$2:$B$501,Catalog!B219)&gt;1),"Duplicate Accession; ",""))</f>
        <v/>
      </c>
    </row>
    <row r="244" spans="1:3" x14ac:dyDescent="0.25">
      <c r="A244" s="24" t="str">
        <f>Catalog!A220</f>
        <v/>
      </c>
      <c r="B244" s="25">
        <f>Catalog!D220</f>
        <v>0</v>
      </c>
      <c r="C244" s="26" t="str">
        <f>IF(Catalog!D220="","",IF(ISBLANK(Catalog!F220),"Missing Creator; ","")&amp;IF(ISBLANK(Catalog!K220),"Missing Item Type; ","")&amp;IF(ISBLANK(Catalog!L220),"Missing Subject; ","")&amp;IF(ISBLANK(Catalog!M220),"Missing Genre/Form; ","")&amp;IF(ISBLANK(Catalog!X220),"Missing Location Type; ","")&amp;IF(ISBLANK(Catalog!Y220),"Missing Location Id; ","")&amp;IF(AND(Catalog!T220&lt;&gt;"",COUNTIF(Catalog!$T$2:$T$501,Catalog!T220)&gt;1),"Duplicate ISBN; ","")&amp;IF(AND(Catalog!B220&lt;&gt;"",COUNTIF(Catalog!$B$2:$B$501,Catalog!B220)&gt;1),"Duplicate Accession; ",""))</f>
        <v/>
      </c>
    </row>
    <row r="245" spans="1:3" x14ac:dyDescent="0.25">
      <c r="A245" s="24" t="str">
        <f>Catalog!A221</f>
        <v/>
      </c>
      <c r="B245" s="25">
        <f>Catalog!D221</f>
        <v>0</v>
      </c>
      <c r="C245" s="26" t="str">
        <f>IF(Catalog!D221="","",IF(ISBLANK(Catalog!F221),"Missing Creator; ","")&amp;IF(ISBLANK(Catalog!K221),"Missing Item Type; ","")&amp;IF(ISBLANK(Catalog!L221),"Missing Subject; ","")&amp;IF(ISBLANK(Catalog!M221),"Missing Genre/Form; ","")&amp;IF(ISBLANK(Catalog!X221),"Missing Location Type; ","")&amp;IF(ISBLANK(Catalog!Y221),"Missing Location Id; ","")&amp;IF(AND(Catalog!T221&lt;&gt;"",COUNTIF(Catalog!$T$2:$T$501,Catalog!T221)&gt;1),"Duplicate ISBN; ","")&amp;IF(AND(Catalog!B221&lt;&gt;"",COUNTIF(Catalog!$B$2:$B$501,Catalog!B221)&gt;1),"Duplicate Accession; ",""))</f>
        <v/>
      </c>
    </row>
    <row r="246" spans="1:3" x14ac:dyDescent="0.25">
      <c r="A246" s="24" t="str">
        <f>Catalog!A222</f>
        <v/>
      </c>
      <c r="B246" s="25">
        <f>Catalog!D222</f>
        <v>0</v>
      </c>
      <c r="C246" s="26" t="str">
        <f>IF(Catalog!D222="","",IF(ISBLANK(Catalog!F222),"Missing Creator; ","")&amp;IF(ISBLANK(Catalog!K222),"Missing Item Type; ","")&amp;IF(ISBLANK(Catalog!L222),"Missing Subject; ","")&amp;IF(ISBLANK(Catalog!M222),"Missing Genre/Form; ","")&amp;IF(ISBLANK(Catalog!X222),"Missing Location Type; ","")&amp;IF(ISBLANK(Catalog!Y222),"Missing Location Id; ","")&amp;IF(AND(Catalog!T222&lt;&gt;"",COUNTIF(Catalog!$T$2:$T$501,Catalog!T222)&gt;1),"Duplicate ISBN; ","")&amp;IF(AND(Catalog!B222&lt;&gt;"",COUNTIF(Catalog!$B$2:$B$501,Catalog!B222)&gt;1),"Duplicate Accession; ",""))</f>
        <v/>
      </c>
    </row>
    <row r="247" spans="1:3" x14ac:dyDescent="0.25">
      <c r="A247" s="24" t="str">
        <f>Catalog!A223</f>
        <v/>
      </c>
      <c r="B247" s="25">
        <f>Catalog!D223</f>
        <v>0</v>
      </c>
      <c r="C247" s="26" t="str">
        <f>IF(Catalog!D223="","",IF(ISBLANK(Catalog!F223),"Missing Creator; ","")&amp;IF(ISBLANK(Catalog!K223),"Missing Item Type; ","")&amp;IF(ISBLANK(Catalog!L223),"Missing Subject; ","")&amp;IF(ISBLANK(Catalog!M223),"Missing Genre/Form; ","")&amp;IF(ISBLANK(Catalog!X223),"Missing Location Type; ","")&amp;IF(ISBLANK(Catalog!Y223),"Missing Location Id; ","")&amp;IF(AND(Catalog!T223&lt;&gt;"",COUNTIF(Catalog!$T$2:$T$501,Catalog!T223)&gt;1),"Duplicate ISBN; ","")&amp;IF(AND(Catalog!B223&lt;&gt;"",COUNTIF(Catalog!$B$2:$B$501,Catalog!B223)&gt;1),"Duplicate Accession; ",""))</f>
        <v/>
      </c>
    </row>
    <row r="248" spans="1:3" x14ac:dyDescent="0.25">
      <c r="A248" s="24" t="str">
        <f>Catalog!A224</f>
        <v/>
      </c>
      <c r="B248" s="25">
        <f>Catalog!D224</f>
        <v>0</v>
      </c>
      <c r="C248" s="26" t="str">
        <f>IF(Catalog!D224="","",IF(ISBLANK(Catalog!F224),"Missing Creator; ","")&amp;IF(ISBLANK(Catalog!K224),"Missing Item Type; ","")&amp;IF(ISBLANK(Catalog!L224),"Missing Subject; ","")&amp;IF(ISBLANK(Catalog!M224),"Missing Genre/Form; ","")&amp;IF(ISBLANK(Catalog!X224),"Missing Location Type; ","")&amp;IF(ISBLANK(Catalog!Y224),"Missing Location Id; ","")&amp;IF(AND(Catalog!T224&lt;&gt;"",COUNTIF(Catalog!$T$2:$T$501,Catalog!T224)&gt;1),"Duplicate ISBN; ","")&amp;IF(AND(Catalog!B224&lt;&gt;"",COUNTIF(Catalog!$B$2:$B$501,Catalog!B224)&gt;1),"Duplicate Accession; ",""))</f>
        <v/>
      </c>
    </row>
    <row r="249" spans="1:3" x14ac:dyDescent="0.25">
      <c r="A249" s="24" t="str">
        <f>Catalog!A225</f>
        <v/>
      </c>
      <c r="B249" s="25">
        <f>Catalog!D225</f>
        <v>0</v>
      </c>
      <c r="C249" s="26" t="str">
        <f>IF(Catalog!D225="","",IF(ISBLANK(Catalog!F225),"Missing Creator; ","")&amp;IF(ISBLANK(Catalog!K225),"Missing Item Type; ","")&amp;IF(ISBLANK(Catalog!L225),"Missing Subject; ","")&amp;IF(ISBLANK(Catalog!M225),"Missing Genre/Form; ","")&amp;IF(ISBLANK(Catalog!X225),"Missing Location Type; ","")&amp;IF(ISBLANK(Catalog!Y225),"Missing Location Id; ","")&amp;IF(AND(Catalog!T225&lt;&gt;"",COUNTIF(Catalog!$T$2:$T$501,Catalog!T225)&gt;1),"Duplicate ISBN; ","")&amp;IF(AND(Catalog!B225&lt;&gt;"",COUNTIF(Catalog!$B$2:$B$501,Catalog!B225)&gt;1),"Duplicate Accession; ",""))</f>
        <v/>
      </c>
    </row>
    <row r="250" spans="1:3" x14ac:dyDescent="0.25">
      <c r="A250" s="24" t="str">
        <f>Catalog!A226</f>
        <v/>
      </c>
      <c r="B250" s="25">
        <f>Catalog!D226</f>
        <v>0</v>
      </c>
      <c r="C250" s="26" t="str">
        <f>IF(Catalog!D226="","",IF(ISBLANK(Catalog!F226),"Missing Creator; ","")&amp;IF(ISBLANK(Catalog!K226),"Missing Item Type; ","")&amp;IF(ISBLANK(Catalog!L226),"Missing Subject; ","")&amp;IF(ISBLANK(Catalog!M226),"Missing Genre/Form; ","")&amp;IF(ISBLANK(Catalog!X226),"Missing Location Type; ","")&amp;IF(ISBLANK(Catalog!Y226),"Missing Location Id; ","")&amp;IF(AND(Catalog!T226&lt;&gt;"",COUNTIF(Catalog!$T$2:$T$501,Catalog!T226)&gt;1),"Duplicate ISBN; ","")&amp;IF(AND(Catalog!B226&lt;&gt;"",COUNTIF(Catalog!$B$2:$B$501,Catalog!B226)&gt;1),"Duplicate Accession; ",""))</f>
        <v/>
      </c>
    </row>
    <row r="251" spans="1:3" x14ac:dyDescent="0.25">
      <c r="A251" s="24" t="str">
        <f>Catalog!A227</f>
        <v/>
      </c>
      <c r="B251" s="25">
        <f>Catalog!D227</f>
        <v>0</v>
      </c>
      <c r="C251" s="26" t="str">
        <f>IF(Catalog!D227="","",IF(ISBLANK(Catalog!F227),"Missing Creator; ","")&amp;IF(ISBLANK(Catalog!K227),"Missing Item Type; ","")&amp;IF(ISBLANK(Catalog!L227),"Missing Subject; ","")&amp;IF(ISBLANK(Catalog!M227),"Missing Genre/Form; ","")&amp;IF(ISBLANK(Catalog!X227),"Missing Location Type; ","")&amp;IF(ISBLANK(Catalog!Y227),"Missing Location Id; ","")&amp;IF(AND(Catalog!T227&lt;&gt;"",COUNTIF(Catalog!$T$2:$T$501,Catalog!T227)&gt;1),"Duplicate ISBN; ","")&amp;IF(AND(Catalog!B227&lt;&gt;"",COUNTIF(Catalog!$B$2:$B$501,Catalog!B227)&gt;1),"Duplicate Accession; ",""))</f>
        <v/>
      </c>
    </row>
    <row r="252" spans="1:3" x14ac:dyDescent="0.25">
      <c r="A252" s="24" t="str">
        <f>Catalog!A228</f>
        <v/>
      </c>
      <c r="B252" s="25">
        <f>Catalog!D228</f>
        <v>0</v>
      </c>
      <c r="C252" s="26" t="str">
        <f>IF(Catalog!D228="","",IF(ISBLANK(Catalog!F228),"Missing Creator; ","")&amp;IF(ISBLANK(Catalog!K228),"Missing Item Type; ","")&amp;IF(ISBLANK(Catalog!L228),"Missing Subject; ","")&amp;IF(ISBLANK(Catalog!M228),"Missing Genre/Form; ","")&amp;IF(ISBLANK(Catalog!X228),"Missing Location Type; ","")&amp;IF(ISBLANK(Catalog!Y228),"Missing Location Id; ","")&amp;IF(AND(Catalog!T228&lt;&gt;"",COUNTIF(Catalog!$T$2:$T$501,Catalog!T228)&gt;1),"Duplicate ISBN; ","")&amp;IF(AND(Catalog!B228&lt;&gt;"",COUNTIF(Catalog!$B$2:$B$501,Catalog!B228)&gt;1),"Duplicate Accession; ",""))</f>
        <v/>
      </c>
    </row>
    <row r="253" spans="1:3" x14ac:dyDescent="0.25">
      <c r="A253" s="24" t="str">
        <f>Catalog!A229</f>
        <v/>
      </c>
      <c r="B253" s="25">
        <f>Catalog!D229</f>
        <v>0</v>
      </c>
      <c r="C253" s="26" t="str">
        <f>IF(Catalog!D229="","",IF(ISBLANK(Catalog!F229),"Missing Creator; ","")&amp;IF(ISBLANK(Catalog!K229),"Missing Item Type; ","")&amp;IF(ISBLANK(Catalog!L229),"Missing Subject; ","")&amp;IF(ISBLANK(Catalog!M229),"Missing Genre/Form; ","")&amp;IF(ISBLANK(Catalog!X229),"Missing Location Type; ","")&amp;IF(ISBLANK(Catalog!Y229),"Missing Location Id; ","")&amp;IF(AND(Catalog!T229&lt;&gt;"",COUNTIF(Catalog!$T$2:$T$501,Catalog!T229)&gt;1),"Duplicate ISBN; ","")&amp;IF(AND(Catalog!B229&lt;&gt;"",COUNTIF(Catalog!$B$2:$B$501,Catalog!B229)&gt;1),"Duplicate Accession; ",""))</f>
        <v/>
      </c>
    </row>
    <row r="254" spans="1:3" x14ac:dyDescent="0.25">
      <c r="A254" s="24" t="str">
        <f>Catalog!A230</f>
        <v/>
      </c>
      <c r="B254" s="25">
        <f>Catalog!D230</f>
        <v>0</v>
      </c>
      <c r="C254" s="26" t="str">
        <f>IF(Catalog!D230="","",IF(ISBLANK(Catalog!F230),"Missing Creator; ","")&amp;IF(ISBLANK(Catalog!K230),"Missing Item Type; ","")&amp;IF(ISBLANK(Catalog!L230),"Missing Subject; ","")&amp;IF(ISBLANK(Catalog!M230),"Missing Genre/Form; ","")&amp;IF(ISBLANK(Catalog!X230),"Missing Location Type; ","")&amp;IF(ISBLANK(Catalog!Y230),"Missing Location Id; ","")&amp;IF(AND(Catalog!T230&lt;&gt;"",COUNTIF(Catalog!$T$2:$T$501,Catalog!T230)&gt;1),"Duplicate ISBN; ","")&amp;IF(AND(Catalog!B230&lt;&gt;"",COUNTIF(Catalog!$B$2:$B$501,Catalog!B230)&gt;1),"Duplicate Accession; ",""))</f>
        <v/>
      </c>
    </row>
    <row r="255" spans="1:3" x14ac:dyDescent="0.25">
      <c r="A255" s="24" t="str">
        <f>Catalog!A231</f>
        <v/>
      </c>
      <c r="B255" s="25">
        <f>Catalog!D231</f>
        <v>0</v>
      </c>
      <c r="C255" s="26" t="str">
        <f>IF(Catalog!D231="","",IF(ISBLANK(Catalog!F231),"Missing Creator; ","")&amp;IF(ISBLANK(Catalog!K231),"Missing Item Type; ","")&amp;IF(ISBLANK(Catalog!L231),"Missing Subject; ","")&amp;IF(ISBLANK(Catalog!M231),"Missing Genre/Form; ","")&amp;IF(ISBLANK(Catalog!X231),"Missing Location Type; ","")&amp;IF(ISBLANK(Catalog!Y231),"Missing Location Id; ","")&amp;IF(AND(Catalog!T231&lt;&gt;"",COUNTIF(Catalog!$T$2:$T$501,Catalog!T231)&gt;1),"Duplicate ISBN; ","")&amp;IF(AND(Catalog!B231&lt;&gt;"",COUNTIF(Catalog!$B$2:$B$501,Catalog!B231)&gt;1),"Duplicate Accession; ",""))</f>
        <v/>
      </c>
    </row>
    <row r="256" spans="1:3" x14ac:dyDescent="0.25">
      <c r="A256" s="24" t="str">
        <f>Catalog!A232</f>
        <v/>
      </c>
      <c r="B256" s="25">
        <f>Catalog!D232</f>
        <v>0</v>
      </c>
      <c r="C256" s="26" t="str">
        <f>IF(Catalog!D232="","",IF(ISBLANK(Catalog!F232),"Missing Creator; ","")&amp;IF(ISBLANK(Catalog!K232),"Missing Item Type; ","")&amp;IF(ISBLANK(Catalog!L232),"Missing Subject; ","")&amp;IF(ISBLANK(Catalog!M232),"Missing Genre/Form; ","")&amp;IF(ISBLANK(Catalog!X232),"Missing Location Type; ","")&amp;IF(ISBLANK(Catalog!Y232),"Missing Location Id; ","")&amp;IF(AND(Catalog!T232&lt;&gt;"",COUNTIF(Catalog!$T$2:$T$501,Catalog!T232)&gt;1),"Duplicate ISBN; ","")&amp;IF(AND(Catalog!B232&lt;&gt;"",COUNTIF(Catalog!$B$2:$B$501,Catalog!B232)&gt;1),"Duplicate Accession; ",""))</f>
        <v/>
      </c>
    </row>
    <row r="257" spans="1:3" x14ac:dyDescent="0.25">
      <c r="A257" s="24" t="str">
        <f>Catalog!A233</f>
        <v/>
      </c>
      <c r="B257" s="25">
        <f>Catalog!D233</f>
        <v>0</v>
      </c>
      <c r="C257" s="26" t="str">
        <f>IF(Catalog!D233="","",IF(ISBLANK(Catalog!F233),"Missing Creator; ","")&amp;IF(ISBLANK(Catalog!K233),"Missing Item Type; ","")&amp;IF(ISBLANK(Catalog!L233),"Missing Subject; ","")&amp;IF(ISBLANK(Catalog!M233),"Missing Genre/Form; ","")&amp;IF(ISBLANK(Catalog!X233),"Missing Location Type; ","")&amp;IF(ISBLANK(Catalog!Y233),"Missing Location Id; ","")&amp;IF(AND(Catalog!T233&lt;&gt;"",COUNTIF(Catalog!$T$2:$T$501,Catalog!T233)&gt;1),"Duplicate ISBN; ","")&amp;IF(AND(Catalog!B233&lt;&gt;"",COUNTIF(Catalog!$B$2:$B$501,Catalog!B233)&gt;1),"Duplicate Accession; ",""))</f>
        <v/>
      </c>
    </row>
    <row r="258" spans="1:3" x14ac:dyDescent="0.25">
      <c r="A258" s="24" t="str">
        <f>Catalog!A234</f>
        <v/>
      </c>
      <c r="B258" s="25">
        <f>Catalog!D234</f>
        <v>0</v>
      </c>
      <c r="C258" s="26" t="str">
        <f>IF(Catalog!D234="","",IF(ISBLANK(Catalog!F234),"Missing Creator; ","")&amp;IF(ISBLANK(Catalog!K234),"Missing Item Type; ","")&amp;IF(ISBLANK(Catalog!L234),"Missing Subject; ","")&amp;IF(ISBLANK(Catalog!M234),"Missing Genre/Form; ","")&amp;IF(ISBLANK(Catalog!X234),"Missing Location Type; ","")&amp;IF(ISBLANK(Catalog!Y234),"Missing Location Id; ","")&amp;IF(AND(Catalog!T234&lt;&gt;"",COUNTIF(Catalog!$T$2:$T$501,Catalog!T234)&gt;1),"Duplicate ISBN; ","")&amp;IF(AND(Catalog!B234&lt;&gt;"",COUNTIF(Catalog!$B$2:$B$501,Catalog!B234)&gt;1),"Duplicate Accession; ",""))</f>
        <v/>
      </c>
    </row>
    <row r="259" spans="1:3" x14ac:dyDescent="0.25">
      <c r="A259" s="24" t="str">
        <f>Catalog!A235</f>
        <v/>
      </c>
      <c r="B259" s="25">
        <f>Catalog!D235</f>
        <v>0</v>
      </c>
      <c r="C259" s="26" t="str">
        <f>IF(Catalog!D235="","",IF(ISBLANK(Catalog!F235),"Missing Creator; ","")&amp;IF(ISBLANK(Catalog!K235),"Missing Item Type; ","")&amp;IF(ISBLANK(Catalog!L235),"Missing Subject; ","")&amp;IF(ISBLANK(Catalog!M235),"Missing Genre/Form; ","")&amp;IF(ISBLANK(Catalog!X235),"Missing Location Type; ","")&amp;IF(ISBLANK(Catalog!Y235),"Missing Location Id; ","")&amp;IF(AND(Catalog!T235&lt;&gt;"",COUNTIF(Catalog!$T$2:$T$501,Catalog!T235)&gt;1),"Duplicate ISBN; ","")&amp;IF(AND(Catalog!B235&lt;&gt;"",COUNTIF(Catalog!$B$2:$B$501,Catalog!B235)&gt;1),"Duplicate Accession; ",""))</f>
        <v/>
      </c>
    </row>
    <row r="260" spans="1:3" x14ac:dyDescent="0.25">
      <c r="A260" s="24" t="str">
        <f>Catalog!A236</f>
        <v/>
      </c>
      <c r="B260" s="25">
        <f>Catalog!D236</f>
        <v>0</v>
      </c>
      <c r="C260" s="26" t="str">
        <f>IF(Catalog!D236="","",IF(ISBLANK(Catalog!F236),"Missing Creator; ","")&amp;IF(ISBLANK(Catalog!K236),"Missing Item Type; ","")&amp;IF(ISBLANK(Catalog!L236),"Missing Subject; ","")&amp;IF(ISBLANK(Catalog!M236),"Missing Genre/Form; ","")&amp;IF(ISBLANK(Catalog!X236),"Missing Location Type; ","")&amp;IF(ISBLANK(Catalog!Y236),"Missing Location Id; ","")&amp;IF(AND(Catalog!T236&lt;&gt;"",COUNTIF(Catalog!$T$2:$T$501,Catalog!T236)&gt;1),"Duplicate ISBN; ","")&amp;IF(AND(Catalog!B236&lt;&gt;"",COUNTIF(Catalog!$B$2:$B$501,Catalog!B236)&gt;1),"Duplicate Accession; ",""))</f>
        <v/>
      </c>
    </row>
    <row r="261" spans="1:3" x14ac:dyDescent="0.25">
      <c r="A261" s="24" t="str">
        <f>Catalog!A237</f>
        <v/>
      </c>
      <c r="B261" s="25">
        <f>Catalog!D237</f>
        <v>0</v>
      </c>
      <c r="C261" s="26" t="str">
        <f>IF(Catalog!D237="","",IF(ISBLANK(Catalog!F237),"Missing Creator; ","")&amp;IF(ISBLANK(Catalog!K237),"Missing Item Type; ","")&amp;IF(ISBLANK(Catalog!L237),"Missing Subject; ","")&amp;IF(ISBLANK(Catalog!M237),"Missing Genre/Form; ","")&amp;IF(ISBLANK(Catalog!X237),"Missing Location Type; ","")&amp;IF(ISBLANK(Catalog!Y237),"Missing Location Id; ","")&amp;IF(AND(Catalog!T237&lt;&gt;"",COUNTIF(Catalog!$T$2:$T$501,Catalog!T237)&gt;1),"Duplicate ISBN; ","")&amp;IF(AND(Catalog!B237&lt;&gt;"",COUNTIF(Catalog!$B$2:$B$501,Catalog!B237)&gt;1),"Duplicate Accession; ",""))</f>
        <v/>
      </c>
    </row>
    <row r="262" spans="1:3" x14ac:dyDescent="0.25">
      <c r="A262" s="24" t="str">
        <f>Catalog!A238</f>
        <v/>
      </c>
      <c r="B262" s="25">
        <f>Catalog!D238</f>
        <v>0</v>
      </c>
      <c r="C262" s="26" t="str">
        <f>IF(Catalog!D238="","",IF(ISBLANK(Catalog!F238),"Missing Creator; ","")&amp;IF(ISBLANK(Catalog!K238),"Missing Item Type; ","")&amp;IF(ISBLANK(Catalog!L238),"Missing Subject; ","")&amp;IF(ISBLANK(Catalog!M238),"Missing Genre/Form; ","")&amp;IF(ISBLANK(Catalog!X238),"Missing Location Type; ","")&amp;IF(ISBLANK(Catalog!Y238),"Missing Location Id; ","")&amp;IF(AND(Catalog!T238&lt;&gt;"",COUNTIF(Catalog!$T$2:$T$501,Catalog!T238)&gt;1),"Duplicate ISBN; ","")&amp;IF(AND(Catalog!B238&lt;&gt;"",COUNTIF(Catalog!$B$2:$B$501,Catalog!B238)&gt;1),"Duplicate Accession; ",""))</f>
        <v/>
      </c>
    </row>
    <row r="263" spans="1:3" x14ac:dyDescent="0.25">
      <c r="A263" s="24" t="str">
        <f>Catalog!A239</f>
        <v/>
      </c>
      <c r="B263" s="25">
        <f>Catalog!D239</f>
        <v>0</v>
      </c>
      <c r="C263" s="26" t="str">
        <f>IF(Catalog!D239="","",IF(ISBLANK(Catalog!F239),"Missing Creator; ","")&amp;IF(ISBLANK(Catalog!K239),"Missing Item Type; ","")&amp;IF(ISBLANK(Catalog!L239),"Missing Subject; ","")&amp;IF(ISBLANK(Catalog!M239),"Missing Genre/Form; ","")&amp;IF(ISBLANK(Catalog!X239),"Missing Location Type; ","")&amp;IF(ISBLANK(Catalog!Y239),"Missing Location Id; ","")&amp;IF(AND(Catalog!T239&lt;&gt;"",COUNTIF(Catalog!$T$2:$T$501,Catalog!T239)&gt;1),"Duplicate ISBN; ","")&amp;IF(AND(Catalog!B239&lt;&gt;"",COUNTIF(Catalog!$B$2:$B$501,Catalog!B239)&gt;1),"Duplicate Accession; ",""))</f>
        <v/>
      </c>
    </row>
    <row r="264" spans="1:3" x14ac:dyDescent="0.25">
      <c r="A264" s="24" t="str">
        <f>Catalog!A240</f>
        <v/>
      </c>
      <c r="B264" s="25">
        <f>Catalog!D240</f>
        <v>0</v>
      </c>
      <c r="C264" s="26" t="str">
        <f>IF(Catalog!D240="","",IF(ISBLANK(Catalog!F240),"Missing Creator; ","")&amp;IF(ISBLANK(Catalog!K240),"Missing Item Type; ","")&amp;IF(ISBLANK(Catalog!L240),"Missing Subject; ","")&amp;IF(ISBLANK(Catalog!M240),"Missing Genre/Form; ","")&amp;IF(ISBLANK(Catalog!X240),"Missing Location Type; ","")&amp;IF(ISBLANK(Catalog!Y240),"Missing Location Id; ","")&amp;IF(AND(Catalog!T240&lt;&gt;"",COUNTIF(Catalog!$T$2:$T$501,Catalog!T240)&gt;1),"Duplicate ISBN; ","")&amp;IF(AND(Catalog!B240&lt;&gt;"",COUNTIF(Catalog!$B$2:$B$501,Catalog!B240)&gt;1),"Duplicate Accession; ",""))</f>
        <v/>
      </c>
    </row>
    <row r="265" spans="1:3" x14ac:dyDescent="0.25">
      <c r="A265" s="24" t="str">
        <f>Catalog!A241</f>
        <v/>
      </c>
      <c r="B265" s="25">
        <f>Catalog!D241</f>
        <v>0</v>
      </c>
      <c r="C265" s="26" t="str">
        <f>IF(Catalog!D241="","",IF(ISBLANK(Catalog!F241),"Missing Creator; ","")&amp;IF(ISBLANK(Catalog!K241),"Missing Item Type; ","")&amp;IF(ISBLANK(Catalog!L241),"Missing Subject; ","")&amp;IF(ISBLANK(Catalog!M241),"Missing Genre/Form; ","")&amp;IF(ISBLANK(Catalog!X241),"Missing Location Type; ","")&amp;IF(ISBLANK(Catalog!Y241),"Missing Location Id; ","")&amp;IF(AND(Catalog!T241&lt;&gt;"",COUNTIF(Catalog!$T$2:$T$501,Catalog!T241)&gt;1),"Duplicate ISBN; ","")&amp;IF(AND(Catalog!B241&lt;&gt;"",COUNTIF(Catalog!$B$2:$B$501,Catalog!B241)&gt;1),"Duplicate Accession; ",""))</f>
        <v/>
      </c>
    </row>
    <row r="266" spans="1:3" x14ac:dyDescent="0.25">
      <c r="A266" s="24" t="str">
        <f>Catalog!A242</f>
        <v/>
      </c>
      <c r="B266" s="25">
        <f>Catalog!D242</f>
        <v>0</v>
      </c>
      <c r="C266" s="26" t="str">
        <f>IF(Catalog!D242="","",IF(ISBLANK(Catalog!F242),"Missing Creator; ","")&amp;IF(ISBLANK(Catalog!K242),"Missing Item Type; ","")&amp;IF(ISBLANK(Catalog!L242),"Missing Subject; ","")&amp;IF(ISBLANK(Catalog!M242),"Missing Genre/Form; ","")&amp;IF(ISBLANK(Catalog!X242),"Missing Location Type; ","")&amp;IF(ISBLANK(Catalog!Y242),"Missing Location Id; ","")&amp;IF(AND(Catalog!T242&lt;&gt;"",COUNTIF(Catalog!$T$2:$T$501,Catalog!T242)&gt;1),"Duplicate ISBN; ","")&amp;IF(AND(Catalog!B242&lt;&gt;"",COUNTIF(Catalog!$B$2:$B$501,Catalog!B242)&gt;1),"Duplicate Accession; ",""))</f>
        <v/>
      </c>
    </row>
    <row r="267" spans="1:3" x14ac:dyDescent="0.25">
      <c r="A267" s="24" t="str">
        <f>Catalog!A243</f>
        <v/>
      </c>
      <c r="B267" s="25">
        <f>Catalog!D243</f>
        <v>0</v>
      </c>
      <c r="C267" s="26" t="str">
        <f>IF(Catalog!D243="","",IF(ISBLANK(Catalog!F243),"Missing Creator; ","")&amp;IF(ISBLANK(Catalog!K243),"Missing Item Type; ","")&amp;IF(ISBLANK(Catalog!L243),"Missing Subject; ","")&amp;IF(ISBLANK(Catalog!M243),"Missing Genre/Form; ","")&amp;IF(ISBLANK(Catalog!X243),"Missing Location Type; ","")&amp;IF(ISBLANK(Catalog!Y243),"Missing Location Id; ","")&amp;IF(AND(Catalog!T243&lt;&gt;"",COUNTIF(Catalog!$T$2:$T$501,Catalog!T243)&gt;1),"Duplicate ISBN; ","")&amp;IF(AND(Catalog!B243&lt;&gt;"",COUNTIF(Catalog!$B$2:$B$501,Catalog!B243)&gt;1),"Duplicate Accession; ",""))</f>
        <v/>
      </c>
    </row>
    <row r="268" spans="1:3" x14ac:dyDescent="0.25">
      <c r="A268" s="24" t="str">
        <f>Catalog!A244</f>
        <v/>
      </c>
      <c r="B268" s="25">
        <f>Catalog!D244</f>
        <v>0</v>
      </c>
      <c r="C268" s="26" t="str">
        <f>IF(Catalog!D244="","",IF(ISBLANK(Catalog!F244),"Missing Creator; ","")&amp;IF(ISBLANK(Catalog!K244),"Missing Item Type; ","")&amp;IF(ISBLANK(Catalog!L244),"Missing Subject; ","")&amp;IF(ISBLANK(Catalog!M244),"Missing Genre/Form; ","")&amp;IF(ISBLANK(Catalog!X244),"Missing Location Type; ","")&amp;IF(ISBLANK(Catalog!Y244),"Missing Location Id; ","")&amp;IF(AND(Catalog!T244&lt;&gt;"",COUNTIF(Catalog!$T$2:$T$501,Catalog!T244)&gt;1),"Duplicate ISBN; ","")&amp;IF(AND(Catalog!B244&lt;&gt;"",COUNTIF(Catalog!$B$2:$B$501,Catalog!B244)&gt;1),"Duplicate Accession; ",""))</f>
        <v/>
      </c>
    </row>
    <row r="269" spans="1:3" x14ac:dyDescent="0.25">
      <c r="A269" s="24" t="str">
        <f>Catalog!A245</f>
        <v/>
      </c>
      <c r="B269" s="25">
        <f>Catalog!D245</f>
        <v>0</v>
      </c>
      <c r="C269" s="26" t="str">
        <f>IF(Catalog!D245="","",IF(ISBLANK(Catalog!F245),"Missing Creator; ","")&amp;IF(ISBLANK(Catalog!K245),"Missing Item Type; ","")&amp;IF(ISBLANK(Catalog!L245),"Missing Subject; ","")&amp;IF(ISBLANK(Catalog!M245),"Missing Genre/Form; ","")&amp;IF(ISBLANK(Catalog!X245),"Missing Location Type; ","")&amp;IF(ISBLANK(Catalog!Y245),"Missing Location Id; ","")&amp;IF(AND(Catalog!T245&lt;&gt;"",COUNTIF(Catalog!$T$2:$T$501,Catalog!T245)&gt;1),"Duplicate ISBN; ","")&amp;IF(AND(Catalog!B245&lt;&gt;"",COUNTIF(Catalog!$B$2:$B$501,Catalog!B245)&gt;1),"Duplicate Accession; ",""))</f>
        <v/>
      </c>
    </row>
    <row r="270" spans="1:3" x14ac:dyDescent="0.25">
      <c r="A270" s="24" t="str">
        <f>Catalog!A246</f>
        <v/>
      </c>
      <c r="B270" s="25">
        <f>Catalog!D246</f>
        <v>0</v>
      </c>
      <c r="C270" s="26" t="str">
        <f>IF(Catalog!D246="","",IF(ISBLANK(Catalog!F246),"Missing Creator; ","")&amp;IF(ISBLANK(Catalog!K246),"Missing Item Type; ","")&amp;IF(ISBLANK(Catalog!L246),"Missing Subject; ","")&amp;IF(ISBLANK(Catalog!M246),"Missing Genre/Form; ","")&amp;IF(ISBLANK(Catalog!X246),"Missing Location Type; ","")&amp;IF(ISBLANK(Catalog!Y246),"Missing Location Id; ","")&amp;IF(AND(Catalog!T246&lt;&gt;"",COUNTIF(Catalog!$T$2:$T$501,Catalog!T246)&gt;1),"Duplicate ISBN; ","")&amp;IF(AND(Catalog!B246&lt;&gt;"",COUNTIF(Catalog!$B$2:$B$501,Catalog!B246)&gt;1),"Duplicate Accession; ",""))</f>
        <v/>
      </c>
    </row>
    <row r="271" spans="1:3" x14ac:dyDescent="0.25">
      <c r="A271" s="24" t="str">
        <f>Catalog!A247</f>
        <v/>
      </c>
      <c r="B271" s="25">
        <f>Catalog!D247</f>
        <v>0</v>
      </c>
      <c r="C271" s="26" t="str">
        <f>IF(Catalog!D247="","",IF(ISBLANK(Catalog!F247),"Missing Creator; ","")&amp;IF(ISBLANK(Catalog!K247),"Missing Item Type; ","")&amp;IF(ISBLANK(Catalog!L247),"Missing Subject; ","")&amp;IF(ISBLANK(Catalog!M247),"Missing Genre/Form; ","")&amp;IF(ISBLANK(Catalog!X247),"Missing Location Type; ","")&amp;IF(ISBLANK(Catalog!Y247),"Missing Location Id; ","")&amp;IF(AND(Catalog!T247&lt;&gt;"",COUNTIF(Catalog!$T$2:$T$501,Catalog!T247)&gt;1),"Duplicate ISBN; ","")&amp;IF(AND(Catalog!B247&lt;&gt;"",COUNTIF(Catalog!$B$2:$B$501,Catalog!B247)&gt;1),"Duplicate Accession; ",""))</f>
        <v/>
      </c>
    </row>
    <row r="272" spans="1:3" x14ac:dyDescent="0.25">
      <c r="A272" s="24" t="str">
        <f>Catalog!A248</f>
        <v/>
      </c>
      <c r="B272" s="25">
        <f>Catalog!D248</f>
        <v>0</v>
      </c>
      <c r="C272" s="26" t="str">
        <f>IF(Catalog!D248="","",IF(ISBLANK(Catalog!F248),"Missing Creator; ","")&amp;IF(ISBLANK(Catalog!K248),"Missing Item Type; ","")&amp;IF(ISBLANK(Catalog!L248),"Missing Subject; ","")&amp;IF(ISBLANK(Catalog!M248),"Missing Genre/Form; ","")&amp;IF(ISBLANK(Catalog!X248),"Missing Location Type; ","")&amp;IF(ISBLANK(Catalog!Y248),"Missing Location Id; ","")&amp;IF(AND(Catalog!T248&lt;&gt;"",COUNTIF(Catalog!$T$2:$T$501,Catalog!T248)&gt;1),"Duplicate ISBN; ","")&amp;IF(AND(Catalog!B248&lt;&gt;"",COUNTIF(Catalog!$B$2:$B$501,Catalog!B248)&gt;1),"Duplicate Accession; ",""))</f>
        <v/>
      </c>
    </row>
    <row r="273" spans="1:3" x14ac:dyDescent="0.25">
      <c r="A273" s="24" t="str">
        <f>Catalog!A249</f>
        <v/>
      </c>
      <c r="B273" s="25">
        <f>Catalog!D249</f>
        <v>0</v>
      </c>
      <c r="C273" s="26" t="str">
        <f>IF(Catalog!D249="","",IF(ISBLANK(Catalog!F249),"Missing Creator; ","")&amp;IF(ISBLANK(Catalog!K249),"Missing Item Type; ","")&amp;IF(ISBLANK(Catalog!L249),"Missing Subject; ","")&amp;IF(ISBLANK(Catalog!M249),"Missing Genre/Form; ","")&amp;IF(ISBLANK(Catalog!X249),"Missing Location Type; ","")&amp;IF(ISBLANK(Catalog!Y249),"Missing Location Id; ","")&amp;IF(AND(Catalog!T249&lt;&gt;"",COUNTIF(Catalog!$T$2:$T$501,Catalog!T249)&gt;1),"Duplicate ISBN; ","")&amp;IF(AND(Catalog!B249&lt;&gt;"",COUNTIF(Catalog!$B$2:$B$501,Catalog!B249)&gt;1),"Duplicate Accession; ",""))</f>
        <v/>
      </c>
    </row>
    <row r="274" spans="1:3" x14ac:dyDescent="0.25">
      <c r="A274" s="24" t="str">
        <f>Catalog!A250</f>
        <v/>
      </c>
      <c r="B274" s="25">
        <f>Catalog!D250</f>
        <v>0</v>
      </c>
      <c r="C274" s="26" t="str">
        <f>IF(Catalog!D250="","",IF(ISBLANK(Catalog!F250),"Missing Creator; ","")&amp;IF(ISBLANK(Catalog!K250),"Missing Item Type; ","")&amp;IF(ISBLANK(Catalog!L250),"Missing Subject; ","")&amp;IF(ISBLANK(Catalog!M250),"Missing Genre/Form; ","")&amp;IF(ISBLANK(Catalog!X250),"Missing Location Type; ","")&amp;IF(ISBLANK(Catalog!Y250),"Missing Location Id; ","")&amp;IF(AND(Catalog!T250&lt;&gt;"",COUNTIF(Catalog!$T$2:$T$501,Catalog!T250)&gt;1),"Duplicate ISBN; ","")&amp;IF(AND(Catalog!B250&lt;&gt;"",COUNTIF(Catalog!$B$2:$B$501,Catalog!B250)&gt;1),"Duplicate Accession; ",""))</f>
        <v/>
      </c>
    </row>
    <row r="275" spans="1:3" x14ac:dyDescent="0.25">
      <c r="A275" s="24" t="str">
        <f>Catalog!A251</f>
        <v/>
      </c>
      <c r="B275" s="25">
        <f>Catalog!D251</f>
        <v>0</v>
      </c>
      <c r="C275" s="26" t="str">
        <f>IF(Catalog!D251="","",IF(ISBLANK(Catalog!F251),"Missing Creator; ","")&amp;IF(ISBLANK(Catalog!K251),"Missing Item Type; ","")&amp;IF(ISBLANK(Catalog!L251),"Missing Subject; ","")&amp;IF(ISBLANK(Catalog!M251),"Missing Genre/Form; ","")&amp;IF(ISBLANK(Catalog!X251),"Missing Location Type; ","")&amp;IF(ISBLANK(Catalog!Y251),"Missing Location Id; ","")&amp;IF(AND(Catalog!T251&lt;&gt;"",COUNTIF(Catalog!$T$2:$T$501,Catalog!T251)&gt;1),"Duplicate ISBN; ","")&amp;IF(AND(Catalog!B251&lt;&gt;"",COUNTIF(Catalog!$B$2:$B$501,Catalog!B251)&gt;1),"Duplicate Accession; ",""))</f>
        <v/>
      </c>
    </row>
    <row r="276" spans="1:3" x14ac:dyDescent="0.25">
      <c r="A276" s="24" t="str">
        <f>Catalog!A252</f>
        <v/>
      </c>
      <c r="B276" s="25">
        <f>Catalog!D252</f>
        <v>0</v>
      </c>
      <c r="C276" s="26" t="str">
        <f>IF(Catalog!D252="","",IF(ISBLANK(Catalog!F252),"Missing Creator; ","")&amp;IF(ISBLANK(Catalog!K252),"Missing Item Type; ","")&amp;IF(ISBLANK(Catalog!L252),"Missing Subject; ","")&amp;IF(ISBLANK(Catalog!M252),"Missing Genre/Form; ","")&amp;IF(ISBLANK(Catalog!X252),"Missing Location Type; ","")&amp;IF(ISBLANK(Catalog!Y252),"Missing Location Id; ","")&amp;IF(AND(Catalog!T252&lt;&gt;"",COUNTIF(Catalog!$T$2:$T$501,Catalog!T252)&gt;1),"Duplicate ISBN; ","")&amp;IF(AND(Catalog!B252&lt;&gt;"",COUNTIF(Catalog!$B$2:$B$501,Catalog!B252)&gt;1),"Duplicate Accession; ",""))</f>
        <v/>
      </c>
    </row>
    <row r="277" spans="1:3" x14ac:dyDescent="0.25">
      <c r="A277" s="24" t="str">
        <f>Catalog!A253</f>
        <v/>
      </c>
      <c r="B277" s="25">
        <f>Catalog!D253</f>
        <v>0</v>
      </c>
      <c r="C277" s="26" t="str">
        <f>IF(Catalog!D253="","",IF(ISBLANK(Catalog!F253),"Missing Creator; ","")&amp;IF(ISBLANK(Catalog!K253),"Missing Item Type; ","")&amp;IF(ISBLANK(Catalog!L253),"Missing Subject; ","")&amp;IF(ISBLANK(Catalog!M253),"Missing Genre/Form; ","")&amp;IF(ISBLANK(Catalog!X253),"Missing Location Type; ","")&amp;IF(ISBLANK(Catalog!Y253),"Missing Location Id; ","")&amp;IF(AND(Catalog!T253&lt;&gt;"",COUNTIF(Catalog!$T$2:$T$501,Catalog!T253)&gt;1),"Duplicate ISBN; ","")&amp;IF(AND(Catalog!B253&lt;&gt;"",COUNTIF(Catalog!$B$2:$B$501,Catalog!B253)&gt;1),"Duplicate Accession; ",""))</f>
        <v/>
      </c>
    </row>
    <row r="278" spans="1:3" x14ac:dyDescent="0.25">
      <c r="A278" s="24" t="str">
        <f>Catalog!A254</f>
        <v/>
      </c>
      <c r="B278" s="25">
        <f>Catalog!D254</f>
        <v>0</v>
      </c>
      <c r="C278" s="26" t="str">
        <f>IF(Catalog!D254="","",IF(ISBLANK(Catalog!F254),"Missing Creator; ","")&amp;IF(ISBLANK(Catalog!K254),"Missing Item Type; ","")&amp;IF(ISBLANK(Catalog!L254),"Missing Subject; ","")&amp;IF(ISBLANK(Catalog!M254),"Missing Genre/Form; ","")&amp;IF(ISBLANK(Catalog!X254),"Missing Location Type; ","")&amp;IF(ISBLANK(Catalog!Y254),"Missing Location Id; ","")&amp;IF(AND(Catalog!T254&lt;&gt;"",COUNTIF(Catalog!$T$2:$T$501,Catalog!T254)&gt;1),"Duplicate ISBN; ","")&amp;IF(AND(Catalog!B254&lt;&gt;"",COUNTIF(Catalog!$B$2:$B$501,Catalog!B254)&gt;1),"Duplicate Accession; ",""))</f>
        <v/>
      </c>
    </row>
    <row r="279" spans="1:3" x14ac:dyDescent="0.25">
      <c r="A279" s="24" t="str">
        <f>Catalog!A255</f>
        <v/>
      </c>
      <c r="B279" s="25">
        <f>Catalog!D255</f>
        <v>0</v>
      </c>
      <c r="C279" s="26" t="str">
        <f>IF(Catalog!D255="","",IF(ISBLANK(Catalog!F255),"Missing Creator; ","")&amp;IF(ISBLANK(Catalog!K255),"Missing Item Type; ","")&amp;IF(ISBLANK(Catalog!L255),"Missing Subject; ","")&amp;IF(ISBLANK(Catalog!M255),"Missing Genre/Form; ","")&amp;IF(ISBLANK(Catalog!X255),"Missing Location Type; ","")&amp;IF(ISBLANK(Catalog!Y255),"Missing Location Id; ","")&amp;IF(AND(Catalog!T255&lt;&gt;"",COUNTIF(Catalog!$T$2:$T$501,Catalog!T255)&gt;1),"Duplicate ISBN; ","")&amp;IF(AND(Catalog!B255&lt;&gt;"",COUNTIF(Catalog!$B$2:$B$501,Catalog!B255)&gt;1),"Duplicate Accession; ",""))</f>
        <v/>
      </c>
    </row>
    <row r="280" spans="1:3" x14ac:dyDescent="0.25">
      <c r="A280" s="24" t="str">
        <f>Catalog!A256</f>
        <v/>
      </c>
      <c r="B280" s="25">
        <f>Catalog!D256</f>
        <v>0</v>
      </c>
      <c r="C280" s="26" t="str">
        <f>IF(Catalog!D256="","",IF(ISBLANK(Catalog!F256),"Missing Creator; ","")&amp;IF(ISBLANK(Catalog!K256),"Missing Item Type; ","")&amp;IF(ISBLANK(Catalog!L256),"Missing Subject; ","")&amp;IF(ISBLANK(Catalog!M256),"Missing Genre/Form; ","")&amp;IF(ISBLANK(Catalog!X256),"Missing Location Type; ","")&amp;IF(ISBLANK(Catalog!Y256),"Missing Location Id; ","")&amp;IF(AND(Catalog!T256&lt;&gt;"",COUNTIF(Catalog!$T$2:$T$501,Catalog!T256)&gt;1),"Duplicate ISBN; ","")&amp;IF(AND(Catalog!B256&lt;&gt;"",COUNTIF(Catalog!$B$2:$B$501,Catalog!B256)&gt;1),"Duplicate Accession; ",""))</f>
        <v/>
      </c>
    </row>
    <row r="281" spans="1:3" x14ac:dyDescent="0.25">
      <c r="A281" s="24" t="str">
        <f>Catalog!A257</f>
        <v/>
      </c>
      <c r="B281" s="25">
        <f>Catalog!D257</f>
        <v>0</v>
      </c>
      <c r="C281" s="26" t="str">
        <f>IF(Catalog!D257="","",IF(ISBLANK(Catalog!F257),"Missing Creator; ","")&amp;IF(ISBLANK(Catalog!K257),"Missing Item Type; ","")&amp;IF(ISBLANK(Catalog!L257),"Missing Subject; ","")&amp;IF(ISBLANK(Catalog!M257),"Missing Genre/Form; ","")&amp;IF(ISBLANK(Catalog!X257),"Missing Location Type; ","")&amp;IF(ISBLANK(Catalog!Y257),"Missing Location Id; ","")&amp;IF(AND(Catalog!T257&lt;&gt;"",COUNTIF(Catalog!$T$2:$T$501,Catalog!T257)&gt;1),"Duplicate ISBN; ","")&amp;IF(AND(Catalog!B257&lt;&gt;"",COUNTIF(Catalog!$B$2:$B$501,Catalog!B257)&gt;1),"Duplicate Accession; ",""))</f>
        <v/>
      </c>
    </row>
    <row r="282" spans="1:3" x14ac:dyDescent="0.25">
      <c r="A282" s="24" t="str">
        <f>Catalog!A258</f>
        <v/>
      </c>
      <c r="B282" s="25">
        <f>Catalog!D258</f>
        <v>0</v>
      </c>
      <c r="C282" s="26" t="str">
        <f>IF(Catalog!D258="","",IF(ISBLANK(Catalog!F258),"Missing Creator; ","")&amp;IF(ISBLANK(Catalog!K258),"Missing Item Type; ","")&amp;IF(ISBLANK(Catalog!L258),"Missing Subject; ","")&amp;IF(ISBLANK(Catalog!M258),"Missing Genre/Form; ","")&amp;IF(ISBLANK(Catalog!X258),"Missing Location Type; ","")&amp;IF(ISBLANK(Catalog!Y258),"Missing Location Id; ","")&amp;IF(AND(Catalog!T258&lt;&gt;"",COUNTIF(Catalog!$T$2:$T$501,Catalog!T258)&gt;1),"Duplicate ISBN; ","")&amp;IF(AND(Catalog!B258&lt;&gt;"",COUNTIF(Catalog!$B$2:$B$501,Catalog!B258)&gt;1),"Duplicate Accession; ",""))</f>
        <v/>
      </c>
    </row>
    <row r="283" spans="1:3" x14ac:dyDescent="0.25">
      <c r="A283" s="24" t="str">
        <f>Catalog!A259</f>
        <v/>
      </c>
      <c r="B283" s="25">
        <f>Catalog!D259</f>
        <v>0</v>
      </c>
      <c r="C283" s="26" t="str">
        <f>IF(Catalog!D259="","",IF(ISBLANK(Catalog!F259),"Missing Creator; ","")&amp;IF(ISBLANK(Catalog!K259),"Missing Item Type; ","")&amp;IF(ISBLANK(Catalog!L259),"Missing Subject; ","")&amp;IF(ISBLANK(Catalog!M259),"Missing Genre/Form; ","")&amp;IF(ISBLANK(Catalog!X259),"Missing Location Type; ","")&amp;IF(ISBLANK(Catalog!Y259),"Missing Location Id; ","")&amp;IF(AND(Catalog!T259&lt;&gt;"",COUNTIF(Catalog!$T$2:$T$501,Catalog!T259)&gt;1),"Duplicate ISBN; ","")&amp;IF(AND(Catalog!B259&lt;&gt;"",COUNTIF(Catalog!$B$2:$B$501,Catalog!B259)&gt;1),"Duplicate Accession; ",""))</f>
        <v/>
      </c>
    </row>
    <row r="284" spans="1:3" x14ac:dyDescent="0.25">
      <c r="A284" s="24" t="str">
        <f>Catalog!A260</f>
        <v/>
      </c>
      <c r="B284" s="25">
        <f>Catalog!D260</f>
        <v>0</v>
      </c>
      <c r="C284" s="26" t="str">
        <f>IF(Catalog!D260="","",IF(ISBLANK(Catalog!F260),"Missing Creator; ","")&amp;IF(ISBLANK(Catalog!K260),"Missing Item Type; ","")&amp;IF(ISBLANK(Catalog!L260),"Missing Subject; ","")&amp;IF(ISBLANK(Catalog!M260),"Missing Genre/Form; ","")&amp;IF(ISBLANK(Catalog!X260),"Missing Location Type; ","")&amp;IF(ISBLANK(Catalog!Y260),"Missing Location Id; ","")&amp;IF(AND(Catalog!T260&lt;&gt;"",COUNTIF(Catalog!$T$2:$T$501,Catalog!T260)&gt;1),"Duplicate ISBN; ","")&amp;IF(AND(Catalog!B260&lt;&gt;"",COUNTIF(Catalog!$B$2:$B$501,Catalog!B260)&gt;1),"Duplicate Accession; ",""))</f>
        <v/>
      </c>
    </row>
    <row r="285" spans="1:3" x14ac:dyDescent="0.25">
      <c r="A285" s="24" t="str">
        <f>Catalog!A261</f>
        <v/>
      </c>
      <c r="B285" s="25">
        <f>Catalog!D261</f>
        <v>0</v>
      </c>
      <c r="C285" s="26" t="str">
        <f>IF(Catalog!D261="","",IF(ISBLANK(Catalog!F261),"Missing Creator; ","")&amp;IF(ISBLANK(Catalog!K261),"Missing Item Type; ","")&amp;IF(ISBLANK(Catalog!L261),"Missing Subject; ","")&amp;IF(ISBLANK(Catalog!M261),"Missing Genre/Form; ","")&amp;IF(ISBLANK(Catalog!X261),"Missing Location Type; ","")&amp;IF(ISBLANK(Catalog!Y261),"Missing Location Id; ","")&amp;IF(AND(Catalog!T261&lt;&gt;"",COUNTIF(Catalog!$T$2:$T$501,Catalog!T261)&gt;1),"Duplicate ISBN; ","")&amp;IF(AND(Catalog!B261&lt;&gt;"",COUNTIF(Catalog!$B$2:$B$501,Catalog!B261)&gt;1),"Duplicate Accession; ",""))</f>
        <v/>
      </c>
    </row>
    <row r="286" spans="1:3" x14ac:dyDescent="0.25">
      <c r="A286" s="24" t="str">
        <f>Catalog!A262</f>
        <v/>
      </c>
      <c r="B286" s="25">
        <f>Catalog!D262</f>
        <v>0</v>
      </c>
      <c r="C286" s="26" t="str">
        <f>IF(Catalog!D262="","",IF(ISBLANK(Catalog!F262),"Missing Creator; ","")&amp;IF(ISBLANK(Catalog!K262),"Missing Item Type; ","")&amp;IF(ISBLANK(Catalog!L262),"Missing Subject; ","")&amp;IF(ISBLANK(Catalog!M262),"Missing Genre/Form; ","")&amp;IF(ISBLANK(Catalog!X262),"Missing Location Type; ","")&amp;IF(ISBLANK(Catalog!Y262),"Missing Location Id; ","")&amp;IF(AND(Catalog!T262&lt;&gt;"",COUNTIF(Catalog!$T$2:$T$501,Catalog!T262)&gt;1),"Duplicate ISBN; ","")&amp;IF(AND(Catalog!B262&lt;&gt;"",COUNTIF(Catalog!$B$2:$B$501,Catalog!B262)&gt;1),"Duplicate Accession; ",""))</f>
        <v/>
      </c>
    </row>
    <row r="287" spans="1:3" x14ac:dyDescent="0.25">
      <c r="A287" s="24" t="str">
        <f>Catalog!A263</f>
        <v/>
      </c>
      <c r="B287" s="25">
        <f>Catalog!D263</f>
        <v>0</v>
      </c>
      <c r="C287" s="26" t="str">
        <f>IF(Catalog!D263="","",IF(ISBLANK(Catalog!F263),"Missing Creator; ","")&amp;IF(ISBLANK(Catalog!K263),"Missing Item Type; ","")&amp;IF(ISBLANK(Catalog!L263),"Missing Subject; ","")&amp;IF(ISBLANK(Catalog!M263),"Missing Genre/Form; ","")&amp;IF(ISBLANK(Catalog!X263),"Missing Location Type; ","")&amp;IF(ISBLANK(Catalog!Y263),"Missing Location Id; ","")&amp;IF(AND(Catalog!T263&lt;&gt;"",COUNTIF(Catalog!$T$2:$T$501,Catalog!T263)&gt;1),"Duplicate ISBN; ","")&amp;IF(AND(Catalog!B263&lt;&gt;"",COUNTIF(Catalog!$B$2:$B$501,Catalog!B263)&gt;1),"Duplicate Accession; ",""))</f>
        <v/>
      </c>
    </row>
    <row r="288" spans="1:3" x14ac:dyDescent="0.25">
      <c r="A288" s="24" t="str">
        <f>Catalog!A264</f>
        <v/>
      </c>
      <c r="B288" s="25">
        <f>Catalog!D264</f>
        <v>0</v>
      </c>
      <c r="C288" s="26" t="str">
        <f>IF(Catalog!D264="","",IF(ISBLANK(Catalog!F264),"Missing Creator; ","")&amp;IF(ISBLANK(Catalog!K264),"Missing Item Type; ","")&amp;IF(ISBLANK(Catalog!L264),"Missing Subject; ","")&amp;IF(ISBLANK(Catalog!M264),"Missing Genre/Form; ","")&amp;IF(ISBLANK(Catalog!X264),"Missing Location Type; ","")&amp;IF(ISBLANK(Catalog!Y264),"Missing Location Id; ","")&amp;IF(AND(Catalog!T264&lt;&gt;"",COUNTIF(Catalog!$T$2:$T$501,Catalog!T264)&gt;1),"Duplicate ISBN; ","")&amp;IF(AND(Catalog!B264&lt;&gt;"",COUNTIF(Catalog!$B$2:$B$501,Catalog!B264)&gt;1),"Duplicate Accession; ",""))</f>
        <v/>
      </c>
    </row>
    <row r="289" spans="1:3" x14ac:dyDescent="0.25">
      <c r="A289" s="24" t="str">
        <f>Catalog!A265</f>
        <v/>
      </c>
      <c r="B289" s="25">
        <f>Catalog!D265</f>
        <v>0</v>
      </c>
      <c r="C289" s="26" t="str">
        <f>IF(Catalog!D265="","",IF(ISBLANK(Catalog!F265),"Missing Creator; ","")&amp;IF(ISBLANK(Catalog!K265),"Missing Item Type; ","")&amp;IF(ISBLANK(Catalog!L265),"Missing Subject; ","")&amp;IF(ISBLANK(Catalog!M265),"Missing Genre/Form; ","")&amp;IF(ISBLANK(Catalog!X265),"Missing Location Type; ","")&amp;IF(ISBLANK(Catalog!Y265),"Missing Location Id; ","")&amp;IF(AND(Catalog!T265&lt;&gt;"",COUNTIF(Catalog!$T$2:$T$501,Catalog!T265)&gt;1),"Duplicate ISBN; ","")&amp;IF(AND(Catalog!B265&lt;&gt;"",COUNTIF(Catalog!$B$2:$B$501,Catalog!B265)&gt;1),"Duplicate Accession; ",""))</f>
        <v/>
      </c>
    </row>
    <row r="290" spans="1:3" x14ac:dyDescent="0.25">
      <c r="A290" s="24" t="str">
        <f>Catalog!A266</f>
        <v/>
      </c>
      <c r="B290" s="25">
        <f>Catalog!D266</f>
        <v>0</v>
      </c>
      <c r="C290" s="26" t="str">
        <f>IF(Catalog!D266="","",IF(ISBLANK(Catalog!F266),"Missing Creator; ","")&amp;IF(ISBLANK(Catalog!K266),"Missing Item Type; ","")&amp;IF(ISBLANK(Catalog!L266),"Missing Subject; ","")&amp;IF(ISBLANK(Catalog!M266),"Missing Genre/Form; ","")&amp;IF(ISBLANK(Catalog!X266),"Missing Location Type; ","")&amp;IF(ISBLANK(Catalog!Y266),"Missing Location Id; ","")&amp;IF(AND(Catalog!T266&lt;&gt;"",COUNTIF(Catalog!$T$2:$T$501,Catalog!T266)&gt;1),"Duplicate ISBN; ","")&amp;IF(AND(Catalog!B266&lt;&gt;"",COUNTIF(Catalog!$B$2:$B$501,Catalog!B266)&gt;1),"Duplicate Accession; ",""))</f>
        <v/>
      </c>
    </row>
    <row r="291" spans="1:3" x14ac:dyDescent="0.25">
      <c r="A291" s="24" t="str">
        <f>Catalog!A267</f>
        <v/>
      </c>
      <c r="B291" s="25">
        <f>Catalog!D267</f>
        <v>0</v>
      </c>
      <c r="C291" s="26" t="str">
        <f>IF(Catalog!D267="","",IF(ISBLANK(Catalog!F267),"Missing Creator; ","")&amp;IF(ISBLANK(Catalog!K267),"Missing Item Type; ","")&amp;IF(ISBLANK(Catalog!L267),"Missing Subject; ","")&amp;IF(ISBLANK(Catalog!M267),"Missing Genre/Form; ","")&amp;IF(ISBLANK(Catalog!X267),"Missing Location Type; ","")&amp;IF(ISBLANK(Catalog!Y267),"Missing Location Id; ","")&amp;IF(AND(Catalog!T267&lt;&gt;"",COUNTIF(Catalog!$T$2:$T$501,Catalog!T267)&gt;1),"Duplicate ISBN; ","")&amp;IF(AND(Catalog!B267&lt;&gt;"",COUNTIF(Catalog!$B$2:$B$501,Catalog!B267)&gt;1),"Duplicate Accession; ",""))</f>
        <v/>
      </c>
    </row>
    <row r="292" spans="1:3" x14ac:dyDescent="0.25">
      <c r="A292" s="24" t="str">
        <f>Catalog!A268</f>
        <v/>
      </c>
      <c r="B292" s="25">
        <f>Catalog!D268</f>
        <v>0</v>
      </c>
      <c r="C292" s="26" t="str">
        <f>IF(Catalog!D268="","",IF(ISBLANK(Catalog!F268),"Missing Creator; ","")&amp;IF(ISBLANK(Catalog!K268),"Missing Item Type; ","")&amp;IF(ISBLANK(Catalog!L268),"Missing Subject; ","")&amp;IF(ISBLANK(Catalog!M268),"Missing Genre/Form; ","")&amp;IF(ISBLANK(Catalog!X268),"Missing Location Type; ","")&amp;IF(ISBLANK(Catalog!Y268),"Missing Location Id; ","")&amp;IF(AND(Catalog!T268&lt;&gt;"",COUNTIF(Catalog!$T$2:$T$501,Catalog!T268)&gt;1),"Duplicate ISBN; ","")&amp;IF(AND(Catalog!B268&lt;&gt;"",COUNTIF(Catalog!$B$2:$B$501,Catalog!B268)&gt;1),"Duplicate Accession; ",""))</f>
        <v/>
      </c>
    </row>
    <row r="293" spans="1:3" x14ac:dyDescent="0.25">
      <c r="A293" s="24" t="str">
        <f>Catalog!A269</f>
        <v/>
      </c>
      <c r="B293" s="25">
        <f>Catalog!D269</f>
        <v>0</v>
      </c>
      <c r="C293" s="26" t="str">
        <f>IF(Catalog!D269="","",IF(ISBLANK(Catalog!F269),"Missing Creator; ","")&amp;IF(ISBLANK(Catalog!K269),"Missing Item Type; ","")&amp;IF(ISBLANK(Catalog!L269),"Missing Subject; ","")&amp;IF(ISBLANK(Catalog!M269),"Missing Genre/Form; ","")&amp;IF(ISBLANK(Catalog!X269),"Missing Location Type; ","")&amp;IF(ISBLANK(Catalog!Y269),"Missing Location Id; ","")&amp;IF(AND(Catalog!T269&lt;&gt;"",COUNTIF(Catalog!$T$2:$T$501,Catalog!T269)&gt;1),"Duplicate ISBN; ","")&amp;IF(AND(Catalog!B269&lt;&gt;"",COUNTIF(Catalog!$B$2:$B$501,Catalog!B269)&gt;1),"Duplicate Accession; ",""))</f>
        <v/>
      </c>
    </row>
    <row r="294" spans="1:3" x14ac:dyDescent="0.25">
      <c r="A294" s="24" t="str">
        <f>Catalog!A270</f>
        <v/>
      </c>
      <c r="B294" s="25">
        <f>Catalog!D270</f>
        <v>0</v>
      </c>
      <c r="C294" s="26" t="str">
        <f>IF(Catalog!D270="","",IF(ISBLANK(Catalog!F270),"Missing Creator; ","")&amp;IF(ISBLANK(Catalog!K270),"Missing Item Type; ","")&amp;IF(ISBLANK(Catalog!L270),"Missing Subject; ","")&amp;IF(ISBLANK(Catalog!M270),"Missing Genre/Form; ","")&amp;IF(ISBLANK(Catalog!X270),"Missing Location Type; ","")&amp;IF(ISBLANK(Catalog!Y270),"Missing Location Id; ","")&amp;IF(AND(Catalog!T270&lt;&gt;"",COUNTIF(Catalog!$T$2:$T$501,Catalog!T270)&gt;1),"Duplicate ISBN; ","")&amp;IF(AND(Catalog!B270&lt;&gt;"",COUNTIF(Catalog!$B$2:$B$501,Catalog!B270)&gt;1),"Duplicate Accession; ",""))</f>
        <v/>
      </c>
    </row>
    <row r="295" spans="1:3" x14ac:dyDescent="0.25">
      <c r="A295" s="24" t="str">
        <f>Catalog!A271</f>
        <v/>
      </c>
      <c r="B295" s="25">
        <f>Catalog!D271</f>
        <v>0</v>
      </c>
      <c r="C295" s="26" t="str">
        <f>IF(Catalog!D271="","",IF(ISBLANK(Catalog!F271),"Missing Creator; ","")&amp;IF(ISBLANK(Catalog!K271),"Missing Item Type; ","")&amp;IF(ISBLANK(Catalog!L271),"Missing Subject; ","")&amp;IF(ISBLANK(Catalog!M271),"Missing Genre/Form; ","")&amp;IF(ISBLANK(Catalog!X271),"Missing Location Type; ","")&amp;IF(ISBLANK(Catalog!Y271),"Missing Location Id; ","")&amp;IF(AND(Catalog!T271&lt;&gt;"",COUNTIF(Catalog!$T$2:$T$501,Catalog!T271)&gt;1),"Duplicate ISBN; ","")&amp;IF(AND(Catalog!B271&lt;&gt;"",COUNTIF(Catalog!$B$2:$B$501,Catalog!B271)&gt;1),"Duplicate Accession; ",""))</f>
        <v/>
      </c>
    </row>
    <row r="296" spans="1:3" x14ac:dyDescent="0.25">
      <c r="A296" s="24" t="str">
        <f>Catalog!A272</f>
        <v/>
      </c>
      <c r="B296" s="25">
        <f>Catalog!D272</f>
        <v>0</v>
      </c>
      <c r="C296" s="26" t="str">
        <f>IF(Catalog!D272="","",IF(ISBLANK(Catalog!F272),"Missing Creator; ","")&amp;IF(ISBLANK(Catalog!K272),"Missing Item Type; ","")&amp;IF(ISBLANK(Catalog!L272),"Missing Subject; ","")&amp;IF(ISBLANK(Catalog!M272),"Missing Genre/Form; ","")&amp;IF(ISBLANK(Catalog!X272),"Missing Location Type; ","")&amp;IF(ISBLANK(Catalog!Y272),"Missing Location Id; ","")&amp;IF(AND(Catalog!T272&lt;&gt;"",COUNTIF(Catalog!$T$2:$T$501,Catalog!T272)&gt;1),"Duplicate ISBN; ","")&amp;IF(AND(Catalog!B272&lt;&gt;"",COUNTIF(Catalog!$B$2:$B$501,Catalog!B272)&gt;1),"Duplicate Accession; ",""))</f>
        <v/>
      </c>
    </row>
    <row r="297" spans="1:3" x14ac:dyDescent="0.25">
      <c r="A297" s="24" t="str">
        <f>Catalog!A273</f>
        <v/>
      </c>
      <c r="B297" s="25">
        <f>Catalog!D273</f>
        <v>0</v>
      </c>
      <c r="C297" s="26" t="str">
        <f>IF(Catalog!D273="","",IF(ISBLANK(Catalog!F273),"Missing Creator; ","")&amp;IF(ISBLANK(Catalog!K273),"Missing Item Type; ","")&amp;IF(ISBLANK(Catalog!L273),"Missing Subject; ","")&amp;IF(ISBLANK(Catalog!M273),"Missing Genre/Form; ","")&amp;IF(ISBLANK(Catalog!X273),"Missing Location Type; ","")&amp;IF(ISBLANK(Catalog!Y273),"Missing Location Id; ","")&amp;IF(AND(Catalog!T273&lt;&gt;"",COUNTIF(Catalog!$T$2:$T$501,Catalog!T273)&gt;1),"Duplicate ISBN; ","")&amp;IF(AND(Catalog!B273&lt;&gt;"",COUNTIF(Catalog!$B$2:$B$501,Catalog!B273)&gt;1),"Duplicate Accession; ",""))</f>
        <v/>
      </c>
    </row>
    <row r="298" spans="1:3" x14ac:dyDescent="0.25">
      <c r="A298" s="24" t="str">
        <f>Catalog!A274</f>
        <v/>
      </c>
      <c r="B298" s="25">
        <f>Catalog!D274</f>
        <v>0</v>
      </c>
      <c r="C298" s="26" t="str">
        <f>IF(Catalog!D274="","",IF(ISBLANK(Catalog!F274),"Missing Creator; ","")&amp;IF(ISBLANK(Catalog!K274),"Missing Item Type; ","")&amp;IF(ISBLANK(Catalog!L274),"Missing Subject; ","")&amp;IF(ISBLANK(Catalog!M274),"Missing Genre/Form; ","")&amp;IF(ISBLANK(Catalog!X274),"Missing Location Type; ","")&amp;IF(ISBLANK(Catalog!Y274),"Missing Location Id; ","")&amp;IF(AND(Catalog!T274&lt;&gt;"",COUNTIF(Catalog!$T$2:$T$501,Catalog!T274)&gt;1),"Duplicate ISBN; ","")&amp;IF(AND(Catalog!B274&lt;&gt;"",COUNTIF(Catalog!$B$2:$B$501,Catalog!B274)&gt;1),"Duplicate Accession; ",""))</f>
        <v/>
      </c>
    </row>
    <row r="299" spans="1:3" x14ac:dyDescent="0.25">
      <c r="A299" s="24" t="str">
        <f>Catalog!A275</f>
        <v/>
      </c>
      <c r="B299" s="25">
        <f>Catalog!D275</f>
        <v>0</v>
      </c>
      <c r="C299" s="26" t="str">
        <f>IF(Catalog!D275="","",IF(ISBLANK(Catalog!F275),"Missing Creator; ","")&amp;IF(ISBLANK(Catalog!K275),"Missing Item Type; ","")&amp;IF(ISBLANK(Catalog!L275),"Missing Subject; ","")&amp;IF(ISBLANK(Catalog!M275),"Missing Genre/Form; ","")&amp;IF(ISBLANK(Catalog!X275),"Missing Location Type; ","")&amp;IF(ISBLANK(Catalog!Y275),"Missing Location Id; ","")&amp;IF(AND(Catalog!T275&lt;&gt;"",COUNTIF(Catalog!$T$2:$T$501,Catalog!T275)&gt;1),"Duplicate ISBN; ","")&amp;IF(AND(Catalog!B275&lt;&gt;"",COUNTIF(Catalog!$B$2:$B$501,Catalog!B275)&gt;1),"Duplicate Accession; ",""))</f>
        <v/>
      </c>
    </row>
    <row r="300" spans="1:3" x14ac:dyDescent="0.25">
      <c r="A300" s="24" t="str">
        <f>Catalog!A276</f>
        <v/>
      </c>
      <c r="B300" s="25">
        <f>Catalog!D276</f>
        <v>0</v>
      </c>
      <c r="C300" s="26" t="str">
        <f>IF(Catalog!D276="","",IF(ISBLANK(Catalog!F276),"Missing Creator; ","")&amp;IF(ISBLANK(Catalog!K276),"Missing Item Type; ","")&amp;IF(ISBLANK(Catalog!L276),"Missing Subject; ","")&amp;IF(ISBLANK(Catalog!M276),"Missing Genre/Form; ","")&amp;IF(ISBLANK(Catalog!X276),"Missing Location Type; ","")&amp;IF(ISBLANK(Catalog!Y276),"Missing Location Id; ","")&amp;IF(AND(Catalog!T276&lt;&gt;"",COUNTIF(Catalog!$T$2:$T$501,Catalog!T276)&gt;1),"Duplicate ISBN; ","")&amp;IF(AND(Catalog!B276&lt;&gt;"",COUNTIF(Catalog!$B$2:$B$501,Catalog!B276)&gt;1),"Duplicate Accession; ",""))</f>
        <v/>
      </c>
    </row>
    <row r="301" spans="1:3" x14ac:dyDescent="0.25">
      <c r="A301" s="24" t="str">
        <f>Catalog!A277</f>
        <v/>
      </c>
      <c r="B301" s="25">
        <f>Catalog!D277</f>
        <v>0</v>
      </c>
      <c r="C301" s="26" t="str">
        <f>IF(Catalog!D277="","",IF(ISBLANK(Catalog!F277),"Missing Creator; ","")&amp;IF(ISBLANK(Catalog!K277),"Missing Item Type; ","")&amp;IF(ISBLANK(Catalog!L277),"Missing Subject; ","")&amp;IF(ISBLANK(Catalog!M277),"Missing Genre/Form; ","")&amp;IF(ISBLANK(Catalog!X277),"Missing Location Type; ","")&amp;IF(ISBLANK(Catalog!Y277),"Missing Location Id; ","")&amp;IF(AND(Catalog!T277&lt;&gt;"",COUNTIF(Catalog!$T$2:$T$501,Catalog!T277)&gt;1),"Duplicate ISBN; ","")&amp;IF(AND(Catalog!B277&lt;&gt;"",COUNTIF(Catalog!$B$2:$B$501,Catalog!B277)&gt;1),"Duplicate Accession; ",""))</f>
        <v/>
      </c>
    </row>
    <row r="302" spans="1:3" x14ac:dyDescent="0.25">
      <c r="A302" s="24" t="str">
        <f>Catalog!A278</f>
        <v/>
      </c>
      <c r="B302" s="25">
        <f>Catalog!D278</f>
        <v>0</v>
      </c>
      <c r="C302" s="26" t="str">
        <f>IF(Catalog!D278="","",IF(ISBLANK(Catalog!F278),"Missing Creator; ","")&amp;IF(ISBLANK(Catalog!K278),"Missing Item Type; ","")&amp;IF(ISBLANK(Catalog!L278),"Missing Subject; ","")&amp;IF(ISBLANK(Catalog!M278),"Missing Genre/Form; ","")&amp;IF(ISBLANK(Catalog!X278),"Missing Location Type; ","")&amp;IF(ISBLANK(Catalog!Y278),"Missing Location Id; ","")&amp;IF(AND(Catalog!T278&lt;&gt;"",COUNTIF(Catalog!$T$2:$T$501,Catalog!T278)&gt;1),"Duplicate ISBN; ","")&amp;IF(AND(Catalog!B278&lt;&gt;"",COUNTIF(Catalog!$B$2:$B$501,Catalog!B278)&gt;1),"Duplicate Accession; ",""))</f>
        <v/>
      </c>
    </row>
    <row r="303" spans="1:3" x14ac:dyDescent="0.25">
      <c r="A303" s="24" t="str">
        <f>Catalog!A279</f>
        <v/>
      </c>
      <c r="B303" s="25">
        <f>Catalog!D279</f>
        <v>0</v>
      </c>
      <c r="C303" s="26" t="str">
        <f>IF(Catalog!D279="","",IF(ISBLANK(Catalog!F279),"Missing Creator; ","")&amp;IF(ISBLANK(Catalog!K279),"Missing Item Type; ","")&amp;IF(ISBLANK(Catalog!L279),"Missing Subject; ","")&amp;IF(ISBLANK(Catalog!M279),"Missing Genre/Form; ","")&amp;IF(ISBLANK(Catalog!X279),"Missing Location Type; ","")&amp;IF(ISBLANK(Catalog!Y279),"Missing Location Id; ","")&amp;IF(AND(Catalog!T279&lt;&gt;"",COUNTIF(Catalog!$T$2:$T$501,Catalog!T279)&gt;1),"Duplicate ISBN; ","")&amp;IF(AND(Catalog!B279&lt;&gt;"",COUNTIF(Catalog!$B$2:$B$501,Catalog!B279)&gt;1),"Duplicate Accession; ",""))</f>
        <v/>
      </c>
    </row>
    <row r="304" spans="1:3" x14ac:dyDescent="0.25">
      <c r="A304" s="24" t="str">
        <f>Catalog!A280</f>
        <v/>
      </c>
      <c r="B304" s="25">
        <f>Catalog!D280</f>
        <v>0</v>
      </c>
      <c r="C304" s="26" t="str">
        <f>IF(Catalog!D280="","",IF(ISBLANK(Catalog!F280),"Missing Creator; ","")&amp;IF(ISBLANK(Catalog!K280),"Missing Item Type; ","")&amp;IF(ISBLANK(Catalog!L280),"Missing Subject; ","")&amp;IF(ISBLANK(Catalog!M280),"Missing Genre/Form; ","")&amp;IF(ISBLANK(Catalog!X280),"Missing Location Type; ","")&amp;IF(ISBLANK(Catalog!Y280),"Missing Location Id; ","")&amp;IF(AND(Catalog!T280&lt;&gt;"",COUNTIF(Catalog!$T$2:$T$501,Catalog!T280)&gt;1),"Duplicate ISBN; ","")&amp;IF(AND(Catalog!B280&lt;&gt;"",COUNTIF(Catalog!$B$2:$B$501,Catalog!B280)&gt;1),"Duplicate Accession; ",""))</f>
        <v/>
      </c>
    </row>
    <row r="305" spans="1:3" x14ac:dyDescent="0.25">
      <c r="A305" s="24" t="str">
        <f>Catalog!A281</f>
        <v/>
      </c>
      <c r="B305" s="25">
        <f>Catalog!D281</f>
        <v>0</v>
      </c>
      <c r="C305" s="26" t="str">
        <f>IF(Catalog!D281="","",IF(ISBLANK(Catalog!F281),"Missing Creator; ","")&amp;IF(ISBLANK(Catalog!K281),"Missing Item Type; ","")&amp;IF(ISBLANK(Catalog!L281),"Missing Subject; ","")&amp;IF(ISBLANK(Catalog!M281),"Missing Genre/Form; ","")&amp;IF(ISBLANK(Catalog!X281),"Missing Location Type; ","")&amp;IF(ISBLANK(Catalog!Y281),"Missing Location Id; ","")&amp;IF(AND(Catalog!T281&lt;&gt;"",COUNTIF(Catalog!$T$2:$T$501,Catalog!T281)&gt;1),"Duplicate ISBN; ","")&amp;IF(AND(Catalog!B281&lt;&gt;"",COUNTIF(Catalog!$B$2:$B$501,Catalog!B281)&gt;1),"Duplicate Accession; ",""))</f>
        <v/>
      </c>
    </row>
    <row r="306" spans="1:3" x14ac:dyDescent="0.25">
      <c r="A306" s="24" t="str">
        <f>Catalog!A282</f>
        <v/>
      </c>
      <c r="B306" s="25">
        <f>Catalog!D282</f>
        <v>0</v>
      </c>
      <c r="C306" s="26" t="str">
        <f>IF(Catalog!D282="","",IF(ISBLANK(Catalog!F282),"Missing Creator; ","")&amp;IF(ISBLANK(Catalog!K282),"Missing Item Type; ","")&amp;IF(ISBLANK(Catalog!L282),"Missing Subject; ","")&amp;IF(ISBLANK(Catalog!M282),"Missing Genre/Form; ","")&amp;IF(ISBLANK(Catalog!X282),"Missing Location Type; ","")&amp;IF(ISBLANK(Catalog!Y282),"Missing Location Id; ","")&amp;IF(AND(Catalog!T282&lt;&gt;"",COUNTIF(Catalog!$T$2:$T$501,Catalog!T282)&gt;1),"Duplicate ISBN; ","")&amp;IF(AND(Catalog!B282&lt;&gt;"",COUNTIF(Catalog!$B$2:$B$501,Catalog!B282)&gt;1),"Duplicate Accession; ",""))</f>
        <v/>
      </c>
    </row>
    <row r="307" spans="1:3" x14ac:dyDescent="0.25">
      <c r="A307" s="24" t="str">
        <f>Catalog!A283</f>
        <v/>
      </c>
      <c r="B307" s="25">
        <f>Catalog!D283</f>
        <v>0</v>
      </c>
      <c r="C307" s="26" t="str">
        <f>IF(Catalog!D283="","",IF(ISBLANK(Catalog!F283),"Missing Creator; ","")&amp;IF(ISBLANK(Catalog!K283),"Missing Item Type; ","")&amp;IF(ISBLANK(Catalog!L283),"Missing Subject; ","")&amp;IF(ISBLANK(Catalog!M283),"Missing Genre/Form; ","")&amp;IF(ISBLANK(Catalog!X283),"Missing Location Type; ","")&amp;IF(ISBLANK(Catalog!Y283),"Missing Location Id; ","")&amp;IF(AND(Catalog!T283&lt;&gt;"",COUNTIF(Catalog!$T$2:$T$501,Catalog!T283)&gt;1),"Duplicate ISBN; ","")&amp;IF(AND(Catalog!B283&lt;&gt;"",COUNTIF(Catalog!$B$2:$B$501,Catalog!B283)&gt;1),"Duplicate Accession; ",""))</f>
        <v/>
      </c>
    </row>
    <row r="308" spans="1:3" x14ac:dyDescent="0.25">
      <c r="A308" s="24" t="str">
        <f>Catalog!A284</f>
        <v/>
      </c>
      <c r="B308" s="25">
        <f>Catalog!D284</f>
        <v>0</v>
      </c>
      <c r="C308" s="26" t="str">
        <f>IF(Catalog!D284="","",IF(ISBLANK(Catalog!F284),"Missing Creator; ","")&amp;IF(ISBLANK(Catalog!K284),"Missing Item Type; ","")&amp;IF(ISBLANK(Catalog!L284),"Missing Subject; ","")&amp;IF(ISBLANK(Catalog!M284),"Missing Genre/Form; ","")&amp;IF(ISBLANK(Catalog!X284),"Missing Location Type; ","")&amp;IF(ISBLANK(Catalog!Y284),"Missing Location Id; ","")&amp;IF(AND(Catalog!T284&lt;&gt;"",COUNTIF(Catalog!$T$2:$T$501,Catalog!T284)&gt;1),"Duplicate ISBN; ","")&amp;IF(AND(Catalog!B284&lt;&gt;"",COUNTIF(Catalog!$B$2:$B$501,Catalog!B284)&gt;1),"Duplicate Accession; ",""))</f>
        <v/>
      </c>
    </row>
    <row r="309" spans="1:3" x14ac:dyDescent="0.25">
      <c r="A309" s="24" t="str">
        <f>Catalog!A285</f>
        <v/>
      </c>
      <c r="B309" s="25">
        <f>Catalog!D285</f>
        <v>0</v>
      </c>
      <c r="C309" s="26" t="str">
        <f>IF(Catalog!D285="","",IF(ISBLANK(Catalog!F285),"Missing Creator; ","")&amp;IF(ISBLANK(Catalog!K285),"Missing Item Type; ","")&amp;IF(ISBLANK(Catalog!L285),"Missing Subject; ","")&amp;IF(ISBLANK(Catalog!M285),"Missing Genre/Form; ","")&amp;IF(ISBLANK(Catalog!X285),"Missing Location Type; ","")&amp;IF(ISBLANK(Catalog!Y285),"Missing Location Id; ","")&amp;IF(AND(Catalog!T285&lt;&gt;"",COUNTIF(Catalog!$T$2:$T$501,Catalog!T285)&gt;1),"Duplicate ISBN; ","")&amp;IF(AND(Catalog!B285&lt;&gt;"",COUNTIF(Catalog!$B$2:$B$501,Catalog!B285)&gt;1),"Duplicate Accession; ",""))</f>
        <v/>
      </c>
    </row>
    <row r="310" spans="1:3" x14ac:dyDescent="0.25">
      <c r="A310" s="24" t="str">
        <f>Catalog!A286</f>
        <v/>
      </c>
      <c r="B310" s="25">
        <f>Catalog!D286</f>
        <v>0</v>
      </c>
      <c r="C310" s="26" t="str">
        <f>IF(Catalog!D286="","",IF(ISBLANK(Catalog!F286),"Missing Creator; ","")&amp;IF(ISBLANK(Catalog!K286),"Missing Item Type; ","")&amp;IF(ISBLANK(Catalog!L286),"Missing Subject; ","")&amp;IF(ISBLANK(Catalog!M286),"Missing Genre/Form; ","")&amp;IF(ISBLANK(Catalog!X286),"Missing Location Type; ","")&amp;IF(ISBLANK(Catalog!Y286),"Missing Location Id; ","")&amp;IF(AND(Catalog!T286&lt;&gt;"",COUNTIF(Catalog!$T$2:$T$501,Catalog!T286)&gt;1),"Duplicate ISBN; ","")&amp;IF(AND(Catalog!B286&lt;&gt;"",COUNTIF(Catalog!$B$2:$B$501,Catalog!B286)&gt;1),"Duplicate Accession; ",""))</f>
        <v/>
      </c>
    </row>
    <row r="311" spans="1:3" x14ac:dyDescent="0.25">
      <c r="A311" s="24" t="str">
        <f>Catalog!A287</f>
        <v/>
      </c>
      <c r="B311" s="25">
        <f>Catalog!D287</f>
        <v>0</v>
      </c>
      <c r="C311" s="26" t="str">
        <f>IF(Catalog!D287="","",IF(ISBLANK(Catalog!F287),"Missing Creator; ","")&amp;IF(ISBLANK(Catalog!K287),"Missing Item Type; ","")&amp;IF(ISBLANK(Catalog!L287),"Missing Subject; ","")&amp;IF(ISBLANK(Catalog!M287),"Missing Genre/Form; ","")&amp;IF(ISBLANK(Catalog!X287),"Missing Location Type; ","")&amp;IF(ISBLANK(Catalog!Y287),"Missing Location Id; ","")&amp;IF(AND(Catalog!T287&lt;&gt;"",COUNTIF(Catalog!$T$2:$T$501,Catalog!T287)&gt;1),"Duplicate ISBN; ","")&amp;IF(AND(Catalog!B287&lt;&gt;"",COUNTIF(Catalog!$B$2:$B$501,Catalog!B287)&gt;1),"Duplicate Accession; ",""))</f>
        <v/>
      </c>
    </row>
    <row r="312" spans="1:3" x14ac:dyDescent="0.25">
      <c r="A312" s="24" t="str">
        <f>Catalog!A288</f>
        <v/>
      </c>
      <c r="B312" s="25">
        <f>Catalog!D288</f>
        <v>0</v>
      </c>
      <c r="C312" s="26" t="str">
        <f>IF(Catalog!D288="","",IF(ISBLANK(Catalog!F288),"Missing Creator; ","")&amp;IF(ISBLANK(Catalog!K288),"Missing Item Type; ","")&amp;IF(ISBLANK(Catalog!L288),"Missing Subject; ","")&amp;IF(ISBLANK(Catalog!M288),"Missing Genre/Form; ","")&amp;IF(ISBLANK(Catalog!X288),"Missing Location Type; ","")&amp;IF(ISBLANK(Catalog!Y288),"Missing Location Id; ","")&amp;IF(AND(Catalog!T288&lt;&gt;"",COUNTIF(Catalog!$T$2:$T$501,Catalog!T288)&gt;1),"Duplicate ISBN; ","")&amp;IF(AND(Catalog!B288&lt;&gt;"",COUNTIF(Catalog!$B$2:$B$501,Catalog!B288)&gt;1),"Duplicate Accession; ",""))</f>
        <v/>
      </c>
    </row>
    <row r="313" spans="1:3" x14ac:dyDescent="0.25">
      <c r="A313" s="24" t="str">
        <f>Catalog!A289</f>
        <v/>
      </c>
      <c r="B313" s="25">
        <f>Catalog!D289</f>
        <v>0</v>
      </c>
      <c r="C313" s="26" t="str">
        <f>IF(Catalog!D289="","",IF(ISBLANK(Catalog!F289),"Missing Creator; ","")&amp;IF(ISBLANK(Catalog!K289),"Missing Item Type; ","")&amp;IF(ISBLANK(Catalog!L289),"Missing Subject; ","")&amp;IF(ISBLANK(Catalog!M289),"Missing Genre/Form; ","")&amp;IF(ISBLANK(Catalog!X289),"Missing Location Type; ","")&amp;IF(ISBLANK(Catalog!Y289),"Missing Location Id; ","")&amp;IF(AND(Catalog!T289&lt;&gt;"",COUNTIF(Catalog!$T$2:$T$501,Catalog!T289)&gt;1),"Duplicate ISBN; ","")&amp;IF(AND(Catalog!B289&lt;&gt;"",COUNTIF(Catalog!$B$2:$B$501,Catalog!B289)&gt;1),"Duplicate Accession; ",""))</f>
        <v/>
      </c>
    </row>
    <row r="314" spans="1:3" x14ac:dyDescent="0.25">
      <c r="A314" s="24" t="str">
        <f>Catalog!A290</f>
        <v/>
      </c>
      <c r="B314" s="25">
        <f>Catalog!D290</f>
        <v>0</v>
      </c>
      <c r="C314" s="26" t="str">
        <f>IF(Catalog!D290="","",IF(ISBLANK(Catalog!F290),"Missing Creator; ","")&amp;IF(ISBLANK(Catalog!K290),"Missing Item Type; ","")&amp;IF(ISBLANK(Catalog!L290),"Missing Subject; ","")&amp;IF(ISBLANK(Catalog!M290),"Missing Genre/Form; ","")&amp;IF(ISBLANK(Catalog!X290),"Missing Location Type; ","")&amp;IF(ISBLANK(Catalog!Y290),"Missing Location Id; ","")&amp;IF(AND(Catalog!T290&lt;&gt;"",COUNTIF(Catalog!$T$2:$T$501,Catalog!T290)&gt;1),"Duplicate ISBN; ","")&amp;IF(AND(Catalog!B290&lt;&gt;"",COUNTIF(Catalog!$B$2:$B$501,Catalog!B290)&gt;1),"Duplicate Accession; ",""))</f>
        <v/>
      </c>
    </row>
    <row r="315" spans="1:3" x14ac:dyDescent="0.25">
      <c r="A315" s="24" t="str">
        <f>Catalog!A291</f>
        <v/>
      </c>
      <c r="B315" s="25">
        <f>Catalog!D291</f>
        <v>0</v>
      </c>
      <c r="C315" s="26" t="str">
        <f>IF(Catalog!D291="","",IF(ISBLANK(Catalog!F291),"Missing Creator; ","")&amp;IF(ISBLANK(Catalog!K291),"Missing Item Type; ","")&amp;IF(ISBLANK(Catalog!L291),"Missing Subject; ","")&amp;IF(ISBLANK(Catalog!M291),"Missing Genre/Form; ","")&amp;IF(ISBLANK(Catalog!X291),"Missing Location Type; ","")&amp;IF(ISBLANK(Catalog!Y291),"Missing Location Id; ","")&amp;IF(AND(Catalog!T291&lt;&gt;"",COUNTIF(Catalog!$T$2:$T$501,Catalog!T291)&gt;1),"Duplicate ISBN; ","")&amp;IF(AND(Catalog!B291&lt;&gt;"",COUNTIF(Catalog!$B$2:$B$501,Catalog!B291)&gt;1),"Duplicate Accession; ",""))</f>
        <v/>
      </c>
    </row>
    <row r="316" spans="1:3" x14ac:dyDescent="0.25">
      <c r="A316" s="24" t="str">
        <f>Catalog!A292</f>
        <v/>
      </c>
      <c r="B316" s="25">
        <f>Catalog!D292</f>
        <v>0</v>
      </c>
      <c r="C316" s="26" t="str">
        <f>IF(Catalog!D292="","",IF(ISBLANK(Catalog!F292),"Missing Creator; ","")&amp;IF(ISBLANK(Catalog!K292),"Missing Item Type; ","")&amp;IF(ISBLANK(Catalog!L292),"Missing Subject; ","")&amp;IF(ISBLANK(Catalog!M292),"Missing Genre/Form; ","")&amp;IF(ISBLANK(Catalog!X292),"Missing Location Type; ","")&amp;IF(ISBLANK(Catalog!Y292),"Missing Location Id; ","")&amp;IF(AND(Catalog!T292&lt;&gt;"",COUNTIF(Catalog!$T$2:$T$501,Catalog!T292)&gt;1),"Duplicate ISBN; ","")&amp;IF(AND(Catalog!B292&lt;&gt;"",COUNTIF(Catalog!$B$2:$B$501,Catalog!B292)&gt;1),"Duplicate Accession; ",""))</f>
        <v/>
      </c>
    </row>
    <row r="317" spans="1:3" x14ac:dyDescent="0.25">
      <c r="A317" s="24" t="str">
        <f>Catalog!A293</f>
        <v/>
      </c>
      <c r="B317" s="25">
        <f>Catalog!D293</f>
        <v>0</v>
      </c>
      <c r="C317" s="26" t="str">
        <f>IF(Catalog!D293="","",IF(ISBLANK(Catalog!F293),"Missing Creator; ","")&amp;IF(ISBLANK(Catalog!K293),"Missing Item Type; ","")&amp;IF(ISBLANK(Catalog!L293),"Missing Subject; ","")&amp;IF(ISBLANK(Catalog!M293),"Missing Genre/Form; ","")&amp;IF(ISBLANK(Catalog!X293),"Missing Location Type; ","")&amp;IF(ISBLANK(Catalog!Y293),"Missing Location Id; ","")&amp;IF(AND(Catalog!T293&lt;&gt;"",COUNTIF(Catalog!$T$2:$T$501,Catalog!T293)&gt;1),"Duplicate ISBN; ","")&amp;IF(AND(Catalog!B293&lt;&gt;"",COUNTIF(Catalog!$B$2:$B$501,Catalog!B293)&gt;1),"Duplicate Accession; ",""))</f>
        <v/>
      </c>
    </row>
    <row r="318" spans="1:3" x14ac:dyDescent="0.25">
      <c r="A318" s="24" t="str">
        <f>Catalog!A294</f>
        <v/>
      </c>
      <c r="B318" s="25">
        <f>Catalog!D294</f>
        <v>0</v>
      </c>
      <c r="C318" s="26" t="str">
        <f>IF(Catalog!D294="","",IF(ISBLANK(Catalog!F294),"Missing Creator; ","")&amp;IF(ISBLANK(Catalog!K294),"Missing Item Type; ","")&amp;IF(ISBLANK(Catalog!L294),"Missing Subject; ","")&amp;IF(ISBLANK(Catalog!M294),"Missing Genre/Form; ","")&amp;IF(ISBLANK(Catalog!X294),"Missing Location Type; ","")&amp;IF(ISBLANK(Catalog!Y294),"Missing Location Id; ","")&amp;IF(AND(Catalog!T294&lt;&gt;"",COUNTIF(Catalog!$T$2:$T$501,Catalog!T294)&gt;1),"Duplicate ISBN; ","")&amp;IF(AND(Catalog!B294&lt;&gt;"",COUNTIF(Catalog!$B$2:$B$501,Catalog!B294)&gt;1),"Duplicate Accession; ",""))</f>
        <v/>
      </c>
    </row>
    <row r="319" spans="1:3" x14ac:dyDescent="0.25">
      <c r="A319" s="24" t="str">
        <f>Catalog!A295</f>
        <v/>
      </c>
      <c r="B319" s="25">
        <f>Catalog!D295</f>
        <v>0</v>
      </c>
      <c r="C319" s="26" t="str">
        <f>IF(Catalog!D295="","",IF(ISBLANK(Catalog!F295),"Missing Creator; ","")&amp;IF(ISBLANK(Catalog!K295),"Missing Item Type; ","")&amp;IF(ISBLANK(Catalog!L295),"Missing Subject; ","")&amp;IF(ISBLANK(Catalog!M295),"Missing Genre/Form; ","")&amp;IF(ISBLANK(Catalog!X295),"Missing Location Type; ","")&amp;IF(ISBLANK(Catalog!Y295),"Missing Location Id; ","")&amp;IF(AND(Catalog!T295&lt;&gt;"",COUNTIF(Catalog!$T$2:$T$501,Catalog!T295)&gt;1),"Duplicate ISBN; ","")&amp;IF(AND(Catalog!B295&lt;&gt;"",COUNTIF(Catalog!$B$2:$B$501,Catalog!B295)&gt;1),"Duplicate Accession; ",""))</f>
        <v/>
      </c>
    </row>
    <row r="320" spans="1:3" x14ac:dyDescent="0.25">
      <c r="A320" s="24" t="str">
        <f>Catalog!A296</f>
        <v/>
      </c>
      <c r="B320" s="25">
        <f>Catalog!D296</f>
        <v>0</v>
      </c>
      <c r="C320" s="26" t="str">
        <f>IF(Catalog!D296="","",IF(ISBLANK(Catalog!F296),"Missing Creator; ","")&amp;IF(ISBLANK(Catalog!K296),"Missing Item Type; ","")&amp;IF(ISBLANK(Catalog!L296),"Missing Subject; ","")&amp;IF(ISBLANK(Catalog!M296),"Missing Genre/Form; ","")&amp;IF(ISBLANK(Catalog!X296),"Missing Location Type; ","")&amp;IF(ISBLANK(Catalog!Y296),"Missing Location Id; ","")&amp;IF(AND(Catalog!T296&lt;&gt;"",COUNTIF(Catalog!$T$2:$T$501,Catalog!T296)&gt;1),"Duplicate ISBN; ","")&amp;IF(AND(Catalog!B296&lt;&gt;"",COUNTIF(Catalog!$B$2:$B$501,Catalog!B296)&gt;1),"Duplicate Accession; ",""))</f>
        <v/>
      </c>
    </row>
    <row r="321" spans="1:3" x14ac:dyDescent="0.25">
      <c r="A321" s="24" t="str">
        <f>Catalog!A297</f>
        <v/>
      </c>
      <c r="B321" s="25">
        <f>Catalog!D297</f>
        <v>0</v>
      </c>
      <c r="C321" s="26" t="str">
        <f>IF(Catalog!D297="","",IF(ISBLANK(Catalog!F297),"Missing Creator; ","")&amp;IF(ISBLANK(Catalog!K297),"Missing Item Type; ","")&amp;IF(ISBLANK(Catalog!L297),"Missing Subject; ","")&amp;IF(ISBLANK(Catalog!M297),"Missing Genre/Form; ","")&amp;IF(ISBLANK(Catalog!X297),"Missing Location Type; ","")&amp;IF(ISBLANK(Catalog!Y297),"Missing Location Id; ","")&amp;IF(AND(Catalog!T297&lt;&gt;"",COUNTIF(Catalog!$T$2:$T$501,Catalog!T297)&gt;1),"Duplicate ISBN; ","")&amp;IF(AND(Catalog!B297&lt;&gt;"",COUNTIF(Catalog!$B$2:$B$501,Catalog!B297)&gt;1),"Duplicate Accession; ",""))</f>
        <v/>
      </c>
    </row>
    <row r="322" spans="1:3" x14ac:dyDescent="0.25">
      <c r="A322" s="24" t="str">
        <f>Catalog!A298</f>
        <v/>
      </c>
      <c r="B322" s="25">
        <f>Catalog!D298</f>
        <v>0</v>
      </c>
      <c r="C322" s="26" t="str">
        <f>IF(Catalog!D298="","",IF(ISBLANK(Catalog!F298),"Missing Creator; ","")&amp;IF(ISBLANK(Catalog!K298),"Missing Item Type; ","")&amp;IF(ISBLANK(Catalog!L298),"Missing Subject; ","")&amp;IF(ISBLANK(Catalog!M298),"Missing Genre/Form; ","")&amp;IF(ISBLANK(Catalog!X298),"Missing Location Type; ","")&amp;IF(ISBLANK(Catalog!Y298),"Missing Location Id; ","")&amp;IF(AND(Catalog!T298&lt;&gt;"",COUNTIF(Catalog!$T$2:$T$501,Catalog!T298)&gt;1),"Duplicate ISBN; ","")&amp;IF(AND(Catalog!B298&lt;&gt;"",COUNTIF(Catalog!$B$2:$B$501,Catalog!B298)&gt;1),"Duplicate Accession; ",""))</f>
        <v/>
      </c>
    </row>
    <row r="323" spans="1:3" x14ac:dyDescent="0.25">
      <c r="A323" s="24" t="str">
        <f>Catalog!A299</f>
        <v/>
      </c>
      <c r="B323" s="25">
        <f>Catalog!D299</f>
        <v>0</v>
      </c>
      <c r="C323" s="26" t="str">
        <f>IF(Catalog!D299="","",IF(ISBLANK(Catalog!F299),"Missing Creator; ","")&amp;IF(ISBLANK(Catalog!K299),"Missing Item Type; ","")&amp;IF(ISBLANK(Catalog!L299),"Missing Subject; ","")&amp;IF(ISBLANK(Catalog!M299),"Missing Genre/Form; ","")&amp;IF(ISBLANK(Catalog!X299),"Missing Location Type; ","")&amp;IF(ISBLANK(Catalog!Y299),"Missing Location Id; ","")&amp;IF(AND(Catalog!T299&lt;&gt;"",COUNTIF(Catalog!$T$2:$T$501,Catalog!T299)&gt;1),"Duplicate ISBN; ","")&amp;IF(AND(Catalog!B299&lt;&gt;"",COUNTIF(Catalog!$B$2:$B$501,Catalog!B299)&gt;1),"Duplicate Accession; ",""))</f>
        <v/>
      </c>
    </row>
    <row r="324" spans="1:3" x14ac:dyDescent="0.25">
      <c r="A324" s="24" t="str">
        <f>Catalog!A300</f>
        <v/>
      </c>
      <c r="B324" s="25">
        <f>Catalog!D300</f>
        <v>0</v>
      </c>
      <c r="C324" s="26" t="str">
        <f>IF(Catalog!D300="","",IF(ISBLANK(Catalog!F300),"Missing Creator; ","")&amp;IF(ISBLANK(Catalog!K300),"Missing Item Type; ","")&amp;IF(ISBLANK(Catalog!L300),"Missing Subject; ","")&amp;IF(ISBLANK(Catalog!M300),"Missing Genre/Form; ","")&amp;IF(ISBLANK(Catalog!X300),"Missing Location Type; ","")&amp;IF(ISBLANK(Catalog!Y300),"Missing Location Id; ","")&amp;IF(AND(Catalog!T300&lt;&gt;"",COUNTIF(Catalog!$T$2:$T$501,Catalog!T300)&gt;1),"Duplicate ISBN; ","")&amp;IF(AND(Catalog!B300&lt;&gt;"",COUNTIF(Catalog!$B$2:$B$501,Catalog!B300)&gt;1),"Duplicate Accession; ",""))</f>
        <v/>
      </c>
    </row>
    <row r="325" spans="1:3" x14ac:dyDescent="0.25">
      <c r="A325" s="24" t="str">
        <f>Catalog!A301</f>
        <v/>
      </c>
      <c r="B325" s="25">
        <f>Catalog!D301</f>
        <v>0</v>
      </c>
      <c r="C325" s="26" t="str">
        <f>IF(Catalog!D301="","",IF(ISBLANK(Catalog!F301),"Missing Creator; ","")&amp;IF(ISBLANK(Catalog!K301),"Missing Item Type; ","")&amp;IF(ISBLANK(Catalog!L301),"Missing Subject; ","")&amp;IF(ISBLANK(Catalog!M301),"Missing Genre/Form; ","")&amp;IF(ISBLANK(Catalog!X301),"Missing Location Type; ","")&amp;IF(ISBLANK(Catalog!Y301),"Missing Location Id; ","")&amp;IF(AND(Catalog!T301&lt;&gt;"",COUNTIF(Catalog!$T$2:$T$501,Catalog!T301)&gt;1),"Duplicate ISBN; ","")&amp;IF(AND(Catalog!B301&lt;&gt;"",COUNTIF(Catalog!$B$2:$B$501,Catalog!B301)&gt;1),"Duplicate Accession; ",""))</f>
        <v/>
      </c>
    </row>
    <row r="326" spans="1:3" x14ac:dyDescent="0.25">
      <c r="A326" s="24" t="str">
        <f>Catalog!A302</f>
        <v/>
      </c>
      <c r="B326" s="25">
        <f>Catalog!D302</f>
        <v>0</v>
      </c>
      <c r="C326" s="26" t="str">
        <f>IF(Catalog!D302="","",IF(ISBLANK(Catalog!F302),"Missing Creator; ","")&amp;IF(ISBLANK(Catalog!K302),"Missing Item Type; ","")&amp;IF(ISBLANK(Catalog!L302),"Missing Subject; ","")&amp;IF(ISBLANK(Catalog!M302),"Missing Genre/Form; ","")&amp;IF(ISBLANK(Catalog!X302),"Missing Location Type; ","")&amp;IF(ISBLANK(Catalog!Y302),"Missing Location Id; ","")&amp;IF(AND(Catalog!T302&lt;&gt;"",COUNTIF(Catalog!$T$2:$T$501,Catalog!T302)&gt;1),"Duplicate ISBN; ","")&amp;IF(AND(Catalog!B302&lt;&gt;"",COUNTIF(Catalog!$B$2:$B$501,Catalog!B302)&gt;1),"Duplicate Accession; ",""))</f>
        <v/>
      </c>
    </row>
    <row r="327" spans="1:3" x14ac:dyDescent="0.25">
      <c r="A327" s="24" t="str">
        <f>Catalog!A303</f>
        <v/>
      </c>
      <c r="B327" s="25">
        <f>Catalog!D303</f>
        <v>0</v>
      </c>
      <c r="C327" s="26" t="str">
        <f>IF(Catalog!D303="","",IF(ISBLANK(Catalog!F303),"Missing Creator; ","")&amp;IF(ISBLANK(Catalog!K303),"Missing Item Type; ","")&amp;IF(ISBLANK(Catalog!L303),"Missing Subject; ","")&amp;IF(ISBLANK(Catalog!M303),"Missing Genre/Form; ","")&amp;IF(ISBLANK(Catalog!X303),"Missing Location Type; ","")&amp;IF(ISBLANK(Catalog!Y303),"Missing Location Id; ","")&amp;IF(AND(Catalog!T303&lt;&gt;"",COUNTIF(Catalog!$T$2:$T$501,Catalog!T303)&gt;1),"Duplicate ISBN; ","")&amp;IF(AND(Catalog!B303&lt;&gt;"",COUNTIF(Catalog!$B$2:$B$501,Catalog!B303)&gt;1),"Duplicate Accession; ",""))</f>
        <v/>
      </c>
    </row>
    <row r="328" spans="1:3" x14ac:dyDescent="0.25">
      <c r="A328" s="24" t="str">
        <f>Catalog!A304</f>
        <v/>
      </c>
      <c r="B328" s="25">
        <f>Catalog!D304</f>
        <v>0</v>
      </c>
      <c r="C328" s="26" t="str">
        <f>IF(Catalog!D304="","",IF(ISBLANK(Catalog!F304),"Missing Creator; ","")&amp;IF(ISBLANK(Catalog!K304),"Missing Item Type; ","")&amp;IF(ISBLANK(Catalog!L304),"Missing Subject; ","")&amp;IF(ISBLANK(Catalog!M304),"Missing Genre/Form; ","")&amp;IF(ISBLANK(Catalog!X304),"Missing Location Type; ","")&amp;IF(ISBLANK(Catalog!Y304),"Missing Location Id; ","")&amp;IF(AND(Catalog!T304&lt;&gt;"",COUNTIF(Catalog!$T$2:$T$501,Catalog!T304)&gt;1),"Duplicate ISBN; ","")&amp;IF(AND(Catalog!B304&lt;&gt;"",COUNTIF(Catalog!$B$2:$B$501,Catalog!B304)&gt;1),"Duplicate Accession; ",""))</f>
        <v/>
      </c>
    </row>
    <row r="329" spans="1:3" x14ac:dyDescent="0.25">
      <c r="A329" s="24" t="str">
        <f>Catalog!A305</f>
        <v/>
      </c>
      <c r="B329" s="25">
        <f>Catalog!D305</f>
        <v>0</v>
      </c>
      <c r="C329" s="26" t="str">
        <f>IF(Catalog!D305="","",IF(ISBLANK(Catalog!F305),"Missing Creator; ","")&amp;IF(ISBLANK(Catalog!K305),"Missing Item Type; ","")&amp;IF(ISBLANK(Catalog!L305),"Missing Subject; ","")&amp;IF(ISBLANK(Catalog!M305),"Missing Genre/Form; ","")&amp;IF(ISBLANK(Catalog!X305),"Missing Location Type; ","")&amp;IF(ISBLANK(Catalog!Y305),"Missing Location Id; ","")&amp;IF(AND(Catalog!T305&lt;&gt;"",COUNTIF(Catalog!$T$2:$T$501,Catalog!T305)&gt;1),"Duplicate ISBN; ","")&amp;IF(AND(Catalog!B305&lt;&gt;"",COUNTIF(Catalog!$B$2:$B$501,Catalog!B305)&gt;1),"Duplicate Accession; ",""))</f>
        <v/>
      </c>
    </row>
    <row r="330" spans="1:3" x14ac:dyDescent="0.25">
      <c r="A330" s="24" t="str">
        <f>Catalog!A306</f>
        <v/>
      </c>
      <c r="B330" s="25">
        <f>Catalog!D306</f>
        <v>0</v>
      </c>
      <c r="C330" s="26" t="str">
        <f>IF(Catalog!D306="","",IF(ISBLANK(Catalog!F306),"Missing Creator; ","")&amp;IF(ISBLANK(Catalog!K306),"Missing Item Type; ","")&amp;IF(ISBLANK(Catalog!L306),"Missing Subject; ","")&amp;IF(ISBLANK(Catalog!M306),"Missing Genre/Form; ","")&amp;IF(ISBLANK(Catalog!X306),"Missing Location Type; ","")&amp;IF(ISBLANK(Catalog!Y306),"Missing Location Id; ","")&amp;IF(AND(Catalog!T306&lt;&gt;"",COUNTIF(Catalog!$T$2:$T$501,Catalog!T306)&gt;1),"Duplicate ISBN; ","")&amp;IF(AND(Catalog!B306&lt;&gt;"",COUNTIF(Catalog!$B$2:$B$501,Catalog!B306)&gt;1),"Duplicate Accession; ",""))</f>
        <v/>
      </c>
    </row>
    <row r="331" spans="1:3" x14ac:dyDescent="0.25">
      <c r="A331" s="24" t="str">
        <f>Catalog!A307</f>
        <v/>
      </c>
      <c r="B331" s="25">
        <f>Catalog!D307</f>
        <v>0</v>
      </c>
      <c r="C331" s="26" t="str">
        <f>IF(Catalog!D307="","",IF(ISBLANK(Catalog!F307),"Missing Creator; ","")&amp;IF(ISBLANK(Catalog!K307),"Missing Item Type; ","")&amp;IF(ISBLANK(Catalog!L307),"Missing Subject; ","")&amp;IF(ISBLANK(Catalog!M307),"Missing Genre/Form; ","")&amp;IF(ISBLANK(Catalog!X307),"Missing Location Type; ","")&amp;IF(ISBLANK(Catalog!Y307),"Missing Location Id; ","")&amp;IF(AND(Catalog!T307&lt;&gt;"",COUNTIF(Catalog!$T$2:$T$501,Catalog!T307)&gt;1),"Duplicate ISBN; ","")&amp;IF(AND(Catalog!B307&lt;&gt;"",COUNTIF(Catalog!$B$2:$B$501,Catalog!B307)&gt;1),"Duplicate Accession; ",""))</f>
        <v/>
      </c>
    </row>
    <row r="332" spans="1:3" x14ac:dyDescent="0.25">
      <c r="A332" s="24" t="str">
        <f>Catalog!A308</f>
        <v/>
      </c>
      <c r="B332" s="25">
        <f>Catalog!D308</f>
        <v>0</v>
      </c>
      <c r="C332" s="26" t="str">
        <f>IF(Catalog!D308="","",IF(ISBLANK(Catalog!F308),"Missing Creator; ","")&amp;IF(ISBLANK(Catalog!K308),"Missing Item Type; ","")&amp;IF(ISBLANK(Catalog!L308),"Missing Subject; ","")&amp;IF(ISBLANK(Catalog!M308),"Missing Genre/Form; ","")&amp;IF(ISBLANK(Catalog!X308),"Missing Location Type; ","")&amp;IF(ISBLANK(Catalog!Y308),"Missing Location Id; ","")&amp;IF(AND(Catalog!T308&lt;&gt;"",COUNTIF(Catalog!$T$2:$T$501,Catalog!T308)&gt;1),"Duplicate ISBN; ","")&amp;IF(AND(Catalog!B308&lt;&gt;"",COUNTIF(Catalog!$B$2:$B$501,Catalog!B308)&gt;1),"Duplicate Accession; ",""))</f>
        <v/>
      </c>
    </row>
    <row r="333" spans="1:3" x14ac:dyDescent="0.25">
      <c r="A333" s="24" t="str">
        <f>Catalog!A309</f>
        <v/>
      </c>
      <c r="B333" s="25">
        <f>Catalog!D309</f>
        <v>0</v>
      </c>
      <c r="C333" s="26" t="str">
        <f>IF(Catalog!D309="","",IF(ISBLANK(Catalog!F309),"Missing Creator; ","")&amp;IF(ISBLANK(Catalog!K309),"Missing Item Type; ","")&amp;IF(ISBLANK(Catalog!L309),"Missing Subject; ","")&amp;IF(ISBLANK(Catalog!M309),"Missing Genre/Form; ","")&amp;IF(ISBLANK(Catalog!X309),"Missing Location Type; ","")&amp;IF(ISBLANK(Catalog!Y309),"Missing Location Id; ","")&amp;IF(AND(Catalog!T309&lt;&gt;"",COUNTIF(Catalog!$T$2:$T$501,Catalog!T309)&gt;1),"Duplicate ISBN; ","")&amp;IF(AND(Catalog!B309&lt;&gt;"",COUNTIF(Catalog!$B$2:$B$501,Catalog!B309)&gt;1),"Duplicate Accession; ",""))</f>
        <v/>
      </c>
    </row>
    <row r="334" spans="1:3" x14ac:dyDescent="0.25">
      <c r="A334" s="24" t="str">
        <f>Catalog!A310</f>
        <v/>
      </c>
      <c r="B334" s="25">
        <f>Catalog!D310</f>
        <v>0</v>
      </c>
      <c r="C334" s="26" t="str">
        <f>IF(Catalog!D310="","",IF(ISBLANK(Catalog!F310),"Missing Creator; ","")&amp;IF(ISBLANK(Catalog!K310),"Missing Item Type; ","")&amp;IF(ISBLANK(Catalog!L310),"Missing Subject; ","")&amp;IF(ISBLANK(Catalog!M310),"Missing Genre/Form; ","")&amp;IF(ISBLANK(Catalog!X310),"Missing Location Type; ","")&amp;IF(ISBLANK(Catalog!Y310),"Missing Location Id; ","")&amp;IF(AND(Catalog!T310&lt;&gt;"",COUNTIF(Catalog!$T$2:$T$501,Catalog!T310)&gt;1),"Duplicate ISBN; ","")&amp;IF(AND(Catalog!B310&lt;&gt;"",COUNTIF(Catalog!$B$2:$B$501,Catalog!B310)&gt;1),"Duplicate Accession; ",""))</f>
        <v/>
      </c>
    </row>
    <row r="335" spans="1:3" x14ac:dyDescent="0.25">
      <c r="A335" s="24" t="str">
        <f>Catalog!A311</f>
        <v/>
      </c>
      <c r="B335" s="25">
        <f>Catalog!D311</f>
        <v>0</v>
      </c>
      <c r="C335" s="26" t="str">
        <f>IF(Catalog!D311="","",IF(ISBLANK(Catalog!F311),"Missing Creator; ","")&amp;IF(ISBLANK(Catalog!K311),"Missing Item Type; ","")&amp;IF(ISBLANK(Catalog!L311),"Missing Subject; ","")&amp;IF(ISBLANK(Catalog!M311),"Missing Genre/Form; ","")&amp;IF(ISBLANK(Catalog!X311),"Missing Location Type; ","")&amp;IF(ISBLANK(Catalog!Y311),"Missing Location Id; ","")&amp;IF(AND(Catalog!T311&lt;&gt;"",COUNTIF(Catalog!$T$2:$T$501,Catalog!T311)&gt;1),"Duplicate ISBN; ","")&amp;IF(AND(Catalog!B311&lt;&gt;"",COUNTIF(Catalog!$B$2:$B$501,Catalog!B311)&gt;1),"Duplicate Accession; ",""))</f>
        <v/>
      </c>
    </row>
    <row r="336" spans="1:3" x14ac:dyDescent="0.25">
      <c r="A336" s="24" t="str">
        <f>Catalog!A312</f>
        <v/>
      </c>
      <c r="B336" s="25">
        <f>Catalog!D312</f>
        <v>0</v>
      </c>
      <c r="C336" s="26" t="str">
        <f>IF(Catalog!D312="","",IF(ISBLANK(Catalog!F312),"Missing Creator; ","")&amp;IF(ISBLANK(Catalog!K312),"Missing Item Type; ","")&amp;IF(ISBLANK(Catalog!L312),"Missing Subject; ","")&amp;IF(ISBLANK(Catalog!M312),"Missing Genre/Form; ","")&amp;IF(ISBLANK(Catalog!X312),"Missing Location Type; ","")&amp;IF(ISBLANK(Catalog!Y312),"Missing Location Id; ","")&amp;IF(AND(Catalog!T312&lt;&gt;"",COUNTIF(Catalog!$T$2:$T$501,Catalog!T312)&gt;1),"Duplicate ISBN; ","")&amp;IF(AND(Catalog!B312&lt;&gt;"",COUNTIF(Catalog!$B$2:$B$501,Catalog!B312)&gt;1),"Duplicate Accession; ",""))</f>
        <v/>
      </c>
    </row>
    <row r="337" spans="1:3" x14ac:dyDescent="0.25">
      <c r="A337" s="24" t="str">
        <f>Catalog!A313</f>
        <v/>
      </c>
      <c r="B337" s="25">
        <f>Catalog!D313</f>
        <v>0</v>
      </c>
      <c r="C337" s="26" t="str">
        <f>IF(Catalog!D313="","",IF(ISBLANK(Catalog!F313),"Missing Creator; ","")&amp;IF(ISBLANK(Catalog!K313),"Missing Item Type; ","")&amp;IF(ISBLANK(Catalog!L313),"Missing Subject; ","")&amp;IF(ISBLANK(Catalog!M313),"Missing Genre/Form; ","")&amp;IF(ISBLANK(Catalog!X313),"Missing Location Type; ","")&amp;IF(ISBLANK(Catalog!Y313),"Missing Location Id; ","")&amp;IF(AND(Catalog!T313&lt;&gt;"",COUNTIF(Catalog!$T$2:$T$501,Catalog!T313)&gt;1),"Duplicate ISBN; ","")&amp;IF(AND(Catalog!B313&lt;&gt;"",COUNTIF(Catalog!$B$2:$B$501,Catalog!B313)&gt;1),"Duplicate Accession; ",""))</f>
        <v/>
      </c>
    </row>
    <row r="338" spans="1:3" x14ac:dyDescent="0.25">
      <c r="A338" s="24" t="str">
        <f>Catalog!A314</f>
        <v/>
      </c>
      <c r="B338" s="25">
        <f>Catalog!D314</f>
        <v>0</v>
      </c>
      <c r="C338" s="26" t="str">
        <f>IF(Catalog!D314="","",IF(ISBLANK(Catalog!F314),"Missing Creator; ","")&amp;IF(ISBLANK(Catalog!K314),"Missing Item Type; ","")&amp;IF(ISBLANK(Catalog!L314),"Missing Subject; ","")&amp;IF(ISBLANK(Catalog!M314),"Missing Genre/Form; ","")&amp;IF(ISBLANK(Catalog!X314),"Missing Location Type; ","")&amp;IF(ISBLANK(Catalog!Y314),"Missing Location Id; ","")&amp;IF(AND(Catalog!T314&lt;&gt;"",COUNTIF(Catalog!$T$2:$T$501,Catalog!T314)&gt;1),"Duplicate ISBN; ","")&amp;IF(AND(Catalog!B314&lt;&gt;"",COUNTIF(Catalog!$B$2:$B$501,Catalog!B314)&gt;1),"Duplicate Accession; ",""))</f>
        <v/>
      </c>
    </row>
    <row r="339" spans="1:3" x14ac:dyDescent="0.25">
      <c r="A339" s="24" t="str">
        <f>Catalog!A315</f>
        <v/>
      </c>
      <c r="B339" s="25">
        <f>Catalog!D315</f>
        <v>0</v>
      </c>
      <c r="C339" s="26" t="str">
        <f>IF(Catalog!D315="","",IF(ISBLANK(Catalog!F315),"Missing Creator; ","")&amp;IF(ISBLANK(Catalog!K315),"Missing Item Type; ","")&amp;IF(ISBLANK(Catalog!L315),"Missing Subject; ","")&amp;IF(ISBLANK(Catalog!M315),"Missing Genre/Form; ","")&amp;IF(ISBLANK(Catalog!X315),"Missing Location Type; ","")&amp;IF(ISBLANK(Catalog!Y315),"Missing Location Id; ","")&amp;IF(AND(Catalog!T315&lt;&gt;"",COUNTIF(Catalog!$T$2:$T$501,Catalog!T315)&gt;1),"Duplicate ISBN; ","")&amp;IF(AND(Catalog!B315&lt;&gt;"",COUNTIF(Catalog!$B$2:$B$501,Catalog!B315)&gt;1),"Duplicate Accession; ",""))</f>
        <v/>
      </c>
    </row>
    <row r="340" spans="1:3" x14ac:dyDescent="0.25">
      <c r="A340" s="24" t="str">
        <f>Catalog!A316</f>
        <v/>
      </c>
      <c r="B340" s="25">
        <f>Catalog!D316</f>
        <v>0</v>
      </c>
      <c r="C340" s="26" t="str">
        <f>IF(Catalog!D316="","",IF(ISBLANK(Catalog!F316),"Missing Creator; ","")&amp;IF(ISBLANK(Catalog!K316),"Missing Item Type; ","")&amp;IF(ISBLANK(Catalog!L316),"Missing Subject; ","")&amp;IF(ISBLANK(Catalog!M316),"Missing Genre/Form; ","")&amp;IF(ISBLANK(Catalog!X316),"Missing Location Type; ","")&amp;IF(ISBLANK(Catalog!Y316),"Missing Location Id; ","")&amp;IF(AND(Catalog!T316&lt;&gt;"",COUNTIF(Catalog!$T$2:$T$501,Catalog!T316)&gt;1),"Duplicate ISBN; ","")&amp;IF(AND(Catalog!B316&lt;&gt;"",COUNTIF(Catalog!$B$2:$B$501,Catalog!B316)&gt;1),"Duplicate Accession; ",""))</f>
        <v/>
      </c>
    </row>
    <row r="341" spans="1:3" x14ac:dyDescent="0.25">
      <c r="A341" s="24" t="str">
        <f>Catalog!A317</f>
        <v/>
      </c>
      <c r="B341" s="25">
        <f>Catalog!D317</f>
        <v>0</v>
      </c>
      <c r="C341" s="26" t="str">
        <f>IF(Catalog!D317="","",IF(ISBLANK(Catalog!F317),"Missing Creator; ","")&amp;IF(ISBLANK(Catalog!K317),"Missing Item Type; ","")&amp;IF(ISBLANK(Catalog!L317),"Missing Subject; ","")&amp;IF(ISBLANK(Catalog!M317),"Missing Genre/Form; ","")&amp;IF(ISBLANK(Catalog!X317),"Missing Location Type; ","")&amp;IF(ISBLANK(Catalog!Y317),"Missing Location Id; ","")&amp;IF(AND(Catalog!T317&lt;&gt;"",COUNTIF(Catalog!$T$2:$T$501,Catalog!T317)&gt;1),"Duplicate ISBN; ","")&amp;IF(AND(Catalog!B317&lt;&gt;"",COUNTIF(Catalog!$B$2:$B$501,Catalog!B317)&gt;1),"Duplicate Accession; ",""))</f>
        <v/>
      </c>
    </row>
    <row r="342" spans="1:3" x14ac:dyDescent="0.25">
      <c r="A342" s="24" t="str">
        <f>Catalog!A318</f>
        <v/>
      </c>
      <c r="B342" s="25">
        <f>Catalog!D318</f>
        <v>0</v>
      </c>
      <c r="C342" s="26" t="str">
        <f>IF(Catalog!D318="","",IF(ISBLANK(Catalog!F318),"Missing Creator; ","")&amp;IF(ISBLANK(Catalog!K318),"Missing Item Type; ","")&amp;IF(ISBLANK(Catalog!L318),"Missing Subject; ","")&amp;IF(ISBLANK(Catalog!M318),"Missing Genre/Form; ","")&amp;IF(ISBLANK(Catalog!X318),"Missing Location Type; ","")&amp;IF(ISBLANK(Catalog!Y318),"Missing Location Id; ","")&amp;IF(AND(Catalog!T318&lt;&gt;"",COUNTIF(Catalog!$T$2:$T$501,Catalog!T318)&gt;1),"Duplicate ISBN; ","")&amp;IF(AND(Catalog!B318&lt;&gt;"",COUNTIF(Catalog!$B$2:$B$501,Catalog!B318)&gt;1),"Duplicate Accession; ",""))</f>
        <v/>
      </c>
    </row>
    <row r="343" spans="1:3" x14ac:dyDescent="0.25">
      <c r="A343" s="24" t="str">
        <f>Catalog!A319</f>
        <v/>
      </c>
      <c r="B343" s="25">
        <f>Catalog!D319</f>
        <v>0</v>
      </c>
      <c r="C343" s="26" t="str">
        <f>IF(Catalog!D319="","",IF(ISBLANK(Catalog!F319),"Missing Creator; ","")&amp;IF(ISBLANK(Catalog!K319),"Missing Item Type; ","")&amp;IF(ISBLANK(Catalog!L319),"Missing Subject; ","")&amp;IF(ISBLANK(Catalog!M319),"Missing Genre/Form; ","")&amp;IF(ISBLANK(Catalog!X319),"Missing Location Type; ","")&amp;IF(ISBLANK(Catalog!Y319),"Missing Location Id; ","")&amp;IF(AND(Catalog!T319&lt;&gt;"",COUNTIF(Catalog!$T$2:$T$501,Catalog!T319)&gt;1),"Duplicate ISBN; ","")&amp;IF(AND(Catalog!B319&lt;&gt;"",COUNTIF(Catalog!$B$2:$B$501,Catalog!B319)&gt;1),"Duplicate Accession; ",""))</f>
        <v/>
      </c>
    </row>
    <row r="344" spans="1:3" x14ac:dyDescent="0.25">
      <c r="A344" s="24" t="str">
        <f>Catalog!A320</f>
        <v/>
      </c>
      <c r="B344" s="25">
        <f>Catalog!D320</f>
        <v>0</v>
      </c>
      <c r="C344" s="26" t="str">
        <f>IF(Catalog!D320="","",IF(ISBLANK(Catalog!F320),"Missing Creator; ","")&amp;IF(ISBLANK(Catalog!K320),"Missing Item Type; ","")&amp;IF(ISBLANK(Catalog!L320),"Missing Subject; ","")&amp;IF(ISBLANK(Catalog!M320),"Missing Genre/Form; ","")&amp;IF(ISBLANK(Catalog!X320),"Missing Location Type; ","")&amp;IF(ISBLANK(Catalog!Y320),"Missing Location Id; ","")&amp;IF(AND(Catalog!T320&lt;&gt;"",COUNTIF(Catalog!$T$2:$T$501,Catalog!T320)&gt;1),"Duplicate ISBN; ","")&amp;IF(AND(Catalog!B320&lt;&gt;"",COUNTIF(Catalog!$B$2:$B$501,Catalog!B320)&gt;1),"Duplicate Accession; ",""))</f>
        <v/>
      </c>
    </row>
    <row r="345" spans="1:3" x14ac:dyDescent="0.25">
      <c r="A345" s="24" t="str">
        <f>Catalog!A321</f>
        <v/>
      </c>
      <c r="B345" s="25">
        <f>Catalog!D321</f>
        <v>0</v>
      </c>
      <c r="C345" s="26" t="str">
        <f>IF(Catalog!D321="","",IF(ISBLANK(Catalog!F321),"Missing Creator; ","")&amp;IF(ISBLANK(Catalog!K321),"Missing Item Type; ","")&amp;IF(ISBLANK(Catalog!L321),"Missing Subject; ","")&amp;IF(ISBLANK(Catalog!M321),"Missing Genre/Form; ","")&amp;IF(ISBLANK(Catalog!X321),"Missing Location Type; ","")&amp;IF(ISBLANK(Catalog!Y321),"Missing Location Id; ","")&amp;IF(AND(Catalog!T321&lt;&gt;"",COUNTIF(Catalog!$T$2:$T$501,Catalog!T321)&gt;1),"Duplicate ISBN; ","")&amp;IF(AND(Catalog!B321&lt;&gt;"",COUNTIF(Catalog!$B$2:$B$501,Catalog!B321)&gt;1),"Duplicate Accession; ",""))</f>
        <v/>
      </c>
    </row>
    <row r="346" spans="1:3" x14ac:dyDescent="0.25">
      <c r="A346" s="24" t="str">
        <f>Catalog!A322</f>
        <v/>
      </c>
      <c r="B346" s="25">
        <f>Catalog!D322</f>
        <v>0</v>
      </c>
      <c r="C346" s="26" t="str">
        <f>IF(Catalog!D322="","",IF(ISBLANK(Catalog!F322),"Missing Creator; ","")&amp;IF(ISBLANK(Catalog!K322),"Missing Item Type; ","")&amp;IF(ISBLANK(Catalog!L322),"Missing Subject; ","")&amp;IF(ISBLANK(Catalog!M322),"Missing Genre/Form; ","")&amp;IF(ISBLANK(Catalog!X322),"Missing Location Type; ","")&amp;IF(ISBLANK(Catalog!Y322),"Missing Location Id; ","")&amp;IF(AND(Catalog!T322&lt;&gt;"",COUNTIF(Catalog!$T$2:$T$501,Catalog!T322)&gt;1),"Duplicate ISBN; ","")&amp;IF(AND(Catalog!B322&lt;&gt;"",COUNTIF(Catalog!$B$2:$B$501,Catalog!B322)&gt;1),"Duplicate Accession; ",""))</f>
        <v/>
      </c>
    </row>
    <row r="347" spans="1:3" x14ac:dyDescent="0.25">
      <c r="A347" s="24" t="str">
        <f>Catalog!A323</f>
        <v/>
      </c>
      <c r="B347" s="25">
        <f>Catalog!D323</f>
        <v>0</v>
      </c>
      <c r="C347" s="26" t="str">
        <f>IF(Catalog!D323="","",IF(ISBLANK(Catalog!F323),"Missing Creator; ","")&amp;IF(ISBLANK(Catalog!K323),"Missing Item Type; ","")&amp;IF(ISBLANK(Catalog!L323),"Missing Subject; ","")&amp;IF(ISBLANK(Catalog!M323),"Missing Genre/Form; ","")&amp;IF(ISBLANK(Catalog!X323),"Missing Location Type; ","")&amp;IF(ISBLANK(Catalog!Y323),"Missing Location Id; ","")&amp;IF(AND(Catalog!T323&lt;&gt;"",COUNTIF(Catalog!$T$2:$T$501,Catalog!T323)&gt;1),"Duplicate ISBN; ","")&amp;IF(AND(Catalog!B323&lt;&gt;"",COUNTIF(Catalog!$B$2:$B$501,Catalog!B323)&gt;1),"Duplicate Accession; ",""))</f>
        <v/>
      </c>
    </row>
    <row r="348" spans="1:3" x14ac:dyDescent="0.25">
      <c r="A348" s="24" t="str">
        <f>Catalog!A324</f>
        <v/>
      </c>
      <c r="B348" s="25">
        <f>Catalog!D324</f>
        <v>0</v>
      </c>
      <c r="C348" s="26" t="str">
        <f>IF(Catalog!D324="","",IF(ISBLANK(Catalog!F324),"Missing Creator; ","")&amp;IF(ISBLANK(Catalog!K324),"Missing Item Type; ","")&amp;IF(ISBLANK(Catalog!L324),"Missing Subject; ","")&amp;IF(ISBLANK(Catalog!M324),"Missing Genre/Form; ","")&amp;IF(ISBLANK(Catalog!X324),"Missing Location Type; ","")&amp;IF(ISBLANK(Catalog!Y324),"Missing Location Id; ","")&amp;IF(AND(Catalog!T324&lt;&gt;"",COUNTIF(Catalog!$T$2:$T$501,Catalog!T324)&gt;1),"Duplicate ISBN; ","")&amp;IF(AND(Catalog!B324&lt;&gt;"",COUNTIF(Catalog!$B$2:$B$501,Catalog!B324)&gt;1),"Duplicate Accession; ",""))</f>
        <v/>
      </c>
    </row>
    <row r="349" spans="1:3" x14ac:dyDescent="0.25">
      <c r="A349" s="24" t="str">
        <f>Catalog!A325</f>
        <v/>
      </c>
      <c r="B349" s="25">
        <f>Catalog!D325</f>
        <v>0</v>
      </c>
      <c r="C349" s="26" t="str">
        <f>IF(Catalog!D325="","",IF(ISBLANK(Catalog!F325),"Missing Creator; ","")&amp;IF(ISBLANK(Catalog!K325),"Missing Item Type; ","")&amp;IF(ISBLANK(Catalog!L325),"Missing Subject; ","")&amp;IF(ISBLANK(Catalog!M325),"Missing Genre/Form; ","")&amp;IF(ISBLANK(Catalog!X325),"Missing Location Type; ","")&amp;IF(ISBLANK(Catalog!Y325),"Missing Location Id; ","")&amp;IF(AND(Catalog!T325&lt;&gt;"",COUNTIF(Catalog!$T$2:$T$501,Catalog!T325)&gt;1),"Duplicate ISBN; ","")&amp;IF(AND(Catalog!B325&lt;&gt;"",COUNTIF(Catalog!$B$2:$B$501,Catalog!B325)&gt;1),"Duplicate Accession; ",""))</f>
        <v/>
      </c>
    </row>
    <row r="350" spans="1:3" x14ac:dyDescent="0.25">
      <c r="A350" s="24" t="str">
        <f>Catalog!A326</f>
        <v/>
      </c>
      <c r="B350" s="25">
        <f>Catalog!D326</f>
        <v>0</v>
      </c>
      <c r="C350" s="26" t="str">
        <f>IF(Catalog!D326="","",IF(ISBLANK(Catalog!F326),"Missing Creator; ","")&amp;IF(ISBLANK(Catalog!K326),"Missing Item Type; ","")&amp;IF(ISBLANK(Catalog!L326),"Missing Subject; ","")&amp;IF(ISBLANK(Catalog!M326),"Missing Genre/Form; ","")&amp;IF(ISBLANK(Catalog!X326),"Missing Location Type; ","")&amp;IF(ISBLANK(Catalog!Y326),"Missing Location Id; ","")&amp;IF(AND(Catalog!T326&lt;&gt;"",COUNTIF(Catalog!$T$2:$T$501,Catalog!T326)&gt;1),"Duplicate ISBN; ","")&amp;IF(AND(Catalog!B326&lt;&gt;"",COUNTIF(Catalog!$B$2:$B$501,Catalog!B326)&gt;1),"Duplicate Accession; ",""))</f>
        <v/>
      </c>
    </row>
    <row r="351" spans="1:3" x14ac:dyDescent="0.25">
      <c r="A351" s="24" t="str">
        <f>Catalog!A327</f>
        <v/>
      </c>
      <c r="B351" s="25">
        <f>Catalog!D327</f>
        <v>0</v>
      </c>
      <c r="C351" s="26" t="str">
        <f>IF(Catalog!D327="","",IF(ISBLANK(Catalog!F327),"Missing Creator; ","")&amp;IF(ISBLANK(Catalog!K327),"Missing Item Type; ","")&amp;IF(ISBLANK(Catalog!L327),"Missing Subject; ","")&amp;IF(ISBLANK(Catalog!M327),"Missing Genre/Form; ","")&amp;IF(ISBLANK(Catalog!X327),"Missing Location Type; ","")&amp;IF(ISBLANK(Catalog!Y327),"Missing Location Id; ","")&amp;IF(AND(Catalog!T327&lt;&gt;"",COUNTIF(Catalog!$T$2:$T$501,Catalog!T327)&gt;1),"Duplicate ISBN; ","")&amp;IF(AND(Catalog!B327&lt;&gt;"",COUNTIF(Catalog!$B$2:$B$501,Catalog!B327)&gt;1),"Duplicate Accession; ",""))</f>
        <v/>
      </c>
    </row>
    <row r="352" spans="1:3" x14ac:dyDescent="0.25">
      <c r="A352" s="24" t="str">
        <f>Catalog!A328</f>
        <v/>
      </c>
      <c r="B352" s="25">
        <f>Catalog!D328</f>
        <v>0</v>
      </c>
      <c r="C352" s="26" t="str">
        <f>IF(Catalog!D328="","",IF(ISBLANK(Catalog!F328),"Missing Creator; ","")&amp;IF(ISBLANK(Catalog!K328),"Missing Item Type; ","")&amp;IF(ISBLANK(Catalog!L328),"Missing Subject; ","")&amp;IF(ISBLANK(Catalog!M328),"Missing Genre/Form; ","")&amp;IF(ISBLANK(Catalog!X328),"Missing Location Type; ","")&amp;IF(ISBLANK(Catalog!Y328),"Missing Location Id; ","")&amp;IF(AND(Catalog!T328&lt;&gt;"",COUNTIF(Catalog!$T$2:$T$501,Catalog!T328)&gt;1),"Duplicate ISBN; ","")&amp;IF(AND(Catalog!B328&lt;&gt;"",COUNTIF(Catalog!$B$2:$B$501,Catalog!B328)&gt;1),"Duplicate Accession; ",""))</f>
        <v/>
      </c>
    </row>
    <row r="353" spans="1:3" x14ac:dyDescent="0.25">
      <c r="A353" s="24" t="str">
        <f>Catalog!A329</f>
        <v/>
      </c>
      <c r="B353" s="25">
        <f>Catalog!D329</f>
        <v>0</v>
      </c>
      <c r="C353" s="26" t="str">
        <f>IF(Catalog!D329="","",IF(ISBLANK(Catalog!F329),"Missing Creator; ","")&amp;IF(ISBLANK(Catalog!K329),"Missing Item Type; ","")&amp;IF(ISBLANK(Catalog!L329),"Missing Subject; ","")&amp;IF(ISBLANK(Catalog!M329),"Missing Genre/Form; ","")&amp;IF(ISBLANK(Catalog!X329),"Missing Location Type; ","")&amp;IF(ISBLANK(Catalog!Y329),"Missing Location Id; ","")&amp;IF(AND(Catalog!T329&lt;&gt;"",COUNTIF(Catalog!$T$2:$T$501,Catalog!T329)&gt;1),"Duplicate ISBN; ","")&amp;IF(AND(Catalog!B329&lt;&gt;"",COUNTIF(Catalog!$B$2:$B$501,Catalog!B329)&gt;1),"Duplicate Accession; ",""))</f>
        <v/>
      </c>
    </row>
    <row r="354" spans="1:3" x14ac:dyDescent="0.25">
      <c r="A354" s="24" t="str">
        <f>Catalog!A330</f>
        <v/>
      </c>
      <c r="B354" s="25">
        <f>Catalog!D330</f>
        <v>0</v>
      </c>
      <c r="C354" s="26" t="str">
        <f>IF(Catalog!D330="","",IF(ISBLANK(Catalog!F330),"Missing Creator; ","")&amp;IF(ISBLANK(Catalog!K330),"Missing Item Type; ","")&amp;IF(ISBLANK(Catalog!L330),"Missing Subject; ","")&amp;IF(ISBLANK(Catalog!M330),"Missing Genre/Form; ","")&amp;IF(ISBLANK(Catalog!X330),"Missing Location Type; ","")&amp;IF(ISBLANK(Catalog!Y330),"Missing Location Id; ","")&amp;IF(AND(Catalog!T330&lt;&gt;"",COUNTIF(Catalog!$T$2:$T$501,Catalog!T330)&gt;1),"Duplicate ISBN; ","")&amp;IF(AND(Catalog!B330&lt;&gt;"",COUNTIF(Catalog!$B$2:$B$501,Catalog!B330)&gt;1),"Duplicate Accession; ",""))</f>
        <v/>
      </c>
    </row>
    <row r="355" spans="1:3" x14ac:dyDescent="0.25">
      <c r="A355" s="24" t="str">
        <f>Catalog!A331</f>
        <v/>
      </c>
      <c r="B355" s="25">
        <f>Catalog!D331</f>
        <v>0</v>
      </c>
      <c r="C355" s="26" t="str">
        <f>IF(Catalog!D331="","",IF(ISBLANK(Catalog!F331),"Missing Creator; ","")&amp;IF(ISBLANK(Catalog!K331),"Missing Item Type; ","")&amp;IF(ISBLANK(Catalog!L331),"Missing Subject; ","")&amp;IF(ISBLANK(Catalog!M331),"Missing Genre/Form; ","")&amp;IF(ISBLANK(Catalog!X331),"Missing Location Type; ","")&amp;IF(ISBLANK(Catalog!Y331),"Missing Location Id; ","")&amp;IF(AND(Catalog!T331&lt;&gt;"",COUNTIF(Catalog!$T$2:$T$501,Catalog!T331)&gt;1),"Duplicate ISBN; ","")&amp;IF(AND(Catalog!B331&lt;&gt;"",COUNTIF(Catalog!$B$2:$B$501,Catalog!B331)&gt;1),"Duplicate Accession; ",""))</f>
        <v/>
      </c>
    </row>
    <row r="356" spans="1:3" x14ac:dyDescent="0.25">
      <c r="A356" s="24" t="str">
        <f>Catalog!A332</f>
        <v/>
      </c>
      <c r="B356" s="25">
        <f>Catalog!D332</f>
        <v>0</v>
      </c>
      <c r="C356" s="26" t="str">
        <f>IF(Catalog!D332="","",IF(ISBLANK(Catalog!F332),"Missing Creator; ","")&amp;IF(ISBLANK(Catalog!K332),"Missing Item Type; ","")&amp;IF(ISBLANK(Catalog!L332),"Missing Subject; ","")&amp;IF(ISBLANK(Catalog!M332),"Missing Genre/Form; ","")&amp;IF(ISBLANK(Catalog!X332),"Missing Location Type; ","")&amp;IF(ISBLANK(Catalog!Y332),"Missing Location Id; ","")&amp;IF(AND(Catalog!T332&lt;&gt;"",COUNTIF(Catalog!$T$2:$T$501,Catalog!T332)&gt;1),"Duplicate ISBN; ","")&amp;IF(AND(Catalog!B332&lt;&gt;"",COUNTIF(Catalog!$B$2:$B$501,Catalog!B332)&gt;1),"Duplicate Accession; ",""))</f>
        <v/>
      </c>
    </row>
    <row r="357" spans="1:3" x14ac:dyDescent="0.25">
      <c r="A357" s="24" t="str">
        <f>Catalog!A333</f>
        <v/>
      </c>
      <c r="B357" s="25">
        <f>Catalog!D333</f>
        <v>0</v>
      </c>
      <c r="C357" s="26" t="str">
        <f>IF(Catalog!D333="","",IF(ISBLANK(Catalog!F333),"Missing Creator; ","")&amp;IF(ISBLANK(Catalog!K333),"Missing Item Type; ","")&amp;IF(ISBLANK(Catalog!L333),"Missing Subject; ","")&amp;IF(ISBLANK(Catalog!M333),"Missing Genre/Form; ","")&amp;IF(ISBLANK(Catalog!X333),"Missing Location Type; ","")&amp;IF(ISBLANK(Catalog!Y333),"Missing Location Id; ","")&amp;IF(AND(Catalog!T333&lt;&gt;"",COUNTIF(Catalog!$T$2:$T$501,Catalog!T333)&gt;1),"Duplicate ISBN; ","")&amp;IF(AND(Catalog!B333&lt;&gt;"",COUNTIF(Catalog!$B$2:$B$501,Catalog!B333)&gt;1),"Duplicate Accession; ",""))</f>
        <v/>
      </c>
    </row>
    <row r="358" spans="1:3" x14ac:dyDescent="0.25">
      <c r="A358" s="24" t="str">
        <f>Catalog!A334</f>
        <v/>
      </c>
      <c r="B358" s="25">
        <f>Catalog!D334</f>
        <v>0</v>
      </c>
      <c r="C358" s="26" t="str">
        <f>IF(Catalog!D334="","",IF(ISBLANK(Catalog!F334),"Missing Creator; ","")&amp;IF(ISBLANK(Catalog!K334),"Missing Item Type; ","")&amp;IF(ISBLANK(Catalog!L334),"Missing Subject; ","")&amp;IF(ISBLANK(Catalog!M334),"Missing Genre/Form; ","")&amp;IF(ISBLANK(Catalog!X334),"Missing Location Type; ","")&amp;IF(ISBLANK(Catalog!Y334),"Missing Location Id; ","")&amp;IF(AND(Catalog!T334&lt;&gt;"",COUNTIF(Catalog!$T$2:$T$501,Catalog!T334)&gt;1),"Duplicate ISBN; ","")&amp;IF(AND(Catalog!B334&lt;&gt;"",COUNTIF(Catalog!$B$2:$B$501,Catalog!B334)&gt;1),"Duplicate Accession; ",""))</f>
        <v/>
      </c>
    </row>
    <row r="359" spans="1:3" x14ac:dyDescent="0.25">
      <c r="A359" s="24" t="str">
        <f>Catalog!A335</f>
        <v/>
      </c>
      <c r="B359" s="25">
        <f>Catalog!D335</f>
        <v>0</v>
      </c>
      <c r="C359" s="26" t="str">
        <f>IF(Catalog!D335="","",IF(ISBLANK(Catalog!F335),"Missing Creator; ","")&amp;IF(ISBLANK(Catalog!K335),"Missing Item Type; ","")&amp;IF(ISBLANK(Catalog!L335),"Missing Subject; ","")&amp;IF(ISBLANK(Catalog!M335),"Missing Genre/Form; ","")&amp;IF(ISBLANK(Catalog!X335),"Missing Location Type; ","")&amp;IF(ISBLANK(Catalog!Y335),"Missing Location Id; ","")&amp;IF(AND(Catalog!T335&lt;&gt;"",COUNTIF(Catalog!$T$2:$T$501,Catalog!T335)&gt;1),"Duplicate ISBN; ","")&amp;IF(AND(Catalog!B335&lt;&gt;"",COUNTIF(Catalog!$B$2:$B$501,Catalog!B335)&gt;1),"Duplicate Accession; ",""))</f>
        <v/>
      </c>
    </row>
    <row r="360" spans="1:3" x14ac:dyDescent="0.25">
      <c r="A360" s="24" t="str">
        <f>Catalog!A336</f>
        <v/>
      </c>
      <c r="B360" s="25">
        <f>Catalog!D336</f>
        <v>0</v>
      </c>
      <c r="C360" s="26" t="str">
        <f>IF(Catalog!D336="","",IF(ISBLANK(Catalog!F336),"Missing Creator; ","")&amp;IF(ISBLANK(Catalog!K336),"Missing Item Type; ","")&amp;IF(ISBLANK(Catalog!L336),"Missing Subject; ","")&amp;IF(ISBLANK(Catalog!M336),"Missing Genre/Form; ","")&amp;IF(ISBLANK(Catalog!X336),"Missing Location Type; ","")&amp;IF(ISBLANK(Catalog!Y336),"Missing Location Id; ","")&amp;IF(AND(Catalog!T336&lt;&gt;"",COUNTIF(Catalog!$T$2:$T$501,Catalog!T336)&gt;1),"Duplicate ISBN; ","")&amp;IF(AND(Catalog!B336&lt;&gt;"",COUNTIF(Catalog!$B$2:$B$501,Catalog!B336)&gt;1),"Duplicate Accession; ",""))</f>
        <v/>
      </c>
    </row>
    <row r="361" spans="1:3" x14ac:dyDescent="0.25">
      <c r="A361" s="24" t="str">
        <f>Catalog!A337</f>
        <v/>
      </c>
      <c r="B361" s="25">
        <f>Catalog!D337</f>
        <v>0</v>
      </c>
      <c r="C361" s="26" t="str">
        <f>IF(Catalog!D337="","",IF(ISBLANK(Catalog!F337),"Missing Creator; ","")&amp;IF(ISBLANK(Catalog!K337),"Missing Item Type; ","")&amp;IF(ISBLANK(Catalog!L337),"Missing Subject; ","")&amp;IF(ISBLANK(Catalog!M337),"Missing Genre/Form; ","")&amp;IF(ISBLANK(Catalog!X337),"Missing Location Type; ","")&amp;IF(ISBLANK(Catalog!Y337),"Missing Location Id; ","")&amp;IF(AND(Catalog!T337&lt;&gt;"",COUNTIF(Catalog!$T$2:$T$501,Catalog!T337)&gt;1),"Duplicate ISBN; ","")&amp;IF(AND(Catalog!B337&lt;&gt;"",COUNTIF(Catalog!$B$2:$B$501,Catalog!B337)&gt;1),"Duplicate Accession; ",""))</f>
        <v/>
      </c>
    </row>
    <row r="362" spans="1:3" x14ac:dyDescent="0.25">
      <c r="A362" s="24" t="str">
        <f>Catalog!A338</f>
        <v/>
      </c>
      <c r="B362" s="25">
        <f>Catalog!D338</f>
        <v>0</v>
      </c>
      <c r="C362" s="26" t="str">
        <f>IF(Catalog!D338="","",IF(ISBLANK(Catalog!F338),"Missing Creator; ","")&amp;IF(ISBLANK(Catalog!K338),"Missing Item Type; ","")&amp;IF(ISBLANK(Catalog!L338),"Missing Subject; ","")&amp;IF(ISBLANK(Catalog!M338),"Missing Genre/Form; ","")&amp;IF(ISBLANK(Catalog!X338),"Missing Location Type; ","")&amp;IF(ISBLANK(Catalog!Y338),"Missing Location Id; ","")&amp;IF(AND(Catalog!T338&lt;&gt;"",COUNTIF(Catalog!$T$2:$T$501,Catalog!T338)&gt;1),"Duplicate ISBN; ","")&amp;IF(AND(Catalog!B338&lt;&gt;"",COUNTIF(Catalog!$B$2:$B$501,Catalog!B338)&gt;1),"Duplicate Accession; ",""))</f>
        <v/>
      </c>
    </row>
    <row r="363" spans="1:3" x14ac:dyDescent="0.25">
      <c r="A363" s="24" t="str">
        <f>Catalog!A339</f>
        <v/>
      </c>
      <c r="B363" s="25">
        <f>Catalog!D339</f>
        <v>0</v>
      </c>
      <c r="C363" s="26" t="str">
        <f>IF(Catalog!D339="","",IF(ISBLANK(Catalog!F339),"Missing Creator; ","")&amp;IF(ISBLANK(Catalog!K339),"Missing Item Type; ","")&amp;IF(ISBLANK(Catalog!L339),"Missing Subject; ","")&amp;IF(ISBLANK(Catalog!M339),"Missing Genre/Form; ","")&amp;IF(ISBLANK(Catalog!X339),"Missing Location Type; ","")&amp;IF(ISBLANK(Catalog!Y339),"Missing Location Id; ","")&amp;IF(AND(Catalog!T339&lt;&gt;"",COUNTIF(Catalog!$T$2:$T$501,Catalog!T339)&gt;1),"Duplicate ISBN; ","")&amp;IF(AND(Catalog!B339&lt;&gt;"",COUNTIF(Catalog!$B$2:$B$501,Catalog!B339)&gt;1),"Duplicate Accession; ",""))</f>
        <v/>
      </c>
    </row>
    <row r="364" spans="1:3" x14ac:dyDescent="0.25">
      <c r="A364" s="24" t="str">
        <f>Catalog!A340</f>
        <v/>
      </c>
      <c r="B364" s="25">
        <f>Catalog!D340</f>
        <v>0</v>
      </c>
      <c r="C364" s="26" t="str">
        <f>IF(Catalog!D340="","",IF(ISBLANK(Catalog!F340),"Missing Creator; ","")&amp;IF(ISBLANK(Catalog!K340),"Missing Item Type; ","")&amp;IF(ISBLANK(Catalog!L340),"Missing Subject; ","")&amp;IF(ISBLANK(Catalog!M340),"Missing Genre/Form; ","")&amp;IF(ISBLANK(Catalog!X340),"Missing Location Type; ","")&amp;IF(ISBLANK(Catalog!Y340),"Missing Location Id; ","")&amp;IF(AND(Catalog!T340&lt;&gt;"",COUNTIF(Catalog!$T$2:$T$501,Catalog!T340)&gt;1),"Duplicate ISBN; ","")&amp;IF(AND(Catalog!B340&lt;&gt;"",COUNTIF(Catalog!$B$2:$B$501,Catalog!B340)&gt;1),"Duplicate Accession; ",""))</f>
        <v/>
      </c>
    </row>
    <row r="365" spans="1:3" x14ac:dyDescent="0.25">
      <c r="A365" s="24" t="str">
        <f>Catalog!A341</f>
        <v/>
      </c>
      <c r="B365" s="25">
        <f>Catalog!D341</f>
        <v>0</v>
      </c>
      <c r="C365" s="26" t="str">
        <f>IF(Catalog!D341="","",IF(ISBLANK(Catalog!F341),"Missing Creator; ","")&amp;IF(ISBLANK(Catalog!K341),"Missing Item Type; ","")&amp;IF(ISBLANK(Catalog!L341),"Missing Subject; ","")&amp;IF(ISBLANK(Catalog!M341),"Missing Genre/Form; ","")&amp;IF(ISBLANK(Catalog!X341),"Missing Location Type; ","")&amp;IF(ISBLANK(Catalog!Y341),"Missing Location Id; ","")&amp;IF(AND(Catalog!T341&lt;&gt;"",COUNTIF(Catalog!$T$2:$T$501,Catalog!T341)&gt;1),"Duplicate ISBN; ","")&amp;IF(AND(Catalog!B341&lt;&gt;"",COUNTIF(Catalog!$B$2:$B$501,Catalog!B341)&gt;1),"Duplicate Accession; ",""))</f>
        <v/>
      </c>
    </row>
    <row r="366" spans="1:3" x14ac:dyDescent="0.25">
      <c r="A366" s="24" t="str">
        <f>Catalog!A342</f>
        <v/>
      </c>
      <c r="B366" s="25">
        <f>Catalog!D342</f>
        <v>0</v>
      </c>
      <c r="C366" s="26" t="str">
        <f>IF(Catalog!D342="","",IF(ISBLANK(Catalog!F342),"Missing Creator; ","")&amp;IF(ISBLANK(Catalog!K342),"Missing Item Type; ","")&amp;IF(ISBLANK(Catalog!L342),"Missing Subject; ","")&amp;IF(ISBLANK(Catalog!M342),"Missing Genre/Form; ","")&amp;IF(ISBLANK(Catalog!X342),"Missing Location Type; ","")&amp;IF(ISBLANK(Catalog!Y342),"Missing Location Id; ","")&amp;IF(AND(Catalog!T342&lt;&gt;"",COUNTIF(Catalog!$T$2:$T$501,Catalog!T342)&gt;1),"Duplicate ISBN; ","")&amp;IF(AND(Catalog!B342&lt;&gt;"",COUNTIF(Catalog!$B$2:$B$501,Catalog!B342)&gt;1),"Duplicate Accession; ",""))</f>
        <v/>
      </c>
    </row>
    <row r="367" spans="1:3" x14ac:dyDescent="0.25">
      <c r="A367" s="24" t="str">
        <f>Catalog!A343</f>
        <v/>
      </c>
      <c r="B367" s="25">
        <f>Catalog!D343</f>
        <v>0</v>
      </c>
      <c r="C367" s="26" t="str">
        <f>IF(Catalog!D343="","",IF(ISBLANK(Catalog!F343),"Missing Creator; ","")&amp;IF(ISBLANK(Catalog!K343),"Missing Item Type; ","")&amp;IF(ISBLANK(Catalog!L343),"Missing Subject; ","")&amp;IF(ISBLANK(Catalog!M343),"Missing Genre/Form; ","")&amp;IF(ISBLANK(Catalog!X343),"Missing Location Type; ","")&amp;IF(ISBLANK(Catalog!Y343),"Missing Location Id; ","")&amp;IF(AND(Catalog!T343&lt;&gt;"",COUNTIF(Catalog!$T$2:$T$501,Catalog!T343)&gt;1),"Duplicate ISBN; ","")&amp;IF(AND(Catalog!B343&lt;&gt;"",COUNTIF(Catalog!$B$2:$B$501,Catalog!B343)&gt;1),"Duplicate Accession; ",""))</f>
        <v/>
      </c>
    </row>
    <row r="368" spans="1:3" x14ac:dyDescent="0.25">
      <c r="A368" s="24" t="str">
        <f>Catalog!A344</f>
        <v/>
      </c>
      <c r="B368" s="25">
        <f>Catalog!D344</f>
        <v>0</v>
      </c>
      <c r="C368" s="26" t="str">
        <f>IF(Catalog!D344="","",IF(ISBLANK(Catalog!F344),"Missing Creator; ","")&amp;IF(ISBLANK(Catalog!K344),"Missing Item Type; ","")&amp;IF(ISBLANK(Catalog!L344),"Missing Subject; ","")&amp;IF(ISBLANK(Catalog!M344),"Missing Genre/Form; ","")&amp;IF(ISBLANK(Catalog!X344),"Missing Location Type; ","")&amp;IF(ISBLANK(Catalog!Y344),"Missing Location Id; ","")&amp;IF(AND(Catalog!T344&lt;&gt;"",COUNTIF(Catalog!$T$2:$T$501,Catalog!T344)&gt;1),"Duplicate ISBN; ","")&amp;IF(AND(Catalog!B344&lt;&gt;"",COUNTIF(Catalog!$B$2:$B$501,Catalog!B344)&gt;1),"Duplicate Accession; ",""))</f>
        <v/>
      </c>
    </row>
    <row r="369" spans="1:3" x14ac:dyDescent="0.25">
      <c r="A369" s="24" t="str">
        <f>Catalog!A345</f>
        <v/>
      </c>
      <c r="B369" s="25">
        <f>Catalog!D345</f>
        <v>0</v>
      </c>
      <c r="C369" s="26" t="str">
        <f>IF(Catalog!D345="","",IF(ISBLANK(Catalog!F345),"Missing Creator; ","")&amp;IF(ISBLANK(Catalog!K345),"Missing Item Type; ","")&amp;IF(ISBLANK(Catalog!L345),"Missing Subject; ","")&amp;IF(ISBLANK(Catalog!M345),"Missing Genre/Form; ","")&amp;IF(ISBLANK(Catalog!X345),"Missing Location Type; ","")&amp;IF(ISBLANK(Catalog!Y345),"Missing Location Id; ","")&amp;IF(AND(Catalog!T345&lt;&gt;"",COUNTIF(Catalog!$T$2:$T$501,Catalog!T345)&gt;1),"Duplicate ISBN; ","")&amp;IF(AND(Catalog!B345&lt;&gt;"",COUNTIF(Catalog!$B$2:$B$501,Catalog!B345)&gt;1),"Duplicate Accession; ",""))</f>
        <v/>
      </c>
    </row>
    <row r="370" spans="1:3" x14ac:dyDescent="0.25">
      <c r="A370" s="24" t="str">
        <f>Catalog!A346</f>
        <v/>
      </c>
      <c r="B370" s="25">
        <f>Catalog!D346</f>
        <v>0</v>
      </c>
      <c r="C370" s="26" t="str">
        <f>IF(Catalog!D346="","",IF(ISBLANK(Catalog!F346),"Missing Creator; ","")&amp;IF(ISBLANK(Catalog!K346),"Missing Item Type; ","")&amp;IF(ISBLANK(Catalog!L346),"Missing Subject; ","")&amp;IF(ISBLANK(Catalog!M346),"Missing Genre/Form; ","")&amp;IF(ISBLANK(Catalog!X346),"Missing Location Type; ","")&amp;IF(ISBLANK(Catalog!Y346),"Missing Location Id; ","")&amp;IF(AND(Catalog!T346&lt;&gt;"",COUNTIF(Catalog!$T$2:$T$501,Catalog!T346)&gt;1),"Duplicate ISBN; ","")&amp;IF(AND(Catalog!B346&lt;&gt;"",COUNTIF(Catalog!$B$2:$B$501,Catalog!B346)&gt;1),"Duplicate Accession; ",""))</f>
        <v/>
      </c>
    </row>
    <row r="371" spans="1:3" x14ac:dyDescent="0.25">
      <c r="A371" s="24" t="str">
        <f>Catalog!A347</f>
        <v/>
      </c>
      <c r="B371" s="25">
        <f>Catalog!D347</f>
        <v>0</v>
      </c>
      <c r="C371" s="26" t="str">
        <f>IF(Catalog!D347="","",IF(ISBLANK(Catalog!F347),"Missing Creator; ","")&amp;IF(ISBLANK(Catalog!K347),"Missing Item Type; ","")&amp;IF(ISBLANK(Catalog!L347),"Missing Subject; ","")&amp;IF(ISBLANK(Catalog!M347),"Missing Genre/Form; ","")&amp;IF(ISBLANK(Catalog!X347),"Missing Location Type; ","")&amp;IF(ISBLANK(Catalog!Y347),"Missing Location Id; ","")&amp;IF(AND(Catalog!T347&lt;&gt;"",COUNTIF(Catalog!$T$2:$T$501,Catalog!T347)&gt;1),"Duplicate ISBN; ","")&amp;IF(AND(Catalog!B347&lt;&gt;"",COUNTIF(Catalog!$B$2:$B$501,Catalog!B347)&gt;1),"Duplicate Accession; ",""))</f>
        <v/>
      </c>
    </row>
    <row r="372" spans="1:3" x14ac:dyDescent="0.25">
      <c r="A372" s="24" t="str">
        <f>Catalog!A348</f>
        <v/>
      </c>
      <c r="B372" s="25">
        <f>Catalog!D348</f>
        <v>0</v>
      </c>
      <c r="C372" s="26" t="str">
        <f>IF(Catalog!D348="","",IF(ISBLANK(Catalog!F348),"Missing Creator; ","")&amp;IF(ISBLANK(Catalog!K348),"Missing Item Type; ","")&amp;IF(ISBLANK(Catalog!L348),"Missing Subject; ","")&amp;IF(ISBLANK(Catalog!M348),"Missing Genre/Form; ","")&amp;IF(ISBLANK(Catalog!X348),"Missing Location Type; ","")&amp;IF(ISBLANK(Catalog!Y348),"Missing Location Id; ","")&amp;IF(AND(Catalog!T348&lt;&gt;"",COUNTIF(Catalog!$T$2:$T$501,Catalog!T348)&gt;1),"Duplicate ISBN; ","")&amp;IF(AND(Catalog!B348&lt;&gt;"",COUNTIF(Catalog!$B$2:$B$501,Catalog!B348)&gt;1),"Duplicate Accession; ",""))</f>
        <v/>
      </c>
    </row>
    <row r="373" spans="1:3" x14ac:dyDescent="0.25">
      <c r="A373" s="24" t="str">
        <f>Catalog!A349</f>
        <v/>
      </c>
      <c r="B373" s="25">
        <f>Catalog!D349</f>
        <v>0</v>
      </c>
      <c r="C373" s="26" t="str">
        <f>IF(Catalog!D349="","",IF(ISBLANK(Catalog!F349),"Missing Creator; ","")&amp;IF(ISBLANK(Catalog!K349),"Missing Item Type; ","")&amp;IF(ISBLANK(Catalog!L349),"Missing Subject; ","")&amp;IF(ISBLANK(Catalog!M349),"Missing Genre/Form; ","")&amp;IF(ISBLANK(Catalog!X349),"Missing Location Type; ","")&amp;IF(ISBLANK(Catalog!Y349),"Missing Location Id; ","")&amp;IF(AND(Catalog!T349&lt;&gt;"",COUNTIF(Catalog!$T$2:$T$501,Catalog!T349)&gt;1),"Duplicate ISBN; ","")&amp;IF(AND(Catalog!B349&lt;&gt;"",COUNTIF(Catalog!$B$2:$B$501,Catalog!B349)&gt;1),"Duplicate Accession; ",""))</f>
        <v/>
      </c>
    </row>
    <row r="374" spans="1:3" x14ac:dyDescent="0.25">
      <c r="A374" s="24" t="str">
        <f>Catalog!A350</f>
        <v/>
      </c>
      <c r="B374" s="25">
        <f>Catalog!D350</f>
        <v>0</v>
      </c>
      <c r="C374" s="26" t="str">
        <f>IF(Catalog!D350="","",IF(ISBLANK(Catalog!F350),"Missing Creator; ","")&amp;IF(ISBLANK(Catalog!K350),"Missing Item Type; ","")&amp;IF(ISBLANK(Catalog!L350),"Missing Subject; ","")&amp;IF(ISBLANK(Catalog!M350),"Missing Genre/Form; ","")&amp;IF(ISBLANK(Catalog!X350),"Missing Location Type; ","")&amp;IF(ISBLANK(Catalog!Y350),"Missing Location Id; ","")&amp;IF(AND(Catalog!T350&lt;&gt;"",COUNTIF(Catalog!$T$2:$T$501,Catalog!T350)&gt;1),"Duplicate ISBN; ","")&amp;IF(AND(Catalog!B350&lt;&gt;"",COUNTIF(Catalog!$B$2:$B$501,Catalog!B350)&gt;1),"Duplicate Accession; ",""))</f>
        <v/>
      </c>
    </row>
    <row r="375" spans="1:3" x14ac:dyDescent="0.25">
      <c r="A375" s="24" t="str">
        <f>Catalog!A351</f>
        <v/>
      </c>
      <c r="B375" s="25">
        <f>Catalog!D351</f>
        <v>0</v>
      </c>
      <c r="C375" s="26" t="str">
        <f>IF(Catalog!D351="","",IF(ISBLANK(Catalog!F351),"Missing Creator; ","")&amp;IF(ISBLANK(Catalog!K351),"Missing Item Type; ","")&amp;IF(ISBLANK(Catalog!L351),"Missing Subject; ","")&amp;IF(ISBLANK(Catalog!M351),"Missing Genre/Form; ","")&amp;IF(ISBLANK(Catalog!X351),"Missing Location Type; ","")&amp;IF(ISBLANK(Catalog!Y351),"Missing Location Id; ","")&amp;IF(AND(Catalog!T351&lt;&gt;"",COUNTIF(Catalog!$T$2:$T$501,Catalog!T351)&gt;1),"Duplicate ISBN; ","")&amp;IF(AND(Catalog!B351&lt;&gt;"",COUNTIF(Catalog!$B$2:$B$501,Catalog!B351)&gt;1),"Duplicate Accession; ",""))</f>
        <v/>
      </c>
    </row>
    <row r="376" spans="1:3" x14ac:dyDescent="0.25">
      <c r="A376" s="24" t="str">
        <f>Catalog!A352</f>
        <v/>
      </c>
      <c r="B376" s="25">
        <f>Catalog!D352</f>
        <v>0</v>
      </c>
      <c r="C376" s="26" t="str">
        <f>IF(Catalog!D352="","",IF(ISBLANK(Catalog!F352),"Missing Creator; ","")&amp;IF(ISBLANK(Catalog!K352),"Missing Item Type; ","")&amp;IF(ISBLANK(Catalog!L352),"Missing Subject; ","")&amp;IF(ISBLANK(Catalog!M352),"Missing Genre/Form; ","")&amp;IF(ISBLANK(Catalog!X352),"Missing Location Type; ","")&amp;IF(ISBLANK(Catalog!Y352),"Missing Location Id; ","")&amp;IF(AND(Catalog!T352&lt;&gt;"",COUNTIF(Catalog!$T$2:$T$501,Catalog!T352)&gt;1),"Duplicate ISBN; ","")&amp;IF(AND(Catalog!B352&lt;&gt;"",COUNTIF(Catalog!$B$2:$B$501,Catalog!B352)&gt;1),"Duplicate Accession; ",""))</f>
        <v/>
      </c>
    </row>
    <row r="377" spans="1:3" x14ac:dyDescent="0.25">
      <c r="A377" s="24" t="str">
        <f>Catalog!A353</f>
        <v/>
      </c>
      <c r="B377" s="25">
        <f>Catalog!D353</f>
        <v>0</v>
      </c>
      <c r="C377" s="26" t="str">
        <f>IF(Catalog!D353="","",IF(ISBLANK(Catalog!F353),"Missing Creator; ","")&amp;IF(ISBLANK(Catalog!K353),"Missing Item Type; ","")&amp;IF(ISBLANK(Catalog!L353),"Missing Subject; ","")&amp;IF(ISBLANK(Catalog!M353),"Missing Genre/Form; ","")&amp;IF(ISBLANK(Catalog!X353),"Missing Location Type; ","")&amp;IF(ISBLANK(Catalog!Y353),"Missing Location Id; ","")&amp;IF(AND(Catalog!T353&lt;&gt;"",COUNTIF(Catalog!$T$2:$T$501,Catalog!T353)&gt;1),"Duplicate ISBN; ","")&amp;IF(AND(Catalog!B353&lt;&gt;"",COUNTIF(Catalog!$B$2:$B$501,Catalog!B353)&gt;1),"Duplicate Accession; ",""))</f>
        <v/>
      </c>
    </row>
    <row r="378" spans="1:3" x14ac:dyDescent="0.25">
      <c r="A378" s="24" t="str">
        <f>Catalog!A354</f>
        <v/>
      </c>
      <c r="B378" s="25">
        <f>Catalog!D354</f>
        <v>0</v>
      </c>
      <c r="C378" s="26" t="str">
        <f>IF(Catalog!D354="","",IF(ISBLANK(Catalog!F354),"Missing Creator; ","")&amp;IF(ISBLANK(Catalog!K354),"Missing Item Type; ","")&amp;IF(ISBLANK(Catalog!L354),"Missing Subject; ","")&amp;IF(ISBLANK(Catalog!M354),"Missing Genre/Form; ","")&amp;IF(ISBLANK(Catalog!X354),"Missing Location Type; ","")&amp;IF(ISBLANK(Catalog!Y354),"Missing Location Id; ","")&amp;IF(AND(Catalog!T354&lt;&gt;"",COUNTIF(Catalog!$T$2:$T$501,Catalog!T354)&gt;1),"Duplicate ISBN; ","")&amp;IF(AND(Catalog!B354&lt;&gt;"",COUNTIF(Catalog!$B$2:$B$501,Catalog!B354)&gt;1),"Duplicate Accession; ",""))</f>
        <v/>
      </c>
    </row>
    <row r="379" spans="1:3" x14ac:dyDescent="0.25">
      <c r="A379" s="24" t="str">
        <f>Catalog!A355</f>
        <v/>
      </c>
      <c r="B379" s="25">
        <f>Catalog!D355</f>
        <v>0</v>
      </c>
      <c r="C379" s="26" t="str">
        <f>IF(Catalog!D355="","",IF(ISBLANK(Catalog!F355),"Missing Creator; ","")&amp;IF(ISBLANK(Catalog!K355),"Missing Item Type; ","")&amp;IF(ISBLANK(Catalog!L355),"Missing Subject; ","")&amp;IF(ISBLANK(Catalog!M355),"Missing Genre/Form; ","")&amp;IF(ISBLANK(Catalog!X355),"Missing Location Type; ","")&amp;IF(ISBLANK(Catalog!Y355),"Missing Location Id; ","")&amp;IF(AND(Catalog!T355&lt;&gt;"",COUNTIF(Catalog!$T$2:$T$501,Catalog!T355)&gt;1),"Duplicate ISBN; ","")&amp;IF(AND(Catalog!B355&lt;&gt;"",COUNTIF(Catalog!$B$2:$B$501,Catalog!B355)&gt;1),"Duplicate Accession; ",""))</f>
        <v/>
      </c>
    </row>
    <row r="380" spans="1:3" x14ac:dyDescent="0.25">
      <c r="A380" s="24" t="str">
        <f>Catalog!A356</f>
        <v/>
      </c>
      <c r="B380" s="25">
        <f>Catalog!D356</f>
        <v>0</v>
      </c>
      <c r="C380" s="26" t="str">
        <f>IF(Catalog!D356="","",IF(ISBLANK(Catalog!F356),"Missing Creator; ","")&amp;IF(ISBLANK(Catalog!K356),"Missing Item Type; ","")&amp;IF(ISBLANK(Catalog!L356),"Missing Subject; ","")&amp;IF(ISBLANK(Catalog!M356),"Missing Genre/Form; ","")&amp;IF(ISBLANK(Catalog!X356),"Missing Location Type; ","")&amp;IF(ISBLANK(Catalog!Y356),"Missing Location Id; ","")&amp;IF(AND(Catalog!T356&lt;&gt;"",COUNTIF(Catalog!$T$2:$T$501,Catalog!T356)&gt;1),"Duplicate ISBN; ","")&amp;IF(AND(Catalog!B356&lt;&gt;"",COUNTIF(Catalog!$B$2:$B$501,Catalog!B356)&gt;1),"Duplicate Accession; ",""))</f>
        <v/>
      </c>
    </row>
    <row r="381" spans="1:3" x14ac:dyDescent="0.25">
      <c r="A381" s="24" t="str">
        <f>Catalog!A357</f>
        <v/>
      </c>
      <c r="B381" s="25">
        <f>Catalog!D357</f>
        <v>0</v>
      </c>
      <c r="C381" s="26" t="str">
        <f>IF(Catalog!D357="","",IF(ISBLANK(Catalog!F357),"Missing Creator; ","")&amp;IF(ISBLANK(Catalog!K357),"Missing Item Type; ","")&amp;IF(ISBLANK(Catalog!L357),"Missing Subject; ","")&amp;IF(ISBLANK(Catalog!M357),"Missing Genre/Form; ","")&amp;IF(ISBLANK(Catalog!X357),"Missing Location Type; ","")&amp;IF(ISBLANK(Catalog!Y357),"Missing Location Id; ","")&amp;IF(AND(Catalog!T357&lt;&gt;"",COUNTIF(Catalog!$T$2:$T$501,Catalog!T357)&gt;1),"Duplicate ISBN; ","")&amp;IF(AND(Catalog!B357&lt;&gt;"",COUNTIF(Catalog!$B$2:$B$501,Catalog!B357)&gt;1),"Duplicate Accession; ",""))</f>
        <v/>
      </c>
    </row>
    <row r="382" spans="1:3" x14ac:dyDescent="0.25">
      <c r="A382" s="24" t="str">
        <f>Catalog!A358</f>
        <v/>
      </c>
      <c r="B382" s="25">
        <f>Catalog!D358</f>
        <v>0</v>
      </c>
      <c r="C382" s="26" t="str">
        <f>IF(Catalog!D358="","",IF(ISBLANK(Catalog!F358),"Missing Creator; ","")&amp;IF(ISBLANK(Catalog!K358),"Missing Item Type; ","")&amp;IF(ISBLANK(Catalog!L358),"Missing Subject; ","")&amp;IF(ISBLANK(Catalog!M358),"Missing Genre/Form; ","")&amp;IF(ISBLANK(Catalog!X358),"Missing Location Type; ","")&amp;IF(ISBLANK(Catalog!Y358),"Missing Location Id; ","")&amp;IF(AND(Catalog!T358&lt;&gt;"",COUNTIF(Catalog!$T$2:$T$501,Catalog!T358)&gt;1),"Duplicate ISBN; ","")&amp;IF(AND(Catalog!B358&lt;&gt;"",COUNTIF(Catalog!$B$2:$B$501,Catalog!B358)&gt;1),"Duplicate Accession; ",""))</f>
        <v/>
      </c>
    </row>
    <row r="383" spans="1:3" x14ac:dyDescent="0.25">
      <c r="A383" s="24" t="str">
        <f>Catalog!A359</f>
        <v/>
      </c>
      <c r="B383" s="25">
        <f>Catalog!D359</f>
        <v>0</v>
      </c>
      <c r="C383" s="26" t="str">
        <f>IF(Catalog!D359="","",IF(ISBLANK(Catalog!F359),"Missing Creator; ","")&amp;IF(ISBLANK(Catalog!K359),"Missing Item Type; ","")&amp;IF(ISBLANK(Catalog!L359),"Missing Subject; ","")&amp;IF(ISBLANK(Catalog!M359),"Missing Genre/Form; ","")&amp;IF(ISBLANK(Catalog!X359),"Missing Location Type; ","")&amp;IF(ISBLANK(Catalog!Y359),"Missing Location Id; ","")&amp;IF(AND(Catalog!T359&lt;&gt;"",COUNTIF(Catalog!$T$2:$T$501,Catalog!T359)&gt;1),"Duplicate ISBN; ","")&amp;IF(AND(Catalog!B359&lt;&gt;"",COUNTIF(Catalog!$B$2:$B$501,Catalog!B359)&gt;1),"Duplicate Accession; ",""))</f>
        <v/>
      </c>
    </row>
    <row r="384" spans="1:3" x14ac:dyDescent="0.25">
      <c r="A384" s="24" t="str">
        <f>Catalog!A360</f>
        <v/>
      </c>
      <c r="B384" s="25">
        <f>Catalog!D360</f>
        <v>0</v>
      </c>
      <c r="C384" s="26" t="str">
        <f>IF(Catalog!D360="","",IF(ISBLANK(Catalog!F360),"Missing Creator; ","")&amp;IF(ISBLANK(Catalog!K360),"Missing Item Type; ","")&amp;IF(ISBLANK(Catalog!L360),"Missing Subject; ","")&amp;IF(ISBLANK(Catalog!M360),"Missing Genre/Form; ","")&amp;IF(ISBLANK(Catalog!X360),"Missing Location Type; ","")&amp;IF(ISBLANK(Catalog!Y360),"Missing Location Id; ","")&amp;IF(AND(Catalog!T360&lt;&gt;"",COUNTIF(Catalog!$T$2:$T$501,Catalog!T360)&gt;1),"Duplicate ISBN; ","")&amp;IF(AND(Catalog!B360&lt;&gt;"",COUNTIF(Catalog!$B$2:$B$501,Catalog!B360)&gt;1),"Duplicate Accession; ",""))</f>
        <v/>
      </c>
    </row>
    <row r="385" spans="1:3" x14ac:dyDescent="0.25">
      <c r="A385" s="24" t="str">
        <f>Catalog!A361</f>
        <v/>
      </c>
      <c r="B385" s="25">
        <f>Catalog!D361</f>
        <v>0</v>
      </c>
      <c r="C385" s="26" t="str">
        <f>IF(Catalog!D361="","",IF(ISBLANK(Catalog!F361),"Missing Creator; ","")&amp;IF(ISBLANK(Catalog!K361),"Missing Item Type; ","")&amp;IF(ISBLANK(Catalog!L361),"Missing Subject; ","")&amp;IF(ISBLANK(Catalog!M361),"Missing Genre/Form; ","")&amp;IF(ISBLANK(Catalog!X361),"Missing Location Type; ","")&amp;IF(ISBLANK(Catalog!Y361),"Missing Location Id; ","")&amp;IF(AND(Catalog!T361&lt;&gt;"",COUNTIF(Catalog!$T$2:$T$501,Catalog!T361)&gt;1),"Duplicate ISBN; ","")&amp;IF(AND(Catalog!B361&lt;&gt;"",COUNTIF(Catalog!$B$2:$B$501,Catalog!B361)&gt;1),"Duplicate Accession; ",""))</f>
        <v/>
      </c>
    </row>
    <row r="386" spans="1:3" x14ac:dyDescent="0.25">
      <c r="A386" s="24" t="str">
        <f>Catalog!A362</f>
        <v/>
      </c>
      <c r="B386" s="25">
        <f>Catalog!D362</f>
        <v>0</v>
      </c>
      <c r="C386" s="26" t="str">
        <f>IF(Catalog!D362="","",IF(ISBLANK(Catalog!F362),"Missing Creator; ","")&amp;IF(ISBLANK(Catalog!K362),"Missing Item Type; ","")&amp;IF(ISBLANK(Catalog!L362),"Missing Subject; ","")&amp;IF(ISBLANK(Catalog!M362),"Missing Genre/Form; ","")&amp;IF(ISBLANK(Catalog!X362),"Missing Location Type; ","")&amp;IF(ISBLANK(Catalog!Y362),"Missing Location Id; ","")&amp;IF(AND(Catalog!T362&lt;&gt;"",COUNTIF(Catalog!$T$2:$T$501,Catalog!T362)&gt;1),"Duplicate ISBN; ","")&amp;IF(AND(Catalog!B362&lt;&gt;"",COUNTIF(Catalog!$B$2:$B$501,Catalog!B362)&gt;1),"Duplicate Accession; ",""))</f>
        <v/>
      </c>
    </row>
    <row r="387" spans="1:3" x14ac:dyDescent="0.25">
      <c r="A387" s="24" t="str">
        <f>Catalog!A363</f>
        <v/>
      </c>
      <c r="B387" s="25">
        <f>Catalog!D363</f>
        <v>0</v>
      </c>
      <c r="C387" s="26" t="str">
        <f>IF(Catalog!D363="","",IF(ISBLANK(Catalog!F363),"Missing Creator; ","")&amp;IF(ISBLANK(Catalog!K363),"Missing Item Type; ","")&amp;IF(ISBLANK(Catalog!L363),"Missing Subject; ","")&amp;IF(ISBLANK(Catalog!M363),"Missing Genre/Form; ","")&amp;IF(ISBLANK(Catalog!X363),"Missing Location Type; ","")&amp;IF(ISBLANK(Catalog!Y363),"Missing Location Id; ","")&amp;IF(AND(Catalog!T363&lt;&gt;"",COUNTIF(Catalog!$T$2:$T$501,Catalog!T363)&gt;1),"Duplicate ISBN; ","")&amp;IF(AND(Catalog!B363&lt;&gt;"",COUNTIF(Catalog!$B$2:$B$501,Catalog!B363)&gt;1),"Duplicate Accession; ",""))</f>
        <v/>
      </c>
    </row>
    <row r="388" spans="1:3" x14ac:dyDescent="0.25">
      <c r="A388" s="24" t="str">
        <f>Catalog!A364</f>
        <v/>
      </c>
      <c r="B388" s="25">
        <f>Catalog!D364</f>
        <v>0</v>
      </c>
      <c r="C388" s="26" t="str">
        <f>IF(Catalog!D364="","",IF(ISBLANK(Catalog!F364),"Missing Creator; ","")&amp;IF(ISBLANK(Catalog!K364),"Missing Item Type; ","")&amp;IF(ISBLANK(Catalog!L364),"Missing Subject; ","")&amp;IF(ISBLANK(Catalog!M364),"Missing Genre/Form; ","")&amp;IF(ISBLANK(Catalog!X364),"Missing Location Type; ","")&amp;IF(ISBLANK(Catalog!Y364),"Missing Location Id; ","")&amp;IF(AND(Catalog!T364&lt;&gt;"",COUNTIF(Catalog!$T$2:$T$501,Catalog!T364)&gt;1),"Duplicate ISBN; ","")&amp;IF(AND(Catalog!B364&lt;&gt;"",COUNTIF(Catalog!$B$2:$B$501,Catalog!B364)&gt;1),"Duplicate Accession; ",""))</f>
        <v/>
      </c>
    </row>
    <row r="389" spans="1:3" x14ac:dyDescent="0.25">
      <c r="A389" s="24" t="str">
        <f>Catalog!A365</f>
        <v/>
      </c>
      <c r="B389" s="25">
        <f>Catalog!D365</f>
        <v>0</v>
      </c>
      <c r="C389" s="26" t="str">
        <f>IF(Catalog!D365="","",IF(ISBLANK(Catalog!F365),"Missing Creator; ","")&amp;IF(ISBLANK(Catalog!K365),"Missing Item Type; ","")&amp;IF(ISBLANK(Catalog!L365),"Missing Subject; ","")&amp;IF(ISBLANK(Catalog!M365),"Missing Genre/Form; ","")&amp;IF(ISBLANK(Catalog!X365),"Missing Location Type; ","")&amp;IF(ISBLANK(Catalog!Y365),"Missing Location Id; ","")&amp;IF(AND(Catalog!T365&lt;&gt;"",COUNTIF(Catalog!$T$2:$T$501,Catalog!T365)&gt;1),"Duplicate ISBN; ","")&amp;IF(AND(Catalog!B365&lt;&gt;"",COUNTIF(Catalog!$B$2:$B$501,Catalog!B365)&gt;1),"Duplicate Accession; ",""))</f>
        <v/>
      </c>
    </row>
    <row r="390" spans="1:3" x14ac:dyDescent="0.25">
      <c r="A390" s="24" t="str">
        <f>Catalog!A366</f>
        <v/>
      </c>
      <c r="B390" s="25">
        <f>Catalog!D366</f>
        <v>0</v>
      </c>
      <c r="C390" s="26" t="str">
        <f>IF(Catalog!D366="","",IF(ISBLANK(Catalog!F366),"Missing Creator; ","")&amp;IF(ISBLANK(Catalog!K366),"Missing Item Type; ","")&amp;IF(ISBLANK(Catalog!L366),"Missing Subject; ","")&amp;IF(ISBLANK(Catalog!M366),"Missing Genre/Form; ","")&amp;IF(ISBLANK(Catalog!X366),"Missing Location Type; ","")&amp;IF(ISBLANK(Catalog!Y366),"Missing Location Id; ","")&amp;IF(AND(Catalog!T366&lt;&gt;"",COUNTIF(Catalog!$T$2:$T$501,Catalog!T366)&gt;1),"Duplicate ISBN; ","")&amp;IF(AND(Catalog!B366&lt;&gt;"",COUNTIF(Catalog!$B$2:$B$501,Catalog!B366)&gt;1),"Duplicate Accession; ",""))</f>
        <v/>
      </c>
    </row>
    <row r="391" spans="1:3" x14ac:dyDescent="0.25">
      <c r="A391" s="24" t="str">
        <f>Catalog!A367</f>
        <v/>
      </c>
      <c r="B391" s="25">
        <f>Catalog!D367</f>
        <v>0</v>
      </c>
      <c r="C391" s="26" t="str">
        <f>IF(Catalog!D367="","",IF(ISBLANK(Catalog!F367),"Missing Creator; ","")&amp;IF(ISBLANK(Catalog!K367),"Missing Item Type; ","")&amp;IF(ISBLANK(Catalog!L367),"Missing Subject; ","")&amp;IF(ISBLANK(Catalog!M367),"Missing Genre/Form; ","")&amp;IF(ISBLANK(Catalog!X367),"Missing Location Type; ","")&amp;IF(ISBLANK(Catalog!Y367),"Missing Location Id; ","")&amp;IF(AND(Catalog!T367&lt;&gt;"",COUNTIF(Catalog!$T$2:$T$501,Catalog!T367)&gt;1),"Duplicate ISBN; ","")&amp;IF(AND(Catalog!B367&lt;&gt;"",COUNTIF(Catalog!$B$2:$B$501,Catalog!B367)&gt;1),"Duplicate Accession; ",""))</f>
        <v/>
      </c>
    </row>
    <row r="392" spans="1:3" x14ac:dyDescent="0.25">
      <c r="A392" s="24" t="str">
        <f>Catalog!A368</f>
        <v/>
      </c>
      <c r="B392" s="25">
        <f>Catalog!D368</f>
        <v>0</v>
      </c>
      <c r="C392" s="26" t="str">
        <f>IF(Catalog!D368="","",IF(ISBLANK(Catalog!F368),"Missing Creator; ","")&amp;IF(ISBLANK(Catalog!K368),"Missing Item Type; ","")&amp;IF(ISBLANK(Catalog!L368),"Missing Subject; ","")&amp;IF(ISBLANK(Catalog!M368),"Missing Genre/Form; ","")&amp;IF(ISBLANK(Catalog!X368),"Missing Location Type; ","")&amp;IF(ISBLANK(Catalog!Y368),"Missing Location Id; ","")&amp;IF(AND(Catalog!T368&lt;&gt;"",COUNTIF(Catalog!$T$2:$T$501,Catalog!T368)&gt;1),"Duplicate ISBN; ","")&amp;IF(AND(Catalog!B368&lt;&gt;"",COUNTIF(Catalog!$B$2:$B$501,Catalog!B368)&gt;1),"Duplicate Accession; ",""))</f>
        <v/>
      </c>
    </row>
    <row r="393" spans="1:3" x14ac:dyDescent="0.25">
      <c r="A393" s="24" t="str">
        <f>Catalog!A369</f>
        <v/>
      </c>
      <c r="B393" s="25">
        <f>Catalog!D369</f>
        <v>0</v>
      </c>
      <c r="C393" s="26" t="str">
        <f>IF(Catalog!D369="","",IF(ISBLANK(Catalog!F369),"Missing Creator; ","")&amp;IF(ISBLANK(Catalog!K369),"Missing Item Type; ","")&amp;IF(ISBLANK(Catalog!L369),"Missing Subject; ","")&amp;IF(ISBLANK(Catalog!M369),"Missing Genre/Form; ","")&amp;IF(ISBLANK(Catalog!X369),"Missing Location Type; ","")&amp;IF(ISBLANK(Catalog!Y369),"Missing Location Id; ","")&amp;IF(AND(Catalog!T369&lt;&gt;"",COUNTIF(Catalog!$T$2:$T$501,Catalog!T369)&gt;1),"Duplicate ISBN; ","")&amp;IF(AND(Catalog!B369&lt;&gt;"",COUNTIF(Catalog!$B$2:$B$501,Catalog!B369)&gt;1),"Duplicate Accession; ",""))</f>
        <v/>
      </c>
    </row>
    <row r="394" spans="1:3" x14ac:dyDescent="0.25">
      <c r="A394" s="24" t="str">
        <f>Catalog!A370</f>
        <v/>
      </c>
      <c r="B394" s="25">
        <f>Catalog!D370</f>
        <v>0</v>
      </c>
      <c r="C394" s="26" t="str">
        <f>IF(Catalog!D370="","",IF(ISBLANK(Catalog!F370),"Missing Creator; ","")&amp;IF(ISBLANK(Catalog!K370),"Missing Item Type; ","")&amp;IF(ISBLANK(Catalog!L370),"Missing Subject; ","")&amp;IF(ISBLANK(Catalog!M370),"Missing Genre/Form; ","")&amp;IF(ISBLANK(Catalog!X370),"Missing Location Type; ","")&amp;IF(ISBLANK(Catalog!Y370),"Missing Location Id; ","")&amp;IF(AND(Catalog!T370&lt;&gt;"",COUNTIF(Catalog!$T$2:$T$501,Catalog!T370)&gt;1),"Duplicate ISBN; ","")&amp;IF(AND(Catalog!B370&lt;&gt;"",COUNTIF(Catalog!$B$2:$B$501,Catalog!B370)&gt;1),"Duplicate Accession; ",""))</f>
        <v/>
      </c>
    </row>
    <row r="395" spans="1:3" x14ac:dyDescent="0.25">
      <c r="A395" s="24" t="str">
        <f>Catalog!A371</f>
        <v/>
      </c>
      <c r="B395" s="25">
        <f>Catalog!D371</f>
        <v>0</v>
      </c>
      <c r="C395" s="26" t="str">
        <f>IF(Catalog!D371="","",IF(ISBLANK(Catalog!F371),"Missing Creator; ","")&amp;IF(ISBLANK(Catalog!K371),"Missing Item Type; ","")&amp;IF(ISBLANK(Catalog!L371),"Missing Subject; ","")&amp;IF(ISBLANK(Catalog!M371),"Missing Genre/Form; ","")&amp;IF(ISBLANK(Catalog!X371),"Missing Location Type; ","")&amp;IF(ISBLANK(Catalog!Y371),"Missing Location Id; ","")&amp;IF(AND(Catalog!T371&lt;&gt;"",COUNTIF(Catalog!$T$2:$T$501,Catalog!T371)&gt;1),"Duplicate ISBN; ","")&amp;IF(AND(Catalog!B371&lt;&gt;"",COUNTIF(Catalog!$B$2:$B$501,Catalog!B371)&gt;1),"Duplicate Accession; ",""))</f>
        <v/>
      </c>
    </row>
    <row r="396" spans="1:3" x14ac:dyDescent="0.25">
      <c r="A396" s="24" t="str">
        <f>Catalog!A372</f>
        <v/>
      </c>
      <c r="B396" s="25">
        <f>Catalog!D372</f>
        <v>0</v>
      </c>
      <c r="C396" s="26" t="str">
        <f>IF(Catalog!D372="","",IF(ISBLANK(Catalog!F372),"Missing Creator; ","")&amp;IF(ISBLANK(Catalog!K372),"Missing Item Type; ","")&amp;IF(ISBLANK(Catalog!L372),"Missing Subject; ","")&amp;IF(ISBLANK(Catalog!M372),"Missing Genre/Form; ","")&amp;IF(ISBLANK(Catalog!X372),"Missing Location Type; ","")&amp;IF(ISBLANK(Catalog!Y372),"Missing Location Id; ","")&amp;IF(AND(Catalog!T372&lt;&gt;"",COUNTIF(Catalog!$T$2:$T$501,Catalog!T372)&gt;1),"Duplicate ISBN; ","")&amp;IF(AND(Catalog!B372&lt;&gt;"",COUNTIF(Catalog!$B$2:$B$501,Catalog!B372)&gt;1),"Duplicate Accession; ",""))</f>
        <v/>
      </c>
    </row>
    <row r="397" spans="1:3" x14ac:dyDescent="0.25">
      <c r="A397" s="24" t="str">
        <f>Catalog!A373</f>
        <v/>
      </c>
      <c r="B397" s="25">
        <f>Catalog!D373</f>
        <v>0</v>
      </c>
      <c r="C397" s="26" t="str">
        <f>IF(Catalog!D373="","",IF(ISBLANK(Catalog!F373),"Missing Creator; ","")&amp;IF(ISBLANK(Catalog!K373),"Missing Item Type; ","")&amp;IF(ISBLANK(Catalog!L373),"Missing Subject; ","")&amp;IF(ISBLANK(Catalog!M373),"Missing Genre/Form; ","")&amp;IF(ISBLANK(Catalog!X373),"Missing Location Type; ","")&amp;IF(ISBLANK(Catalog!Y373),"Missing Location Id; ","")&amp;IF(AND(Catalog!T373&lt;&gt;"",COUNTIF(Catalog!$T$2:$T$501,Catalog!T373)&gt;1),"Duplicate ISBN; ","")&amp;IF(AND(Catalog!B373&lt;&gt;"",COUNTIF(Catalog!$B$2:$B$501,Catalog!B373)&gt;1),"Duplicate Accession; ",""))</f>
        <v/>
      </c>
    </row>
    <row r="398" spans="1:3" x14ac:dyDescent="0.25">
      <c r="A398" s="24" t="str">
        <f>Catalog!A374</f>
        <v/>
      </c>
      <c r="B398" s="25">
        <f>Catalog!D374</f>
        <v>0</v>
      </c>
      <c r="C398" s="26" t="str">
        <f>IF(Catalog!D374="","",IF(ISBLANK(Catalog!F374),"Missing Creator; ","")&amp;IF(ISBLANK(Catalog!K374),"Missing Item Type; ","")&amp;IF(ISBLANK(Catalog!L374),"Missing Subject; ","")&amp;IF(ISBLANK(Catalog!M374),"Missing Genre/Form; ","")&amp;IF(ISBLANK(Catalog!X374),"Missing Location Type; ","")&amp;IF(ISBLANK(Catalog!Y374),"Missing Location Id; ","")&amp;IF(AND(Catalog!T374&lt;&gt;"",COUNTIF(Catalog!$T$2:$T$501,Catalog!T374)&gt;1),"Duplicate ISBN; ","")&amp;IF(AND(Catalog!B374&lt;&gt;"",COUNTIF(Catalog!$B$2:$B$501,Catalog!B374)&gt;1),"Duplicate Accession; ",""))</f>
        <v/>
      </c>
    </row>
    <row r="399" spans="1:3" x14ac:dyDescent="0.25">
      <c r="A399" s="24" t="str">
        <f>Catalog!A375</f>
        <v/>
      </c>
      <c r="B399" s="25">
        <f>Catalog!D375</f>
        <v>0</v>
      </c>
      <c r="C399" s="26" t="str">
        <f>IF(Catalog!D375="","",IF(ISBLANK(Catalog!F375),"Missing Creator; ","")&amp;IF(ISBLANK(Catalog!K375),"Missing Item Type; ","")&amp;IF(ISBLANK(Catalog!L375),"Missing Subject; ","")&amp;IF(ISBLANK(Catalog!M375),"Missing Genre/Form; ","")&amp;IF(ISBLANK(Catalog!X375),"Missing Location Type; ","")&amp;IF(ISBLANK(Catalog!Y375),"Missing Location Id; ","")&amp;IF(AND(Catalog!T375&lt;&gt;"",COUNTIF(Catalog!$T$2:$T$501,Catalog!T375)&gt;1),"Duplicate ISBN; ","")&amp;IF(AND(Catalog!B375&lt;&gt;"",COUNTIF(Catalog!$B$2:$B$501,Catalog!B375)&gt;1),"Duplicate Accession; ",""))</f>
        <v/>
      </c>
    </row>
    <row r="400" spans="1:3" x14ac:dyDescent="0.25">
      <c r="A400" s="24" t="str">
        <f>Catalog!A376</f>
        <v/>
      </c>
      <c r="B400" s="25">
        <f>Catalog!D376</f>
        <v>0</v>
      </c>
      <c r="C400" s="26" t="str">
        <f>IF(Catalog!D376="","",IF(ISBLANK(Catalog!F376),"Missing Creator; ","")&amp;IF(ISBLANK(Catalog!K376),"Missing Item Type; ","")&amp;IF(ISBLANK(Catalog!L376),"Missing Subject; ","")&amp;IF(ISBLANK(Catalog!M376),"Missing Genre/Form; ","")&amp;IF(ISBLANK(Catalog!X376),"Missing Location Type; ","")&amp;IF(ISBLANK(Catalog!Y376),"Missing Location Id; ","")&amp;IF(AND(Catalog!T376&lt;&gt;"",COUNTIF(Catalog!$T$2:$T$501,Catalog!T376)&gt;1),"Duplicate ISBN; ","")&amp;IF(AND(Catalog!B376&lt;&gt;"",COUNTIF(Catalog!$B$2:$B$501,Catalog!B376)&gt;1),"Duplicate Accession; ",""))</f>
        <v/>
      </c>
    </row>
    <row r="401" spans="1:3" x14ac:dyDescent="0.25">
      <c r="A401" s="24" t="str">
        <f>Catalog!A377</f>
        <v/>
      </c>
      <c r="B401" s="25">
        <f>Catalog!D377</f>
        <v>0</v>
      </c>
      <c r="C401" s="26" t="str">
        <f>IF(Catalog!D377="","",IF(ISBLANK(Catalog!F377),"Missing Creator; ","")&amp;IF(ISBLANK(Catalog!K377),"Missing Item Type; ","")&amp;IF(ISBLANK(Catalog!L377),"Missing Subject; ","")&amp;IF(ISBLANK(Catalog!M377),"Missing Genre/Form; ","")&amp;IF(ISBLANK(Catalog!X377),"Missing Location Type; ","")&amp;IF(ISBLANK(Catalog!Y377),"Missing Location Id; ","")&amp;IF(AND(Catalog!T377&lt;&gt;"",COUNTIF(Catalog!$T$2:$T$501,Catalog!T377)&gt;1),"Duplicate ISBN; ","")&amp;IF(AND(Catalog!B377&lt;&gt;"",COUNTIF(Catalog!$B$2:$B$501,Catalog!B377)&gt;1),"Duplicate Accession; ",""))</f>
        <v/>
      </c>
    </row>
    <row r="402" spans="1:3" x14ac:dyDescent="0.25">
      <c r="A402" s="24" t="str">
        <f>Catalog!A378</f>
        <v/>
      </c>
      <c r="B402" s="25">
        <f>Catalog!D378</f>
        <v>0</v>
      </c>
      <c r="C402" s="26" t="str">
        <f>IF(Catalog!D378="","",IF(ISBLANK(Catalog!F378),"Missing Creator; ","")&amp;IF(ISBLANK(Catalog!K378),"Missing Item Type; ","")&amp;IF(ISBLANK(Catalog!L378),"Missing Subject; ","")&amp;IF(ISBLANK(Catalog!M378),"Missing Genre/Form; ","")&amp;IF(ISBLANK(Catalog!X378),"Missing Location Type; ","")&amp;IF(ISBLANK(Catalog!Y378),"Missing Location Id; ","")&amp;IF(AND(Catalog!T378&lt;&gt;"",COUNTIF(Catalog!$T$2:$T$501,Catalog!T378)&gt;1),"Duplicate ISBN; ","")&amp;IF(AND(Catalog!B378&lt;&gt;"",COUNTIF(Catalog!$B$2:$B$501,Catalog!B378)&gt;1),"Duplicate Accession; ",""))</f>
        <v/>
      </c>
    </row>
    <row r="403" spans="1:3" x14ac:dyDescent="0.25">
      <c r="A403" s="24" t="str">
        <f>Catalog!A379</f>
        <v/>
      </c>
      <c r="B403" s="25">
        <f>Catalog!D379</f>
        <v>0</v>
      </c>
      <c r="C403" s="26" t="str">
        <f>IF(Catalog!D379="","",IF(ISBLANK(Catalog!F379),"Missing Creator; ","")&amp;IF(ISBLANK(Catalog!K379),"Missing Item Type; ","")&amp;IF(ISBLANK(Catalog!L379),"Missing Subject; ","")&amp;IF(ISBLANK(Catalog!M379),"Missing Genre/Form; ","")&amp;IF(ISBLANK(Catalog!X379),"Missing Location Type; ","")&amp;IF(ISBLANK(Catalog!Y379),"Missing Location Id; ","")&amp;IF(AND(Catalog!T379&lt;&gt;"",COUNTIF(Catalog!$T$2:$T$501,Catalog!T379)&gt;1),"Duplicate ISBN; ","")&amp;IF(AND(Catalog!B379&lt;&gt;"",COUNTIF(Catalog!$B$2:$B$501,Catalog!B379)&gt;1),"Duplicate Accession; ",""))</f>
        <v/>
      </c>
    </row>
    <row r="404" spans="1:3" x14ac:dyDescent="0.25">
      <c r="A404" s="24" t="str">
        <f>Catalog!A380</f>
        <v/>
      </c>
      <c r="B404" s="25">
        <f>Catalog!D380</f>
        <v>0</v>
      </c>
      <c r="C404" s="26" t="str">
        <f>IF(Catalog!D380="","",IF(ISBLANK(Catalog!F380),"Missing Creator; ","")&amp;IF(ISBLANK(Catalog!K380),"Missing Item Type; ","")&amp;IF(ISBLANK(Catalog!L380),"Missing Subject; ","")&amp;IF(ISBLANK(Catalog!M380),"Missing Genre/Form; ","")&amp;IF(ISBLANK(Catalog!X380),"Missing Location Type; ","")&amp;IF(ISBLANK(Catalog!Y380),"Missing Location Id; ","")&amp;IF(AND(Catalog!T380&lt;&gt;"",COUNTIF(Catalog!$T$2:$T$501,Catalog!T380)&gt;1),"Duplicate ISBN; ","")&amp;IF(AND(Catalog!B380&lt;&gt;"",COUNTIF(Catalog!$B$2:$B$501,Catalog!B380)&gt;1),"Duplicate Accession; ",""))</f>
        <v/>
      </c>
    </row>
    <row r="405" spans="1:3" x14ac:dyDescent="0.25">
      <c r="A405" s="24" t="str">
        <f>Catalog!A381</f>
        <v/>
      </c>
      <c r="B405" s="25">
        <f>Catalog!D381</f>
        <v>0</v>
      </c>
      <c r="C405" s="26" t="str">
        <f>IF(Catalog!D381="","",IF(ISBLANK(Catalog!F381),"Missing Creator; ","")&amp;IF(ISBLANK(Catalog!K381),"Missing Item Type; ","")&amp;IF(ISBLANK(Catalog!L381),"Missing Subject; ","")&amp;IF(ISBLANK(Catalog!M381),"Missing Genre/Form; ","")&amp;IF(ISBLANK(Catalog!X381),"Missing Location Type; ","")&amp;IF(ISBLANK(Catalog!Y381),"Missing Location Id; ","")&amp;IF(AND(Catalog!T381&lt;&gt;"",COUNTIF(Catalog!$T$2:$T$501,Catalog!T381)&gt;1),"Duplicate ISBN; ","")&amp;IF(AND(Catalog!B381&lt;&gt;"",COUNTIF(Catalog!$B$2:$B$501,Catalog!B381)&gt;1),"Duplicate Accession; ",""))</f>
        <v/>
      </c>
    </row>
    <row r="406" spans="1:3" x14ac:dyDescent="0.25">
      <c r="A406" s="24" t="str">
        <f>Catalog!A382</f>
        <v/>
      </c>
      <c r="B406" s="25">
        <f>Catalog!D382</f>
        <v>0</v>
      </c>
      <c r="C406" s="26" t="str">
        <f>IF(Catalog!D382="","",IF(ISBLANK(Catalog!F382),"Missing Creator; ","")&amp;IF(ISBLANK(Catalog!K382),"Missing Item Type; ","")&amp;IF(ISBLANK(Catalog!L382),"Missing Subject; ","")&amp;IF(ISBLANK(Catalog!M382),"Missing Genre/Form; ","")&amp;IF(ISBLANK(Catalog!X382),"Missing Location Type; ","")&amp;IF(ISBLANK(Catalog!Y382),"Missing Location Id; ","")&amp;IF(AND(Catalog!T382&lt;&gt;"",COUNTIF(Catalog!$T$2:$T$501,Catalog!T382)&gt;1),"Duplicate ISBN; ","")&amp;IF(AND(Catalog!B382&lt;&gt;"",COUNTIF(Catalog!$B$2:$B$501,Catalog!B382)&gt;1),"Duplicate Accession; ",""))</f>
        <v/>
      </c>
    </row>
    <row r="407" spans="1:3" x14ac:dyDescent="0.25">
      <c r="A407" s="24" t="str">
        <f>Catalog!A383</f>
        <v/>
      </c>
      <c r="B407" s="25">
        <f>Catalog!D383</f>
        <v>0</v>
      </c>
      <c r="C407" s="26" t="str">
        <f>IF(Catalog!D383="","",IF(ISBLANK(Catalog!F383),"Missing Creator; ","")&amp;IF(ISBLANK(Catalog!K383),"Missing Item Type; ","")&amp;IF(ISBLANK(Catalog!L383),"Missing Subject; ","")&amp;IF(ISBLANK(Catalog!M383),"Missing Genre/Form; ","")&amp;IF(ISBLANK(Catalog!X383),"Missing Location Type; ","")&amp;IF(ISBLANK(Catalog!Y383),"Missing Location Id; ","")&amp;IF(AND(Catalog!T383&lt;&gt;"",COUNTIF(Catalog!$T$2:$T$501,Catalog!T383)&gt;1),"Duplicate ISBN; ","")&amp;IF(AND(Catalog!B383&lt;&gt;"",COUNTIF(Catalog!$B$2:$B$501,Catalog!B383)&gt;1),"Duplicate Accession; ",""))</f>
        <v/>
      </c>
    </row>
    <row r="408" spans="1:3" x14ac:dyDescent="0.25">
      <c r="A408" s="24" t="str">
        <f>Catalog!A384</f>
        <v/>
      </c>
      <c r="B408" s="25">
        <f>Catalog!D384</f>
        <v>0</v>
      </c>
      <c r="C408" s="26" t="str">
        <f>IF(Catalog!D384="","",IF(ISBLANK(Catalog!F384),"Missing Creator; ","")&amp;IF(ISBLANK(Catalog!K384),"Missing Item Type; ","")&amp;IF(ISBLANK(Catalog!L384),"Missing Subject; ","")&amp;IF(ISBLANK(Catalog!M384),"Missing Genre/Form; ","")&amp;IF(ISBLANK(Catalog!X384),"Missing Location Type; ","")&amp;IF(ISBLANK(Catalog!Y384),"Missing Location Id; ","")&amp;IF(AND(Catalog!T384&lt;&gt;"",COUNTIF(Catalog!$T$2:$T$501,Catalog!T384)&gt;1),"Duplicate ISBN; ","")&amp;IF(AND(Catalog!B384&lt;&gt;"",COUNTIF(Catalog!$B$2:$B$501,Catalog!B384)&gt;1),"Duplicate Accession; ",""))</f>
        <v/>
      </c>
    </row>
    <row r="409" spans="1:3" x14ac:dyDescent="0.25">
      <c r="A409" s="24" t="str">
        <f>Catalog!A385</f>
        <v/>
      </c>
      <c r="B409" s="25">
        <f>Catalog!D385</f>
        <v>0</v>
      </c>
      <c r="C409" s="26" t="str">
        <f>IF(Catalog!D385="","",IF(ISBLANK(Catalog!F385),"Missing Creator; ","")&amp;IF(ISBLANK(Catalog!K385),"Missing Item Type; ","")&amp;IF(ISBLANK(Catalog!L385),"Missing Subject; ","")&amp;IF(ISBLANK(Catalog!M385),"Missing Genre/Form; ","")&amp;IF(ISBLANK(Catalog!X385),"Missing Location Type; ","")&amp;IF(ISBLANK(Catalog!Y385),"Missing Location Id; ","")&amp;IF(AND(Catalog!T385&lt;&gt;"",COUNTIF(Catalog!$T$2:$T$501,Catalog!T385)&gt;1),"Duplicate ISBN; ","")&amp;IF(AND(Catalog!B385&lt;&gt;"",COUNTIF(Catalog!$B$2:$B$501,Catalog!B385)&gt;1),"Duplicate Accession; ",""))</f>
        <v/>
      </c>
    </row>
    <row r="410" spans="1:3" x14ac:dyDescent="0.25">
      <c r="A410" s="24" t="str">
        <f>Catalog!A386</f>
        <v/>
      </c>
      <c r="B410" s="25">
        <f>Catalog!D386</f>
        <v>0</v>
      </c>
      <c r="C410" s="26" t="str">
        <f>IF(Catalog!D386="","",IF(ISBLANK(Catalog!F386),"Missing Creator; ","")&amp;IF(ISBLANK(Catalog!K386),"Missing Item Type; ","")&amp;IF(ISBLANK(Catalog!L386),"Missing Subject; ","")&amp;IF(ISBLANK(Catalog!M386),"Missing Genre/Form; ","")&amp;IF(ISBLANK(Catalog!X386),"Missing Location Type; ","")&amp;IF(ISBLANK(Catalog!Y386),"Missing Location Id; ","")&amp;IF(AND(Catalog!T386&lt;&gt;"",COUNTIF(Catalog!$T$2:$T$501,Catalog!T386)&gt;1),"Duplicate ISBN; ","")&amp;IF(AND(Catalog!B386&lt;&gt;"",COUNTIF(Catalog!$B$2:$B$501,Catalog!B386)&gt;1),"Duplicate Accession; ",""))</f>
        <v/>
      </c>
    </row>
    <row r="411" spans="1:3" x14ac:dyDescent="0.25">
      <c r="A411" s="24" t="str">
        <f>Catalog!A387</f>
        <v/>
      </c>
      <c r="B411" s="25">
        <f>Catalog!D387</f>
        <v>0</v>
      </c>
      <c r="C411" s="26" t="str">
        <f>IF(Catalog!D387="","",IF(ISBLANK(Catalog!F387),"Missing Creator; ","")&amp;IF(ISBLANK(Catalog!K387),"Missing Item Type; ","")&amp;IF(ISBLANK(Catalog!L387),"Missing Subject; ","")&amp;IF(ISBLANK(Catalog!M387),"Missing Genre/Form; ","")&amp;IF(ISBLANK(Catalog!X387),"Missing Location Type; ","")&amp;IF(ISBLANK(Catalog!Y387),"Missing Location Id; ","")&amp;IF(AND(Catalog!T387&lt;&gt;"",COUNTIF(Catalog!$T$2:$T$501,Catalog!T387)&gt;1),"Duplicate ISBN; ","")&amp;IF(AND(Catalog!B387&lt;&gt;"",COUNTIF(Catalog!$B$2:$B$501,Catalog!B387)&gt;1),"Duplicate Accession; ",""))</f>
        <v/>
      </c>
    </row>
    <row r="412" spans="1:3" x14ac:dyDescent="0.25">
      <c r="A412" s="24" t="str">
        <f>Catalog!A388</f>
        <v/>
      </c>
      <c r="B412" s="25">
        <f>Catalog!D388</f>
        <v>0</v>
      </c>
      <c r="C412" s="26" t="str">
        <f>IF(Catalog!D388="","",IF(ISBLANK(Catalog!F388),"Missing Creator; ","")&amp;IF(ISBLANK(Catalog!K388),"Missing Item Type; ","")&amp;IF(ISBLANK(Catalog!L388),"Missing Subject; ","")&amp;IF(ISBLANK(Catalog!M388),"Missing Genre/Form; ","")&amp;IF(ISBLANK(Catalog!X388),"Missing Location Type; ","")&amp;IF(ISBLANK(Catalog!Y388),"Missing Location Id; ","")&amp;IF(AND(Catalog!T388&lt;&gt;"",COUNTIF(Catalog!$T$2:$T$501,Catalog!T388)&gt;1),"Duplicate ISBN; ","")&amp;IF(AND(Catalog!B388&lt;&gt;"",COUNTIF(Catalog!$B$2:$B$501,Catalog!B388)&gt;1),"Duplicate Accession; ",""))</f>
        <v/>
      </c>
    </row>
    <row r="413" spans="1:3" x14ac:dyDescent="0.25">
      <c r="A413" s="24" t="str">
        <f>Catalog!A389</f>
        <v/>
      </c>
      <c r="B413" s="25">
        <f>Catalog!D389</f>
        <v>0</v>
      </c>
      <c r="C413" s="26" t="str">
        <f>IF(Catalog!D389="","",IF(ISBLANK(Catalog!F389),"Missing Creator; ","")&amp;IF(ISBLANK(Catalog!K389),"Missing Item Type; ","")&amp;IF(ISBLANK(Catalog!L389),"Missing Subject; ","")&amp;IF(ISBLANK(Catalog!M389),"Missing Genre/Form; ","")&amp;IF(ISBLANK(Catalog!X389),"Missing Location Type; ","")&amp;IF(ISBLANK(Catalog!Y389),"Missing Location Id; ","")&amp;IF(AND(Catalog!T389&lt;&gt;"",COUNTIF(Catalog!$T$2:$T$501,Catalog!T389)&gt;1),"Duplicate ISBN; ","")&amp;IF(AND(Catalog!B389&lt;&gt;"",COUNTIF(Catalog!$B$2:$B$501,Catalog!B389)&gt;1),"Duplicate Accession; ",""))</f>
        <v/>
      </c>
    </row>
    <row r="414" spans="1:3" x14ac:dyDescent="0.25">
      <c r="A414" s="24" t="str">
        <f>Catalog!A390</f>
        <v/>
      </c>
      <c r="B414" s="25">
        <f>Catalog!D390</f>
        <v>0</v>
      </c>
      <c r="C414" s="26" t="str">
        <f>IF(Catalog!D390="","",IF(ISBLANK(Catalog!F390),"Missing Creator; ","")&amp;IF(ISBLANK(Catalog!K390),"Missing Item Type; ","")&amp;IF(ISBLANK(Catalog!L390),"Missing Subject; ","")&amp;IF(ISBLANK(Catalog!M390),"Missing Genre/Form; ","")&amp;IF(ISBLANK(Catalog!X390),"Missing Location Type; ","")&amp;IF(ISBLANK(Catalog!Y390),"Missing Location Id; ","")&amp;IF(AND(Catalog!T390&lt;&gt;"",COUNTIF(Catalog!$T$2:$T$501,Catalog!T390)&gt;1),"Duplicate ISBN; ","")&amp;IF(AND(Catalog!B390&lt;&gt;"",COUNTIF(Catalog!$B$2:$B$501,Catalog!B390)&gt;1),"Duplicate Accession; ",""))</f>
        <v/>
      </c>
    </row>
    <row r="415" spans="1:3" x14ac:dyDescent="0.25">
      <c r="A415" s="24" t="str">
        <f>Catalog!A391</f>
        <v/>
      </c>
      <c r="B415" s="25">
        <f>Catalog!D391</f>
        <v>0</v>
      </c>
      <c r="C415" s="26" t="str">
        <f>IF(Catalog!D391="","",IF(ISBLANK(Catalog!F391),"Missing Creator; ","")&amp;IF(ISBLANK(Catalog!K391),"Missing Item Type; ","")&amp;IF(ISBLANK(Catalog!L391),"Missing Subject; ","")&amp;IF(ISBLANK(Catalog!M391),"Missing Genre/Form; ","")&amp;IF(ISBLANK(Catalog!X391),"Missing Location Type; ","")&amp;IF(ISBLANK(Catalog!Y391),"Missing Location Id; ","")&amp;IF(AND(Catalog!T391&lt;&gt;"",COUNTIF(Catalog!$T$2:$T$501,Catalog!T391)&gt;1),"Duplicate ISBN; ","")&amp;IF(AND(Catalog!B391&lt;&gt;"",COUNTIF(Catalog!$B$2:$B$501,Catalog!B391)&gt;1),"Duplicate Accession; ",""))</f>
        <v/>
      </c>
    </row>
    <row r="416" spans="1:3" x14ac:dyDescent="0.25">
      <c r="A416" s="24" t="str">
        <f>Catalog!A392</f>
        <v/>
      </c>
      <c r="B416" s="25">
        <f>Catalog!D392</f>
        <v>0</v>
      </c>
      <c r="C416" s="26" t="str">
        <f>IF(Catalog!D392="","",IF(ISBLANK(Catalog!F392),"Missing Creator; ","")&amp;IF(ISBLANK(Catalog!K392),"Missing Item Type; ","")&amp;IF(ISBLANK(Catalog!L392),"Missing Subject; ","")&amp;IF(ISBLANK(Catalog!M392),"Missing Genre/Form; ","")&amp;IF(ISBLANK(Catalog!X392),"Missing Location Type; ","")&amp;IF(ISBLANK(Catalog!Y392),"Missing Location Id; ","")&amp;IF(AND(Catalog!T392&lt;&gt;"",COUNTIF(Catalog!$T$2:$T$501,Catalog!T392)&gt;1),"Duplicate ISBN; ","")&amp;IF(AND(Catalog!B392&lt;&gt;"",COUNTIF(Catalog!$B$2:$B$501,Catalog!B392)&gt;1),"Duplicate Accession; ",""))</f>
        <v/>
      </c>
    </row>
    <row r="417" spans="1:3" x14ac:dyDescent="0.25">
      <c r="A417" s="24" t="str">
        <f>Catalog!A393</f>
        <v/>
      </c>
      <c r="B417" s="25">
        <f>Catalog!D393</f>
        <v>0</v>
      </c>
      <c r="C417" s="26" t="str">
        <f>IF(Catalog!D393="","",IF(ISBLANK(Catalog!F393),"Missing Creator; ","")&amp;IF(ISBLANK(Catalog!K393),"Missing Item Type; ","")&amp;IF(ISBLANK(Catalog!L393),"Missing Subject; ","")&amp;IF(ISBLANK(Catalog!M393),"Missing Genre/Form; ","")&amp;IF(ISBLANK(Catalog!X393),"Missing Location Type; ","")&amp;IF(ISBLANK(Catalog!Y393),"Missing Location Id; ","")&amp;IF(AND(Catalog!T393&lt;&gt;"",COUNTIF(Catalog!$T$2:$T$501,Catalog!T393)&gt;1),"Duplicate ISBN; ","")&amp;IF(AND(Catalog!B393&lt;&gt;"",COUNTIF(Catalog!$B$2:$B$501,Catalog!B393)&gt;1),"Duplicate Accession; ",""))</f>
        <v/>
      </c>
    </row>
    <row r="418" spans="1:3" x14ac:dyDescent="0.25">
      <c r="A418" s="24" t="str">
        <f>Catalog!A394</f>
        <v/>
      </c>
      <c r="B418" s="25">
        <f>Catalog!D394</f>
        <v>0</v>
      </c>
      <c r="C418" s="26" t="str">
        <f>IF(Catalog!D394="","",IF(ISBLANK(Catalog!F394),"Missing Creator; ","")&amp;IF(ISBLANK(Catalog!K394),"Missing Item Type; ","")&amp;IF(ISBLANK(Catalog!L394),"Missing Subject; ","")&amp;IF(ISBLANK(Catalog!M394),"Missing Genre/Form; ","")&amp;IF(ISBLANK(Catalog!X394),"Missing Location Type; ","")&amp;IF(ISBLANK(Catalog!Y394),"Missing Location Id; ","")&amp;IF(AND(Catalog!T394&lt;&gt;"",COUNTIF(Catalog!$T$2:$T$501,Catalog!T394)&gt;1),"Duplicate ISBN; ","")&amp;IF(AND(Catalog!B394&lt;&gt;"",COUNTIF(Catalog!$B$2:$B$501,Catalog!B394)&gt;1),"Duplicate Accession; ",""))</f>
        <v/>
      </c>
    </row>
    <row r="419" spans="1:3" x14ac:dyDescent="0.25">
      <c r="A419" s="24" t="str">
        <f>Catalog!A395</f>
        <v/>
      </c>
      <c r="B419" s="25">
        <f>Catalog!D395</f>
        <v>0</v>
      </c>
      <c r="C419" s="26" t="str">
        <f>IF(Catalog!D395="","",IF(ISBLANK(Catalog!F395),"Missing Creator; ","")&amp;IF(ISBLANK(Catalog!K395),"Missing Item Type; ","")&amp;IF(ISBLANK(Catalog!L395),"Missing Subject; ","")&amp;IF(ISBLANK(Catalog!M395),"Missing Genre/Form; ","")&amp;IF(ISBLANK(Catalog!X395),"Missing Location Type; ","")&amp;IF(ISBLANK(Catalog!Y395),"Missing Location Id; ","")&amp;IF(AND(Catalog!T395&lt;&gt;"",COUNTIF(Catalog!$T$2:$T$501,Catalog!T395)&gt;1),"Duplicate ISBN; ","")&amp;IF(AND(Catalog!B395&lt;&gt;"",COUNTIF(Catalog!$B$2:$B$501,Catalog!B395)&gt;1),"Duplicate Accession; ",""))</f>
        <v/>
      </c>
    </row>
    <row r="420" spans="1:3" x14ac:dyDescent="0.25">
      <c r="A420" s="24" t="str">
        <f>Catalog!A396</f>
        <v/>
      </c>
      <c r="B420" s="25">
        <f>Catalog!D396</f>
        <v>0</v>
      </c>
      <c r="C420" s="26" t="str">
        <f>IF(Catalog!D396="","",IF(ISBLANK(Catalog!F396),"Missing Creator; ","")&amp;IF(ISBLANK(Catalog!K396),"Missing Item Type; ","")&amp;IF(ISBLANK(Catalog!L396),"Missing Subject; ","")&amp;IF(ISBLANK(Catalog!M396),"Missing Genre/Form; ","")&amp;IF(ISBLANK(Catalog!X396),"Missing Location Type; ","")&amp;IF(ISBLANK(Catalog!Y396),"Missing Location Id; ","")&amp;IF(AND(Catalog!T396&lt;&gt;"",COUNTIF(Catalog!$T$2:$T$501,Catalog!T396)&gt;1),"Duplicate ISBN; ","")&amp;IF(AND(Catalog!B396&lt;&gt;"",COUNTIF(Catalog!$B$2:$B$501,Catalog!B396)&gt;1),"Duplicate Accession; ",""))</f>
        <v/>
      </c>
    </row>
    <row r="421" spans="1:3" x14ac:dyDescent="0.25">
      <c r="A421" s="24" t="str">
        <f>Catalog!A397</f>
        <v/>
      </c>
      <c r="B421" s="25">
        <f>Catalog!D397</f>
        <v>0</v>
      </c>
      <c r="C421" s="26" t="str">
        <f>IF(Catalog!D397="","",IF(ISBLANK(Catalog!F397),"Missing Creator; ","")&amp;IF(ISBLANK(Catalog!K397),"Missing Item Type; ","")&amp;IF(ISBLANK(Catalog!L397),"Missing Subject; ","")&amp;IF(ISBLANK(Catalog!M397),"Missing Genre/Form; ","")&amp;IF(ISBLANK(Catalog!X397),"Missing Location Type; ","")&amp;IF(ISBLANK(Catalog!Y397),"Missing Location Id; ","")&amp;IF(AND(Catalog!T397&lt;&gt;"",COUNTIF(Catalog!$T$2:$T$501,Catalog!T397)&gt;1),"Duplicate ISBN; ","")&amp;IF(AND(Catalog!B397&lt;&gt;"",COUNTIF(Catalog!$B$2:$B$501,Catalog!B397)&gt;1),"Duplicate Accession; ",""))</f>
        <v/>
      </c>
    </row>
    <row r="422" spans="1:3" x14ac:dyDescent="0.25">
      <c r="A422" s="24" t="str">
        <f>Catalog!A398</f>
        <v/>
      </c>
      <c r="B422" s="25">
        <f>Catalog!D398</f>
        <v>0</v>
      </c>
      <c r="C422" s="26" t="str">
        <f>IF(Catalog!D398="","",IF(ISBLANK(Catalog!F398),"Missing Creator; ","")&amp;IF(ISBLANK(Catalog!K398),"Missing Item Type; ","")&amp;IF(ISBLANK(Catalog!L398),"Missing Subject; ","")&amp;IF(ISBLANK(Catalog!M398),"Missing Genre/Form; ","")&amp;IF(ISBLANK(Catalog!X398),"Missing Location Type; ","")&amp;IF(ISBLANK(Catalog!Y398),"Missing Location Id; ","")&amp;IF(AND(Catalog!T398&lt;&gt;"",COUNTIF(Catalog!$T$2:$T$501,Catalog!T398)&gt;1),"Duplicate ISBN; ","")&amp;IF(AND(Catalog!B398&lt;&gt;"",COUNTIF(Catalog!$B$2:$B$501,Catalog!B398)&gt;1),"Duplicate Accession; ",""))</f>
        <v/>
      </c>
    </row>
    <row r="423" spans="1:3" x14ac:dyDescent="0.25">
      <c r="A423" s="24" t="str">
        <f>Catalog!A399</f>
        <v/>
      </c>
      <c r="B423" s="25">
        <f>Catalog!D399</f>
        <v>0</v>
      </c>
      <c r="C423" s="26" t="str">
        <f>IF(Catalog!D399="","",IF(ISBLANK(Catalog!F399),"Missing Creator; ","")&amp;IF(ISBLANK(Catalog!K399),"Missing Item Type; ","")&amp;IF(ISBLANK(Catalog!L399),"Missing Subject; ","")&amp;IF(ISBLANK(Catalog!M399),"Missing Genre/Form; ","")&amp;IF(ISBLANK(Catalog!X399),"Missing Location Type; ","")&amp;IF(ISBLANK(Catalog!Y399),"Missing Location Id; ","")&amp;IF(AND(Catalog!T399&lt;&gt;"",COUNTIF(Catalog!$T$2:$T$501,Catalog!T399)&gt;1),"Duplicate ISBN; ","")&amp;IF(AND(Catalog!B399&lt;&gt;"",COUNTIF(Catalog!$B$2:$B$501,Catalog!B399)&gt;1),"Duplicate Accession; ",""))</f>
        <v/>
      </c>
    </row>
    <row r="424" spans="1:3" x14ac:dyDescent="0.25">
      <c r="A424" s="24" t="str">
        <f>Catalog!A400</f>
        <v/>
      </c>
      <c r="B424" s="25">
        <f>Catalog!D400</f>
        <v>0</v>
      </c>
      <c r="C424" s="26" t="str">
        <f>IF(Catalog!D400="","",IF(ISBLANK(Catalog!F400),"Missing Creator; ","")&amp;IF(ISBLANK(Catalog!K400),"Missing Item Type; ","")&amp;IF(ISBLANK(Catalog!L400),"Missing Subject; ","")&amp;IF(ISBLANK(Catalog!M400),"Missing Genre/Form; ","")&amp;IF(ISBLANK(Catalog!X400),"Missing Location Type; ","")&amp;IF(ISBLANK(Catalog!Y400),"Missing Location Id; ","")&amp;IF(AND(Catalog!T400&lt;&gt;"",COUNTIF(Catalog!$T$2:$T$501,Catalog!T400)&gt;1),"Duplicate ISBN; ","")&amp;IF(AND(Catalog!B400&lt;&gt;"",COUNTIF(Catalog!$B$2:$B$501,Catalog!B400)&gt;1),"Duplicate Accession; ",""))</f>
        <v/>
      </c>
    </row>
    <row r="425" spans="1:3" x14ac:dyDescent="0.25">
      <c r="A425" s="24" t="str">
        <f>Catalog!A401</f>
        <v/>
      </c>
      <c r="B425" s="25">
        <f>Catalog!D401</f>
        <v>0</v>
      </c>
      <c r="C425" s="26" t="str">
        <f>IF(Catalog!D401="","",IF(ISBLANK(Catalog!F401),"Missing Creator; ","")&amp;IF(ISBLANK(Catalog!K401),"Missing Item Type; ","")&amp;IF(ISBLANK(Catalog!L401),"Missing Subject; ","")&amp;IF(ISBLANK(Catalog!M401),"Missing Genre/Form; ","")&amp;IF(ISBLANK(Catalog!X401),"Missing Location Type; ","")&amp;IF(ISBLANK(Catalog!Y401),"Missing Location Id; ","")&amp;IF(AND(Catalog!T401&lt;&gt;"",COUNTIF(Catalog!$T$2:$T$501,Catalog!T401)&gt;1),"Duplicate ISBN; ","")&amp;IF(AND(Catalog!B401&lt;&gt;"",COUNTIF(Catalog!$B$2:$B$501,Catalog!B401)&gt;1),"Duplicate Accession; ",""))</f>
        <v/>
      </c>
    </row>
    <row r="426" spans="1:3" x14ac:dyDescent="0.25">
      <c r="A426" s="24" t="str">
        <f>Catalog!A402</f>
        <v/>
      </c>
      <c r="B426" s="25">
        <f>Catalog!D402</f>
        <v>0</v>
      </c>
      <c r="C426" s="26" t="str">
        <f>IF(Catalog!D402="","",IF(ISBLANK(Catalog!F402),"Missing Creator; ","")&amp;IF(ISBLANK(Catalog!K402),"Missing Item Type; ","")&amp;IF(ISBLANK(Catalog!L402),"Missing Subject; ","")&amp;IF(ISBLANK(Catalog!M402),"Missing Genre/Form; ","")&amp;IF(ISBLANK(Catalog!X402),"Missing Location Type; ","")&amp;IF(ISBLANK(Catalog!Y402),"Missing Location Id; ","")&amp;IF(AND(Catalog!T402&lt;&gt;"",COUNTIF(Catalog!$T$2:$T$501,Catalog!T402)&gt;1),"Duplicate ISBN; ","")&amp;IF(AND(Catalog!B402&lt;&gt;"",COUNTIF(Catalog!$B$2:$B$501,Catalog!B402)&gt;1),"Duplicate Accession; ",""))</f>
        <v/>
      </c>
    </row>
    <row r="427" spans="1:3" x14ac:dyDescent="0.25">
      <c r="A427" s="24" t="str">
        <f>Catalog!A403</f>
        <v/>
      </c>
      <c r="B427" s="25">
        <f>Catalog!D403</f>
        <v>0</v>
      </c>
      <c r="C427" s="26" t="str">
        <f>IF(Catalog!D403="","",IF(ISBLANK(Catalog!F403),"Missing Creator; ","")&amp;IF(ISBLANK(Catalog!K403),"Missing Item Type; ","")&amp;IF(ISBLANK(Catalog!L403),"Missing Subject; ","")&amp;IF(ISBLANK(Catalog!M403),"Missing Genre/Form; ","")&amp;IF(ISBLANK(Catalog!X403),"Missing Location Type; ","")&amp;IF(ISBLANK(Catalog!Y403),"Missing Location Id; ","")&amp;IF(AND(Catalog!T403&lt;&gt;"",COUNTIF(Catalog!$T$2:$T$501,Catalog!T403)&gt;1),"Duplicate ISBN; ","")&amp;IF(AND(Catalog!B403&lt;&gt;"",COUNTIF(Catalog!$B$2:$B$501,Catalog!B403)&gt;1),"Duplicate Accession; ",""))</f>
        <v/>
      </c>
    </row>
    <row r="428" spans="1:3" x14ac:dyDescent="0.25">
      <c r="A428" s="24" t="str">
        <f>Catalog!A404</f>
        <v/>
      </c>
      <c r="B428" s="25">
        <f>Catalog!D404</f>
        <v>0</v>
      </c>
      <c r="C428" s="26" t="str">
        <f>IF(Catalog!D404="","",IF(ISBLANK(Catalog!F404),"Missing Creator; ","")&amp;IF(ISBLANK(Catalog!K404),"Missing Item Type; ","")&amp;IF(ISBLANK(Catalog!L404),"Missing Subject; ","")&amp;IF(ISBLANK(Catalog!M404),"Missing Genre/Form; ","")&amp;IF(ISBLANK(Catalog!X404),"Missing Location Type; ","")&amp;IF(ISBLANK(Catalog!Y404),"Missing Location Id; ","")&amp;IF(AND(Catalog!T404&lt;&gt;"",COUNTIF(Catalog!$T$2:$T$501,Catalog!T404)&gt;1),"Duplicate ISBN; ","")&amp;IF(AND(Catalog!B404&lt;&gt;"",COUNTIF(Catalog!$B$2:$B$501,Catalog!B404)&gt;1),"Duplicate Accession; ",""))</f>
        <v/>
      </c>
    </row>
    <row r="429" spans="1:3" x14ac:dyDescent="0.25">
      <c r="A429" s="24" t="str">
        <f>Catalog!A405</f>
        <v/>
      </c>
      <c r="B429" s="25">
        <f>Catalog!D405</f>
        <v>0</v>
      </c>
      <c r="C429" s="26" t="str">
        <f>IF(Catalog!D405="","",IF(ISBLANK(Catalog!F405),"Missing Creator; ","")&amp;IF(ISBLANK(Catalog!K405),"Missing Item Type; ","")&amp;IF(ISBLANK(Catalog!L405),"Missing Subject; ","")&amp;IF(ISBLANK(Catalog!M405),"Missing Genre/Form; ","")&amp;IF(ISBLANK(Catalog!X405),"Missing Location Type; ","")&amp;IF(ISBLANK(Catalog!Y405),"Missing Location Id; ","")&amp;IF(AND(Catalog!T405&lt;&gt;"",COUNTIF(Catalog!$T$2:$T$501,Catalog!T405)&gt;1),"Duplicate ISBN; ","")&amp;IF(AND(Catalog!B405&lt;&gt;"",COUNTIF(Catalog!$B$2:$B$501,Catalog!B405)&gt;1),"Duplicate Accession; ",""))</f>
        <v/>
      </c>
    </row>
    <row r="430" spans="1:3" x14ac:dyDescent="0.25">
      <c r="A430" s="24" t="str">
        <f>Catalog!A406</f>
        <v/>
      </c>
      <c r="B430" s="25">
        <f>Catalog!D406</f>
        <v>0</v>
      </c>
      <c r="C430" s="26" t="str">
        <f>IF(Catalog!D406="","",IF(ISBLANK(Catalog!F406),"Missing Creator; ","")&amp;IF(ISBLANK(Catalog!K406),"Missing Item Type; ","")&amp;IF(ISBLANK(Catalog!L406),"Missing Subject; ","")&amp;IF(ISBLANK(Catalog!M406),"Missing Genre/Form; ","")&amp;IF(ISBLANK(Catalog!X406),"Missing Location Type; ","")&amp;IF(ISBLANK(Catalog!Y406),"Missing Location Id; ","")&amp;IF(AND(Catalog!T406&lt;&gt;"",COUNTIF(Catalog!$T$2:$T$501,Catalog!T406)&gt;1),"Duplicate ISBN; ","")&amp;IF(AND(Catalog!B406&lt;&gt;"",COUNTIF(Catalog!$B$2:$B$501,Catalog!B406)&gt;1),"Duplicate Accession; ",""))</f>
        <v/>
      </c>
    </row>
    <row r="431" spans="1:3" x14ac:dyDescent="0.25">
      <c r="A431" s="24" t="str">
        <f>Catalog!A407</f>
        <v/>
      </c>
      <c r="B431" s="25">
        <f>Catalog!D407</f>
        <v>0</v>
      </c>
      <c r="C431" s="26" t="str">
        <f>IF(Catalog!D407="","",IF(ISBLANK(Catalog!F407),"Missing Creator; ","")&amp;IF(ISBLANK(Catalog!K407),"Missing Item Type; ","")&amp;IF(ISBLANK(Catalog!L407),"Missing Subject; ","")&amp;IF(ISBLANK(Catalog!M407),"Missing Genre/Form; ","")&amp;IF(ISBLANK(Catalog!X407),"Missing Location Type; ","")&amp;IF(ISBLANK(Catalog!Y407),"Missing Location Id; ","")&amp;IF(AND(Catalog!T407&lt;&gt;"",COUNTIF(Catalog!$T$2:$T$501,Catalog!T407)&gt;1),"Duplicate ISBN; ","")&amp;IF(AND(Catalog!B407&lt;&gt;"",COUNTIF(Catalog!$B$2:$B$501,Catalog!B407)&gt;1),"Duplicate Accession; ",""))</f>
        <v/>
      </c>
    </row>
    <row r="432" spans="1:3" x14ac:dyDescent="0.25">
      <c r="A432" s="24" t="str">
        <f>Catalog!A408</f>
        <v/>
      </c>
      <c r="B432" s="25">
        <f>Catalog!D408</f>
        <v>0</v>
      </c>
      <c r="C432" s="26" t="str">
        <f>IF(Catalog!D408="","",IF(ISBLANK(Catalog!F408),"Missing Creator; ","")&amp;IF(ISBLANK(Catalog!K408),"Missing Item Type; ","")&amp;IF(ISBLANK(Catalog!L408),"Missing Subject; ","")&amp;IF(ISBLANK(Catalog!M408),"Missing Genre/Form; ","")&amp;IF(ISBLANK(Catalog!X408),"Missing Location Type; ","")&amp;IF(ISBLANK(Catalog!Y408),"Missing Location Id; ","")&amp;IF(AND(Catalog!T408&lt;&gt;"",COUNTIF(Catalog!$T$2:$T$501,Catalog!T408)&gt;1),"Duplicate ISBN; ","")&amp;IF(AND(Catalog!B408&lt;&gt;"",COUNTIF(Catalog!$B$2:$B$501,Catalog!B408)&gt;1),"Duplicate Accession; ",""))</f>
        <v/>
      </c>
    </row>
    <row r="433" spans="1:3" x14ac:dyDescent="0.25">
      <c r="A433" s="24" t="str">
        <f>Catalog!A409</f>
        <v/>
      </c>
      <c r="B433" s="25">
        <f>Catalog!D409</f>
        <v>0</v>
      </c>
      <c r="C433" s="26" t="str">
        <f>IF(Catalog!D409="","",IF(ISBLANK(Catalog!F409),"Missing Creator; ","")&amp;IF(ISBLANK(Catalog!K409),"Missing Item Type; ","")&amp;IF(ISBLANK(Catalog!L409),"Missing Subject; ","")&amp;IF(ISBLANK(Catalog!M409),"Missing Genre/Form; ","")&amp;IF(ISBLANK(Catalog!X409),"Missing Location Type; ","")&amp;IF(ISBLANK(Catalog!Y409),"Missing Location Id; ","")&amp;IF(AND(Catalog!T409&lt;&gt;"",COUNTIF(Catalog!$T$2:$T$501,Catalog!T409)&gt;1),"Duplicate ISBN; ","")&amp;IF(AND(Catalog!B409&lt;&gt;"",COUNTIF(Catalog!$B$2:$B$501,Catalog!B409)&gt;1),"Duplicate Accession; ",""))</f>
        <v/>
      </c>
    </row>
    <row r="434" spans="1:3" x14ac:dyDescent="0.25">
      <c r="A434" s="24" t="str">
        <f>Catalog!A410</f>
        <v/>
      </c>
      <c r="B434" s="25">
        <f>Catalog!D410</f>
        <v>0</v>
      </c>
      <c r="C434" s="26" t="str">
        <f>IF(Catalog!D410="","",IF(ISBLANK(Catalog!F410),"Missing Creator; ","")&amp;IF(ISBLANK(Catalog!K410),"Missing Item Type; ","")&amp;IF(ISBLANK(Catalog!L410),"Missing Subject; ","")&amp;IF(ISBLANK(Catalog!M410),"Missing Genre/Form; ","")&amp;IF(ISBLANK(Catalog!X410),"Missing Location Type; ","")&amp;IF(ISBLANK(Catalog!Y410),"Missing Location Id; ","")&amp;IF(AND(Catalog!T410&lt;&gt;"",COUNTIF(Catalog!$T$2:$T$501,Catalog!T410)&gt;1),"Duplicate ISBN; ","")&amp;IF(AND(Catalog!B410&lt;&gt;"",COUNTIF(Catalog!$B$2:$B$501,Catalog!B410)&gt;1),"Duplicate Accession; ",""))</f>
        <v/>
      </c>
    </row>
    <row r="435" spans="1:3" x14ac:dyDescent="0.25">
      <c r="A435" s="24" t="str">
        <f>Catalog!A411</f>
        <v/>
      </c>
      <c r="B435" s="25">
        <f>Catalog!D411</f>
        <v>0</v>
      </c>
      <c r="C435" s="26" t="str">
        <f>IF(Catalog!D411="","",IF(ISBLANK(Catalog!F411),"Missing Creator; ","")&amp;IF(ISBLANK(Catalog!K411),"Missing Item Type; ","")&amp;IF(ISBLANK(Catalog!L411),"Missing Subject; ","")&amp;IF(ISBLANK(Catalog!M411),"Missing Genre/Form; ","")&amp;IF(ISBLANK(Catalog!X411),"Missing Location Type; ","")&amp;IF(ISBLANK(Catalog!Y411),"Missing Location Id; ","")&amp;IF(AND(Catalog!T411&lt;&gt;"",COUNTIF(Catalog!$T$2:$T$501,Catalog!T411)&gt;1),"Duplicate ISBN; ","")&amp;IF(AND(Catalog!B411&lt;&gt;"",COUNTIF(Catalog!$B$2:$B$501,Catalog!B411)&gt;1),"Duplicate Accession; ",""))</f>
        <v/>
      </c>
    </row>
    <row r="436" spans="1:3" x14ac:dyDescent="0.25">
      <c r="A436" s="24" t="str">
        <f>Catalog!A412</f>
        <v/>
      </c>
      <c r="B436" s="25">
        <f>Catalog!D412</f>
        <v>0</v>
      </c>
      <c r="C436" s="26" t="str">
        <f>IF(Catalog!D412="","",IF(ISBLANK(Catalog!F412),"Missing Creator; ","")&amp;IF(ISBLANK(Catalog!K412),"Missing Item Type; ","")&amp;IF(ISBLANK(Catalog!L412),"Missing Subject; ","")&amp;IF(ISBLANK(Catalog!M412),"Missing Genre/Form; ","")&amp;IF(ISBLANK(Catalog!X412),"Missing Location Type; ","")&amp;IF(ISBLANK(Catalog!Y412),"Missing Location Id; ","")&amp;IF(AND(Catalog!T412&lt;&gt;"",COUNTIF(Catalog!$T$2:$T$501,Catalog!T412)&gt;1),"Duplicate ISBN; ","")&amp;IF(AND(Catalog!B412&lt;&gt;"",COUNTIF(Catalog!$B$2:$B$501,Catalog!B412)&gt;1),"Duplicate Accession; ",""))</f>
        <v/>
      </c>
    </row>
    <row r="437" spans="1:3" x14ac:dyDescent="0.25">
      <c r="A437" s="24" t="str">
        <f>Catalog!A413</f>
        <v/>
      </c>
      <c r="B437" s="25">
        <f>Catalog!D413</f>
        <v>0</v>
      </c>
      <c r="C437" s="26" t="str">
        <f>IF(Catalog!D413="","",IF(ISBLANK(Catalog!F413),"Missing Creator; ","")&amp;IF(ISBLANK(Catalog!K413),"Missing Item Type; ","")&amp;IF(ISBLANK(Catalog!L413),"Missing Subject; ","")&amp;IF(ISBLANK(Catalog!M413),"Missing Genre/Form; ","")&amp;IF(ISBLANK(Catalog!X413),"Missing Location Type; ","")&amp;IF(ISBLANK(Catalog!Y413),"Missing Location Id; ","")&amp;IF(AND(Catalog!T413&lt;&gt;"",COUNTIF(Catalog!$T$2:$T$501,Catalog!T413)&gt;1),"Duplicate ISBN; ","")&amp;IF(AND(Catalog!B413&lt;&gt;"",COUNTIF(Catalog!$B$2:$B$501,Catalog!B413)&gt;1),"Duplicate Accession; ",""))</f>
        <v/>
      </c>
    </row>
    <row r="438" spans="1:3" x14ac:dyDescent="0.25">
      <c r="A438" s="24" t="str">
        <f>Catalog!A414</f>
        <v/>
      </c>
      <c r="B438" s="25">
        <f>Catalog!D414</f>
        <v>0</v>
      </c>
      <c r="C438" s="26" t="str">
        <f>IF(Catalog!D414="","",IF(ISBLANK(Catalog!F414),"Missing Creator; ","")&amp;IF(ISBLANK(Catalog!K414),"Missing Item Type; ","")&amp;IF(ISBLANK(Catalog!L414),"Missing Subject; ","")&amp;IF(ISBLANK(Catalog!M414),"Missing Genre/Form; ","")&amp;IF(ISBLANK(Catalog!X414),"Missing Location Type; ","")&amp;IF(ISBLANK(Catalog!Y414),"Missing Location Id; ","")&amp;IF(AND(Catalog!T414&lt;&gt;"",COUNTIF(Catalog!$T$2:$T$501,Catalog!T414)&gt;1),"Duplicate ISBN; ","")&amp;IF(AND(Catalog!B414&lt;&gt;"",COUNTIF(Catalog!$B$2:$B$501,Catalog!B414)&gt;1),"Duplicate Accession; ",""))</f>
        <v/>
      </c>
    </row>
    <row r="439" spans="1:3" x14ac:dyDescent="0.25">
      <c r="A439" s="24" t="str">
        <f>Catalog!A415</f>
        <v/>
      </c>
      <c r="B439" s="25">
        <f>Catalog!D415</f>
        <v>0</v>
      </c>
      <c r="C439" s="26" t="str">
        <f>IF(Catalog!D415="","",IF(ISBLANK(Catalog!F415),"Missing Creator; ","")&amp;IF(ISBLANK(Catalog!K415),"Missing Item Type; ","")&amp;IF(ISBLANK(Catalog!L415),"Missing Subject; ","")&amp;IF(ISBLANK(Catalog!M415),"Missing Genre/Form; ","")&amp;IF(ISBLANK(Catalog!X415),"Missing Location Type; ","")&amp;IF(ISBLANK(Catalog!Y415),"Missing Location Id; ","")&amp;IF(AND(Catalog!T415&lt;&gt;"",COUNTIF(Catalog!$T$2:$T$501,Catalog!T415)&gt;1),"Duplicate ISBN; ","")&amp;IF(AND(Catalog!B415&lt;&gt;"",COUNTIF(Catalog!$B$2:$B$501,Catalog!B415)&gt;1),"Duplicate Accession; ",""))</f>
        <v/>
      </c>
    </row>
    <row r="440" spans="1:3" x14ac:dyDescent="0.25">
      <c r="A440" s="24" t="str">
        <f>Catalog!A416</f>
        <v/>
      </c>
      <c r="B440" s="25">
        <f>Catalog!D416</f>
        <v>0</v>
      </c>
      <c r="C440" s="26" t="str">
        <f>IF(Catalog!D416="","",IF(ISBLANK(Catalog!F416),"Missing Creator; ","")&amp;IF(ISBLANK(Catalog!K416),"Missing Item Type; ","")&amp;IF(ISBLANK(Catalog!L416),"Missing Subject; ","")&amp;IF(ISBLANK(Catalog!M416),"Missing Genre/Form; ","")&amp;IF(ISBLANK(Catalog!X416),"Missing Location Type; ","")&amp;IF(ISBLANK(Catalog!Y416),"Missing Location Id; ","")&amp;IF(AND(Catalog!T416&lt;&gt;"",COUNTIF(Catalog!$T$2:$T$501,Catalog!T416)&gt;1),"Duplicate ISBN; ","")&amp;IF(AND(Catalog!B416&lt;&gt;"",COUNTIF(Catalog!$B$2:$B$501,Catalog!B416)&gt;1),"Duplicate Accession; ",""))</f>
        <v/>
      </c>
    </row>
    <row r="441" spans="1:3" x14ac:dyDescent="0.25">
      <c r="A441" s="24" t="str">
        <f>Catalog!A417</f>
        <v/>
      </c>
      <c r="B441" s="25">
        <f>Catalog!D417</f>
        <v>0</v>
      </c>
      <c r="C441" s="26" t="str">
        <f>IF(Catalog!D417="","",IF(ISBLANK(Catalog!F417),"Missing Creator; ","")&amp;IF(ISBLANK(Catalog!K417),"Missing Item Type; ","")&amp;IF(ISBLANK(Catalog!L417),"Missing Subject; ","")&amp;IF(ISBLANK(Catalog!M417),"Missing Genre/Form; ","")&amp;IF(ISBLANK(Catalog!X417),"Missing Location Type; ","")&amp;IF(ISBLANK(Catalog!Y417),"Missing Location Id; ","")&amp;IF(AND(Catalog!T417&lt;&gt;"",COUNTIF(Catalog!$T$2:$T$501,Catalog!T417)&gt;1),"Duplicate ISBN; ","")&amp;IF(AND(Catalog!B417&lt;&gt;"",COUNTIF(Catalog!$B$2:$B$501,Catalog!B417)&gt;1),"Duplicate Accession; ",""))</f>
        <v/>
      </c>
    </row>
    <row r="442" spans="1:3" x14ac:dyDescent="0.25">
      <c r="A442" s="24" t="str">
        <f>Catalog!A418</f>
        <v/>
      </c>
      <c r="B442" s="25">
        <f>Catalog!D418</f>
        <v>0</v>
      </c>
      <c r="C442" s="26" t="str">
        <f>IF(Catalog!D418="","",IF(ISBLANK(Catalog!F418),"Missing Creator; ","")&amp;IF(ISBLANK(Catalog!K418),"Missing Item Type; ","")&amp;IF(ISBLANK(Catalog!L418),"Missing Subject; ","")&amp;IF(ISBLANK(Catalog!M418),"Missing Genre/Form; ","")&amp;IF(ISBLANK(Catalog!X418),"Missing Location Type; ","")&amp;IF(ISBLANK(Catalog!Y418),"Missing Location Id; ","")&amp;IF(AND(Catalog!T418&lt;&gt;"",COUNTIF(Catalog!$T$2:$T$501,Catalog!T418)&gt;1),"Duplicate ISBN; ","")&amp;IF(AND(Catalog!B418&lt;&gt;"",COUNTIF(Catalog!$B$2:$B$501,Catalog!B418)&gt;1),"Duplicate Accession; ",""))</f>
        <v/>
      </c>
    </row>
    <row r="443" spans="1:3" x14ac:dyDescent="0.25">
      <c r="A443" s="24" t="str">
        <f>Catalog!A419</f>
        <v/>
      </c>
      <c r="B443" s="25">
        <f>Catalog!D419</f>
        <v>0</v>
      </c>
      <c r="C443" s="26" t="str">
        <f>IF(Catalog!D419="","",IF(ISBLANK(Catalog!F419),"Missing Creator; ","")&amp;IF(ISBLANK(Catalog!K419),"Missing Item Type; ","")&amp;IF(ISBLANK(Catalog!L419),"Missing Subject; ","")&amp;IF(ISBLANK(Catalog!M419),"Missing Genre/Form; ","")&amp;IF(ISBLANK(Catalog!X419),"Missing Location Type; ","")&amp;IF(ISBLANK(Catalog!Y419),"Missing Location Id; ","")&amp;IF(AND(Catalog!T419&lt;&gt;"",COUNTIF(Catalog!$T$2:$T$501,Catalog!T419)&gt;1),"Duplicate ISBN; ","")&amp;IF(AND(Catalog!B419&lt;&gt;"",COUNTIF(Catalog!$B$2:$B$501,Catalog!B419)&gt;1),"Duplicate Accession; ",""))</f>
        <v/>
      </c>
    </row>
    <row r="444" spans="1:3" x14ac:dyDescent="0.25">
      <c r="A444" s="24" t="str">
        <f>Catalog!A420</f>
        <v/>
      </c>
      <c r="B444" s="25">
        <f>Catalog!D420</f>
        <v>0</v>
      </c>
      <c r="C444" s="26" t="str">
        <f>IF(Catalog!D420="","",IF(ISBLANK(Catalog!F420),"Missing Creator; ","")&amp;IF(ISBLANK(Catalog!K420),"Missing Item Type; ","")&amp;IF(ISBLANK(Catalog!L420),"Missing Subject; ","")&amp;IF(ISBLANK(Catalog!M420),"Missing Genre/Form; ","")&amp;IF(ISBLANK(Catalog!X420),"Missing Location Type; ","")&amp;IF(ISBLANK(Catalog!Y420),"Missing Location Id; ","")&amp;IF(AND(Catalog!T420&lt;&gt;"",COUNTIF(Catalog!$T$2:$T$501,Catalog!T420)&gt;1),"Duplicate ISBN; ","")&amp;IF(AND(Catalog!B420&lt;&gt;"",COUNTIF(Catalog!$B$2:$B$501,Catalog!B420)&gt;1),"Duplicate Accession; ",""))</f>
        <v/>
      </c>
    </row>
    <row r="445" spans="1:3" x14ac:dyDescent="0.25">
      <c r="A445" s="24" t="str">
        <f>Catalog!A421</f>
        <v/>
      </c>
      <c r="B445" s="25">
        <f>Catalog!D421</f>
        <v>0</v>
      </c>
      <c r="C445" s="26" t="str">
        <f>IF(Catalog!D421="","",IF(ISBLANK(Catalog!F421),"Missing Creator; ","")&amp;IF(ISBLANK(Catalog!K421),"Missing Item Type; ","")&amp;IF(ISBLANK(Catalog!L421),"Missing Subject; ","")&amp;IF(ISBLANK(Catalog!M421),"Missing Genre/Form; ","")&amp;IF(ISBLANK(Catalog!X421),"Missing Location Type; ","")&amp;IF(ISBLANK(Catalog!Y421),"Missing Location Id; ","")&amp;IF(AND(Catalog!T421&lt;&gt;"",COUNTIF(Catalog!$T$2:$T$501,Catalog!T421)&gt;1),"Duplicate ISBN; ","")&amp;IF(AND(Catalog!B421&lt;&gt;"",COUNTIF(Catalog!$B$2:$B$501,Catalog!B421)&gt;1),"Duplicate Accession; ",""))</f>
        <v/>
      </c>
    </row>
    <row r="446" spans="1:3" x14ac:dyDescent="0.25">
      <c r="A446" s="24" t="str">
        <f>Catalog!A422</f>
        <v/>
      </c>
      <c r="B446" s="25">
        <f>Catalog!D422</f>
        <v>0</v>
      </c>
      <c r="C446" s="26" t="str">
        <f>IF(Catalog!D422="","",IF(ISBLANK(Catalog!F422),"Missing Creator; ","")&amp;IF(ISBLANK(Catalog!K422),"Missing Item Type; ","")&amp;IF(ISBLANK(Catalog!L422),"Missing Subject; ","")&amp;IF(ISBLANK(Catalog!M422),"Missing Genre/Form; ","")&amp;IF(ISBLANK(Catalog!X422),"Missing Location Type; ","")&amp;IF(ISBLANK(Catalog!Y422),"Missing Location Id; ","")&amp;IF(AND(Catalog!T422&lt;&gt;"",COUNTIF(Catalog!$T$2:$T$501,Catalog!T422)&gt;1),"Duplicate ISBN; ","")&amp;IF(AND(Catalog!B422&lt;&gt;"",COUNTIF(Catalog!$B$2:$B$501,Catalog!B422)&gt;1),"Duplicate Accession; ",""))</f>
        <v/>
      </c>
    </row>
    <row r="447" spans="1:3" x14ac:dyDescent="0.25">
      <c r="A447" s="24" t="str">
        <f>Catalog!A423</f>
        <v/>
      </c>
      <c r="B447" s="25">
        <f>Catalog!D423</f>
        <v>0</v>
      </c>
      <c r="C447" s="26" t="str">
        <f>IF(Catalog!D423="","",IF(ISBLANK(Catalog!F423),"Missing Creator; ","")&amp;IF(ISBLANK(Catalog!K423),"Missing Item Type; ","")&amp;IF(ISBLANK(Catalog!L423),"Missing Subject; ","")&amp;IF(ISBLANK(Catalog!M423),"Missing Genre/Form; ","")&amp;IF(ISBLANK(Catalog!X423),"Missing Location Type; ","")&amp;IF(ISBLANK(Catalog!Y423),"Missing Location Id; ","")&amp;IF(AND(Catalog!T423&lt;&gt;"",COUNTIF(Catalog!$T$2:$T$501,Catalog!T423)&gt;1),"Duplicate ISBN; ","")&amp;IF(AND(Catalog!B423&lt;&gt;"",COUNTIF(Catalog!$B$2:$B$501,Catalog!B423)&gt;1),"Duplicate Accession; ",""))</f>
        <v/>
      </c>
    </row>
    <row r="448" spans="1:3" x14ac:dyDescent="0.25">
      <c r="A448" s="24" t="str">
        <f>Catalog!A424</f>
        <v/>
      </c>
      <c r="B448" s="25">
        <f>Catalog!D424</f>
        <v>0</v>
      </c>
      <c r="C448" s="26" t="str">
        <f>IF(Catalog!D424="","",IF(ISBLANK(Catalog!F424),"Missing Creator; ","")&amp;IF(ISBLANK(Catalog!K424),"Missing Item Type; ","")&amp;IF(ISBLANK(Catalog!L424),"Missing Subject; ","")&amp;IF(ISBLANK(Catalog!M424),"Missing Genre/Form; ","")&amp;IF(ISBLANK(Catalog!X424),"Missing Location Type; ","")&amp;IF(ISBLANK(Catalog!Y424),"Missing Location Id; ","")&amp;IF(AND(Catalog!T424&lt;&gt;"",COUNTIF(Catalog!$T$2:$T$501,Catalog!T424)&gt;1),"Duplicate ISBN; ","")&amp;IF(AND(Catalog!B424&lt;&gt;"",COUNTIF(Catalog!$B$2:$B$501,Catalog!B424)&gt;1),"Duplicate Accession; ",""))</f>
        <v/>
      </c>
    </row>
    <row r="449" spans="1:3" x14ac:dyDescent="0.25">
      <c r="A449" s="24" t="str">
        <f>Catalog!A425</f>
        <v/>
      </c>
      <c r="B449" s="25">
        <f>Catalog!D425</f>
        <v>0</v>
      </c>
      <c r="C449" s="26" t="str">
        <f>IF(Catalog!D425="","",IF(ISBLANK(Catalog!F425),"Missing Creator; ","")&amp;IF(ISBLANK(Catalog!K425),"Missing Item Type; ","")&amp;IF(ISBLANK(Catalog!L425),"Missing Subject; ","")&amp;IF(ISBLANK(Catalog!M425),"Missing Genre/Form; ","")&amp;IF(ISBLANK(Catalog!X425),"Missing Location Type; ","")&amp;IF(ISBLANK(Catalog!Y425),"Missing Location Id; ","")&amp;IF(AND(Catalog!T425&lt;&gt;"",COUNTIF(Catalog!$T$2:$T$501,Catalog!T425)&gt;1),"Duplicate ISBN; ","")&amp;IF(AND(Catalog!B425&lt;&gt;"",COUNTIF(Catalog!$B$2:$B$501,Catalog!B425)&gt;1),"Duplicate Accession; ",""))</f>
        <v/>
      </c>
    </row>
    <row r="450" spans="1:3" x14ac:dyDescent="0.25">
      <c r="A450" s="24" t="str">
        <f>Catalog!A426</f>
        <v/>
      </c>
      <c r="B450" s="25">
        <f>Catalog!D426</f>
        <v>0</v>
      </c>
      <c r="C450" s="26" t="str">
        <f>IF(Catalog!D426="","",IF(ISBLANK(Catalog!F426),"Missing Creator; ","")&amp;IF(ISBLANK(Catalog!K426),"Missing Item Type; ","")&amp;IF(ISBLANK(Catalog!L426),"Missing Subject; ","")&amp;IF(ISBLANK(Catalog!M426),"Missing Genre/Form; ","")&amp;IF(ISBLANK(Catalog!X426),"Missing Location Type; ","")&amp;IF(ISBLANK(Catalog!Y426),"Missing Location Id; ","")&amp;IF(AND(Catalog!T426&lt;&gt;"",COUNTIF(Catalog!$T$2:$T$501,Catalog!T426)&gt;1),"Duplicate ISBN; ","")&amp;IF(AND(Catalog!B426&lt;&gt;"",COUNTIF(Catalog!$B$2:$B$501,Catalog!B426)&gt;1),"Duplicate Accession; ",""))</f>
        <v/>
      </c>
    </row>
    <row r="451" spans="1:3" x14ac:dyDescent="0.25">
      <c r="A451" s="24" t="str">
        <f>Catalog!A427</f>
        <v/>
      </c>
      <c r="B451" s="25">
        <f>Catalog!D427</f>
        <v>0</v>
      </c>
      <c r="C451" s="26" t="str">
        <f>IF(Catalog!D427="","",IF(ISBLANK(Catalog!F427),"Missing Creator; ","")&amp;IF(ISBLANK(Catalog!K427),"Missing Item Type; ","")&amp;IF(ISBLANK(Catalog!L427),"Missing Subject; ","")&amp;IF(ISBLANK(Catalog!M427),"Missing Genre/Form; ","")&amp;IF(ISBLANK(Catalog!X427),"Missing Location Type; ","")&amp;IF(ISBLANK(Catalog!Y427),"Missing Location Id; ","")&amp;IF(AND(Catalog!T427&lt;&gt;"",COUNTIF(Catalog!$T$2:$T$501,Catalog!T427)&gt;1),"Duplicate ISBN; ","")&amp;IF(AND(Catalog!B427&lt;&gt;"",COUNTIF(Catalog!$B$2:$B$501,Catalog!B427)&gt;1),"Duplicate Accession; ",""))</f>
        <v/>
      </c>
    </row>
    <row r="452" spans="1:3" x14ac:dyDescent="0.25">
      <c r="A452" s="24" t="str">
        <f>Catalog!A428</f>
        <v/>
      </c>
      <c r="B452" s="25">
        <f>Catalog!D428</f>
        <v>0</v>
      </c>
      <c r="C452" s="26" t="str">
        <f>IF(Catalog!D428="","",IF(ISBLANK(Catalog!F428),"Missing Creator; ","")&amp;IF(ISBLANK(Catalog!K428),"Missing Item Type; ","")&amp;IF(ISBLANK(Catalog!L428),"Missing Subject; ","")&amp;IF(ISBLANK(Catalog!M428),"Missing Genre/Form; ","")&amp;IF(ISBLANK(Catalog!X428),"Missing Location Type; ","")&amp;IF(ISBLANK(Catalog!Y428),"Missing Location Id; ","")&amp;IF(AND(Catalog!T428&lt;&gt;"",COUNTIF(Catalog!$T$2:$T$501,Catalog!T428)&gt;1),"Duplicate ISBN; ","")&amp;IF(AND(Catalog!B428&lt;&gt;"",COUNTIF(Catalog!$B$2:$B$501,Catalog!B428)&gt;1),"Duplicate Accession; ",""))</f>
        <v/>
      </c>
    </row>
    <row r="453" spans="1:3" x14ac:dyDescent="0.25">
      <c r="A453" s="24" t="str">
        <f>Catalog!A429</f>
        <v/>
      </c>
      <c r="B453" s="25">
        <f>Catalog!D429</f>
        <v>0</v>
      </c>
      <c r="C453" s="26" t="str">
        <f>IF(Catalog!D429="","",IF(ISBLANK(Catalog!F429),"Missing Creator; ","")&amp;IF(ISBLANK(Catalog!K429),"Missing Item Type; ","")&amp;IF(ISBLANK(Catalog!L429),"Missing Subject; ","")&amp;IF(ISBLANK(Catalog!M429),"Missing Genre/Form; ","")&amp;IF(ISBLANK(Catalog!X429),"Missing Location Type; ","")&amp;IF(ISBLANK(Catalog!Y429),"Missing Location Id; ","")&amp;IF(AND(Catalog!T429&lt;&gt;"",COUNTIF(Catalog!$T$2:$T$501,Catalog!T429)&gt;1),"Duplicate ISBN; ","")&amp;IF(AND(Catalog!B429&lt;&gt;"",COUNTIF(Catalog!$B$2:$B$501,Catalog!B429)&gt;1),"Duplicate Accession; ",""))</f>
        <v/>
      </c>
    </row>
    <row r="454" spans="1:3" x14ac:dyDescent="0.25">
      <c r="A454" s="24" t="str">
        <f>Catalog!A430</f>
        <v/>
      </c>
      <c r="B454" s="25">
        <f>Catalog!D430</f>
        <v>0</v>
      </c>
      <c r="C454" s="26" t="str">
        <f>IF(Catalog!D430="","",IF(ISBLANK(Catalog!F430),"Missing Creator; ","")&amp;IF(ISBLANK(Catalog!K430),"Missing Item Type; ","")&amp;IF(ISBLANK(Catalog!L430),"Missing Subject; ","")&amp;IF(ISBLANK(Catalog!M430),"Missing Genre/Form; ","")&amp;IF(ISBLANK(Catalog!X430),"Missing Location Type; ","")&amp;IF(ISBLANK(Catalog!Y430),"Missing Location Id; ","")&amp;IF(AND(Catalog!T430&lt;&gt;"",COUNTIF(Catalog!$T$2:$T$501,Catalog!T430)&gt;1),"Duplicate ISBN; ","")&amp;IF(AND(Catalog!B430&lt;&gt;"",COUNTIF(Catalog!$B$2:$B$501,Catalog!B430)&gt;1),"Duplicate Accession; ",""))</f>
        <v/>
      </c>
    </row>
    <row r="455" spans="1:3" x14ac:dyDescent="0.25">
      <c r="A455" s="24" t="str">
        <f>Catalog!A431</f>
        <v/>
      </c>
      <c r="B455" s="25">
        <f>Catalog!D431</f>
        <v>0</v>
      </c>
      <c r="C455" s="26" t="str">
        <f>IF(Catalog!D431="","",IF(ISBLANK(Catalog!F431),"Missing Creator; ","")&amp;IF(ISBLANK(Catalog!K431),"Missing Item Type; ","")&amp;IF(ISBLANK(Catalog!L431),"Missing Subject; ","")&amp;IF(ISBLANK(Catalog!M431),"Missing Genre/Form; ","")&amp;IF(ISBLANK(Catalog!X431),"Missing Location Type; ","")&amp;IF(ISBLANK(Catalog!Y431),"Missing Location Id; ","")&amp;IF(AND(Catalog!T431&lt;&gt;"",COUNTIF(Catalog!$T$2:$T$501,Catalog!T431)&gt;1),"Duplicate ISBN; ","")&amp;IF(AND(Catalog!B431&lt;&gt;"",COUNTIF(Catalog!$B$2:$B$501,Catalog!B431)&gt;1),"Duplicate Accession; ",""))</f>
        <v/>
      </c>
    </row>
    <row r="456" spans="1:3" x14ac:dyDescent="0.25">
      <c r="A456" s="24" t="str">
        <f>Catalog!A432</f>
        <v/>
      </c>
      <c r="B456" s="25">
        <f>Catalog!D432</f>
        <v>0</v>
      </c>
      <c r="C456" s="26" t="str">
        <f>IF(Catalog!D432="","",IF(ISBLANK(Catalog!F432),"Missing Creator; ","")&amp;IF(ISBLANK(Catalog!K432),"Missing Item Type; ","")&amp;IF(ISBLANK(Catalog!L432),"Missing Subject; ","")&amp;IF(ISBLANK(Catalog!M432),"Missing Genre/Form; ","")&amp;IF(ISBLANK(Catalog!X432),"Missing Location Type; ","")&amp;IF(ISBLANK(Catalog!Y432),"Missing Location Id; ","")&amp;IF(AND(Catalog!T432&lt;&gt;"",COUNTIF(Catalog!$T$2:$T$501,Catalog!T432)&gt;1),"Duplicate ISBN; ","")&amp;IF(AND(Catalog!B432&lt;&gt;"",COUNTIF(Catalog!$B$2:$B$501,Catalog!B432)&gt;1),"Duplicate Accession; ",""))</f>
        <v/>
      </c>
    </row>
    <row r="457" spans="1:3" x14ac:dyDescent="0.25">
      <c r="A457" s="24" t="str">
        <f>Catalog!A433</f>
        <v/>
      </c>
      <c r="B457" s="25">
        <f>Catalog!D433</f>
        <v>0</v>
      </c>
      <c r="C457" s="26" t="str">
        <f>IF(Catalog!D433="","",IF(ISBLANK(Catalog!F433),"Missing Creator; ","")&amp;IF(ISBLANK(Catalog!K433),"Missing Item Type; ","")&amp;IF(ISBLANK(Catalog!L433),"Missing Subject; ","")&amp;IF(ISBLANK(Catalog!M433),"Missing Genre/Form; ","")&amp;IF(ISBLANK(Catalog!X433),"Missing Location Type; ","")&amp;IF(ISBLANK(Catalog!Y433),"Missing Location Id; ","")&amp;IF(AND(Catalog!T433&lt;&gt;"",COUNTIF(Catalog!$T$2:$T$501,Catalog!T433)&gt;1),"Duplicate ISBN; ","")&amp;IF(AND(Catalog!B433&lt;&gt;"",COUNTIF(Catalog!$B$2:$B$501,Catalog!B433)&gt;1),"Duplicate Accession; ",""))</f>
        <v/>
      </c>
    </row>
    <row r="458" spans="1:3" x14ac:dyDescent="0.25">
      <c r="A458" s="24" t="str">
        <f>Catalog!A434</f>
        <v/>
      </c>
      <c r="B458" s="25">
        <f>Catalog!D434</f>
        <v>0</v>
      </c>
      <c r="C458" s="26" t="str">
        <f>IF(Catalog!D434="","",IF(ISBLANK(Catalog!F434),"Missing Creator; ","")&amp;IF(ISBLANK(Catalog!K434),"Missing Item Type; ","")&amp;IF(ISBLANK(Catalog!L434),"Missing Subject; ","")&amp;IF(ISBLANK(Catalog!M434),"Missing Genre/Form; ","")&amp;IF(ISBLANK(Catalog!X434),"Missing Location Type; ","")&amp;IF(ISBLANK(Catalog!Y434),"Missing Location Id; ","")&amp;IF(AND(Catalog!T434&lt;&gt;"",COUNTIF(Catalog!$T$2:$T$501,Catalog!T434)&gt;1),"Duplicate ISBN; ","")&amp;IF(AND(Catalog!B434&lt;&gt;"",COUNTIF(Catalog!$B$2:$B$501,Catalog!B434)&gt;1),"Duplicate Accession; ",""))</f>
        <v/>
      </c>
    </row>
    <row r="459" spans="1:3" x14ac:dyDescent="0.25">
      <c r="A459" s="24" t="str">
        <f>Catalog!A435</f>
        <v/>
      </c>
      <c r="B459" s="25">
        <f>Catalog!D435</f>
        <v>0</v>
      </c>
      <c r="C459" s="26" t="str">
        <f>IF(Catalog!D435="","",IF(ISBLANK(Catalog!F435),"Missing Creator; ","")&amp;IF(ISBLANK(Catalog!K435),"Missing Item Type; ","")&amp;IF(ISBLANK(Catalog!L435),"Missing Subject; ","")&amp;IF(ISBLANK(Catalog!M435),"Missing Genre/Form; ","")&amp;IF(ISBLANK(Catalog!X435),"Missing Location Type; ","")&amp;IF(ISBLANK(Catalog!Y435),"Missing Location Id; ","")&amp;IF(AND(Catalog!T435&lt;&gt;"",COUNTIF(Catalog!$T$2:$T$501,Catalog!T435)&gt;1),"Duplicate ISBN; ","")&amp;IF(AND(Catalog!B435&lt;&gt;"",COUNTIF(Catalog!$B$2:$B$501,Catalog!B435)&gt;1),"Duplicate Accession; ",""))</f>
        <v/>
      </c>
    </row>
    <row r="460" spans="1:3" x14ac:dyDescent="0.25">
      <c r="A460" s="24" t="str">
        <f>Catalog!A436</f>
        <v/>
      </c>
      <c r="B460" s="25">
        <f>Catalog!D436</f>
        <v>0</v>
      </c>
      <c r="C460" s="26" t="str">
        <f>IF(Catalog!D436="","",IF(ISBLANK(Catalog!F436),"Missing Creator; ","")&amp;IF(ISBLANK(Catalog!K436),"Missing Item Type; ","")&amp;IF(ISBLANK(Catalog!L436),"Missing Subject; ","")&amp;IF(ISBLANK(Catalog!M436),"Missing Genre/Form; ","")&amp;IF(ISBLANK(Catalog!X436),"Missing Location Type; ","")&amp;IF(ISBLANK(Catalog!Y436),"Missing Location Id; ","")&amp;IF(AND(Catalog!T436&lt;&gt;"",COUNTIF(Catalog!$T$2:$T$501,Catalog!T436)&gt;1),"Duplicate ISBN; ","")&amp;IF(AND(Catalog!B436&lt;&gt;"",COUNTIF(Catalog!$B$2:$B$501,Catalog!B436)&gt;1),"Duplicate Accession; ",""))</f>
        <v/>
      </c>
    </row>
    <row r="461" spans="1:3" x14ac:dyDescent="0.25">
      <c r="A461" s="24" t="str">
        <f>Catalog!A437</f>
        <v/>
      </c>
      <c r="B461" s="25">
        <f>Catalog!D437</f>
        <v>0</v>
      </c>
      <c r="C461" s="26" t="str">
        <f>IF(Catalog!D437="","",IF(ISBLANK(Catalog!F437),"Missing Creator; ","")&amp;IF(ISBLANK(Catalog!K437),"Missing Item Type; ","")&amp;IF(ISBLANK(Catalog!L437),"Missing Subject; ","")&amp;IF(ISBLANK(Catalog!M437),"Missing Genre/Form; ","")&amp;IF(ISBLANK(Catalog!X437),"Missing Location Type; ","")&amp;IF(ISBLANK(Catalog!Y437),"Missing Location Id; ","")&amp;IF(AND(Catalog!T437&lt;&gt;"",COUNTIF(Catalog!$T$2:$T$501,Catalog!T437)&gt;1),"Duplicate ISBN; ","")&amp;IF(AND(Catalog!B437&lt;&gt;"",COUNTIF(Catalog!$B$2:$B$501,Catalog!B437)&gt;1),"Duplicate Accession; ",""))</f>
        <v/>
      </c>
    </row>
    <row r="462" spans="1:3" x14ac:dyDescent="0.25">
      <c r="A462" s="24" t="str">
        <f>Catalog!A438</f>
        <v/>
      </c>
      <c r="B462" s="25">
        <f>Catalog!D438</f>
        <v>0</v>
      </c>
      <c r="C462" s="26" t="str">
        <f>IF(Catalog!D438="","",IF(ISBLANK(Catalog!F438),"Missing Creator; ","")&amp;IF(ISBLANK(Catalog!K438),"Missing Item Type; ","")&amp;IF(ISBLANK(Catalog!L438),"Missing Subject; ","")&amp;IF(ISBLANK(Catalog!M438),"Missing Genre/Form; ","")&amp;IF(ISBLANK(Catalog!X438),"Missing Location Type; ","")&amp;IF(ISBLANK(Catalog!Y438),"Missing Location Id; ","")&amp;IF(AND(Catalog!T438&lt;&gt;"",COUNTIF(Catalog!$T$2:$T$501,Catalog!T438)&gt;1),"Duplicate ISBN; ","")&amp;IF(AND(Catalog!B438&lt;&gt;"",COUNTIF(Catalog!$B$2:$B$501,Catalog!B438)&gt;1),"Duplicate Accession; ",""))</f>
        <v/>
      </c>
    </row>
    <row r="463" spans="1:3" x14ac:dyDescent="0.25">
      <c r="A463" s="24" t="str">
        <f>Catalog!A439</f>
        <v/>
      </c>
      <c r="B463" s="25">
        <f>Catalog!D439</f>
        <v>0</v>
      </c>
      <c r="C463" s="26" t="str">
        <f>IF(Catalog!D439="","",IF(ISBLANK(Catalog!F439),"Missing Creator; ","")&amp;IF(ISBLANK(Catalog!K439),"Missing Item Type; ","")&amp;IF(ISBLANK(Catalog!L439),"Missing Subject; ","")&amp;IF(ISBLANK(Catalog!M439),"Missing Genre/Form; ","")&amp;IF(ISBLANK(Catalog!X439),"Missing Location Type; ","")&amp;IF(ISBLANK(Catalog!Y439),"Missing Location Id; ","")&amp;IF(AND(Catalog!T439&lt;&gt;"",COUNTIF(Catalog!$T$2:$T$501,Catalog!T439)&gt;1),"Duplicate ISBN; ","")&amp;IF(AND(Catalog!B439&lt;&gt;"",COUNTIF(Catalog!$B$2:$B$501,Catalog!B439)&gt;1),"Duplicate Accession; ",""))</f>
        <v/>
      </c>
    </row>
    <row r="464" spans="1:3" x14ac:dyDescent="0.25">
      <c r="A464" s="24" t="str">
        <f>Catalog!A440</f>
        <v/>
      </c>
      <c r="B464" s="25">
        <f>Catalog!D440</f>
        <v>0</v>
      </c>
      <c r="C464" s="26" t="str">
        <f>IF(Catalog!D440="","",IF(ISBLANK(Catalog!F440),"Missing Creator; ","")&amp;IF(ISBLANK(Catalog!K440),"Missing Item Type; ","")&amp;IF(ISBLANK(Catalog!L440),"Missing Subject; ","")&amp;IF(ISBLANK(Catalog!M440),"Missing Genre/Form; ","")&amp;IF(ISBLANK(Catalog!X440),"Missing Location Type; ","")&amp;IF(ISBLANK(Catalog!Y440),"Missing Location Id; ","")&amp;IF(AND(Catalog!T440&lt;&gt;"",COUNTIF(Catalog!$T$2:$T$501,Catalog!T440)&gt;1),"Duplicate ISBN; ","")&amp;IF(AND(Catalog!B440&lt;&gt;"",COUNTIF(Catalog!$B$2:$B$501,Catalog!B440)&gt;1),"Duplicate Accession; ",""))</f>
        <v/>
      </c>
    </row>
    <row r="465" spans="1:3" x14ac:dyDescent="0.25">
      <c r="A465" s="24" t="str">
        <f>Catalog!A441</f>
        <v/>
      </c>
      <c r="B465" s="25">
        <f>Catalog!D441</f>
        <v>0</v>
      </c>
      <c r="C465" s="26" t="str">
        <f>IF(Catalog!D441="","",IF(ISBLANK(Catalog!F441),"Missing Creator; ","")&amp;IF(ISBLANK(Catalog!K441),"Missing Item Type; ","")&amp;IF(ISBLANK(Catalog!L441),"Missing Subject; ","")&amp;IF(ISBLANK(Catalog!M441),"Missing Genre/Form; ","")&amp;IF(ISBLANK(Catalog!X441),"Missing Location Type; ","")&amp;IF(ISBLANK(Catalog!Y441),"Missing Location Id; ","")&amp;IF(AND(Catalog!T441&lt;&gt;"",COUNTIF(Catalog!$T$2:$T$501,Catalog!T441)&gt;1),"Duplicate ISBN; ","")&amp;IF(AND(Catalog!B441&lt;&gt;"",COUNTIF(Catalog!$B$2:$B$501,Catalog!B441)&gt;1),"Duplicate Accession; ",""))</f>
        <v/>
      </c>
    </row>
    <row r="466" spans="1:3" x14ac:dyDescent="0.25">
      <c r="A466" s="24" t="str">
        <f>Catalog!A442</f>
        <v/>
      </c>
      <c r="B466" s="25">
        <f>Catalog!D442</f>
        <v>0</v>
      </c>
      <c r="C466" s="26" t="str">
        <f>IF(Catalog!D442="","",IF(ISBLANK(Catalog!F442),"Missing Creator; ","")&amp;IF(ISBLANK(Catalog!K442),"Missing Item Type; ","")&amp;IF(ISBLANK(Catalog!L442),"Missing Subject; ","")&amp;IF(ISBLANK(Catalog!M442),"Missing Genre/Form; ","")&amp;IF(ISBLANK(Catalog!X442),"Missing Location Type; ","")&amp;IF(ISBLANK(Catalog!Y442),"Missing Location Id; ","")&amp;IF(AND(Catalog!T442&lt;&gt;"",COUNTIF(Catalog!$T$2:$T$501,Catalog!T442)&gt;1),"Duplicate ISBN; ","")&amp;IF(AND(Catalog!B442&lt;&gt;"",COUNTIF(Catalog!$B$2:$B$501,Catalog!B442)&gt;1),"Duplicate Accession; ",""))</f>
        <v/>
      </c>
    </row>
    <row r="467" spans="1:3" x14ac:dyDescent="0.25">
      <c r="A467" s="24" t="str">
        <f>Catalog!A443</f>
        <v/>
      </c>
      <c r="B467" s="25">
        <f>Catalog!D443</f>
        <v>0</v>
      </c>
      <c r="C467" s="26" t="str">
        <f>IF(Catalog!D443="","",IF(ISBLANK(Catalog!F443),"Missing Creator; ","")&amp;IF(ISBLANK(Catalog!K443),"Missing Item Type; ","")&amp;IF(ISBLANK(Catalog!L443),"Missing Subject; ","")&amp;IF(ISBLANK(Catalog!M443),"Missing Genre/Form; ","")&amp;IF(ISBLANK(Catalog!X443),"Missing Location Type; ","")&amp;IF(ISBLANK(Catalog!Y443),"Missing Location Id; ","")&amp;IF(AND(Catalog!T443&lt;&gt;"",COUNTIF(Catalog!$T$2:$T$501,Catalog!T443)&gt;1),"Duplicate ISBN; ","")&amp;IF(AND(Catalog!B443&lt;&gt;"",COUNTIF(Catalog!$B$2:$B$501,Catalog!B443)&gt;1),"Duplicate Accession; ",""))</f>
        <v/>
      </c>
    </row>
    <row r="468" spans="1:3" x14ac:dyDescent="0.25">
      <c r="A468" s="24" t="str">
        <f>Catalog!A444</f>
        <v/>
      </c>
      <c r="B468" s="25">
        <f>Catalog!D444</f>
        <v>0</v>
      </c>
      <c r="C468" s="26" t="str">
        <f>IF(Catalog!D444="","",IF(ISBLANK(Catalog!F444),"Missing Creator; ","")&amp;IF(ISBLANK(Catalog!K444),"Missing Item Type; ","")&amp;IF(ISBLANK(Catalog!L444),"Missing Subject; ","")&amp;IF(ISBLANK(Catalog!M444),"Missing Genre/Form; ","")&amp;IF(ISBLANK(Catalog!X444),"Missing Location Type; ","")&amp;IF(ISBLANK(Catalog!Y444),"Missing Location Id; ","")&amp;IF(AND(Catalog!T444&lt;&gt;"",COUNTIF(Catalog!$T$2:$T$501,Catalog!T444)&gt;1),"Duplicate ISBN; ","")&amp;IF(AND(Catalog!B444&lt;&gt;"",COUNTIF(Catalog!$B$2:$B$501,Catalog!B444)&gt;1),"Duplicate Accession; ",""))</f>
        <v/>
      </c>
    </row>
    <row r="469" spans="1:3" x14ac:dyDescent="0.25">
      <c r="A469" s="24" t="str">
        <f>Catalog!A445</f>
        <v/>
      </c>
      <c r="B469" s="25">
        <f>Catalog!D445</f>
        <v>0</v>
      </c>
      <c r="C469" s="26" t="str">
        <f>IF(Catalog!D445="","",IF(ISBLANK(Catalog!F445),"Missing Creator; ","")&amp;IF(ISBLANK(Catalog!K445),"Missing Item Type; ","")&amp;IF(ISBLANK(Catalog!L445),"Missing Subject; ","")&amp;IF(ISBLANK(Catalog!M445),"Missing Genre/Form; ","")&amp;IF(ISBLANK(Catalog!X445),"Missing Location Type; ","")&amp;IF(ISBLANK(Catalog!Y445),"Missing Location Id; ","")&amp;IF(AND(Catalog!T445&lt;&gt;"",COUNTIF(Catalog!$T$2:$T$501,Catalog!T445)&gt;1),"Duplicate ISBN; ","")&amp;IF(AND(Catalog!B445&lt;&gt;"",COUNTIF(Catalog!$B$2:$B$501,Catalog!B445)&gt;1),"Duplicate Accession; ",""))</f>
        <v/>
      </c>
    </row>
    <row r="470" spans="1:3" x14ac:dyDescent="0.25">
      <c r="A470" s="24" t="str">
        <f>Catalog!A446</f>
        <v/>
      </c>
      <c r="B470" s="25">
        <f>Catalog!D446</f>
        <v>0</v>
      </c>
      <c r="C470" s="26" t="str">
        <f>IF(Catalog!D446="","",IF(ISBLANK(Catalog!F446),"Missing Creator; ","")&amp;IF(ISBLANK(Catalog!K446),"Missing Item Type; ","")&amp;IF(ISBLANK(Catalog!L446),"Missing Subject; ","")&amp;IF(ISBLANK(Catalog!M446),"Missing Genre/Form; ","")&amp;IF(ISBLANK(Catalog!X446),"Missing Location Type; ","")&amp;IF(ISBLANK(Catalog!Y446),"Missing Location Id; ","")&amp;IF(AND(Catalog!T446&lt;&gt;"",COUNTIF(Catalog!$T$2:$T$501,Catalog!T446)&gt;1),"Duplicate ISBN; ","")&amp;IF(AND(Catalog!B446&lt;&gt;"",COUNTIF(Catalog!$B$2:$B$501,Catalog!B446)&gt;1),"Duplicate Accession; ",""))</f>
        <v/>
      </c>
    </row>
    <row r="471" spans="1:3" x14ac:dyDescent="0.25">
      <c r="A471" s="24" t="str">
        <f>Catalog!A447</f>
        <v/>
      </c>
      <c r="B471" s="25">
        <f>Catalog!D447</f>
        <v>0</v>
      </c>
      <c r="C471" s="26" t="str">
        <f>IF(Catalog!D447="","",IF(ISBLANK(Catalog!F447),"Missing Creator; ","")&amp;IF(ISBLANK(Catalog!K447),"Missing Item Type; ","")&amp;IF(ISBLANK(Catalog!L447),"Missing Subject; ","")&amp;IF(ISBLANK(Catalog!M447),"Missing Genre/Form; ","")&amp;IF(ISBLANK(Catalog!X447),"Missing Location Type; ","")&amp;IF(ISBLANK(Catalog!Y447),"Missing Location Id; ","")&amp;IF(AND(Catalog!T447&lt;&gt;"",COUNTIF(Catalog!$T$2:$T$501,Catalog!T447)&gt;1),"Duplicate ISBN; ","")&amp;IF(AND(Catalog!B447&lt;&gt;"",COUNTIF(Catalog!$B$2:$B$501,Catalog!B447)&gt;1),"Duplicate Accession; ",""))</f>
        <v/>
      </c>
    </row>
    <row r="472" spans="1:3" x14ac:dyDescent="0.25">
      <c r="A472" s="24" t="str">
        <f>Catalog!A448</f>
        <v/>
      </c>
      <c r="B472" s="25">
        <f>Catalog!D448</f>
        <v>0</v>
      </c>
      <c r="C472" s="26" t="str">
        <f>IF(Catalog!D448="","",IF(ISBLANK(Catalog!F448),"Missing Creator; ","")&amp;IF(ISBLANK(Catalog!K448),"Missing Item Type; ","")&amp;IF(ISBLANK(Catalog!L448),"Missing Subject; ","")&amp;IF(ISBLANK(Catalog!M448),"Missing Genre/Form; ","")&amp;IF(ISBLANK(Catalog!X448),"Missing Location Type; ","")&amp;IF(ISBLANK(Catalog!Y448),"Missing Location Id; ","")&amp;IF(AND(Catalog!T448&lt;&gt;"",COUNTIF(Catalog!$T$2:$T$501,Catalog!T448)&gt;1),"Duplicate ISBN; ","")&amp;IF(AND(Catalog!B448&lt;&gt;"",COUNTIF(Catalog!$B$2:$B$501,Catalog!B448)&gt;1),"Duplicate Accession; ",""))</f>
        <v/>
      </c>
    </row>
    <row r="473" spans="1:3" x14ac:dyDescent="0.25">
      <c r="A473" s="24" t="str">
        <f>Catalog!A449</f>
        <v/>
      </c>
      <c r="B473" s="25">
        <f>Catalog!D449</f>
        <v>0</v>
      </c>
      <c r="C473" s="26" t="str">
        <f>IF(Catalog!D449="","",IF(ISBLANK(Catalog!F449),"Missing Creator; ","")&amp;IF(ISBLANK(Catalog!K449),"Missing Item Type; ","")&amp;IF(ISBLANK(Catalog!L449),"Missing Subject; ","")&amp;IF(ISBLANK(Catalog!M449),"Missing Genre/Form; ","")&amp;IF(ISBLANK(Catalog!X449),"Missing Location Type; ","")&amp;IF(ISBLANK(Catalog!Y449),"Missing Location Id; ","")&amp;IF(AND(Catalog!T449&lt;&gt;"",COUNTIF(Catalog!$T$2:$T$501,Catalog!T449)&gt;1),"Duplicate ISBN; ","")&amp;IF(AND(Catalog!B449&lt;&gt;"",COUNTIF(Catalog!$B$2:$B$501,Catalog!B449)&gt;1),"Duplicate Accession; ",""))</f>
        <v/>
      </c>
    </row>
    <row r="474" spans="1:3" x14ac:dyDescent="0.25">
      <c r="A474" s="24" t="str">
        <f>Catalog!A450</f>
        <v/>
      </c>
      <c r="B474" s="25">
        <f>Catalog!D450</f>
        <v>0</v>
      </c>
      <c r="C474" s="26" t="str">
        <f>IF(Catalog!D450="","",IF(ISBLANK(Catalog!F450),"Missing Creator; ","")&amp;IF(ISBLANK(Catalog!K450),"Missing Item Type; ","")&amp;IF(ISBLANK(Catalog!L450),"Missing Subject; ","")&amp;IF(ISBLANK(Catalog!M450),"Missing Genre/Form; ","")&amp;IF(ISBLANK(Catalog!X450),"Missing Location Type; ","")&amp;IF(ISBLANK(Catalog!Y450),"Missing Location Id; ","")&amp;IF(AND(Catalog!T450&lt;&gt;"",COUNTIF(Catalog!$T$2:$T$501,Catalog!T450)&gt;1),"Duplicate ISBN; ","")&amp;IF(AND(Catalog!B450&lt;&gt;"",COUNTIF(Catalog!$B$2:$B$501,Catalog!B450)&gt;1),"Duplicate Accession; ",""))</f>
        <v/>
      </c>
    </row>
    <row r="475" spans="1:3" x14ac:dyDescent="0.25">
      <c r="A475" s="24" t="str">
        <f>Catalog!A451</f>
        <v/>
      </c>
      <c r="B475" s="25">
        <f>Catalog!D451</f>
        <v>0</v>
      </c>
      <c r="C475" s="26" t="str">
        <f>IF(Catalog!D451="","",IF(ISBLANK(Catalog!F451),"Missing Creator; ","")&amp;IF(ISBLANK(Catalog!K451),"Missing Item Type; ","")&amp;IF(ISBLANK(Catalog!L451),"Missing Subject; ","")&amp;IF(ISBLANK(Catalog!M451),"Missing Genre/Form; ","")&amp;IF(ISBLANK(Catalog!X451),"Missing Location Type; ","")&amp;IF(ISBLANK(Catalog!Y451),"Missing Location Id; ","")&amp;IF(AND(Catalog!T451&lt;&gt;"",COUNTIF(Catalog!$T$2:$T$501,Catalog!T451)&gt;1),"Duplicate ISBN; ","")&amp;IF(AND(Catalog!B451&lt;&gt;"",COUNTIF(Catalog!$B$2:$B$501,Catalog!B451)&gt;1),"Duplicate Accession; ",""))</f>
        <v/>
      </c>
    </row>
    <row r="476" spans="1:3" x14ac:dyDescent="0.25">
      <c r="A476" s="24" t="str">
        <f>Catalog!A452</f>
        <v/>
      </c>
      <c r="B476" s="25">
        <f>Catalog!D452</f>
        <v>0</v>
      </c>
      <c r="C476" s="26" t="str">
        <f>IF(Catalog!D452="","",IF(ISBLANK(Catalog!F452),"Missing Creator; ","")&amp;IF(ISBLANK(Catalog!K452),"Missing Item Type; ","")&amp;IF(ISBLANK(Catalog!L452),"Missing Subject; ","")&amp;IF(ISBLANK(Catalog!M452),"Missing Genre/Form; ","")&amp;IF(ISBLANK(Catalog!X452),"Missing Location Type; ","")&amp;IF(ISBLANK(Catalog!Y452),"Missing Location Id; ","")&amp;IF(AND(Catalog!T452&lt;&gt;"",COUNTIF(Catalog!$T$2:$T$501,Catalog!T452)&gt;1),"Duplicate ISBN; ","")&amp;IF(AND(Catalog!B452&lt;&gt;"",COUNTIF(Catalog!$B$2:$B$501,Catalog!B452)&gt;1),"Duplicate Accession; ",""))</f>
        <v/>
      </c>
    </row>
    <row r="477" spans="1:3" x14ac:dyDescent="0.25">
      <c r="A477" s="24" t="str">
        <f>Catalog!A453</f>
        <v/>
      </c>
      <c r="B477" s="25">
        <f>Catalog!D453</f>
        <v>0</v>
      </c>
      <c r="C477" s="26" t="str">
        <f>IF(Catalog!D453="","",IF(ISBLANK(Catalog!F453),"Missing Creator; ","")&amp;IF(ISBLANK(Catalog!K453),"Missing Item Type; ","")&amp;IF(ISBLANK(Catalog!L453),"Missing Subject; ","")&amp;IF(ISBLANK(Catalog!M453),"Missing Genre/Form; ","")&amp;IF(ISBLANK(Catalog!X453),"Missing Location Type; ","")&amp;IF(ISBLANK(Catalog!Y453),"Missing Location Id; ","")&amp;IF(AND(Catalog!T453&lt;&gt;"",COUNTIF(Catalog!$T$2:$T$501,Catalog!T453)&gt;1),"Duplicate ISBN; ","")&amp;IF(AND(Catalog!B453&lt;&gt;"",COUNTIF(Catalog!$B$2:$B$501,Catalog!B453)&gt;1),"Duplicate Accession; ",""))</f>
        <v/>
      </c>
    </row>
    <row r="478" spans="1:3" x14ac:dyDescent="0.25">
      <c r="A478" s="24" t="str">
        <f>Catalog!A454</f>
        <v/>
      </c>
      <c r="B478" s="25">
        <f>Catalog!D454</f>
        <v>0</v>
      </c>
      <c r="C478" s="26" t="str">
        <f>IF(Catalog!D454="","",IF(ISBLANK(Catalog!F454),"Missing Creator; ","")&amp;IF(ISBLANK(Catalog!K454),"Missing Item Type; ","")&amp;IF(ISBLANK(Catalog!L454),"Missing Subject; ","")&amp;IF(ISBLANK(Catalog!M454),"Missing Genre/Form; ","")&amp;IF(ISBLANK(Catalog!X454),"Missing Location Type; ","")&amp;IF(ISBLANK(Catalog!Y454),"Missing Location Id; ","")&amp;IF(AND(Catalog!T454&lt;&gt;"",COUNTIF(Catalog!$T$2:$T$501,Catalog!T454)&gt;1),"Duplicate ISBN; ","")&amp;IF(AND(Catalog!B454&lt;&gt;"",COUNTIF(Catalog!$B$2:$B$501,Catalog!B454)&gt;1),"Duplicate Accession; ",""))</f>
        <v/>
      </c>
    </row>
    <row r="479" spans="1:3" x14ac:dyDescent="0.25">
      <c r="A479" s="24" t="str">
        <f>Catalog!A455</f>
        <v/>
      </c>
      <c r="B479" s="25">
        <f>Catalog!D455</f>
        <v>0</v>
      </c>
      <c r="C479" s="26" t="str">
        <f>IF(Catalog!D455="","",IF(ISBLANK(Catalog!F455),"Missing Creator; ","")&amp;IF(ISBLANK(Catalog!K455),"Missing Item Type; ","")&amp;IF(ISBLANK(Catalog!L455),"Missing Subject; ","")&amp;IF(ISBLANK(Catalog!M455),"Missing Genre/Form; ","")&amp;IF(ISBLANK(Catalog!X455),"Missing Location Type; ","")&amp;IF(ISBLANK(Catalog!Y455),"Missing Location Id; ","")&amp;IF(AND(Catalog!T455&lt;&gt;"",COUNTIF(Catalog!$T$2:$T$501,Catalog!T455)&gt;1),"Duplicate ISBN; ","")&amp;IF(AND(Catalog!B455&lt;&gt;"",COUNTIF(Catalog!$B$2:$B$501,Catalog!B455)&gt;1),"Duplicate Accession; ",""))</f>
        <v/>
      </c>
    </row>
    <row r="480" spans="1:3" x14ac:dyDescent="0.25">
      <c r="A480" s="24" t="str">
        <f>Catalog!A456</f>
        <v/>
      </c>
      <c r="B480" s="25">
        <f>Catalog!D456</f>
        <v>0</v>
      </c>
      <c r="C480" s="26" t="str">
        <f>IF(Catalog!D456="","",IF(ISBLANK(Catalog!F456),"Missing Creator; ","")&amp;IF(ISBLANK(Catalog!K456),"Missing Item Type; ","")&amp;IF(ISBLANK(Catalog!L456),"Missing Subject; ","")&amp;IF(ISBLANK(Catalog!M456),"Missing Genre/Form; ","")&amp;IF(ISBLANK(Catalog!X456),"Missing Location Type; ","")&amp;IF(ISBLANK(Catalog!Y456),"Missing Location Id; ","")&amp;IF(AND(Catalog!T456&lt;&gt;"",COUNTIF(Catalog!$T$2:$T$501,Catalog!T456)&gt;1),"Duplicate ISBN; ","")&amp;IF(AND(Catalog!B456&lt;&gt;"",COUNTIF(Catalog!$B$2:$B$501,Catalog!B456)&gt;1),"Duplicate Accession; ",""))</f>
        <v/>
      </c>
    </row>
    <row r="481" spans="1:3" x14ac:dyDescent="0.25">
      <c r="A481" s="24" t="str">
        <f>Catalog!A457</f>
        <v/>
      </c>
      <c r="B481" s="25">
        <f>Catalog!D457</f>
        <v>0</v>
      </c>
      <c r="C481" s="26" t="str">
        <f>IF(Catalog!D457="","",IF(ISBLANK(Catalog!F457),"Missing Creator; ","")&amp;IF(ISBLANK(Catalog!K457),"Missing Item Type; ","")&amp;IF(ISBLANK(Catalog!L457),"Missing Subject; ","")&amp;IF(ISBLANK(Catalog!M457),"Missing Genre/Form; ","")&amp;IF(ISBLANK(Catalog!X457),"Missing Location Type; ","")&amp;IF(ISBLANK(Catalog!Y457),"Missing Location Id; ","")&amp;IF(AND(Catalog!T457&lt;&gt;"",COUNTIF(Catalog!$T$2:$T$501,Catalog!T457)&gt;1),"Duplicate ISBN; ","")&amp;IF(AND(Catalog!B457&lt;&gt;"",COUNTIF(Catalog!$B$2:$B$501,Catalog!B457)&gt;1),"Duplicate Accession; ",""))</f>
        <v/>
      </c>
    </row>
    <row r="482" spans="1:3" x14ac:dyDescent="0.25">
      <c r="A482" s="24" t="str">
        <f>Catalog!A458</f>
        <v/>
      </c>
      <c r="B482" s="25">
        <f>Catalog!D458</f>
        <v>0</v>
      </c>
      <c r="C482" s="26" t="str">
        <f>IF(Catalog!D458="","",IF(ISBLANK(Catalog!F458),"Missing Creator; ","")&amp;IF(ISBLANK(Catalog!K458),"Missing Item Type; ","")&amp;IF(ISBLANK(Catalog!L458),"Missing Subject; ","")&amp;IF(ISBLANK(Catalog!M458),"Missing Genre/Form; ","")&amp;IF(ISBLANK(Catalog!X458),"Missing Location Type; ","")&amp;IF(ISBLANK(Catalog!Y458),"Missing Location Id; ","")&amp;IF(AND(Catalog!T458&lt;&gt;"",COUNTIF(Catalog!$T$2:$T$501,Catalog!T458)&gt;1),"Duplicate ISBN; ","")&amp;IF(AND(Catalog!B458&lt;&gt;"",COUNTIF(Catalog!$B$2:$B$501,Catalog!B458)&gt;1),"Duplicate Accession; ",""))</f>
        <v/>
      </c>
    </row>
    <row r="483" spans="1:3" x14ac:dyDescent="0.25">
      <c r="A483" s="24" t="str">
        <f>Catalog!A459</f>
        <v/>
      </c>
      <c r="B483" s="25">
        <f>Catalog!D459</f>
        <v>0</v>
      </c>
      <c r="C483" s="26" t="str">
        <f>IF(Catalog!D459="","",IF(ISBLANK(Catalog!F459),"Missing Creator; ","")&amp;IF(ISBLANK(Catalog!K459),"Missing Item Type; ","")&amp;IF(ISBLANK(Catalog!L459),"Missing Subject; ","")&amp;IF(ISBLANK(Catalog!M459),"Missing Genre/Form; ","")&amp;IF(ISBLANK(Catalog!X459),"Missing Location Type; ","")&amp;IF(ISBLANK(Catalog!Y459),"Missing Location Id; ","")&amp;IF(AND(Catalog!T459&lt;&gt;"",COUNTIF(Catalog!$T$2:$T$501,Catalog!T459)&gt;1),"Duplicate ISBN; ","")&amp;IF(AND(Catalog!B459&lt;&gt;"",COUNTIF(Catalog!$B$2:$B$501,Catalog!B459)&gt;1),"Duplicate Accession; ",""))</f>
        <v/>
      </c>
    </row>
    <row r="484" spans="1:3" x14ac:dyDescent="0.25">
      <c r="A484" s="24" t="str">
        <f>Catalog!A460</f>
        <v/>
      </c>
      <c r="B484" s="25">
        <f>Catalog!D460</f>
        <v>0</v>
      </c>
      <c r="C484" s="26" t="str">
        <f>IF(Catalog!D460="","",IF(ISBLANK(Catalog!F460),"Missing Creator; ","")&amp;IF(ISBLANK(Catalog!K460),"Missing Item Type; ","")&amp;IF(ISBLANK(Catalog!L460),"Missing Subject; ","")&amp;IF(ISBLANK(Catalog!M460),"Missing Genre/Form; ","")&amp;IF(ISBLANK(Catalog!X460),"Missing Location Type; ","")&amp;IF(ISBLANK(Catalog!Y460),"Missing Location Id; ","")&amp;IF(AND(Catalog!T460&lt;&gt;"",COUNTIF(Catalog!$T$2:$T$501,Catalog!T460)&gt;1),"Duplicate ISBN; ","")&amp;IF(AND(Catalog!B460&lt;&gt;"",COUNTIF(Catalog!$B$2:$B$501,Catalog!B460)&gt;1),"Duplicate Accession; ",""))</f>
        <v/>
      </c>
    </row>
    <row r="485" spans="1:3" x14ac:dyDescent="0.25">
      <c r="A485" s="24" t="str">
        <f>Catalog!A461</f>
        <v/>
      </c>
      <c r="B485" s="25">
        <f>Catalog!D461</f>
        <v>0</v>
      </c>
      <c r="C485" s="26" t="str">
        <f>IF(Catalog!D461="","",IF(ISBLANK(Catalog!F461),"Missing Creator; ","")&amp;IF(ISBLANK(Catalog!K461),"Missing Item Type; ","")&amp;IF(ISBLANK(Catalog!L461),"Missing Subject; ","")&amp;IF(ISBLANK(Catalog!M461),"Missing Genre/Form; ","")&amp;IF(ISBLANK(Catalog!X461),"Missing Location Type; ","")&amp;IF(ISBLANK(Catalog!Y461),"Missing Location Id; ","")&amp;IF(AND(Catalog!T461&lt;&gt;"",COUNTIF(Catalog!$T$2:$T$501,Catalog!T461)&gt;1),"Duplicate ISBN; ","")&amp;IF(AND(Catalog!B461&lt;&gt;"",COUNTIF(Catalog!$B$2:$B$501,Catalog!B461)&gt;1),"Duplicate Accession; ",""))</f>
        <v/>
      </c>
    </row>
    <row r="486" spans="1:3" x14ac:dyDescent="0.25">
      <c r="A486" s="24" t="str">
        <f>Catalog!A462</f>
        <v/>
      </c>
      <c r="B486" s="25">
        <f>Catalog!D462</f>
        <v>0</v>
      </c>
      <c r="C486" s="26" t="str">
        <f>IF(Catalog!D462="","",IF(ISBLANK(Catalog!F462),"Missing Creator; ","")&amp;IF(ISBLANK(Catalog!K462),"Missing Item Type; ","")&amp;IF(ISBLANK(Catalog!L462),"Missing Subject; ","")&amp;IF(ISBLANK(Catalog!M462),"Missing Genre/Form; ","")&amp;IF(ISBLANK(Catalog!X462),"Missing Location Type; ","")&amp;IF(ISBLANK(Catalog!Y462),"Missing Location Id; ","")&amp;IF(AND(Catalog!T462&lt;&gt;"",COUNTIF(Catalog!$T$2:$T$501,Catalog!T462)&gt;1),"Duplicate ISBN; ","")&amp;IF(AND(Catalog!B462&lt;&gt;"",COUNTIF(Catalog!$B$2:$B$501,Catalog!B462)&gt;1),"Duplicate Accession; ",""))</f>
        <v/>
      </c>
    </row>
    <row r="487" spans="1:3" x14ac:dyDescent="0.25">
      <c r="A487" s="24" t="str">
        <f>Catalog!A463</f>
        <v/>
      </c>
      <c r="B487" s="25">
        <f>Catalog!D463</f>
        <v>0</v>
      </c>
      <c r="C487" s="26" t="str">
        <f>IF(Catalog!D463="","",IF(ISBLANK(Catalog!F463),"Missing Creator; ","")&amp;IF(ISBLANK(Catalog!K463),"Missing Item Type; ","")&amp;IF(ISBLANK(Catalog!L463),"Missing Subject; ","")&amp;IF(ISBLANK(Catalog!M463),"Missing Genre/Form; ","")&amp;IF(ISBLANK(Catalog!X463),"Missing Location Type; ","")&amp;IF(ISBLANK(Catalog!Y463),"Missing Location Id; ","")&amp;IF(AND(Catalog!T463&lt;&gt;"",COUNTIF(Catalog!$T$2:$T$501,Catalog!T463)&gt;1),"Duplicate ISBN; ","")&amp;IF(AND(Catalog!B463&lt;&gt;"",COUNTIF(Catalog!$B$2:$B$501,Catalog!B463)&gt;1),"Duplicate Accession; ",""))</f>
        <v/>
      </c>
    </row>
    <row r="488" spans="1:3" x14ac:dyDescent="0.25">
      <c r="A488" s="24" t="str">
        <f>Catalog!A464</f>
        <v/>
      </c>
      <c r="B488" s="25">
        <f>Catalog!D464</f>
        <v>0</v>
      </c>
      <c r="C488" s="26" t="str">
        <f>IF(Catalog!D464="","",IF(ISBLANK(Catalog!F464),"Missing Creator; ","")&amp;IF(ISBLANK(Catalog!K464),"Missing Item Type; ","")&amp;IF(ISBLANK(Catalog!L464),"Missing Subject; ","")&amp;IF(ISBLANK(Catalog!M464),"Missing Genre/Form; ","")&amp;IF(ISBLANK(Catalog!X464),"Missing Location Type; ","")&amp;IF(ISBLANK(Catalog!Y464),"Missing Location Id; ","")&amp;IF(AND(Catalog!T464&lt;&gt;"",COUNTIF(Catalog!$T$2:$T$501,Catalog!T464)&gt;1),"Duplicate ISBN; ","")&amp;IF(AND(Catalog!B464&lt;&gt;"",COUNTIF(Catalog!$B$2:$B$501,Catalog!B464)&gt;1),"Duplicate Accession; ",""))</f>
        <v/>
      </c>
    </row>
    <row r="489" spans="1:3" x14ac:dyDescent="0.25">
      <c r="A489" s="24" t="str">
        <f>Catalog!A465</f>
        <v/>
      </c>
      <c r="B489" s="25">
        <f>Catalog!D465</f>
        <v>0</v>
      </c>
      <c r="C489" s="26" t="str">
        <f>IF(Catalog!D465="","",IF(ISBLANK(Catalog!F465),"Missing Creator; ","")&amp;IF(ISBLANK(Catalog!K465),"Missing Item Type; ","")&amp;IF(ISBLANK(Catalog!L465),"Missing Subject; ","")&amp;IF(ISBLANK(Catalog!M465),"Missing Genre/Form; ","")&amp;IF(ISBLANK(Catalog!X465),"Missing Location Type; ","")&amp;IF(ISBLANK(Catalog!Y465),"Missing Location Id; ","")&amp;IF(AND(Catalog!T465&lt;&gt;"",COUNTIF(Catalog!$T$2:$T$501,Catalog!T465)&gt;1),"Duplicate ISBN; ","")&amp;IF(AND(Catalog!B465&lt;&gt;"",COUNTIF(Catalog!$B$2:$B$501,Catalog!B465)&gt;1),"Duplicate Accession; ",""))</f>
        <v/>
      </c>
    </row>
    <row r="490" spans="1:3" x14ac:dyDescent="0.25">
      <c r="A490" s="24" t="str">
        <f>Catalog!A466</f>
        <v/>
      </c>
      <c r="B490" s="25">
        <f>Catalog!D466</f>
        <v>0</v>
      </c>
      <c r="C490" s="26" t="str">
        <f>IF(Catalog!D466="","",IF(ISBLANK(Catalog!F466),"Missing Creator; ","")&amp;IF(ISBLANK(Catalog!K466),"Missing Item Type; ","")&amp;IF(ISBLANK(Catalog!L466),"Missing Subject; ","")&amp;IF(ISBLANK(Catalog!M466),"Missing Genre/Form; ","")&amp;IF(ISBLANK(Catalog!X466),"Missing Location Type; ","")&amp;IF(ISBLANK(Catalog!Y466),"Missing Location Id; ","")&amp;IF(AND(Catalog!T466&lt;&gt;"",COUNTIF(Catalog!$T$2:$T$501,Catalog!T466)&gt;1),"Duplicate ISBN; ","")&amp;IF(AND(Catalog!B466&lt;&gt;"",COUNTIF(Catalog!$B$2:$B$501,Catalog!B466)&gt;1),"Duplicate Accession; ",""))</f>
        <v/>
      </c>
    </row>
    <row r="491" spans="1:3" x14ac:dyDescent="0.25">
      <c r="A491" s="24" t="str">
        <f>Catalog!A467</f>
        <v/>
      </c>
      <c r="B491" s="25">
        <f>Catalog!D467</f>
        <v>0</v>
      </c>
      <c r="C491" s="26" t="str">
        <f>IF(Catalog!D467="","",IF(ISBLANK(Catalog!F467),"Missing Creator; ","")&amp;IF(ISBLANK(Catalog!K467),"Missing Item Type; ","")&amp;IF(ISBLANK(Catalog!L467),"Missing Subject; ","")&amp;IF(ISBLANK(Catalog!M467),"Missing Genre/Form; ","")&amp;IF(ISBLANK(Catalog!X467),"Missing Location Type; ","")&amp;IF(ISBLANK(Catalog!Y467),"Missing Location Id; ","")&amp;IF(AND(Catalog!T467&lt;&gt;"",COUNTIF(Catalog!$T$2:$T$501,Catalog!T467)&gt;1),"Duplicate ISBN; ","")&amp;IF(AND(Catalog!B467&lt;&gt;"",COUNTIF(Catalog!$B$2:$B$501,Catalog!B467)&gt;1),"Duplicate Accession; ",""))</f>
        <v/>
      </c>
    </row>
    <row r="492" spans="1:3" x14ac:dyDescent="0.25">
      <c r="A492" s="24" t="str">
        <f>Catalog!A468</f>
        <v/>
      </c>
      <c r="B492" s="25">
        <f>Catalog!D468</f>
        <v>0</v>
      </c>
      <c r="C492" s="26" t="str">
        <f>IF(Catalog!D468="","",IF(ISBLANK(Catalog!F468),"Missing Creator; ","")&amp;IF(ISBLANK(Catalog!K468),"Missing Item Type; ","")&amp;IF(ISBLANK(Catalog!L468),"Missing Subject; ","")&amp;IF(ISBLANK(Catalog!M468),"Missing Genre/Form; ","")&amp;IF(ISBLANK(Catalog!X468),"Missing Location Type; ","")&amp;IF(ISBLANK(Catalog!Y468),"Missing Location Id; ","")&amp;IF(AND(Catalog!T468&lt;&gt;"",COUNTIF(Catalog!$T$2:$T$501,Catalog!T468)&gt;1),"Duplicate ISBN; ","")&amp;IF(AND(Catalog!B468&lt;&gt;"",COUNTIF(Catalog!$B$2:$B$501,Catalog!B468)&gt;1),"Duplicate Accession; ",""))</f>
        <v/>
      </c>
    </row>
    <row r="493" spans="1:3" x14ac:dyDescent="0.25">
      <c r="A493" s="24" t="str">
        <f>Catalog!A469</f>
        <v/>
      </c>
      <c r="B493" s="25">
        <f>Catalog!D469</f>
        <v>0</v>
      </c>
      <c r="C493" s="26" t="str">
        <f>IF(Catalog!D469="","",IF(ISBLANK(Catalog!F469),"Missing Creator; ","")&amp;IF(ISBLANK(Catalog!K469),"Missing Item Type; ","")&amp;IF(ISBLANK(Catalog!L469),"Missing Subject; ","")&amp;IF(ISBLANK(Catalog!M469),"Missing Genre/Form; ","")&amp;IF(ISBLANK(Catalog!X469),"Missing Location Type; ","")&amp;IF(ISBLANK(Catalog!Y469),"Missing Location Id; ","")&amp;IF(AND(Catalog!T469&lt;&gt;"",COUNTIF(Catalog!$T$2:$T$501,Catalog!T469)&gt;1),"Duplicate ISBN; ","")&amp;IF(AND(Catalog!B469&lt;&gt;"",COUNTIF(Catalog!$B$2:$B$501,Catalog!B469)&gt;1),"Duplicate Accession; ",""))</f>
        <v/>
      </c>
    </row>
    <row r="494" spans="1:3" x14ac:dyDescent="0.25">
      <c r="A494" s="24" t="str">
        <f>Catalog!A470</f>
        <v/>
      </c>
      <c r="B494" s="25">
        <f>Catalog!D470</f>
        <v>0</v>
      </c>
      <c r="C494" s="26" t="str">
        <f>IF(Catalog!D470="","",IF(ISBLANK(Catalog!F470),"Missing Creator; ","")&amp;IF(ISBLANK(Catalog!K470),"Missing Item Type; ","")&amp;IF(ISBLANK(Catalog!L470),"Missing Subject; ","")&amp;IF(ISBLANK(Catalog!M470),"Missing Genre/Form; ","")&amp;IF(ISBLANK(Catalog!X470),"Missing Location Type; ","")&amp;IF(ISBLANK(Catalog!Y470),"Missing Location Id; ","")&amp;IF(AND(Catalog!T470&lt;&gt;"",COUNTIF(Catalog!$T$2:$T$501,Catalog!T470)&gt;1),"Duplicate ISBN; ","")&amp;IF(AND(Catalog!B470&lt;&gt;"",COUNTIF(Catalog!$B$2:$B$501,Catalog!B470)&gt;1),"Duplicate Accession; ",""))</f>
        <v/>
      </c>
    </row>
    <row r="495" spans="1:3" x14ac:dyDescent="0.25">
      <c r="A495" s="24" t="str">
        <f>Catalog!A471</f>
        <v/>
      </c>
      <c r="B495" s="25">
        <f>Catalog!D471</f>
        <v>0</v>
      </c>
      <c r="C495" s="26" t="str">
        <f>IF(Catalog!D471="","",IF(ISBLANK(Catalog!F471),"Missing Creator; ","")&amp;IF(ISBLANK(Catalog!K471),"Missing Item Type; ","")&amp;IF(ISBLANK(Catalog!L471),"Missing Subject; ","")&amp;IF(ISBLANK(Catalog!M471),"Missing Genre/Form; ","")&amp;IF(ISBLANK(Catalog!X471),"Missing Location Type; ","")&amp;IF(ISBLANK(Catalog!Y471),"Missing Location Id; ","")&amp;IF(AND(Catalog!T471&lt;&gt;"",COUNTIF(Catalog!$T$2:$T$501,Catalog!T471)&gt;1),"Duplicate ISBN; ","")&amp;IF(AND(Catalog!B471&lt;&gt;"",COUNTIF(Catalog!$B$2:$B$501,Catalog!B471)&gt;1),"Duplicate Accession; ",""))</f>
        <v/>
      </c>
    </row>
    <row r="496" spans="1:3" x14ac:dyDescent="0.25">
      <c r="A496" s="24" t="str">
        <f>Catalog!A472</f>
        <v/>
      </c>
      <c r="B496" s="25">
        <f>Catalog!D472</f>
        <v>0</v>
      </c>
      <c r="C496" s="26" t="str">
        <f>IF(Catalog!D472="","",IF(ISBLANK(Catalog!F472),"Missing Creator; ","")&amp;IF(ISBLANK(Catalog!K472),"Missing Item Type; ","")&amp;IF(ISBLANK(Catalog!L472),"Missing Subject; ","")&amp;IF(ISBLANK(Catalog!M472),"Missing Genre/Form; ","")&amp;IF(ISBLANK(Catalog!X472),"Missing Location Type; ","")&amp;IF(ISBLANK(Catalog!Y472),"Missing Location Id; ","")&amp;IF(AND(Catalog!T472&lt;&gt;"",COUNTIF(Catalog!$T$2:$T$501,Catalog!T472)&gt;1),"Duplicate ISBN; ","")&amp;IF(AND(Catalog!B472&lt;&gt;"",COUNTIF(Catalog!$B$2:$B$501,Catalog!B472)&gt;1),"Duplicate Accession; ",""))</f>
        <v/>
      </c>
    </row>
    <row r="497" spans="1:3" x14ac:dyDescent="0.25">
      <c r="A497" s="24" t="str">
        <f>Catalog!A473</f>
        <v/>
      </c>
      <c r="B497" s="25">
        <f>Catalog!D473</f>
        <v>0</v>
      </c>
      <c r="C497" s="26" t="str">
        <f>IF(Catalog!D473="","",IF(ISBLANK(Catalog!F473),"Missing Creator; ","")&amp;IF(ISBLANK(Catalog!K473),"Missing Item Type; ","")&amp;IF(ISBLANK(Catalog!L473),"Missing Subject; ","")&amp;IF(ISBLANK(Catalog!M473),"Missing Genre/Form; ","")&amp;IF(ISBLANK(Catalog!X473),"Missing Location Type; ","")&amp;IF(ISBLANK(Catalog!Y473),"Missing Location Id; ","")&amp;IF(AND(Catalog!T473&lt;&gt;"",COUNTIF(Catalog!$T$2:$T$501,Catalog!T473)&gt;1),"Duplicate ISBN; ","")&amp;IF(AND(Catalog!B473&lt;&gt;"",COUNTIF(Catalog!$B$2:$B$501,Catalog!B473)&gt;1),"Duplicate Accession; ",""))</f>
        <v/>
      </c>
    </row>
    <row r="498" spans="1:3" x14ac:dyDescent="0.25">
      <c r="A498" s="24" t="str">
        <f>Catalog!A474</f>
        <v/>
      </c>
      <c r="B498" s="25">
        <f>Catalog!D474</f>
        <v>0</v>
      </c>
      <c r="C498" s="26" t="str">
        <f>IF(Catalog!D474="","",IF(ISBLANK(Catalog!F474),"Missing Creator; ","")&amp;IF(ISBLANK(Catalog!K474),"Missing Item Type; ","")&amp;IF(ISBLANK(Catalog!L474),"Missing Subject; ","")&amp;IF(ISBLANK(Catalog!M474),"Missing Genre/Form; ","")&amp;IF(ISBLANK(Catalog!X474),"Missing Location Type; ","")&amp;IF(ISBLANK(Catalog!Y474),"Missing Location Id; ","")&amp;IF(AND(Catalog!T474&lt;&gt;"",COUNTIF(Catalog!$T$2:$T$501,Catalog!T474)&gt;1),"Duplicate ISBN; ","")&amp;IF(AND(Catalog!B474&lt;&gt;"",COUNTIF(Catalog!$B$2:$B$501,Catalog!B474)&gt;1),"Duplicate Accession; ",""))</f>
        <v/>
      </c>
    </row>
    <row r="499" spans="1:3" x14ac:dyDescent="0.25">
      <c r="A499" s="24" t="str">
        <f>Catalog!A475</f>
        <v/>
      </c>
      <c r="B499" s="25">
        <f>Catalog!D475</f>
        <v>0</v>
      </c>
      <c r="C499" s="26" t="str">
        <f>IF(Catalog!D475="","",IF(ISBLANK(Catalog!F475),"Missing Creator; ","")&amp;IF(ISBLANK(Catalog!K475),"Missing Item Type; ","")&amp;IF(ISBLANK(Catalog!L475),"Missing Subject; ","")&amp;IF(ISBLANK(Catalog!M475),"Missing Genre/Form; ","")&amp;IF(ISBLANK(Catalog!X475),"Missing Location Type; ","")&amp;IF(ISBLANK(Catalog!Y475),"Missing Location Id; ","")&amp;IF(AND(Catalog!T475&lt;&gt;"",COUNTIF(Catalog!$T$2:$T$501,Catalog!T475)&gt;1),"Duplicate ISBN; ","")&amp;IF(AND(Catalog!B475&lt;&gt;"",COUNTIF(Catalog!$B$2:$B$501,Catalog!B475)&gt;1),"Duplicate Accession; ",""))</f>
        <v/>
      </c>
    </row>
    <row r="500" spans="1:3" x14ac:dyDescent="0.25">
      <c r="A500" s="24" t="str">
        <f>Catalog!A476</f>
        <v/>
      </c>
      <c r="B500" s="25">
        <f>Catalog!D476</f>
        <v>0</v>
      </c>
      <c r="C500" s="26" t="str">
        <f>IF(Catalog!D476="","",IF(ISBLANK(Catalog!F476),"Missing Creator; ","")&amp;IF(ISBLANK(Catalog!K476),"Missing Item Type; ","")&amp;IF(ISBLANK(Catalog!L476),"Missing Subject; ","")&amp;IF(ISBLANK(Catalog!M476),"Missing Genre/Form; ","")&amp;IF(ISBLANK(Catalog!X476),"Missing Location Type; ","")&amp;IF(ISBLANK(Catalog!Y476),"Missing Location Id; ","")&amp;IF(AND(Catalog!T476&lt;&gt;"",COUNTIF(Catalog!$T$2:$T$501,Catalog!T476)&gt;1),"Duplicate ISBN; ","")&amp;IF(AND(Catalog!B476&lt;&gt;"",COUNTIF(Catalog!$B$2:$B$501,Catalog!B476)&gt;1),"Duplicate Accession; ",""))</f>
        <v/>
      </c>
    </row>
    <row r="501" spans="1:3" x14ac:dyDescent="0.25">
      <c r="A501" s="24" t="str">
        <f>Catalog!A477</f>
        <v/>
      </c>
      <c r="B501" s="25">
        <f>Catalog!D477</f>
        <v>0</v>
      </c>
      <c r="C501" s="26" t="str">
        <f>IF(Catalog!D477="","",IF(ISBLANK(Catalog!F477),"Missing Creator; ","")&amp;IF(ISBLANK(Catalog!K477),"Missing Item Type; ","")&amp;IF(ISBLANK(Catalog!L477),"Missing Subject; ","")&amp;IF(ISBLANK(Catalog!M477),"Missing Genre/Form; ","")&amp;IF(ISBLANK(Catalog!X477),"Missing Location Type; ","")&amp;IF(ISBLANK(Catalog!Y477),"Missing Location Id; ","")&amp;IF(AND(Catalog!T477&lt;&gt;"",COUNTIF(Catalog!$T$2:$T$501,Catalog!T477)&gt;1),"Duplicate ISBN; ","")&amp;IF(AND(Catalog!B477&lt;&gt;"",COUNTIF(Catalog!$B$2:$B$501,Catalog!B477)&gt;1),"Duplicate Accession; ",""))</f>
        <v/>
      </c>
    </row>
    <row r="502" spans="1:3" x14ac:dyDescent="0.25">
      <c r="A502" s="24" t="str">
        <f>Catalog!A478</f>
        <v/>
      </c>
      <c r="B502" s="25">
        <f>Catalog!D478</f>
        <v>0</v>
      </c>
      <c r="C502" s="26" t="str">
        <f>IF(Catalog!D478="","",IF(ISBLANK(Catalog!F478),"Missing Creator; ","")&amp;IF(ISBLANK(Catalog!K478),"Missing Item Type; ","")&amp;IF(ISBLANK(Catalog!L478),"Missing Subject; ","")&amp;IF(ISBLANK(Catalog!M478),"Missing Genre/Form; ","")&amp;IF(ISBLANK(Catalog!X478),"Missing Location Type; ","")&amp;IF(ISBLANK(Catalog!Y478),"Missing Location Id; ","")&amp;IF(AND(Catalog!T478&lt;&gt;"",COUNTIF(Catalog!$T$2:$T$501,Catalog!T478)&gt;1),"Duplicate ISBN; ","")&amp;IF(AND(Catalog!B478&lt;&gt;"",COUNTIF(Catalog!$B$2:$B$501,Catalog!B478)&gt;1),"Duplicate Accession; ",""))</f>
        <v/>
      </c>
    </row>
    <row r="503" spans="1:3" x14ac:dyDescent="0.25">
      <c r="A503" s="24" t="str">
        <f>Catalog!A479</f>
        <v/>
      </c>
      <c r="B503" s="25">
        <f>Catalog!D479</f>
        <v>0</v>
      </c>
      <c r="C503" s="26" t="str">
        <f>IF(Catalog!D479="","",IF(ISBLANK(Catalog!F479),"Missing Creator; ","")&amp;IF(ISBLANK(Catalog!K479),"Missing Item Type; ","")&amp;IF(ISBLANK(Catalog!L479),"Missing Subject; ","")&amp;IF(ISBLANK(Catalog!M479),"Missing Genre/Form; ","")&amp;IF(ISBLANK(Catalog!X479),"Missing Location Type; ","")&amp;IF(ISBLANK(Catalog!Y479),"Missing Location Id; ","")&amp;IF(AND(Catalog!T479&lt;&gt;"",COUNTIF(Catalog!$T$2:$T$501,Catalog!T479)&gt;1),"Duplicate ISBN; ","")&amp;IF(AND(Catalog!B479&lt;&gt;"",COUNTIF(Catalog!$B$2:$B$501,Catalog!B479)&gt;1),"Duplicate Accession; ",""))</f>
        <v/>
      </c>
    </row>
    <row r="504" spans="1:3" x14ac:dyDescent="0.25">
      <c r="A504" s="24" t="str">
        <f>Catalog!A480</f>
        <v/>
      </c>
      <c r="B504" s="25">
        <f>Catalog!D480</f>
        <v>0</v>
      </c>
      <c r="C504" s="26" t="str">
        <f>IF(Catalog!D480="","",IF(ISBLANK(Catalog!F480),"Missing Creator; ","")&amp;IF(ISBLANK(Catalog!K480),"Missing Item Type; ","")&amp;IF(ISBLANK(Catalog!L480),"Missing Subject; ","")&amp;IF(ISBLANK(Catalog!M480),"Missing Genre/Form; ","")&amp;IF(ISBLANK(Catalog!X480),"Missing Location Type; ","")&amp;IF(ISBLANK(Catalog!Y480),"Missing Location Id; ","")&amp;IF(AND(Catalog!T480&lt;&gt;"",COUNTIF(Catalog!$T$2:$T$501,Catalog!T480)&gt;1),"Duplicate ISBN; ","")&amp;IF(AND(Catalog!B480&lt;&gt;"",COUNTIF(Catalog!$B$2:$B$501,Catalog!B480)&gt;1),"Duplicate Accession; ",""))</f>
        <v/>
      </c>
    </row>
    <row r="505" spans="1:3" x14ac:dyDescent="0.25">
      <c r="A505" s="24" t="str">
        <f>Catalog!A481</f>
        <v/>
      </c>
      <c r="B505" s="25">
        <f>Catalog!D481</f>
        <v>0</v>
      </c>
      <c r="C505" s="26" t="str">
        <f>IF(Catalog!D481="","",IF(ISBLANK(Catalog!F481),"Missing Creator; ","")&amp;IF(ISBLANK(Catalog!K481),"Missing Item Type; ","")&amp;IF(ISBLANK(Catalog!L481),"Missing Subject; ","")&amp;IF(ISBLANK(Catalog!M481),"Missing Genre/Form; ","")&amp;IF(ISBLANK(Catalog!X481),"Missing Location Type; ","")&amp;IF(ISBLANK(Catalog!Y481),"Missing Location Id; ","")&amp;IF(AND(Catalog!T481&lt;&gt;"",COUNTIF(Catalog!$T$2:$T$501,Catalog!T481)&gt;1),"Duplicate ISBN; ","")&amp;IF(AND(Catalog!B481&lt;&gt;"",COUNTIF(Catalog!$B$2:$B$501,Catalog!B481)&gt;1),"Duplicate Accession; ",""))</f>
        <v/>
      </c>
    </row>
    <row r="506" spans="1:3" x14ac:dyDescent="0.25">
      <c r="A506" s="24" t="str">
        <f>Catalog!A482</f>
        <v/>
      </c>
      <c r="B506" s="25">
        <f>Catalog!D482</f>
        <v>0</v>
      </c>
      <c r="C506" s="26" t="str">
        <f>IF(Catalog!D482="","",IF(ISBLANK(Catalog!F482),"Missing Creator; ","")&amp;IF(ISBLANK(Catalog!K482),"Missing Item Type; ","")&amp;IF(ISBLANK(Catalog!L482),"Missing Subject; ","")&amp;IF(ISBLANK(Catalog!M482),"Missing Genre/Form; ","")&amp;IF(ISBLANK(Catalog!X482),"Missing Location Type; ","")&amp;IF(ISBLANK(Catalog!Y482),"Missing Location Id; ","")&amp;IF(AND(Catalog!T482&lt;&gt;"",COUNTIF(Catalog!$T$2:$T$501,Catalog!T482)&gt;1),"Duplicate ISBN; ","")&amp;IF(AND(Catalog!B482&lt;&gt;"",COUNTIF(Catalog!$B$2:$B$501,Catalog!B482)&gt;1),"Duplicate Accession; ",""))</f>
        <v/>
      </c>
    </row>
    <row r="507" spans="1:3" x14ac:dyDescent="0.25">
      <c r="A507" s="24" t="str">
        <f>Catalog!A483</f>
        <v/>
      </c>
      <c r="B507" s="25">
        <f>Catalog!D483</f>
        <v>0</v>
      </c>
      <c r="C507" s="26" t="str">
        <f>IF(Catalog!D483="","",IF(ISBLANK(Catalog!F483),"Missing Creator; ","")&amp;IF(ISBLANK(Catalog!K483),"Missing Item Type; ","")&amp;IF(ISBLANK(Catalog!L483),"Missing Subject; ","")&amp;IF(ISBLANK(Catalog!M483),"Missing Genre/Form; ","")&amp;IF(ISBLANK(Catalog!X483),"Missing Location Type; ","")&amp;IF(ISBLANK(Catalog!Y483),"Missing Location Id; ","")&amp;IF(AND(Catalog!T483&lt;&gt;"",COUNTIF(Catalog!$T$2:$T$501,Catalog!T483)&gt;1),"Duplicate ISBN; ","")&amp;IF(AND(Catalog!B483&lt;&gt;"",COUNTIF(Catalog!$B$2:$B$501,Catalog!B483)&gt;1),"Duplicate Accession; ",""))</f>
        <v/>
      </c>
    </row>
    <row r="508" spans="1:3" x14ac:dyDescent="0.25">
      <c r="A508" s="24" t="str">
        <f>Catalog!A484</f>
        <v/>
      </c>
      <c r="B508" s="25">
        <f>Catalog!D484</f>
        <v>0</v>
      </c>
      <c r="C508" s="26" t="str">
        <f>IF(Catalog!D484="","",IF(ISBLANK(Catalog!F484),"Missing Creator; ","")&amp;IF(ISBLANK(Catalog!K484),"Missing Item Type; ","")&amp;IF(ISBLANK(Catalog!L484),"Missing Subject; ","")&amp;IF(ISBLANK(Catalog!M484),"Missing Genre/Form; ","")&amp;IF(ISBLANK(Catalog!X484),"Missing Location Type; ","")&amp;IF(ISBLANK(Catalog!Y484),"Missing Location Id; ","")&amp;IF(AND(Catalog!T484&lt;&gt;"",COUNTIF(Catalog!$T$2:$T$501,Catalog!T484)&gt;1),"Duplicate ISBN; ","")&amp;IF(AND(Catalog!B484&lt;&gt;"",COUNTIF(Catalog!$B$2:$B$501,Catalog!B484)&gt;1),"Duplicate Accession; ",""))</f>
        <v/>
      </c>
    </row>
    <row r="509" spans="1:3" x14ac:dyDescent="0.25">
      <c r="A509" s="24" t="str">
        <f>Catalog!A485</f>
        <v/>
      </c>
      <c r="B509" s="25">
        <f>Catalog!D485</f>
        <v>0</v>
      </c>
      <c r="C509" s="26" t="str">
        <f>IF(Catalog!D485="","",IF(ISBLANK(Catalog!F485),"Missing Creator; ","")&amp;IF(ISBLANK(Catalog!K485),"Missing Item Type; ","")&amp;IF(ISBLANK(Catalog!L485),"Missing Subject; ","")&amp;IF(ISBLANK(Catalog!M485),"Missing Genre/Form; ","")&amp;IF(ISBLANK(Catalog!X485),"Missing Location Type; ","")&amp;IF(ISBLANK(Catalog!Y485),"Missing Location Id; ","")&amp;IF(AND(Catalog!T485&lt;&gt;"",COUNTIF(Catalog!$T$2:$T$501,Catalog!T485)&gt;1),"Duplicate ISBN; ","")&amp;IF(AND(Catalog!B485&lt;&gt;"",COUNTIF(Catalog!$B$2:$B$501,Catalog!B485)&gt;1),"Duplicate Accession; ",""))</f>
        <v/>
      </c>
    </row>
    <row r="510" spans="1:3" x14ac:dyDescent="0.25">
      <c r="A510" s="24" t="str">
        <f>Catalog!A486</f>
        <v/>
      </c>
      <c r="B510" s="25">
        <f>Catalog!D486</f>
        <v>0</v>
      </c>
      <c r="C510" s="26" t="str">
        <f>IF(Catalog!D486="","",IF(ISBLANK(Catalog!F486),"Missing Creator; ","")&amp;IF(ISBLANK(Catalog!K486),"Missing Item Type; ","")&amp;IF(ISBLANK(Catalog!L486),"Missing Subject; ","")&amp;IF(ISBLANK(Catalog!M486),"Missing Genre/Form; ","")&amp;IF(ISBLANK(Catalog!X486),"Missing Location Type; ","")&amp;IF(ISBLANK(Catalog!Y486),"Missing Location Id; ","")&amp;IF(AND(Catalog!T486&lt;&gt;"",COUNTIF(Catalog!$T$2:$T$501,Catalog!T486)&gt;1),"Duplicate ISBN; ","")&amp;IF(AND(Catalog!B486&lt;&gt;"",COUNTIF(Catalog!$B$2:$B$501,Catalog!B486)&gt;1),"Duplicate Accession; ",""))</f>
        <v/>
      </c>
    </row>
    <row r="511" spans="1:3" x14ac:dyDescent="0.25">
      <c r="A511" s="24" t="str">
        <f>Catalog!A487</f>
        <v/>
      </c>
      <c r="B511" s="25">
        <f>Catalog!D487</f>
        <v>0</v>
      </c>
      <c r="C511" s="26" t="str">
        <f>IF(Catalog!D487="","",IF(ISBLANK(Catalog!F487),"Missing Creator; ","")&amp;IF(ISBLANK(Catalog!K487),"Missing Item Type; ","")&amp;IF(ISBLANK(Catalog!L487),"Missing Subject; ","")&amp;IF(ISBLANK(Catalog!M487),"Missing Genre/Form; ","")&amp;IF(ISBLANK(Catalog!X487),"Missing Location Type; ","")&amp;IF(ISBLANK(Catalog!Y487),"Missing Location Id; ","")&amp;IF(AND(Catalog!T487&lt;&gt;"",COUNTIF(Catalog!$T$2:$T$501,Catalog!T487)&gt;1),"Duplicate ISBN; ","")&amp;IF(AND(Catalog!B487&lt;&gt;"",COUNTIF(Catalog!$B$2:$B$501,Catalog!B487)&gt;1),"Duplicate Accession; ",""))</f>
        <v/>
      </c>
    </row>
    <row r="512" spans="1:3" x14ac:dyDescent="0.25">
      <c r="A512" s="24" t="str">
        <f>Catalog!A488</f>
        <v/>
      </c>
      <c r="B512" s="25">
        <f>Catalog!D488</f>
        <v>0</v>
      </c>
      <c r="C512" s="26" t="str">
        <f>IF(Catalog!D488="","",IF(ISBLANK(Catalog!F488),"Missing Creator; ","")&amp;IF(ISBLANK(Catalog!K488),"Missing Item Type; ","")&amp;IF(ISBLANK(Catalog!L488),"Missing Subject; ","")&amp;IF(ISBLANK(Catalog!M488),"Missing Genre/Form; ","")&amp;IF(ISBLANK(Catalog!X488),"Missing Location Type; ","")&amp;IF(ISBLANK(Catalog!Y488),"Missing Location Id; ","")&amp;IF(AND(Catalog!T488&lt;&gt;"",COUNTIF(Catalog!$T$2:$T$501,Catalog!T488)&gt;1),"Duplicate ISBN; ","")&amp;IF(AND(Catalog!B488&lt;&gt;"",COUNTIF(Catalog!$B$2:$B$501,Catalog!B488)&gt;1),"Duplicate Accession; ",""))</f>
        <v/>
      </c>
    </row>
    <row r="513" spans="1:3" x14ac:dyDescent="0.25">
      <c r="A513" s="24" t="str">
        <f>Catalog!A489</f>
        <v/>
      </c>
      <c r="B513" s="25">
        <f>Catalog!D489</f>
        <v>0</v>
      </c>
      <c r="C513" s="26" t="str">
        <f>IF(Catalog!D489="","",IF(ISBLANK(Catalog!F489),"Missing Creator; ","")&amp;IF(ISBLANK(Catalog!K489),"Missing Item Type; ","")&amp;IF(ISBLANK(Catalog!L489),"Missing Subject; ","")&amp;IF(ISBLANK(Catalog!M489),"Missing Genre/Form; ","")&amp;IF(ISBLANK(Catalog!X489),"Missing Location Type; ","")&amp;IF(ISBLANK(Catalog!Y489),"Missing Location Id; ","")&amp;IF(AND(Catalog!T489&lt;&gt;"",COUNTIF(Catalog!$T$2:$T$501,Catalog!T489)&gt;1),"Duplicate ISBN; ","")&amp;IF(AND(Catalog!B489&lt;&gt;"",COUNTIF(Catalog!$B$2:$B$501,Catalog!B489)&gt;1),"Duplicate Accession; ",""))</f>
        <v/>
      </c>
    </row>
    <row r="514" spans="1:3" x14ac:dyDescent="0.25">
      <c r="A514" s="24" t="str">
        <f>Catalog!A490</f>
        <v/>
      </c>
      <c r="B514" s="25">
        <f>Catalog!D490</f>
        <v>0</v>
      </c>
      <c r="C514" s="26" t="str">
        <f>IF(Catalog!D490="","",IF(ISBLANK(Catalog!F490),"Missing Creator; ","")&amp;IF(ISBLANK(Catalog!K490),"Missing Item Type; ","")&amp;IF(ISBLANK(Catalog!L490),"Missing Subject; ","")&amp;IF(ISBLANK(Catalog!M490),"Missing Genre/Form; ","")&amp;IF(ISBLANK(Catalog!X490),"Missing Location Type; ","")&amp;IF(ISBLANK(Catalog!Y490),"Missing Location Id; ","")&amp;IF(AND(Catalog!T490&lt;&gt;"",COUNTIF(Catalog!$T$2:$T$501,Catalog!T490)&gt;1),"Duplicate ISBN; ","")&amp;IF(AND(Catalog!B490&lt;&gt;"",COUNTIF(Catalog!$B$2:$B$501,Catalog!B490)&gt;1),"Duplicate Accession; ",""))</f>
        <v/>
      </c>
    </row>
    <row r="515" spans="1:3" x14ac:dyDescent="0.25">
      <c r="A515" s="24" t="str">
        <f>Catalog!A491</f>
        <v/>
      </c>
      <c r="B515" s="25">
        <f>Catalog!D491</f>
        <v>0</v>
      </c>
      <c r="C515" s="26" t="str">
        <f>IF(Catalog!D491="","",IF(ISBLANK(Catalog!F491),"Missing Creator; ","")&amp;IF(ISBLANK(Catalog!K491),"Missing Item Type; ","")&amp;IF(ISBLANK(Catalog!L491),"Missing Subject; ","")&amp;IF(ISBLANK(Catalog!M491),"Missing Genre/Form; ","")&amp;IF(ISBLANK(Catalog!X491),"Missing Location Type; ","")&amp;IF(ISBLANK(Catalog!Y491),"Missing Location Id; ","")&amp;IF(AND(Catalog!T491&lt;&gt;"",COUNTIF(Catalog!$T$2:$T$501,Catalog!T491)&gt;1),"Duplicate ISBN; ","")&amp;IF(AND(Catalog!B491&lt;&gt;"",COUNTIF(Catalog!$B$2:$B$501,Catalog!B491)&gt;1),"Duplicate Accession; ",""))</f>
        <v/>
      </c>
    </row>
    <row r="516" spans="1:3" x14ac:dyDescent="0.25">
      <c r="A516" s="24" t="str">
        <f>Catalog!A492</f>
        <v/>
      </c>
      <c r="B516" s="25">
        <f>Catalog!D492</f>
        <v>0</v>
      </c>
      <c r="C516" s="26" t="str">
        <f>IF(Catalog!D492="","",IF(ISBLANK(Catalog!F492),"Missing Creator; ","")&amp;IF(ISBLANK(Catalog!K492),"Missing Item Type; ","")&amp;IF(ISBLANK(Catalog!L492),"Missing Subject; ","")&amp;IF(ISBLANK(Catalog!M492),"Missing Genre/Form; ","")&amp;IF(ISBLANK(Catalog!X492),"Missing Location Type; ","")&amp;IF(ISBLANK(Catalog!Y492),"Missing Location Id; ","")&amp;IF(AND(Catalog!T492&lt;&gt;"",COUNTIF(Catalog!$T$2:$T$501,Catalog!T492)&gt;1),"Duplicate ISBN; ","")&amp;IF(AND(Catalog!B492&lt;&gt;"",COUNTIF(Catalog!$B$2:$B$501,Catalog!B492)&gt;1),"Duplicate Accession; ",""))</f>
        <v/>
      </c>
    </row>
    <row r="517" spans="1:3" x14ac:dyDescent="0.25">
      <c r="A517" s="24" t="str">
        <f>Catalog!A493</f>
        <v/>
      </c>
      <c r="B517" s="25">
        <f>Catalog!D493</f>
        <v>0</v>
      </c>
      <c r="C517" s="26" t="str">
        <f>IF(Catalog!D493="","",IF(ISBLANK(Catalog!F493),"Missing Creator; ","")&amp;IF(ISBLANK(Catalog!K493),"Missing Item Type; ","")&amp;IF(ISBLANK(Catalog!L493),"Missing Subject; ","")&amp;IF(ISBLANK(Catalog!M493),"Missing Genre/Form; ","")&amp;IF(ISBLANK(Catalog!X493),"Missing Location Type; ","")&amp;IF(ISBLANK(Catalog!Y493),"Missing Location Id; ","")&amp;IF(AND(Catalog!T493&lt;&gt;"",COUNTIF(Catalog!$T$2:$T$501,Catalog!T493)&gt;1),"Duplicate ISBN; ","")&amp;IF(AND(Catalog!B493&lt;&gt;"",COUNTIF(Catalog!$B$2:$B$501,Catalog!B493)&gt;1),"Duplicate Accession; ",""))</f>
        <v/>
      </c>
    </row>
    <row r="518" spans="1:3" x14ac:dyDescent="0.25">
      <c r="A518" s="24" t="str">
        <f>Catalog!A494</f>
        <v/>
      </c>
      <c r="B518" s="25">
        <f>Catalog!D494</f>
        <v>0</v>
      </c>
      <c r="C518" s="26" t="str">
        <f>IF(Catalog!D494="","",IF(ISBLANK(Catalog!F494),"Missing Creator; ","")&amp;IF(ISBLANK(Catalog!K494),"Missing Item Type; ","")&amp;IF(ISBLANK(Catalog!L494),"Missing Subject; ","")&amp;IF(ISBLANK(Catalog!M494),"Missing Genre/Form; ","")&amp;IF(ISBLANK(Catalog!X494),"Missing Location Type; ","")&amp;IF(ISBLANK(Catalog!Y494),"Missing Location Id; ","")&amp;IF(AND(Catalog!T494&lt;&gt;"",COUNTIF(Catalog!$T$2:$T$501,Catalog!T494)&gt;1),"Duplicate ISBN; ","")&amp;IF(AND(Catalog!B494&lt;&gt;"",COUNTIF(Catalog!$B$2:$B$501,Catalog!B494)&gt;1),"Duplicate Accession; ",""))</f>
        <v/>
      </c>
    </row>
    <row r="519" spans="1:3" x14ac:dyDescent="0.25">
      <c r="A519" s="24" t="str">
        <f>Catalog!A495</f>
        <v/>
      </c>
      <c r="B519" s="25">
        <f>Catalog!D495</f>
        <v>0</v>
      </c>
      <c r="C519" s="26" t="str">
        <f>IF(Catalog!D495="","",IF(ISBLANK(Catalog!F495),"Missing Creator; ","")&amp;IF(ISBLANK(Catalog!K495),"Missing Item Type; ","")&amp;IF(ISBLANK(Catalog!L495),"Missing Subject; ","")&amp;IF(ISBLANK(Catalog!M495),"Missing Genre/Form; ","")&amp;IF(ISBLANK(Catalog!X495),"Missing Location Type; ","")&amp;IF(ISBLANK(Catalog!Y495),"Missing Location Id; ","")&amp;IF(AND(Catalog!T495&lt;&gt;"",COUNTIF(Catalog!$T$2:$T$501,Catalog!T495)&gt;1),"Duplicate ISBN; ","")&amp;IF(AND(Catalog!B495&lt;&gt;"",COUNTIF(Catalog!$B$2:$B$501,Catalog!B495)&gt;1),"Duplicate Accession; ",""))</f>
        <v/>
      </c>
    </row>
    <row r="520" spans="1:3" x14ac:dyDescent="0.25">
      <c r="A520" s="24" t="str">
        <f>Catalog!A496</f>
        <v/>
      </c>
      <c r="B520" s="25">
        <f>Catalog!D496</f>
        <v>0</v>
      </c>
      <c r="C520" s="26" t="str">
        <f>IF(Catalog!D496="","",IF(ISBLANK(Catalog!F496),"Missing Creator; ","")&amp;IF(ISBLANK(Catalog!K496),"Missing Item Type; ","")&amp;IF(ISBLANK(Catalog!L496),"Missing Subject; ","")&amp;IF(ISBLANK(Catalog!M496),"Missing Genre/Form; ","")&amp;IF(ISBLANK(Catalog!X496),"Missing Location Type; ","")&amp;IF(ISBLANK(Catalog!Y496),"Missing Location Id; ","")&amp;IF(AND(Catalog!T496&lt;&gt;"",COUNTIF(Catalog!$T$2:$T$501,Catalog!T496)&gt;1),"Duplicate ISBN; ","")&amp;IF(AND(Catalog!B496&lt;&gt;"",COUNTIF(Catalog!$B$2:$B$501,Catalog!B496)&gt;1),"Duplicate Accession; ",""))</f>
        <v/>
      </c>
    </row>
    <row r="521" spans="1:3" x14ac:dyDescent="0.25">
      <c r="A521" s="24" t="str">
        <f>Catalog!A497</f>
        <v/>
      </c>
      <c r="B521" s="25">
        <f>Catalog!D497</f>
        <v>0</v>
      </c>
      <c r="C521" s="26" t="str">
        <f>IF(Catalog!D497="","",IF(ISBLANK(Catalog!F497),"Missing Creator; ","")&amp;IF(ISBLANK(Catalog!K497),"Missing Item Type; ","")&amp;IF(ISBLANK(Catalog!L497),"Missing Subject; ","")&amp;IF(ISBLANK(Catalog!M497),"Missing Genre/Form; ","")&amp;IF(ISBLANK(Catalog!X497),"Missing Location Type; ","")&amp;IF(ISBLANK(Catalog!Y497),"Missing Location Id; ","")&amp;IF(AND(Catalog!T497&lt;&gt;"",COUNTIF(Catalog!$T$2:$T$501,Catalog!T497)&gt;1),"Duplicate ISBN; ","")&amp;IF(AND(Catalog!B497&lt;&gt;"",COUNTIF(Catalog!$B$2:$B$501,Catalog!B497)&gt;1),"Duplicate Accession; ",""))</f>
        <v/>
      </c>
    </row>
    <row r="522" spans="1:3" x14ac:dyDescent="0.25">
      <c r="A522" s="24" t="str">
        <f>Catalog!A498</f>
        <v/>
      </c>
      <c r="B522" s="25">
        <f>Catalog!D498</f>
        <v>0</v>
      </c>
      <c r="C522" s="26" t="str">
        <f>IF(Catalog!D498="","",IF(ISBLANK(Catalog!F498),"Missing Creator; ","")&amp;IF(ISBLANK(Catalog!K498),"Missing Item Type; ","")&amp;IF(ISBLANK(Catalog!L498),"Missing Subject; ","")&amp;IF(ISBLANK(Catalog!M498),"Missing Genre/Form; ","")&amp;IF(ISBLANK(Catalog!X498),"Missing Location Type; ","")&amp;IF(ISBLANK(Catalog!Y498),"Missing Location Id; ","")&amp;IF(AND(Catalog!T498&lt;&gt;"",COUNTIF(Catalog!$T$2:$T$501,Catalog!T498)&gt;1),"Duplicate ISBN; ","")&amp;IF(AND(Catalog!B498&lt;&gt;"",COUNTIF(Catalog!$B$2:$B$501,Catalog!B498)&gt;1),"Duplicate Accession; ",""))</f>
        <v/>
      </c>
    </row>
    <row r="523" spans="1:3" x14ac:dyDescent="0.25">
      <c r="A523" s="24" t="str">
        <f>Catalog!A499</f>
        <v/>
      </c>
      <c r="B523" s="25">
        <f>Catalog!D499</f>
        <v>0</v>
      </c>
      <c r="C523" s="26" t="str">
        <f>IF(Catalog!D499="","",IF(ISBLANK(Catalog!F499),"Missing Creator; ","")&amp;IF(ISBLANK(Catalog!K499),"Missing Item Type; ","")&amp;IF(ISBLANK(Catalog!L499),"Missing Subject; ","")&amp;IF(ISBLANK(Catalog!M499),"Missing Genre/Form; ","")&amp;IF(ISBLANK(Catalog!X499),"Missing Location Type; ","")&amp;IF(ISBLANK(Catalog!Y499),"Missing Location Id; ","")&amp;IF(AND(Catalog!T499&lt;&gt;"",COUNTIF(Catalog!$T$2:$T$501,Catalog!T499)&gt;1),"Duplicate ISBN; ","")&amp;IF(AND(Catalog!B499&lt;&gt;"",COUNTIF(Catalog!$B$2:$B$501,Catalog!B499)&gt;1),"Duplicate Accession; ",""))</f>
        <v/>
      </c>
    </row>
    <row r="524" spans="1:3" x14ac:dyDescent="0.25">
      <c r="A524" s="24" t="str">
        <f>Catalog!A500</f>
        <v/>
      </c>
      <c r="B524" s="25">
        <f>Catalog!D500</f>
        <v>0</v>
      </c>
      <c r="C524" s="26" t="str">
        <f>IF(Catalog!D500="","",IF(ISBLANK(Catalog!F500),"Missing Creator; ","")&amp;IF(ISBLANK(Catalog!K500),"Missing Item Type; ","")&amp;IF(ISBLANK(Catalog!L500),"Missing Subject; ","")&amp;IF(ISBLANK(Catalog!M500),"Missing Genre/Form; ","")&amp;IF(ISBLANK(Catalog!X500),"Missing Location Type; ","")&amp;IF(ISBLANK(Catalog!Y500),"Missing Location Id; ","")&amp;IF(AND(Catalog!T500&lt;&gt;"",COUNTIF(Catalog!$T$2:$T$501,Catalog!T500)&gt;1),"Duplicate ISBN; ","")&amp;IF(AND(Catalog!B500&lt;&gt;"",COUNTIF(Catalog!$B$2:$B$501,Catalog!B500)&gt;1),"Duplicate Accession; ",""))</f>
        <v/>
      </c>
    </row>
    <row r="525" spans="1:3" x14ac:dyDescent="0.25">
      <c r="A525" s="24" t="str">
        <f>Catalog!A501</f>
        <v/>
      </c>
      <c r="B525" s="25">
        <f>Catalog!D501</f>
        <v>0</v>
      </c>
      <c r="C525" s="26" t="str">
        <f>IF(Catalog!D501="","",IF(ISBLANK(Catalog!F501),"Missing Creator; ","")&amp;IF(ISBLANK(Catalog!K501),"Missing Item Type; ","")&amp;IF(ISBLANK(Catalog!L501),"Missing Subject; ","")&amp;IF(ISBLANK(Catalog!M501),"Missing Genre/Form; ","")&amp;IF(ISBLANK(Catalog!X501),"Missing Location Type; ","")&amp;IF(ISBLANK(Catalog!Y501),"Missing Location Id; ","")&amp;IF(AND(Catalog!T501&lt;&gt;"",COUNTIF(Catalog!$T$2:$T$501,Catalog!T501)&gt;1),"Duplicate ISBN; ","")&amp;IF(AND(Catalog!B501&lt;&gt;"",COUNTIF(Catalog!$B$2:$B$501,Catalog!B501)&gt;1),"Duplicate Accession; ",""))</f>
        <v/>
      </c>
    </row>
  </sheetData>
  <sheetProtection password="E720" sheet="1"/>
  <mergeCells count="1">
    <mergeCell ref="A1:B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F27"/>
  <sheetViews>
    <sheetView workbookViewId="0"/>
  </sheetViews>
  <sheetFormatPr defaultRowHeight="15" x14ac:dyDescent="0.25"/>
  <cols>
    <col min="1" max="1" width="4" customWidth="1"/>
    <col min="2" max="2" width="36" customWidth="1"/>
    <col min="3" max="3" width="16" customWidth="1"/>
    <col min="4" max="4" width="4" customWidth="1"/>
    <col min="5" max="5" width="36" customWidth="1"/>
    <col min="6" max="6" width="16" customWidth="1"/>
  </cols>
  <sheetData>
    <row r="2" spans="2:6" ht="36" customHeight="1" x14ac:dyDescent="0.45">
      <c r="B2" s="33" t="s">
        <v>647</v>
      </c>
      <c r="C2" s="34"/>
      <c r="D2" s="34"/>
      <c r="E2" s="34"/>
      <c r="F2" s="34"/>
    </row>
    <row r="3" spans="2:6" ht="24" customHeight="1" x14ac:dyDescent="0.25">
      <c r="B3" s="37" t="s">
        <v>648</v>
      </c>
      <c r="C3" s="34"/>
      <c r="D3" s="34"/>
      <c r="E3" s="34"/>
      <c r="F3" s="34"/>
    </row>
    <row r="5" spans="2:6" ht="26.1" customHeight="1" x14ac:dyDescent="0.25">
      <c r="B5" s="35" t="s">
        <v>649</v>
      </c>
      <c r="C5" s="34"/>
      <c r="E5" s="36" t="s">
        <v>650</v>
      </c>
      <c r="F5" s="34"/>
    </row>
    <row r="6" spans="2:6" ht="16.5" x14ac:dyDescent="0.25">
      <c r="B6" s="27" t="s">
        <v>651</v>
      </c>
      <c r="C6" s="22">
        <f>COUNTA(Catalog!A2:A501)</f>
        <v>500</v>
      </c>
      <c r="E6" s="27" t="s">
        <v>652</v>
      </c>
      <c r="F6" s="22">
        <f>COUNTA(Catalog!A2:A501)-COUNTA(Catalog!D2:D501)</f>
        <v>480</v>
      </c>
    </row>
    <row r="7" spans="2:6" ht="16.5" x14ac:dyDescent="0.25">
      <c r="B7" s="27" t="s">
        <v>639</v>
      </c>
      <c r="C7" s="22">
        <f>COUNTA(Digital_Catalog!A2:A501)</f>
        <v>500</v>
      </c>
      <c r="E7" s="27" t="s">
        <v>653</v>
      </c>
      <c r="F7" s="22">
        <f>SUMPRODUCT((Catalog!D2:D501&lt;&gt;"")*(Catalog!F2:F501=""))</f>
        <v>1</v>
      </c>
    </row>
    <row r="8" spans="2:6" ht="16.5" x14ac:dyDescent="0.25">
      <c r="B8" s="27" t="s">
        <v>640</v>
      </c>
      <c r="C8" s="22">
        <f>COUNTA(Archive!A2:A201)</f>
        <v>200</v>
      </c>
      <c r="E8" s="27" t="s">
        <v>654</v>
      </c>
      <c r="F8" s="22">
        <f>SUMPRODUCT((Catalog!D2:D501&lt;&gt;"")*(Catalog!K2:K501=""))</f>
        <v>0</v>
      </c>
    </row>
    <row r="9" spans="2:6" ht="16.5" x14ac:dyDescent="0.25">
      <c r="B9" s="27" t="s">
        <v>126</v>
      </c>
      <c r="C9" s="22">
        <f>COUNTIF(Catalog!K2:K501,"Book")</f>
        <v>19</v>
      </c>
      <c r="E9" s="27" t="s">
        <v>655</v>
      </c>
      <c r="F9" s="22">
        <f>SUMPRODUCT((Catalog!D2:D501&lt;&gt;"")*(Catalog!L2:L501=""))</f>
        <v>0</v>
      </c>
    </row>
    <row r="10" spans="2:6" ht="16.5" x14ac:dyDescent="0.25">
      <c r="B10" s="27" t="s">
        <v>656</v>
      </c>
      <c r="C10" s="22">
        <f>COUNTIF(Catalog!K2:K501,"Magazine")</f>
        <v>1</v>
      </c>
      <c r="E10" s="27" t="s">
        <v>657</v>
      </c>
      <c r="F10" s="22">
        <f>SUMPRODUCT((Catalog!D2:D501&lt;&gt;"")*(Catalog!M2:M501=""))</f>
        <v>0</v>
      </c>
    </row>
    <row r="11" spans="2:6" ht="16.5" x14ac:dyDescent="0.25">
      <c r="B11" s="27" t="s">
        <v>658</v>
      </c>
      <c r="C11" s="22">
        <f>COUNTIF(Catalog!K2:K501,"Journal")</f>
        <v>0</v>
      </c>
      <c r="E11" s="27" t="s">
        <v>636</v>
      </c>
      <c r="F11" s="22">
        <f>SUMPRODUCT((Catalog!T2:T501&lt;&gt;"")*(COUNTIF(Catalog!T2:T501,Catalog!T2:T501)&gt;1))/2</f>
        <v>0</v>
      </c>
    </row>
    <row r="12" spans="2:6" ht="16.5" x14ac:dyDescent="0.25">
      <c r="B12" s="27" t="s">
        <v>310</v>
      </c>
      <c r="C12" s="22">
        <f>COUNTIF(Catalog!K2:K501,"Newspaper")</f>
        <v>0</v>
      </c>
    </row>
    <row r="13" spans="2:6" ht="16.5" x14ac:dyDescent="0.25">
      <c r="B13" s="27" t="s">
        <v>153</v>
      </c>
      <c r="C13" s="22">
        <f>COUNTIF(Catalog!K2:K501,"Manuscript")</f>
        <v>0</v>
      </c>
    </row>
    <row r="14" spans="2:6" ht="16.5" x14ac:dyDescent="0.25">
      <c r="B14" s="27" t="s">
        <v>659</v>
      </c>
      <c r="C14" s="22">
        <f>COUNTA(Catalog!A2:A501)-SUM(COUNTIF(Catalog!K2:K501,{"Book","Magazine","Journal","Newspaper","Manuscript"}))</f>
        <v>480</v>
      </c>
    </row>
    <row r="15" spans="2:6" ht="26.1" customHeight="1" x14ac:dyDescent="0.25">
      <c r="B15" s="35" t="s">
        <v>660</v>
      </c>
      <c r="C15" s="34"/>
      <c r="E15" s="36" t="s">
        <v>661</v>
      </c>
      <c r="F15" s="34"/>
    </row>
    <row r="16" spans="2:6" ht="16.5" x14ac:dyDescent="0.25">
      <c r="B16" s="27" t="s">
        <v>124</v>
      </c>
      <c r="C16" s="22">
        <f>COUNTIF(Digital_Catalog!AA2:AA501,"Read")</f>
        <v>1</v>
      </c>
      <c r="E16" s="27" t="s">
        <v>128</v>
      </c>
      <c r="F16" s="22">
        <f>COUNTIF(Catalog!AA2:AA501,"Available")</f>
        <v>20</v>
      </c>
    </row>
    <row r="17" spans="2:6" ht="16.5" x14ac:dyDescent="0.25">
      <c r="B17" s="27" t="s">
        <v>151</v>
      </c>
      <c r="C17" s="22">
        <f>COUNTIF(Digital_Catalog!AA2:AA501,"Reading")</f>
        <v>0</v>
      </c>
      <c r="E17" s="27" t="s">
        <v>155</v>
      </c>
      <c r="F17" s="22">
        <f>COUNTIF(Catalog!AA2:AA501,"On Loan")</f>
        <v>0</v>
      </c>
    </row>
    <row r="18" spans="2:6" ht="16.5" x14ac:dyDescent="0.25">
      <c r="B18" s="27" t="s">
        <v>178</v>
      </c>
      <c r="C18" s="22">
        <f>COUNTIF(Digital_Catalog!AA2:AA501,"Unread")</f>
        <v>2</v>
      </c>
      <c r="E18" s="27" t="s">
        <v>662</v>
      </c>
      <c r="F18" s="22">
        <f ca="1">COUNTIF(Circulation!H2:H501,"Overdue")</f>
        <v>0</v>
      </c>
    </row>
    <row r="21" spans="2:6" ht="26.1" customHeight="1" x14ac:dyDescent="0.25">
      <c r="B21" s="35" t="s">
        <v>663</v>
      </c>
      <c r="C21" s="34"/>
      <c r="E21" s="36" t="s">
        <v>664</v>
      </c>
      <c r="F21" s="34"/>
    </row>
    <row r="22" spans="2:6" ht="16.5" x14ac:dyDescent="0.25">
      <c r="B22" s="27" t="s">
        <v>153</v>
      </c>
      <c r="C22" s="22">
        <f>COUNTIF(Archive!U2:U201,"Manuscripts")</f>
        <v>1</v>
      </c>
      <c r="E22" s="27" t="s">
        <v>665</v>
      </c>
      <c r="F22" s="22">
        <f>COUNTIF(Archive!G2:G201,"Physical")</f>
        <v>3</v>
      </c>
    </row>
    <row r="23" spans="2:6" ht="16.5" x14ac:dyDescent="0.25">
      <c r="B23" s="27" t="s">
        <v>180</v>
      </c>
      <c r="C23" s="22">
        <f>COUNTIF(Archive!U2:U201,"Photographs")</f>
        <v>0</v>
      </c>
      <c r="E23" s="27" t="s">
        <v>666</v>
      </c>
      <c r="F23" s="22">
        <f>COUNTIF(Archive!G2:G201,"Digital")</f>
        <v>3</v>
      </c>
    </row>
    <row r="24" spans="2:6" ht="16.5" x14ac:dyDescent="0.25">
      <c r="B24" s="27" t="s">
        <v>154</v>
      </c>
      <c r="C24" s="22">
        <f>COUNTIF(Archive!U2:U201,"Audio")</f>
        <v>1</v>
      </c>
      <c r="E24" s="27" t="s">
        <v>176</v>
      </c>
      <c r="F24" s="22">
        <f>COUNTIF(Archive!G2:G201,"Both")</f>
        <v>0</v>
      </c>
    </row>
    <row r="25" spans="2:6" ht="16.5" x14ac:dyDescent="0.25">
      <c r="B25" s="27" t="s">
        <v>181</v>
      </c>
      <c r="C25" s="22">
        <f>COUNTIF(Archive!U2:U201,"Video")</f>
        <v>1</v>
      </c>
      <c r="E25" s="27" t="s">
        <v>197</v>
      </c>
      <c r="F25" s="22">
        <f>COUNTIF(Archive!P2:P201,"OCR Pending")</f>
        <v>1</v>
      </c>
    </row>
    <row r="26" spans="2:6" ht="16.5" x14ac:dyDescent="0.25">
      <c r="B26" s="27" t="s">
        <v>255</v>
      </c>
      <c r="C26" s="22">
        <f>COUNTIF(Archive!U2:U201,"Sculptures")</f>
        <v>1</v>
      </c>
      <c r="E26" s="27" t="s">
        <v>218</v>
      </c>
      <c r="F26" s="22">
        <f>COUNTIF(Archive!P2:P201,"OCR Complete")</f>
        <v>0</v>
      </c>
    </row>
    <row r="27" spans="2:6" ht="16.5" x14ac:dyDescent="0.25">
      <c r="B27" s="27" t="s">
        <v>277</v>
      </c>
      <c r="C27" s="22">
        <f>COUNTIF(Archive!U2:U201,"Textiles")</f>
        <v>1</v>
      </c>
    </row>
  </sheetData>
  <sheetProtection password="E720" sheet="1"/>
  <mergeCells count="8">
    <mergeCell ref="B21:C21"/>
    <mergeCell ref="B15:C15"/>
    <mergeCell ref="B2:F2"/>
    <mergeCell ref="E15:F15"/>
    <mergeCell ref="B5:C5"/>
    <mergeCell ref="B3:F3"/>
    <mergeCell ref="E5:F5"/>
    <mergeCell ref="E21:F2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30"/>
  <sheetViews>
    <sheetView tabSelected="1" zoomScale="201" workbookViewId="0">
      <selection activeCell="C6" sqref="C6"/>
    </sheetView>
  </sheetViews>
  <sheetFormatPr defaultRowHeight="15" x14ac:dyDescent="0.25"/>
  <cols>
    <col min="1" max="1" width="18" customWidth="1"/>
    <col min="2" max="2" width="24" customWidth="1"/>
    <col min="3" max="3" width="80" customWidth="1"/>
    <col min="4" max="4" width="44" customWidth="1"/>
  </cols>
  <sheetData>
    <row r="1" spans="1:4" ht="32.1" customHeight="1" x14ac:dyDescent="0.45">
      <c r="A1" s="33" t="s">
        <v>667</v>
      </c>
      <c r="B1" s="34"/>
      <c r="C1" s="34"/>
      <c r="D1" s="34"/>
    </row>
    <row r="3" spans="1:4" ht="15.75" x14ac:dyDescent="0.3">
      <c r="A3" s="38" t="s">
        <v>668</v>
      </c>
      <c r="B3" s="34"/>
      <c r="C3" s="34"/>
      <c r="D3" s="34"/>
    </row>
    <row r="5" spans="1:4" x14ac:dyDescent="0.25">
      <c r="A5" s="5" t="s">
        <v>669</v>
      </c>
      <c r="B5" s="5" t="s">
        <v>670</v>
      </c>
      <c r="C5" s="5" t="s">
        <v>671</v>
      </c>
      <c r="D5" s="5" t="s">
        <v>52</v>
      </c>
    </row>
    <row r="6" spans="1:4" ht="45.95" customHeight="1" x14ac:dyDescent="0.25">
      <c r="A6" s="28" t="s">
        <v>672</v>
      </c>
      <c r="B6" s="29" t="s">
        <v>673</v>
      </c>
      <c r="C6" s="30" t="str">
        <f>IF(ISBLANK(D2),"",ROW()-1)</f>
        <v/>
      </c>
      <c r="D6" s="31" t="s">
        <v>674</v>
      </c>
    </row>
    <row r="7" spans="1:4" ht="45.95" customHeight="1" x14ac:dyDescent="0.25">
      <c r="A7" s="28" t="s">
        <v>672</v>
      </c>
      <c r="B7" s="29" t="s">
        <v>675</v>
      </c>
      <c r="C7" s="30" t="str">
        <f>IF(OR(ISBLANK(D2),ISBLANK(K2)),"",IFERROR(VLOOKUP(K2,CatItemTypeLookup,2,FALSE),"?")&amp;"-"&amp;IF(L2="","?",IFERROR(VLOOKUP(L2,SubjectLookup,2,FALSE),"="))&amp;"-"&amp;IF(M2="","?",IFERROR(VLOOKUP(M2,GenreLookup,2,FALSE),"="))&amp;"-"&amp;IF(H2="","NOC",H2)&amp;"-"&amp;TEXT(A2,"000")&amp;IF(ISBLANK(O2),"","-"&amp;SUBSTITUTE(O2," ","")))</f>
        <v/>
      </c>
      <c r="D7" s="31" t="s">
        <v>676</v>
      </c>
    </row>
    <row r="8" spans="1:4" ht="45.95" customHeight="1" x14ac:dyDescent="0.25">
      <c r="A8" s="28" t="s">
        <v>672</v>
      </c>
      <c r="B8" s="29" t="s">
        <v>677</v>
      </c>
      <c r="C8" s="30" t="str">
        <f>IF(ISBLANK(F2),"",IF(G2&lt;&gt;"",UPPER(TRIM(G2)),IF(ISNUMBER(SEARCH(" ",TRIM(F2))),UPPER(LEFT(TRIM(RIGHT(SUBSTITUTE(TRIM(F2)," ",REPT(" ",100)),100)),Settings!$B$9)),UPPER(LEFT(TRIM(F2),Settings!$B$9)))))</f>
        <v/>
      </c>
      <c r="D8" s="31" t="s">
        <v>678</v>
      </c>
    </row>
    <row r="9" spans="1:4" ht="45.95" customHeight="1" x14ac:dyDescent="0.25">
      <c r="A9" s="28" t="s">
        <v>672</v>
      </c>
      <c r="B9" s="29" t="s">
        <v>679</v>
      </c>
      <c r="C9" s="30" t="str">
        <f>IF(ISBLANK(D2),"",IF(COUNTIFS(Circulation!$B$2:$B$501,A2,Circulation!$H$2:$H$501,"Active")&gt;0,"On Loan","Available"))</f>
        <v/>
      </c>
      <c r="D9" s="31" t="s">
        <v>680</v>
      </c>
    </row>
    <row r="10" spans="1:4" ht="45.95" customHeight="1" x14ac:dyDescent="0.25">
      <c r="A10" s="28" t="s">
        <v>681</v>
      </c>
      <c r="B10" s="29" t="s">
        <v>682</v>
      </c>
      <c r="C10" s="30" t="str">
        <f>IF(ISBLANK(C2),"",ROW()-1)</f>
        <v/>
      </c>
      <c r="D10" s="31" t="s">
        <v>674</v>
      </c>
    </row>
    <row r="11" spans="1:4" ht="45.95" customHeight="1" x14ac:dyDescent="0.25">
      <c r="A11" s="28" t="s">
        <v>681</v>
      </c>
      <c r="B11" s="29" t="s">
        <v>683</v>
      </c>
      <c r="C11" s="30" t="str">
        <f>IF(OR(ISBLANK(C2),ISBLANK(F2)),"","DIG-" &amp;IFERROR(VLOOKUP(F2,DigItemTypeLookup,2,FALSE),"?") &amp; "-" &amp;IF(G2="","?",IFERROR(VLOOKUP(G2,SubjectLookup,2,FALSE),"=")) &amp; "-" &amp;IF(H2="","?",IFERROR(VLOOKUP(H2,GenreLookup,2,FALSE),"=")) &amp; "-" &amp;IF(ISBLANK(D2),"NOC",UPPER(LEFT(TRIM(RIGHT(SUBSTITUTE(TRIM(D2)," ",REPT(" ",100)),100)),3))) &amp; "-" &amp;TEXT(A2,"000"))</f>
        <v/>
      </c>
      <c r="D11" s="31" t="s">
        <v>684</v>
      </c>
    </row>
    <row r="12" spans="1:4" ht="45.95" customHeight="1" x14ac:dyDescent="0.25">
      <c r="A12" s="28" t="s">
        <v>199</v>
      </c>
      <c r="B12" s="29" t="s">
        <v>685</v>
      </c>
      <c r="C12" s="30" t="str">
        <f>IF(ISBLANK(B2),"","ARC-"&amp;TEXT(ROW()-1,"0000"))</f>
        <v/>
      </c>
      <c r="D12" s="31" t="s">
        <v>686</v>
      </c>
    </row>
    <row r="13" spans="1:4" ht="45.95" customHeight="1" x14ac:dyDescent="0.25">
      <c r="A13" s="28" t="s">
        <v>199</v>
      </c>
      <c r="B13" s="29" t="s">
        <v>687</v>
      </c>
      <c r="C13" s="30" t="str">
        <f>IF(AA2="","",HYPERLINK(AA2,"Open ↗"))</f>
        <v/>
      </c>
      <c r="D13" s="31" t="s">
        <v>688</v>
      </c>
    </row>
    <row r="14" spans="1:4" ht="45.95" customHeight="1" x14ac:dyDescent="0.25">
      <c r="A14" s="28" t="s">
        <v>689</v>
      </c>
      <c r="B14" s="29" t="s">
        <v>690</v>
      </c>
      <c r="C14" s="30" t="str">
        <f>IF(ISBLANK(B2),"",ROW()-1)</f>
        <v/>
      </c>
      <c r="D14" s="31" t="s">
        <v>691</v>
      </c>
    </row>
    <row r="15" spans="1:4" ht="45.95" customHeight="1" x14ac:dyDescent="0.25">
      <c r="A15" s="28" t="s">
        <v>689</v>
      </c>
      <c r="B15" s="29" t="s">
        <v>692</v>
      </c>
      <c r="C15" s="30" t="str">
        <f>IFERROR(IF(ISBLANK(C2),"",VLOOKUP(C2,Members!$A$2:$B$101,2,FALSE)),"")</f>
        <v/>
      </c>
      <c r="D15" s="31" t="s">
        <v>693</v>
      </c>
    </row>
    <row r="16" spans="1:4" ht="45.95" customHeight="1" x14ac:dyDescent="0.25">
      <c r="A16" s="28" t="s">
        <v>689</v>
      </c>
      <c r="B16" s="29" t="s">
        <v>694</v>
      </c>
      <c r="C16" s="30" t="str">
        <f>IF(ISBLANK(E2),"",E2+Settings!$B$7)</f>
        <v/>
      </c>
      <c r="D16" s="31" t="s">
        <v>695</v>
      </c>
    </row>
    <row r="17" spans="1:4" ht="45.95" customHeight="1" x14ac:dyDescent="0.25">
      <c r="A17" s="28" t="s">
        <v>689</v>
      </c>
      <c r="B17" s="29" t="s">
        <v>696</v>
      </c>
      <c r="C17" s="30" t="str">
        <f ca="1">IF(ISBLANK(B2),"",IF(NOT(ISBLANK(G2)),"Returned",IF(TODAY()&gt;F2,"Overdue","Active")))</f>
        <v/>
      </c>
      <c r="D17" s="31" t="s">
        <v>697</v>
      </c>
    </row>
    <row r="18" spans="1:4" ht="45.95" customHeight="1" x14ac:dyDescent="0.25">
      <c r="A18" s="28" t="s">
        <v>698</v>
      </c>
      <c r="B18" s="29" t="s">
        <v>673</v>
      </c>
      <c r="C18" s="30">
        <f>Catalog!A2</f>
        <v>1</v>
      </c>
      <c r="D18" s="31" t="s">
        <v>699</v>
      </c>
    </row>
    <row r="19" spans="1:4" ht="45.95" customHeight="1" x14ac:dyDescent="0.25">
      <c r="A19" s="28" t="s">
        <v>698</v>
      </c>
      <c r="B19" s="29" t="s">
        <v>700</v>
      </c>
      <c r="C19" s="30" t="str">
        <f>Catalog!C2</f>
        <v>BK-LIT-COL-TAG-001-Vol1</v>
      </c>
      <c r="D19" s="31" t="s">
        <v>701</v>
      </c>
    </row>
    <row r="20" spans="1:4" ht="45.95" customHeight="1" x14ac:dyDescent="0.25">
      <c r="A20" s="28" t="s">
        <v>698</v>
      </c>
      <c r="B20" s="29" t="s">
        <v>702</v>
      </c>
      <c r="C20" s="30" t="str">
        <f>Catalog!D2</f>
        <v>Rabindra Rachanabali</v>
      </c>
      <c r="D20" s="31" t="s">
        <v>703</v>
      </c>
    </row>
    <row r="21" spans="1:4" ht="45.95" customHeight="1" x14ac:dyDescent="0.25">
      <c r="A21" s="28" t="s">
        <v>698</v>
      </c>
      <c r="B21" s="29" t="s">
        <v>704</v>
      </c>
      <c r="C21" s="30" t="str">
        <f>Catalog!O2</f>
        <v>Vol 1</v>
      </c>
      <c r="D21" s="31" t="s">
        <v>705</v>
      </c>
    </row>
    <row r="22" spans="1:4" ht="45.95" customHeight="1" x14ac:dyDescent="0.25">
      <c r="A22" s="28" t="s">
        <v>698</v>
      </c>
      <c r="B22" s="29" t="s">
        <v>706</v>
      </c>
      <c r="C22" s="30" t="str">
        <f>Catalog!F2</f>
        <v>Rabindranath Tagore</v>
      </c>
      <c r="D22" s="31" t="s">
        <v>707</v>
      </c>
    </row>
    <row r="23" spans="1:4" ht="45.95" customHeight="1" x14ac:dyDescent="0.25">
      <c r="A23" s="28" t="s">
        <v>698</v>
      </c>
      <c r="B23" s="29" t="s">
        <v>708</v>
      </c>
      <c r="C23" s="30" t="str">
        <f>IF(Catalog!X2="","",Catalog!X2&amp;" "&amp;Catalog!Y2)</f>
        <v>Shelf A2</v>
      </c>
      <c r="D23" s="31" t="s">
        <v>709</v>
      </c>
    </row>
    <row r="24" spans="1:4" ht="45.95" customHeight="1" x14ac:dyDescent="0.25">
      <c r="A24" s="28" t="s">
        <v>710</v>
      </c>
      <c r="B24" s="29" t="s">
        <v>711</v>
      </c>
      <c r="C24" s="30" t="e">
        <f>Catalog!D2 / F2 / (I2&amp;J2) / Q2 / S2 / N2 / (K2&amp;" / "&amp;M2) / "Print" / identifier / L2 / description / AE2 / W2 / R2 / AG2</f>
        <v>#VALUE!</v>
      </c>
      <c r="D24" s="31" t="s">
        <v>712</v>
      </c>
    </row>
    <row r="25" spans="1:4" ht="45.95" customHeight="1" x14ac:dyDescent="0.25">
      <c r="A25" s="28" t="s">
        <v>713</v>
      </c>
      <c r="B25" s="29" t="s">
        <v>714</v>
      </c>
      <c r="C25" s="30"/>
      <c r="D25" s="31" t="s">
        <v>715</v>
      </c>
    </row>
    <row r="26" spans="1:4" ht="45.95" customHeight="1" x14ac:dyDescent="0.25">
      <c r="A26" s="28" t="s">
        <v>713</v>
      </c>
      <c r="B26" s="29" t="s">
        <v>716</v>
      </c>
      <c r="C26" s="30"/>
      <c r="D26" s="31" t="s">
        <v>717</v>
      </c>
    </row>
    <row r="27" spans="1:4" ht="45.95" customHeight="1" x14ac:dyDescent="0.25">
      <c r="A27" s="28" t="s">
        <v>648</v>
      </c>
      <c r="B27" s="29" t="s">
        <v>649</v>
      </c>
      <c r="C27" s="30"/>
      <c r="D27" s="31" t="s">
        <v>718</v>
      </c>
    </row>
    <row r="28" spans="1:4" ht="45.95" customHeight="1" x14ac:dyDescent="0.25">
      <c r="A28" s="28" t="s">
        <v>648</v>
      </c>
      <c r="B28" s="29" t="s">
        <v>650</v>
      </c>
      <c r="C28" s="30"/>
      <c r="D28" s="31" t="s">
        <v>719</v>
      </c>
    </row>
    <row r="29" spans="1:4" ht="45.95" customHeight="1" x14ac:dyDescent="0.25">
      <c r="A29" s="28" t="s">
        <v>648</v>
      </c>
      <c r="B29" s="29" t="s">
        <v>661</v>
      </c>
      <c r="C29" s="30"/>
      <c r="D29" s="31" t="s">
        <v>720</v>
      </c>
    </row>
    <row r="30" spans="1:4" ht="45.95" customHeight="1" x14ac:dyDescent="0.25">
      <c r="A30" s="28" t="s">
        <v>648</v>
      </c>
      <c r="B30" s="29" t="s">
        <v>664</v>
      </c>
      <c r="C30" s="30"/>
      <c r="D30" s="31" t="s">
        <v>721</v>
      </c>
    </row>
  </sheetData>
  <sheetProtection password="E720" sheet="1"/>
  <mergeCells count="2">
    <mergeCell ref="A1:D1"/>
    <mergeCell ref="A3:D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505"/>
  <sheetViews>
    <sheetView zoomScale="216" workbookViewId="0">
      <pane ySplit="5" topLeftCell="A6" activePane="bottomLeft" state="frozen"/>
      <selection pane="bottomLeft" sqref="A1:D1"/>
    </sheetView>
  </sheetViews>
  <sheetFormatPr defaultRowHeight="15" x14ac:dyDescent="0.25"/>
  <cols>
    <col min="1" max="1" width="10" customWidth="1"/>
    <col min="2" max="2" width="30" customWidth="1"/>
    <col min="3" max="3" width="24" customWidth="1"/>
    <col min="4" max="4" width="70" customWidth="1"/>
  </cols>
  <sheetData>
    <row r="1" spans="1:4" ht="32.1" customHeight="1" x14ac:dyDescent="0.45">
      <c r="A1" s="33" t="s">
        <v>722</v>
      </c>
      <c r="B1" s="34"/>
      <c r="C1" s="34"/>
      <c r="D1" s="34"/>
    </row>
    <row r="3" spans="1:4" ht="15.75" x14ac:dyDescent="0.3">
      <c r="A3" s="38" t="s">
        <v>723</v>
      </c>
      <c r="B3" s="34"/>
      <c r="C3" s="34"/>
      <c r="D3" s="34"/>
    </row>
    <row r="5" spans="1:4" x14ac:dyDescent="0.25">
      <c r="A5" s="20" t="s">
        <v>724</v>
      </c>
      <c r="B5" s="20" t="s">
        <v>577</v>
      </c>
      <c r="C5" s="20" t="s">
        <v>579</v>
      </c>
      <c r="D5" s="20" t="s">
        <v>725</v>
      </c>
    </row>
    <row r="6" spans="1:4" x14ac:dyDescent="0.25">
      <c r="A6" s="24">
        <f>Catalog!A2</f>
        <v>1</v>
      </c>
      <c r="B6" s="25" t="str">
        <f>Catalog!D2</f>
        <v>Rabindra Rachanabali</v>
      </c>
      <c r="C6" s="25" t="str">
        <f>Catalog!F2</f>
        <v>Rabindranath Tagore</v>
      </c>
      <c r="D6" s="32" t="str">
        <f>IF(Catalog!D2="","","{""item_id"":"&amp;Catalog!A2&amp;",""title"":"""&amp;SUBSTITUTE(Catalog!D2,"""","\""")&amp;""",""creator"":"""&amp;SUBSTITUTE(Catalog!F2,"""","\""")&amp;""",""language"":"""&amp;Catalog!N2&amp;""",""identifier"":"""&amp;Catalog!C2&amp;"""}")</f>
        <v>{"item_id":1,"title":"Rabindra Rachanabali","creator":"Rabindranath Tagore","language":"Bengali","identifier":"BK-LIT-COL-TAG-001-Vol1"}</v>
      </c>
    </row>
    <row r="7" spans="1:4" x14ac:dyDescent="0.25">
      <c r="A7" s="24">
        <f>Catalog!A3</f>
        <v>2</v>
      </c>
      <c r="B7" s="25" t="str">
        <f>Catalog!D3</f>
        <v>Rabindra Rachanabali</v>
      </c>
      <c r="C7" s="25" t="str">
        <f>Catalog!F3</f>
        <v>Rabindranath Tagore</v>
      </c>
      <c r="D7" s="32" t="str">
        <f>IF(Catalog!D3="","","{""item_id"":"&amp;Catalog!A3&amp;",""title"":"""&amp;SUBSTITUTE(Catalog!D3,"""","\""")&amp;""",""creator"":"""&amp;SUBSTITUTE(Catalog!F3,"""","\""")&amp;""",""language"":"""&amp;Catalog!N3&amp;""",""identifier"":"""&amp;Catalog!C3&amp;"""}")</f>
        <v>{"item_id":2,"title":"Rabindra Rachanabali","creator":"Rabindranath Tagore","language":"Bengali","identifier":"BK-LIT-COL-TAG-002-Vol2"}</v>
      </c>
    </row>
    <row r="8" spans="1:4" x14ac:dyDescent="0.25">
      <c r="A8" s="24">
        <f>Catalog!A4</f>
        <v>3</v>
      </c>
      <c r="B8" s="25" t="str">
        <f>Catalog!D4</f>
        <v>Rabindra Rachanabali</v>
      </c>
      <c r="C8" s="25" t="str">
        <f>Catalog!F4</f>
        <v>Rabindranath Tagore</v>
      </c>
      <c r="D8" s="32" t="str">
        <f>IF(Catalog!D4="","","{""item_id"":"&amp;Catalog!A4&amp;",""title"":"""&amp;SUBSTITUTE(Catalog!D4,"""","\""")&amp;""",""creator"":"""&amp;SUBSTITUTE(Catalog!F4,"""","\""")&amp;""",""language"":"""&amp;Catalog!N4&amp;""",""identifier"":"""&amp;Catalog!C4&amp;"""}")</f>
        <v>{"item_id":3,"title":"Rabindra Rachanabali","creator":"Rabindranath Tagore","language":"Bengali","identifier":"BK-LIT-COL-TAG-003-Vol3"}</v>
      </c>
    </row>
    <row r="9" spans="1:4" x14ac:dyDescent="0.25">
      <c r="A9" s="24">
        <f>Catalog!A5</f>
        <v>4</v>
      </c>
      <c r="B9" s="25" t="str">
        <f>Catalog!D5</f>
        <v>Rabindra Rachanabali</v>
      </c>
      <c r="C9" s="25" t="str">
        <f>Catalog!F5</f>
        <v>Rabindranath Tagore</v>
      </c>
      <c r="D9" s="32" t="str">
        <f>IF(Catalog!D5="","","{""item_id"":"&amp;Catalog!A5&amp;",""title"":"""&amp;SUBSTITUTE(Catalog!D5,"""","\""")&amp;""",""creator"":"""&amp;SUBSTITUTE(Catalog!F5,"""","\""")&amp;""",""language"":"""&amp;Catalog!N5&amp;""",""identifier"":"""&amp;Catalog!C5&amp;"""}")</f>
        <v>{"item_id":4,"title":"Rabindra Rachanabali","creator":"Rabindranath Tagore","language":"Bengali","identifier":"BK-LIT-COL-TAG-004-Vol4"}</v>
      </c>
    </row>
    <row r="10" spans="1:4" x14ac:dyDescent="0.25">
      <c r="A10" s="24">
        <f>Catalog!A6</f>
        <v>5</v>
      </c>
      <c r="B10" s="25" t="str">
        <f>Catalog!D6</f>
        <v>Rabindra Rachanabali</v>
      </c>
      <c r="C10" s="25" t="str">
        <f>Catalog!F6</f>
        <v>Rabindranath Tagore</v>
      </c>
      <c r="D10" s="32" t="str">
        <f>IF(Catalog!D6="","","{""item_id"":"&amp;Catalog!A6&amp;",""title"":"""&amp;SUBSTITUTE(Catalog!D6,"""","\""")&amp;""",""creator"":"""&amp;SUBSTITUTE(Catalog!F6,"""","\""")&amp;""",""language"":"""&amp;Catalog!N6&amp;""",""identifier"":"""&amp;Catalog!C6&amp;"""}")</f>
        <v>{"item_id":5,"title":"Rabindra Rachanabali","creator":"Rabindranath Tagore","language":"Bengali","identifier":"BK-LIT-COL-TAG-005-Vol5"}</v>
      </c>
    </row>
    <row r="11" spans="1:4" x14ac:dyDescent="0.25">
      <c r="A11" s="24">
        <f>Catalog!A7</f>
        <v>6</v>
      </c>
      <c r="B11" s="25" t="str">
        <f>Catalog!D7</f>
        <v>Rabindra Rachanabali</v>
      </c>
      <c r="C11" s="25" t="str">
        <f>Catalog!F7</f>
        <v>Rabindranath Tagore</v>
      </c>
      <c r="D11" s="32" t="str">
        <f>IF(Catalog!D7="","","{""item_id"":"&amp;Catalog!A7&amp;",""title"":"""&amp;SUBSTITUTE(Catalog!D7,"""","\""")&amp;""",""creator"":"""&amp;SUBSTITUTE(Catalog!F7,"""","\""")&amp;""",""language"":"""&amp;Catalog!N7&amp;""",""identifier"":"""&amp;Catalog!C7&amp;"""}")</f>
        <v>{"item_id":6,"title":"Rabindra Rachanabali","creator":"Rabindranath Tagore","language":"Bengali","identifier":"BK-LIT-COL-TAG-006-Vol6"}</v>
      </c>
    </row>
    <row r="12" spans="1:4" x14ac:dyDescent="0.25">
      <c r="A12" s="24">
        <f>Catalog!A8</f>
        <v>7</v>
      </c>
      <c r="B12" s="25" t="str">
        <f>Catalog!D8</f>
        <v>Rabindra Rachanabali</v>
      </c>
      <c r="C12" s="25" t="str">
        <f>Catalog!F8</f>
        <v>Rabindranath Tagore</v>
      </c>
      <c r="D12" s="32" t="str">
        <f>IF(Catalog!D8="","","{""item_id"":"&amp;Catalog!A8&amp;",""title"":"""&amp;SUBSTITUTE(Catalog!D8,"""","\""")&amp;""",""creator"":"""&amp;SUBSTITUTE(Catalog!F8,"""","\""")&amp;""",""language"":"""&amp;Catalog!N8&amp;""",""identifier"":"""&amp;Catalog!C8&amp;"""}")</f>
        <v>{"item_id":7,"title":"Rabindra Rachanabali","creator":"Rabindranath Tagore","language":"Bengali","identifier":"BK-LIT-COL-TAG-007-Vol7"}</v>
      </c>
    </row>
    <row r="13" spans="1:4" x14ac:dyDescent="0.25">
      <c r="A13" s="24">
        <f>Catalog!A9</f>
        <v>8</v>
      </c>
      <c r="B13" s="25" t="str">
        <f>Catalog!D9</f>
        <v>Rabindra Rachanabali</v>
      </c>
      <c r="C13" s="25" t="str">
        <f>Catalog!F9</f>
        <v>Rabindranath Tagore</v>
      </c>
      <c r="D13" s="32" t="str">
        <f>IF(Catalog!D9="","","{""item_id"":"&amp;Catalog!A9&amp;",""title"":"""&amp;SUBSTITUTE(Catalog!D9,"""","\""")&amp;""",""creator"":"""&amp;SUBSTITUTE(Catalog!F9,"""","\""")&amp;""",""language"":"""&amp;Catalog!N9&amp;""",""identifier"":"""&amp;Catalog!C9&amp;"""}")</f>
        <v>{"item_id":8,"title":"Rabindra Rachanabali","creator":"Rabindranath Tagore","language":"Bengali","identifier":"BK-LIT-COL-TAG-008-Vol8"}</v>
      </c>
    </row>
    <row r="14" spans="1:4" x14ac:dyDescent="0.25">
      <c r="A14" s="24">
        <f>Catalog!A10</f>
        <v>9</v>
      </c>
      <c r="B14" s="25" t="str">
        <f>Catalog!D10</f>
        <v>Rabindra Rachanabali</v>
      </c>
      <c r="C14" s="25" t="str">
        <f>Catalog!F10</f>
        <v>Rabindranath Tagore</v>
      </c>
      <c r="D14" s="32" t="str">
        <f>IF(Catalog!D10="","","{""item_id"":"&amp;Catalog!A10&amp;",""title"":"""&amp;SUBSTITUTE(Catalog!D10,"""","\""")&amp;""",""creator"":"""&amp;SUBSTITUTE(Catalog!F10,"""","\""")&amp;""",""language"":"""&amp;Catalog!N10&amp;""",""identifier"":"""&amp;Catalog!C10&amp;"""}")</f>
        <v>{"item_id":9,"title":"Rabindra Rachanabali","creator":"Rabindranath Tagore","language":"Bengali","identifier":"BK-LIT-COL-TAG-009-Vol9"}</v>
      </c>
    </row>
    <row r="15" spans="1:4" x14ac:dyDescent="0.25">
      <c r="A15" s="24">
        <f>Catalog!A11</f>
        <v>10</v>
      </c>
      <c r="B15" s="25" t="str">
        <f>Catalog!D11</f>
        <v>Rabindra Rachanabali</v>
      </c>
      <c r="C15" s="25" t="str">
        <f>Catalog!F11</f>
        <v>Rabindranath Tagore</v>
      </c>
      <c r="D15" s="32" t="str">
        <f>IF(Catalog!D11="","","{""item_id"":"&amp;Catalog!A11&amp;",""title"":"""&amp;SUBSTITUTE(Catalog!D11,"""","\""")&amp;""",""creator"":"""&amp;SUBSTITUTE(Catalog!F11,"""","\""")&amp;""",""language"":"""&amp;Catalog!N11&amp;""",""identifier"":"""&amp;Catalog!C11&amp;"""}")</f>
        <v>{"item_id":10,"title":"Rabindra Rachanabali","creator":"Rabindranath Tagore","language":"Bengali","identifier":"BK-LIT-COL-TAG-010-Vol10"}</v>
      </c>
    </row>
    <row r="16" spans="1:4" x14ac:dyDescent="0.25">
      <c r="A16" s="24">
        <f>Catalog!A12</f>
        <v>11</v>
      </c>
      <c r="B16" s="25" t="str">
        <f>Catalog!D12</f>
        <v>Rabindra Rachanabali</v>
      </c>
      <c r="C16" s="25" t="str">
        <f>Catalog!F12</f>
        <v>Rabindranath Tagore</v>
      </c>
      <c r="D16" s="32" t="str">
        <f>IF(Catalog!D12="","","{""item_id"":"&amp;Catalog!A12&amp;",""title"":"""&amp;SUBSTITUTE(Catalog!D12,"""","\""")&amp;""",""creator"":"""&amp;SUBSTITUTE(Catalog!F12,"""","\""")&amp;""",""language"":"""&amp;Catalog!N12&amp;""",""identifier"":"""&amp;Catalog!C12&amp;"""}")</f>
        <v>{"item_id":11,"title":"Rabindra Rachanabali","creator":"Rabindranath Tagore","language":"Bengali","identifier":"BK-LIT-COL-TAG-011-Vol11"}</v>
      </c>
    </row>
    <row r="17" spans="1:4" x14ac:dyDescent="0.25">
      <c r="A17" s="24">
        <f>Catalog!A13</f>
        <v>12</v>
      </c>
      <c r="B17" s="25" t="str">
        <f>Catalog!D13</f>
        <v>Rabindra Rachanabali</v>
      </c>
      <c r="C17" s="25" t="str">
        <f>Catalog!F13</f>
        <v>Rabindranath Tagore</v>
      </c>
      <c r="D17" s="32" t="str">
        <f>IF(Catalog!D13="","","{""item_id"":"&amp;Catalog!A13&amp;",""title"":"""&amp;SUBSTITUTE(Catalog!D13,"""","\""")&amp;""",""creator"":"""&amp;SUBSTITUTE(Catalog!F13,"""","\""")&amp;""",""language"":"""&amp;Catalog!N13&amp;""",""identifier"":"""&amp;Catalog!C13&amp;"""}")</f>
        <v>{"item_id":12,"title":"Rabindra Rachanabali","creator":"Rabindranath Tagore","language":"Bengali","identifier":"BK-LIT-COL-TAG-012-Vol12"}</v>
      </c>
    </row>
    <row r="18" spans="1:4" x14ac:dyDescent="0.25">
      <c r="A18" s="24">
        <f>Catalog!A14</f>
        <v>13</v>
      </c>
      <c r="B18" s="25" t="str">
        <f>Catalog!D14</f>
        <v>Rabindra Rachanabali</v>
      </c>
      <c r="C18" s="25" t="str">
        <f>Catalog!F14</f>
        <v>Rabindranath Tagore</v>
      </c>
      <c r="D18" s="32" t="str">
        <f>IF(Catalog!D14="","","{""item_id"":"&amp;Catalog!A14&amp;",""title"":"""&amp;SUBSTITUTE(Catalog!D14,"""","\""")&amp;""",""creator"":"""&amp;SUBSTITUTE(Catalog!F14,"""","\""")&amp;""",""language"":"""&amp;Catalog!N14&amp;""",""identifier"":"""&amp;Catalog!C14&amp;"""}")</f>
        <v>{"item_id":13,"title":"Rabindra Rachanabali","creator":"Rabindranath Tagore","language":"Bengali","identifier":"BK-LIT-COL-TAG-013-Vol13"}</v>
      </c>
    </row>
    <row r="19" spans="1:4" x14ac:dyDescent="0.25">
      <c r="A19" s="24">
        <f>Catalog!A15</f>
        <v>14</v>
      </c>
      <c r="B19" s="25" t="str">
        <f>Catalog!D15</f>
        <v>Rabindra Rachanabali</v>
      </c>
      <c r="C19" s="25" t="str">
        <f>Catalog!F15</f>
        <v>Rabindranath Tagore</v>
      </c>
      <c r="D19" s="32" t="str">
        <f>IF(Catalog!D15="","","{""item_id"":"&amp;Catalog!A15&amp;",""title"":"""&amp;SUBSTITUTE(Catalog!D15,"""","\""")&amp;""",""creator"":"""&amp;SUBSTITUTE(Catalog!F15,"""","\""")&amp;""",""language"":"""&amp;Catalog!N15&amp;""",""identifier"":"""&amp;Catalog!C15&amp;"""}")</f>
        <v>{"item_id":14,"title":"Rabindra Rachanabali","creator":"Rabindranath Tagore","language":"Bengali","identifier":"BK-LIT-COL-TAG-014-Vol14"}</v>
      </c>
    </row>
    <row r="20" spans="1:4" x14ac:dyDescent="0.25">
      <c r="A20" s="24">
        <f>Catalog!A16</f>
        <v>15</v>
      </c>
      <c r="B20" s="25" t="str">
        <f>Catalog!D16</f>
        <v>Rabindra Rachanabali</v>
      </c>
      <c r="C20" s="25" t="str">
        <f>Catalog!F16</f>
        <v>Rabindranath Tagore</v>
      </c>
      <c r="D20" s="32" t="str">
        <f>IF(Catalog!D16="","","{""item_id"":"&amp;Catalog!A16&amp;",""title"":"""&amp;SUBSTITUTE(Catalog!D16,"""","\""")&amp;""",""creator"":"""&amp;SUBSTITUTE(Catalog!F16,"""","\""")&amp;""",""language"":"""&amp;Catalog!N16&amp;""",""identifier"":"""&amp;Catalog!C16&amp;"""}")</f>
        <v>{"item_id":15,"title":"Rabindra Rachanabali","creator":"Rabindranath Tagore","language":"Bengali","identifier":"BK-LIT-COL-TAG-015-Vol15"}</v>
      </c>
    </row>
    <row r="21" spans="1:4" x14ac:dyDescent="0.25">
      <c r="A21" s="24">
        <f>Catalog!A17</f>
        <v>16</v>
      </c>
      <c r="B21" s="25" t="str">
        <f>Catalog!D17</f>
        <v>Rabindra Rachanabali</v>
      </c>
      <c r="C21" s="25" t="str">
        <f>Catalog!F17</f>
        <v>Rabindranath Tagore</v>
      </c>
      <c r="D21" s="32" t="str">
        <f>IF(Catalog!D17="","","{""item_id"":"&amp;Catalog!A17&amp;",""title"":"""&amp;SUBSTITUTE(Catalog!D17,"""","\""")&amp;""",""creator"":"""&amp;SUBSTITUTE(Catalog!F17,"""","\""")&amp;""",""language"":"""&amp;Catalog!N17&amp;""",""identifier"":"""&amp;Catalog!C17&amp;"""}")</f>
        <v>{"item_id":16,"title":"Rabindra Rachanabali","creator":"Rabindranath Tagore","language":"Bengali","identifier":"BK-LIT-COL-TAG-016-Vol16"}</v>
      </c>
    </row>
    <row r="22" spans="1:4" x14ac:dyDescent="0.25">
      <c r="A22" s="24">
        <f>Catalog!A18</f>
        <v>17</v>
      </c>
      <c r="B22" s="25" t="str">
        <f>Catalog!D18</f>
        <v>Rabindra Rachanabali</v>
      </c>
      <c r="C22" s="25" t="str">
        <f>Catalog!F18</f>
        <v>Rabindranath Tagore</v>
      </c>
      <c r="D22" s="32" t="str">
        <f>IF(Catalog!D18="","","{""item_id"":"&amp;Catalog!A18&amp;",""title"":"""&amp;SUBSTITUTE(Catalog!D18,"""","\""")&amp;""",""creator"":"""&amp;SUBSTITUTE(Catalog!F18,"""","\""")&amp;""",""language"":"""&amp;Catalog!N18&amp;""",""identifier"":"""&amp;Catalog!C18&amp;"""}")</f>
        <v>{"item_id":17,"title":"Rabindra Rachanabali","creator":"Rabindranath Tagore","language":"Bengali","identifier":"BK-LIT-COL-TAG-017-Vol17"}</v>
      </c>
    </row>
    <row r="23" spans="1:4" x14ac:dyDescent="0.25">
      <c r="A23" s="24">
        <f>Catalog!A19</f>
        <v>18</v>
      </c>
      <c r="B23" s="25" t="str">
        <f>Catalog!D19</f>
        <v>Rabindra Rachanabali</v>
      </c>
      <c r="C23" s="25" t="str">
        <f>Catalog!F19</f>
        <v>Rabindranath Tagore</v>
      </c>
      <c r="D23" s="32" t="str">
        <f>IF(Catalog!D19="","","{""item_id"":"&amp;Catalog!A19&amp;",""title"":"""&amp;SUBSTITUTE(Catalog!D19,"""","\""")&amp;""",""creator"":"""&amp;SUBSTITUTE(Catalog!F19,"""","\""")&amp;""",""language"":"""&amp;Catalog!N19&amp;""",""identifier"":"""&amp;Catalog!C19&amp;"""}")</f>
        <v>{"item_id":18,"title":"Rabindra Rachanabali","creator":"Rabindranath Tagore","language":"Bengali","identifier":"BK-LIT-COL-TAG-018-Vol18"}</v>
      </c>
    </row>
    <row r="24" spans="1:4" x14ac:dyDescent="0.25">
      <c r="A24" s="24">
        <f>Catalog!A20</f>
        <v>19</v>
      </c>
      <c r="B24" s="25" t="str">
        <f>Catalog!D20</f>
        <v>নীলকণ্ঠ পাখির খোঁজে</v>
      </c>
      <c r="C24" s="25" t="str">
        <f>Catalog!F20</f>
        <v>অতীন বন্দ্যোপাধ্যায়</v>
      </c>
      <c r="D24" s="32" t="str">
        <f>IF(Catalog!D20="","","{""item_id"":"&amp;Catalog!A20&amp;",""title"":"""&amp;SUBSTITUTE(Catalog!D20,"""","\""")&amp;""",""creator"":"""&amp;SUBSTITUTE(Catalog!F20,"""","\""")&amp;""",""language"":"""&amp;Catalog!N20&amp;""",""identifier"":"""&amp;Catalog!C20&amp;"""}")</f>
        <v>{"item_id":19,"title":"নীলকণ্ঠ পাখির খোঁজে","creator":"অতীন বন্দ্যোপাধ্যায়","language":"Bengali","identifier":"BK-LIT-NOV-বন্-019-Vol1"}</v>
      </c>
    </row>
    <row r="25" spans="1:4" x14ac:dyDescent="0.25">
      <c r="A25" s="24">
        <f>Catalog!A21</f>
        <v>20</v>
      </c>
      <c r="B25" s="25" t="str">
        <f>Catalog!D21</f>
        <v>Desh</v>
      </c>
      <c r="C25" s="25">
        <f>Catalog!F21</f>
        <v>0</v>
      </c>
      <c r="D25" s="32" t="str">
        <f>IF(Catalog!D21="","","{""item_id"":"&amp;Catalog!A21&amp;",""title"":"""&amp;SUBSTITUTE(Catalog!D21,"""","\""")&amp;""",""creator"":"""&amp;SUBSTITUTE(Catalog!F21,"""","\""")&amp;""",""language"":"""&amp;Catalog!N21&amp;""",""identifier"":"""&amp;Catalog!C21&amp;"""}")</f>
        <v>{"item_id":20,"title":"Desh","creator":"","language":"Bengali","identifier":"MG-LIT-OTH-NOC-020"}</v>
      </c>
    </row>
    <row r="26" spans="1:4" x14ac:dyDescent="0.25">
      <c r="A26" s="24" t="str">
        <f>Catalog!A22</f>
        <v/>
      </c>
      <c r="B26" s="25">
        <f>Catalog!D22</f>
        <v>0</v>
      </c>
      <c r="C26" s="25">
        <f>Catalog!F22</f>
        <v>0</v>
      </c>
      <c r="D26" s="32" t="str">
        <f>IF(Catalog!D22="","","{""item_id"":"&amp;Catalog!A22&amp;",""title"":"""&amp;SUBSTITUTE(Catalog!D22,"""","\""")&amp;""",""creator"":"""&amp;SUBSTITUTE(Catalog!F22,"""","\""")&amp;""",""language"":"""&amp;Catalog!N22&amp;""",""identifier"":"""&amp;Catalog!C22&amp;"""}")</f>
        <v/>
      </c>
    </row>
    <row r="27" spans="1:4" x14ac:dyDescent="0.25">
      <c r="A27" s="24" t="str">
        <f>Catalog!A23</f>
        <v/>
      </c>
      <c r="B27" s="25">
        <f>Catalog!D23</f>
        <v>0</v>
      </c>
      <c r="C27" s="25">
        <f>Catalog!F23</f>
        <v>0</v>
      </c>
      <c r="D27" s="32" t="str">
        <f>IF(Catalog!D23="","","{""item_id"":"&amp;Catalog!A23&amp;",""title"":"""&amp;SUBSTITUTE(Catalog!D23,"""","\""")&amp;""",""creator"":"""&amp;SUBSTITUTE(Catalog!F23,"""","\""")&amp;""",""language"":"""&amp;Catalog!N23&amp;""",""identifier"":"""&amp;Catalog!C23&amp;"""}")</f>
        <v/>
      </c>
    </row>
    <row r="28" spans="1:4" x14ac:dyDescent="0.25">
      <c r="A28" s="24" t="str">
        <f>Catalog!A24</f>
        <v/>
      </c>
      <c r="B28" s="25">
        <f>Catalog!D24</f>
        <v>0</v>
      </c>
      <c r="C28" s="25">
        <f>Catalog!F24</f>
        <v>0</v>
      </c>
      <c r="D28" s="32" t="str">
        <f>IF(Catalog!D24="","","{""item_id"":"&amp;Catalog!A24&amp;",""title"":"""&amp;SUBSTITUTE(Catalog!D24,"""","\""")&amp;""",""creator"":"""&amp;SUBSTITUTE(Catalog!F24,"""","\""")&amp;""",""language"":"""&amp;Catalog!N24&amp;""",""identifier"":"""&amp;Catalog!C24&amp;"""}")</f>
        <v/>
      </c>
    </row>
    <row r="29" spans="1:4" x14ac:dyDescent="0.25">
      <c r="A29" s="24" t="str">
        <f>Catalog!A25</f>
        <v/>
      </c>
      <c r="B29" s="25">
        <f>Catalog!D25</f>
        <v>0</v>
      </c>
      <c r="C29" s="25">
        <f>Catalog!F25</f>
        <v>0</v>
      </c>
      <c r="D29" s="32" t="str">
        <f>IF(Catalog!D25="","","{""item_id"":"&amp;Catalog!A25&amp;",""title"":"""&amp;SUBSTITUTE(Catalog!D25,"""","\""")&amp;""",""creator"":"""&amp;SUBSTITUTE(Catalog!F25,"""","\""")&amp;""",""language"":"""&amp;Catalog!N25&amp;""",""identifier"":"""&amp;Catalog!C25&amp;"""}")</f>
        <v/>
      </c>
    </row>
    <row r="30" spans="1:4" x14ac:dyDescent="0.25">
      <c r="A30" s="24" t="str">
        <f>Catalog!A26</f>
        <v/>
      </c>
      <c r="B30" s="25">
        <f>Catalog!D26</f>
        <v>0</v>
      </c>
      <c r="C30" s="25">
        <f>Catalog!F26</f>
        <v>0</v>
      </c>
      <c r="D30" s="32" t="str">
        <f>IF(Catalog!D26="","","{""item_id"":"&amp;Catalog!A26&amp;",""title"":"""&amp;SUBSTITUTE(Catalog!D26,"""","\""")&amp;""",""creator"":"""&amp;SUBSTITUTE(Catalog!F26,"""","\""")&amp;""",""language"":"""&amp;Catalog!N26&amp;""",""identifier"":"""&amp;Catalog!C26&amp;"""}")</f>
        <v/>
      </c>
    </row>
    <row r="31" spans="1:4" x14ac:dyDescent="0.25">
      <c r="A31" s="24" t="str">
        <f>Catalog!A27</f>
        <v/>
      </c>
      <c r="B31" s="25">
        <f>Catalog!D27</f>
        <v>0</v>
      </c>
      <c r="C31" s="25">
        <f>Catalog!F27</f>
        <v>0</v>
      </c>
      <c r="D31" s="32" t="str">
        <f>IF(Catalog!D27="","","{""item_id"":"&amp;Catalog!A27&amp;",""title"":"""&amp;SUBSTITUTE(Catalog!D27,"""","\""")&amp;""",""creator"":"""&amp;SUBSTITUTE(Catalog!F27,"""","\""")&amp;""",""language"":"""&amp;Catalog!N27&amp;""",""identifier"":"""&amp;Catalog!C27&amp;"""}")</f>
        <v/>
      </c>
    </row>
    <row r="32" spans="1:4" x14ac:dyDescent="0.25">
      <c r="A32" s="24" t="str">
        <f>Catalog!A28</f>
        <v/>
      </c>
      <c r="B32" s="25">
        <f>Catalog!D28</f>
        <v>0</v>
      </c>
      <c r="C32" s="25">
        <f>Catalog!F28</f>
        <v>0</v>
      </c>
      <c r="D32" s="32" t="str">
        <f>IF(Catalog!D28="","","{""item_id"":"&amp;Catalog!A28&amp;",""title"":"""&amp;SUBSTITUTE(Catalog!D28,"""","\""")&amp;""",""creator"":"""&amp;SUBSTITUTE(Catalog!F28,"""","\""")&amp;""",""language"":"""&amp;Catalog!N28&amp;""",""identifier"":"""&amp;Catalog!C28&amp;"""}")</f>
        <v/>
      </c>
    </row>
    <row r="33" spans="1:4" x14ac:dyDescent="0.25">
      <c r="A33" s="24" t="str">
        <f>Catalog!A29</f>
        <v/>
      </c>
      <c r="B33" s="25">
        <f>Catalog!D29</f>
        <v>0</v>
      </c>
      <c r="C33" s="25">
        <f>Catalog!F29</f>
        <v>0</v>
      </c>
      <c r="D33" s="32" t="str">
        <f>IF(Catalog!D29="","","{""item_id"":"&amp;Catalog!A29&amp;",""title"":"""&amp;SUBSTITUTE(Catalog!D29,"""","\""")&amp;""",""creator"":"""&amp;SUBSTITUTE(Catalog!F29,"""","\""")&amp;""",""language"":"""&amp;Catalog!N29&amp;""",""identifier"":"""&amp;Catalog!C29&amp;"""}")</f>
        <v/>
      </c>
    </row>
    <row r="34" spans="1:4" x14ac:dyDescent="0.25">
      <c r="A34" s="24" t="str">
        <f>Catalog!A30</f>
        <v/>
      </c>
      <c r="B34" s="25">
        <f>Catalog!D30</f>
        <v>0</v>
      </c>
      <c r="C34" s="25">
        <f>Catalog!F30</f>
        <v>0</v>
      </c>
      <c r="D34" s="32" t="str">
        <f>IF(Catalog!D30="","","{""item_id"":"&amp;Catalog!A30&amp;",""title"":"""&amp;SUBSTITUTE(Catalog!D30,"""","\""")&amp;""",""creator"":"""&amp;SUBSTITUTE(Catalog!F30,"""","\""")&amp;""",""language"":"""&amp;Catalog!N30&amp;""",""identifier"":"""&amp;Catalog!C30&amp;"""}")</f>
        <v/>
      </c>
    </row>
    <row r="35" spans="1:4" x14ac:dyDescent="0.25">
      <c r="A35" s="24" t="str">
        <f>Catalog!A31</f>
        <v/>
      </c>
      <c r="B35" s="25">
        <f>Catalog!D31</f>
        <v>0</v>
      </c>
      <c r="C35" s="25">
        <f>Catalog!F31</f>
        <v>0</v>
      </c>
      <c r="D35" s="32" t="str">
        <f>IF(Catalog!D31="","","{""item_id"":"&amp;Catalog!A31&amp;",""title"":"""&amp;SUBSTITUTE(Catalog!D31,"""","\""")&amp;""",""creator"":"""&amp;SUBSTITUTE(Catalog!F31,"""","\""")&amp;""",""language"":"""&amp;Catalog!N31&amp;""",""identifier"":"""&amp;Catalog!C31&amp;"""}")</f>
        <v/>
      </c>
    </row>
    <row r="36" spans="1:4" x14ac:dyDescent="0.25">
      <c r="A36" s="24" t="str">
        <f>Catalog!A32</f>
        <v/>
      </c>
      <c r="B36" s="25">
        <f>Catalog!D32</f>
        <v>0</v>
      </c>
      <c r="C36" s="25">
        <f>Catalog!F32</f>
        <v>0</v>
      </c>
      <c r="D36" s="32" t="str">
        <f>IF(Catalog!D32="","","{""item_id"":"&amp;Catalog!A32&amp;",""title"":"""&amp;SUBSTITUTE(Catalog!D32,"""","\""")&amp;""",""creator"":"""&amp;SUBSTITUTE(Catalog!F32,"""","\""")&amp;""",""language"":"""&amp;Catalog!N32&amp;""",""identifier"":"""&amp;Catalog!C32&amp;"""}")</f>
        <v/>
      </c>
    </row>
    <row r="37" spans="1:4" x14ac:dyDescent="0.25">
      <c r="A37" s="24" t="str">
        <f>Catalog!A33</f>
        <v/>
      </c>
      <c r="B37" s="25">
        <f>Catalog!D33</f>
        <v>0</v>
      </c>
      <c r="C37" s="25">
        <f>Catalog!F33</f>
        <v>0</v>
      </c>
      <c r="D37" s="32" t="str">
        <f>IF(Catalog!D33="","","{""item_id"":"&amp;Catalog!A33&amp;",""title"":"""&amp;SUBSTITUTE(Catalog!D33,"""","\""")&amp;""",""creator"":"""&amp;SUBSTITUTE(Catalog!F33,"""","\""")&amp;""",""language"":"""&amp;Catalog!N33&amp;""",""identifier"":"""&amp;Catalog!C33&amp;"""}")</f>
        <v/>
      </c>
    </row>
    <row r="38" spans="1:4" x14ac:dyDescent="0.25">
      <c r="A38" s="24" t="str">
        <f>Catalog!A34</f>
        <v/>
      </c>
      <c r="B38" s="25">
        <f>Catalog!D34</f>
        <v>0</v>
      </c>
      <c r="C38" s="25">
        <f>Catalog!F34</f>
        <v>0</v>
      </c>
      <c r="D38" s="32" t="str">
        <f>IF(Catalog!D34="","","{""item_id"":"&amp;Catalog!A34&amp;",""title"":"""&amp;SUBSTITUTE(Catalog!D34,"""","\""")&amp;""",""creator"":"""&amp;SUBSTITUTE(Catalog!F34,"""","\""")&amp;""",""language"":"""&amp;Catalog!N34&amp;""",""identifier"":"""&amp;Catalog!C34&amp;"""}")</f>
        <v/>
      </c>
    </row>
    <row r="39" spans="1:4" x14ac:dyDescent="0.25">
      <c r="A39" s="24" t="str">
        <f>Catalog!A35</f>
        <v/>
      </c>
      <c r="B39" s="25">
        <f>Catalog!D35</f>
        <v>0</v>
      </c>
      <c r="C39" s="25">
        <f>Catalog!F35</f>
        <v>0</v>
      </c>
      <c r="D39" s="32" t="str">
        <f>IF(Catalog!D35="","","{""item_id"":"&amp;Catalog!A35&amp;",""title"":"""&amp;SUBSTITUTE(Catalog!D35,"""","\""")&amp;""",""creator"":"""&amp;SUBSTITUTE(Catalog!F35,"""","\""")&amp;""",""language"":"""&amp;Catalog!N35&amp;""",""identifier"":"""&amp;Catalog!C35&amp;"""}")</f>
        <v/>
      </c>
    </row>
    <row r="40" spans="1:4" x14ac:dyDescent="0.25">
      <c r="A40" s="24" t="str">
        <f>Catalog!A36</f>
        <v/>
      </c>
      <c r="B40" s="25">
        <f>Catalog!D36</f>
        <v>0</v>
      </c>
      <c r="C40" s="25">
        <f>Catalog!F36</f>
        <v>0</v>
      </c>
      <c r="D40" s="32" t="str">
        <f>IF(Catalog!D36="","","{""item_id"":"&amp;Catalog!A36&amp;",""title"":"""&amp;SUBSTITUTE(Catalog!D36,"""","\""")&amp;""",""creator"":"""&amp;SUBSTITUTE(Catalog!F36,"""","\""")&amp;""",""language"":"""&amp;Catalog!N36&amp;""",""identifier"":"""&amp;Catalog!C36&amp;"""}")</f>
        <v/>
      </c>
    </row>
    <row r="41" spans="1:4" x14ac:dyDescent="0.25">
      <c r="A41" s="24" t="str">
        <f>Catalog!A37</f>
        <v/>
      </c>
      <c r="B41" s="25">
        <f>Catalog!D37</f>
        <v>0</v>
      </c>
      <c r="C41" s="25">
        <f>Catalog!F37</f>
        <v>0</v>
      </c>
      <c r="D41" s="32" t="str">
        <f>IF(Catalog!D37="","","{""item_id"":"&amp;Catalog!A37&amp;",""title"":"""&amp;SUBSTITUTE(Catalog!D37,"""","\""")&amp;""",""creator"":"""&amp;SUBSTITUTE(Catalog!F37,"""","\""")&amp;""",""language"":"""&amp;Catalog!N37&amp;""",""identifier"":"""&amp;Catalog!C37&amp;"""}")</f>
        <v/>
      </c>
    </row>
    <row r="42" spans="1:4" x14ac:dyDescent="0.25">
      <c r="A42" s="24" t="str">
        <f>Catalog!A38</f>
        <v/>
      </c>
      <c r="B42" s="25">
        <f>Catalog!D38</f>
        <v>0</v>
      </c>
      <c r="C42" s="25">
        <f>Catalog!F38</f>
        <v>0</v>
      </c>
      <c r="D42" s="32" t="str">
        <f>IF(Catalog!D38="","","{""item_id"":"&amp;Catalog!A38&amp;",""title"":"""&amp;SUBSTITUTE(Catalog!D38,"""","\""")&amp;""",""creator"":"""&amp;SUBSTITUTE(Catalog!F38,"""","\""")&amp;""",""language"":"""&amp;Catalog!N38&amp;""",""identifier"":"""&amp;Catalog!C38&amp;"""}")</f>
        <v/>
      </c>
    </row>
    <row r="43" spans="1:4" x14ac:dyDescent="0.25">
      <c r="A43" s="24" t="str">
        <f>Catalog!A39</f>
        <v/>
      </c>
      <c r="B43" s="25">
        <f>Catalog!D39</f>
        <v>0</v>
      </c>
      <c r="C43" s="25">
        <f>Catalog!F39</f>
        <v>0</v>
      </c>
      <c r="D43" s="32" t="str">
        <f>IF(Catalog!D39="","","{""item_id"":"&amp;Catalog!A39&amp;",""title"":"""&amp;SUBSTITUTE(Catalog!D39,"""","\""")&amp;""",""creator"":"""&amp;SUBSTITUTE(Catalog!F39,"""","\""")&amp;""",""language"":"""&amp;Catalog!N39&amp;""",""identifier"":"""&amp;Catalog!C39&amp;"""}")</f>
        <v/>
      </c>
    </row>
    <row r="44" spans="1:4" x14ac:dyDescent="0.25">
      <c r="A44" s="24" t="str">
        <f>Catalog!A40</f>
        <v/>
      </c>
      <c r="B44" s="25">
        <f>Catalog!D40</f>
        <v>0</v>
      </c>
      <c r="C44" s="25">
        <f>Catalog!F40</f>
        <v>0</v>
      </c>
      <c r="D44" s="32" t="str">
        <f>IF(Catalog!D40="","","{""item_id"":"&amp;Catalog!A40&amp;",""title"":"""&amp;SUBSTITUTE(Catalog!D40,"""","\""")&amp;""",""creator"":"""&amp;SUBSTITUTE(Catalog!F40,"""","\""")&amp;""",""language"":"""&amp;Catalog!N40&amp;""",""identifier"":"""&amp;Catalog!C40&amp;"""}")</f>
        <v/>
      </c>
    </row>
    <row r="45" spans="1:4" x14ac:dyDescent="0.25">
      <c r="A45" s="24" t="str">
        <f>Catalog!A41</f>
        <v/>
      </c>
      <c r="B45" s="25">
        <f>Catalog!D41</f>
        <v>0</v>
      </c>
      <c r="C45" s="25">
        <f>Catalog!F41</f>
        <v>0</v>
      </c>
      <c r="D45" s="32" t="str">
        <f>IF(Catalog!D41="","","{""item_id"":"&amp;Catalog!A41&amp;",""title"":"""&amp;SUBSTITUTE(Catalog!D41,"""","\""")&amp;""",""creator"":"""&amp;SUBSTITUTE(Catalog!F41,"""","\""")&amp;""",""language"":"""&amp;Catalog!N41&amp;""",""identifier"":"""&amp;Catalog!C41&amp;"""}")</f>
        <v/>
      </c>
    </row>
    <row r="46" spans="1:4" x14ac:dyDescent="0.25">
      <c r="A46" s="24" t="str">
        <f>Catalog!A42</f>
        <v/>
      </c>
      <c r="B46" s="25">
        <f>Catalog!D42</f>
        <v>0</v>
      </c>
      <c r="C46" s="25">
        <f>Catalog!F42</f>
        <v>0</v>
      </c>
      <c r="D46" s="32" t="str">
        <f>IF(Catalog!D42="","","{""item_id"":"&amp;Catalog!A42&amp;",""title"":"""&amp;SUBSTITUTE(Catalog!D42,"""","\""")&amp;""",""creator"":"""&amp;SUBSTITUTE(Catalog!F42,"""","\""")&amp;""",""language"":"""&amp;Catalog!N42&amp;""",""identifier"":"""&amp;Catalog!C42&amp;"""}")</f>
        <v/>
      </c>
    </row>
    <row r="47" spans="1:4" x14ac:dyDescent="0.25">
      <c r="A47" s="24" t="str">
        <f>Catalog!A43</f>
        <v/>
      </c>
      <c r="B47" s="25">
        <f>Catalog!D43</f>
        <v>0</v>
      </c>
      <c r="C47" s="25">
        <f>Catalog!F43</f>
        <v>0</v>
      </c>
      <c r="D47" s="32" t="str">
        <f>IF(Catalog!D43="","","{""item_id"":"&amp;Catalog!A43&amp;",""title"":"""&amp;SUBSTITUTE(Catalog!D43,"""","\""")&amp;""",""creator"":"""&amp;SUBSTITUTE(Catalog!F43,"""","\""")&amp;""",""language"":"""&amp;Catalog!N43&amp;""",""identifier"":"""&amp;Catalog!C43&amp;"""}")</f>
        <v/>
      </c>
    </row>
    <row r="48" spans="1:4" x14ac:dyDescent="0.25">
      <c r="A48" s="24" t="str">
        <f>Catalog!A44</f>
        <v/>
      </c>
      <c r="B48" s="25">
        <f>Catalog!D44</f>
        <v>0</v>
      </c>
      <c r="C48" s="25">
        <f>Catalog!F44</f>
        <v>0</v>
      </c>
      <c r="D48" s="32" t="str">
        <f>IF(Catalog!D44="","","{""item_id"":"&amp;Catalog!A44&amp;",""title"":"""&amp;SUBSTITUTE(Catalog!D44,"""","\""")&amp;""",""creator"":"""&amp;SUBSTITUTE(Catalog!F44,"""","\""")&amp;""",""language"":"""&amp;Catalog!N44&amp;""",""identifier"":"""&amp;Catalog!C44&amp;"""}")</f>
        <v/>
      </c>
    </row>
    <row r="49" spans="1:4" x14ac:dyDescent="0.25">
      <c r="A49" s="24" t="str">
        <f>Catalog!A45</f>
        <v/>
      </c>
      <c r="B49" s="25">
        <f>Catalog!D45</f>
        <v>0</v>
      </c>
      <c r="C49" s="25">
        <f>Catalog!F45</f>
        <v>0</v>
      </c>
      <c r="D49" s="32" t="str">
        <f>IF(Catalog!D45="","","{""item_id"":"&amp;Catalog!A45&amp;",""title"":"""&amp;SUBSTITUTE(Catalog!D45,"""","\""")&amp;""",""creator"":"""&amp;SUBSTITUTE(Catalog!F45,"""","\""")&amp;""",""language"":"""&amp;Catalog!N45&amp;""",""identifier"":"""&amp;Catalog!C45&amp;"""}")</f>
        <v/>
      </c>
    </row>
    <row r="50" spans="1:4" x14ac:dyDescent="0.25">
      <c r="A50" s="24" t="str">
        <f>Catalog!A46</f>
        <v/>
      </c>
      <c r="B50" s="25">
        <f>Catalog!D46</f>
        <v>0</v>
      </c>
      <c r="C50" s="25">
        <f>Catalog!F46</f>
        <v>0</v>
      </c>
      <c r="D50" s="32" t="str">
        <f>IF(Catalog!D46="","","{""item_id"":"&amp;Catalog!A46&amp;",""title"":"""&amp;SUBSTITUTE(Catalog!D46,"""","\""")&amp;""",""creator"":"""&amp;SUBSTITUTE(Catalog!F46,"""","\""")&amp;""",""language"":"""&amp;Catalog!N46&amp;""",""identifier"":"""&amp;Catalog!C46&amp;"""}")</f>
        <v/>
      </c>
    </row>
    <row r="51" spans="1:4" x14ac:dyDescent="0.25">
      <c r="A51" s="24" t="str">
        <f>Catalog!A47</f>
        <v/>
      </c>
      <c r="B51" s="25">
        <f>Catalog!D47</f>
        <v>0</v>
      </c>
      <c r="C51" s="25">
        <f>Catalog!F47</f>
        <v>0</v>
      </c>
      <c r="D51" s="32" t="str">
        <f>IF(Catalog!D47="","","{""item_id"":"&amp;Catalog!A47&amp;",""title"":"""&amp;SUBSTITUTE(Catalog!D47,"""","\""")&amp;""",""creator"":"""&amp;SUBSTITUTE(Catalog!F47,"""","\""")&amp;""",""language"":"""&amp;Catalog!N47&amp;""",""identifier"":"""&amp;Catalog!C47&amp;"""}")</f>
        <v/>
      </c>
    </row>
    <row r="52" spans="1:4" x14ac:dyDescent="0.25">
      <c r="A52" s="24" t="str">
        <f>Catalog!A48</f>
        <v/>
      </c>
      <c r="B52" s="25">
        <f>Catalog!D48</f>
        <v>0</v>
      </c>
      <c r="C52" s="25">
        <f>Catalog!F48</f>
        <v>0</v>
      </c>
      <c r="D52" s="32" t="str">
        <f>IF(Catalog!D48="","","{""item_id"":"&amp;Catalog!A48&amp;",""title"":"""&amp;SUBSTITUTE(Catalog!D48,"""","\""")&amp;""",""creator"":"""&amp;SUBSTITUTE(Catalog!F48,"""","\""")&amp;""",""language"":"""&amp;Catalog!N48&amp;""",""identifier"":"""&amp;Catalog!C48&amp;"""}")</f>
        <v/>
      </c>
    </row>
    <row r="53" spans="1:4" x14ac:dyDescent="0.25">
      <c r="A53" s="24" t="str">
        <f>Catalog!A49</f>
        <v/>
      </c>
      <c r="B53" s="25">
        <f>Catalog!D49</f>
        <v>0</v>
      </c>
      <c r="C53" s="25">
        <f>Catalog!F49</f>
        <v>0</v>
      </c>
      <c r="D53" s="32" t="str">
        <f>IF(Catalog!D49="","","{""item_id"":"&amp;Catalog!A49&amp;",""title"":"""&amp;SUBSTITUTE(Catalog!D49,"""","\""")&amp;""",""creator"":"""&amp;SUBSTITUTE(Catalog!F49,"""","\""")&amp;""",""language"":"""&amp;Catalog!N49&amp;""",""identifier"":"""&amp;Catalog!C49&amp;"""}")</f>
        <v/>
      </c>
    </row>
    <row r="54" spans="1:4" x14ac:dyDescent="0.25">
      <c r="A54" s="24" t="str">
        <f>Catalog!A50</f>
        <v/>
      </c>
      <c r="B54" s="25">
        <f>Catalog!D50</f>
        <v>0</v>
      </c>
      <c r="C54" s="25">
        <f>Catalog!F50</f>
        <v>0</v>
      </c>
      <c r="D54" s="32" t="str">
        <f>IF(Catalog!D50="","","{""item_id"":"&amp;Catalog!A50&amp;",""title"":"""&amp;SUBSTITUTE(Catalog!D50,"""","\""")&amp;""",""creator"":"""&amp;SUBSTITUTE(Catalog!F50,"""","\""")&amp;""",""language"":"""&amp;Catalog!N50&amp;""",""identifier"":"""&amp;Catalog!C50&amp;"""}")</f>
        <v/>
      </c>
    </row>
    <row r="55" spans="1:4" x14ac:dyDescent="0.25">
      <c r="A55" s="24" t="str">
        <f>Catalog!A51</f>
        <v/>
      </c>
      <c r="B55" s="25">
        <f>Catalog!D51</f>
        <v>0</v>
      </c>
      <c r="C55" s="25">
        <f>Catalog!F51</f>
        <v>0</v>
      </c>
      <c r="D55" s="32" t="str">
        <f>IF(Catalog!D51="","","{""item_id"":"&amp;Catalog!A51&amp;",""title"":"""&amp;SUBSTITUTE(Catalog!D51,"""","\""")&amp;""",""creator"":"""&amp;SUBSTITUTE(Catalog!F51,"""","\""")&amp;""",""language"":"""&amp;Catalog!N51&amp;""",""identifier"":"""&amp;Catalog!C51&amp;"""}")</f>
        <v/>
      </c>
    </row>
    <row r="56" spans="1:4" x14ac:dyDescent="0.25">
      <c r="A56" s="24" t="str">
        <f>Catalog!A52</f>
        <v/>
      </c>
      <c r="B56" s="25">
        <f>Catalog!D52</f>
        <v>0</v>
      </c>
      <c r="C56" s="25">
        <f>Catalog!F52</f>
        <v>0</v>
      </c>
      <c r="D56" s="32" t="str">
        <f>IF(Catalog!D52="","","{""item_id"":"&amp;Catalog!A52&amp;",""title"":"""&amp;SUBSTITUTE(Catalog!D52,"""","\""")&amp;""",""creator"":"""&amp;SUBSTITUTE(Catalog!F52,"""","\""")&amp;""",""language"":"""&amp;Catalog!N52&amp;""",""identifier"":"""&amp;Catalog!C52&amp;"""}")</f>
        <v/>
      </c>
    </row>
    <row r="57" spans="1:4" x14ac:dyDescent="0.25">
      <c r="A57" s="24" t="str">
        <f>Catalog!A53</f>
        <v/>
      </c>
      <c r="B57" s="25">
        <f>Catalog!D53</f>
        <v>0</v>
      </c>
      <c r="C57" s="25">
        <f>Catalog!F53</f>
        <v>0</v>
      </c>
      <c r="D57" s="32" t="str">
        <f>IF(Catalog!D53="","","{""item_id"":"&amp;Catalog!A53&amp;",""title"":"""&amp;SUBSTITUTE(Catalog!D53,"""","\""")&amp;""",""creator"":"""&amp;SUBSTITUTE(Catalog!F53,"""","\""")&amp;""",""language"":"""&amp;Catalog!N53&amp;""",""identifier"":"""&amp;Catalog!C53&amp;"""}")</f>
        <v/>
      </c>
    </row>
    <row r="58" spans="1:4" x14ac:dyDescent="0.25">
      <c r="A58" s="24" t="str">
        <f>Catalog!A54</f>
        <v/>
      </c>
      <c r="B58" s="25">
        <f>Catalog!D54</f>
        <v>0</v>
      </c>
      <c r="C58" s="25">
        <f>Catalog!F54</f>
        <v>0</v>
      </c>
      <c r="D58" s="32" t="str">
        <f>IF(Catalog!D54="","","{""item_id"":"&amp;Catalog!A54&amp;",""title"":"""&amp;SUBSTITUTE(Catalog!D54,"""","\""")&amp;""",""creator"":"""&amp;SUBSTITUTE(Catalog!F54,"""","\""")&amp;""",""language"":"""&amp;Catalog!N54&amp;""",""identifier"":"""&amp;Catalog!C54&amp;"""}")</f>
        <v/>
      </c>
    </row>
    <row r="59" spans="1:4" x14ac:dyDescent="0.25">
      <c r="A59" s="24" t="str">
        <f>Catalog!A55</f>
        <v/>
      </c>
      <c r="B59" s="25">
        <f>Catalog!D55</f>
        <v>0</v>
      </c>
      <c r="C59" s="25">
        <f>Catalog!F55</f>
        <v>0</v>
      </c>
      <c r="D59" s="32" t="str">
        <f>IF(Catalog!D55="","","{""item_id"":"&amp;Catalog!A55&amp;",""title"":"""&amp;SUBSTITUTE(Catalog!D55,"""","\""")&amp;""",""creator"":"""&amp;SUBSTITUTE(Catalog!F55,"""","\""")&amp;""",""language"":"""&amp;Catalog!N55&amp;""",""identifier"":"""&amp;Catalog!C55&amp;"""}")</f>
        <v/>
      </c>
    </row>
    <row r="60" spans="1:4" x14ac:dyDescent="0.25">
      <c r="A60" s="24" t="str">
        <f>Catalog!A56</f>
        <v/>
      </c>
      <c r="B60" s="25">
        <f>Catalog!D56</f>
        <v>0</v>
      </c>
      <c r="C60" s="25">
        <f>Catalog!F56</f>
        <v>0</v>
      </c>
      <c r="D60" s="32" t="str">
        <f>IF(Catalog!D56="","","{""item_id"":"&amp;Catalog!A56&amp;",""title"":"""&amp;SUBSTITUTE(Catalog!D56,"""","\""")&amp;""",""creator"":"""&amp;SUBSTITUTE(Catalog!F56,"""","\""")&amp;""",""language"":"""&amp;Catalog!N56&amp;""",""identifier"":"""&amp;Catalog!C56&amp;"""}")</f>
        <v/>
      </c>
    </row>
    <row r="61" spans="1:4" x14ac:dyDescent="0.25">
      <c r="A61" s="24" t="str">
        <f>Catalog!A57</f>
        <v/>
      </c>
      <c r="B61" s="25">
        <f>Catalog!D57</f>
        <v>0</v>
      </c>
      <c r="C61" s="25">
        <f>Catalog!F57</f>
        <v>0</v>
      </c>
      <c r="D61" s="32" t="str">
        <f>IF(Catalog!D57="","","{""item_id"":"&amp;Catalog!A57&amp;",""title"":"""&amp;SUBSTITUTE(Catalog!D57,"""","\""")&amp;""",""creator"":"""&amp;SUBSTITUTE(Catalog!F57,"""","\""")&amp;""",""language"":"""&amp;Catalog!N57&amp;""",""identifier"":"""&amp;Catalog!C57&amp;"""}")</f>
        <v/>
      </c>
    </row>
    <row r="62" spans="1:4" x14ac:dyDescent="0.25">
      <c r="A62" s="24" t="str">
        <f>Catalog!A58</f>
        <v/>
      </c>
      <c r="B62" s="25">
        <f>Catalog!D58</f>
        <v>0</v>
      </c>
      <c r="C62" s="25">
        <f>Catalog!F58</f>
        <v>0</v>
      </c>
      <c r="D62" s="32" t="str">
        <f>IF(Catalog!D58="","","{""item_id"":"&amp;Catalog!A58&amp;",""title"":"""&amp;SUBSTITUTE(Catalog!D58,"""","\""")&amp;""",""creator"":"""&amp;SUBSTITUTE(Catalog!F58,"""","\""")&amp;""",""language"":"""&amp;Catalog!N58&amp;""",""identifier"":"""&amp;Catalog!C58&amp;"""}")</f>
        <v/>
      </c>
    </row>
    <row r="63" spans="1:4" x14ac:dyDescent="0.25">
      <c r="A63" s="24" t="str">
        <f>Catalog!A59</f>
        <v/>
      </c>
      <c r="B63" s="25">
        <f>Catalog!D59</f>
        <v>0</v>
      </c>
      <c r="C63" s="25">
        <f>Catalog!F59</f>
        <v>0</v>
      </c>
      <c r="D63" s="32" t="str">
        <f>IF(Catalog!D59="","","{""item_id"":"&amp;Catalog!A59&amp;",""title"":"""&amp;SUBSTITUTE(Catalog!D59,"""","\""")&amp;""",""creator"":"""&amp;SUBSTITUTE(Catalog!F59,"""","\""")&amp;""",""language"":"""&amp;Catalog!N59&amp;""",""identifier"":"""&amp;Catalog!C59&amp;"""}")</f>
        <v/>
      </c>
    </row>
    <row r="64" spans="1:4" x14ac:dyDescent="0.25">
      <c r="A64" s="24" t="str">
        <f>Catalog!A60</f>
        <v/>
      </c>
      <c r="B64" s="25">
        <f>Catalog!D60</f>
        <v>0</v>
      </c>
      <c r="C64" s="25">
        <f>Catalog!F60</f>
        <v>0</v>
      </c>
      <c r="D64" s="32" t="str">
        <f>IF(Catalog!D60="","","{""item_id"":"&amp;Catalog!A60&amp;",""title"":"""&amp;SUBSTITUTE(Catalog!D60,"""","\""")&amp;""",""creator"":"""&amp;SUBSTITUTE(Catalog!F60,"""","\""")&amp;""",""language"":"""&amp;Catalog!N60&amp;""",""identifier"":"""&amp;Catalog!C60&amp;"""}")</f>
        <v/>
      </c>
    </row>
    <row r="65" spans="1:4" x14ac:dyDescent="0.25">
      <c r="A65" s="24" t="str">
        <f>Catalog!A61</f>
        <v/>
      </c>
      <c r="B65" s="25">
        <f>Catalog!D61</f>
        <v>0</v>
      </c>
      <c r="C65" s="25">
        <f>Catalog!F61</f>
        <v>0</v>
      </c>
      <c r="D65" s="32" t="str">
        <f>IF(Catalog!D61="","","{""item_id"":"&amp;Catalog!A61&amp;",""title"":"""&amp;SUBSTITUTE(Catalog!D61,"""","\""")&amp;""",""creator"":"""&amp;SUBSTITUTE(Catalog!F61,"""","\""")&amp;""",""language"":"""&amp;Catalog!N61&amp;""",""identifier"":"""&amp;Catalog!C61&amp;"""}")</f>
        <v/>
      </c>
    </row>
    <row r="66" spans="1:4" x14ac:dyDescent="0.25">
      <c r="A66" s="24" t="str">
        <f>Catalog!A62</f>
        <v/>
      </c>
      <c r="B66" s="25">
        <f>Catalog!D62</f>
        <v>0</v>
      </c>
      <c r="C66" s="25">
        <f>Catalog!F62</f>
        <v>0</v>
      </c>
      <c r="D66" s="32" t="str">
        <f>IF(Catalog!D62="","","{""item_id"":"&amp;Catalog!A62&amp;",""title"":"""&amp;SUBSTITUTE(Catalog!D62,"""","\""")&amp;""",""creator"":"""&amp;SUBSTITUTE(Catalog!F62,"""","\""")&amp;""",""language"":"""&amp;Catalog!N62&amp;""",""identifier"":"""&amp;Catalog!C62&amp;"""}")</f>
        <v/>
      </c>
    </row>
    <row r="67" spans="1:4" x14ac:dyDescent="0.25">
      <c r="A67" s="24" t="str">
        <f>Catalog!A63</f>
        <v/>
      </c>
      <c r="B67" s="25">
        <f>Catalog!D63</f>
        <v>0</v>
      </c>
      <c r="C67" s="25">
        <f>Catalog!F63</f>
        <v>0</v>
      </c>
      <c r="D67" s="32" t="str">
        <f>IF(Catalog!D63="","","{""item_id"":"&amp;Catalog!A63&amp;",""title"":"""&amp;SUBSTITUTE(Catalog!D63,"""","\""")&amp;""",""creator"":"""&amp;SUBSTITUTE(Catalog!F63,"""","\""")&amp;""",""language"":"""&amp;Catalog!N63&amp;""",""identifier"":"""&amp;Catalog!C63&amp;"""}")</f>
        <v/>
      </c>
    </row>
    <row r="68" spans="1:4" x14ac:dyDescent="0.25">
      <c r="A68" s="24" t="str">
        <f>Catalog!A64</f>
        <v/>
      </c>
      <c r="B68" s="25">
        <f>Catalog!D64</f>
        <v>0</v>
      </c>
      <c r="C68" s="25">
        <f>Catalog!F64</f>
        <v>0</v>
      </c>
      <c r="D68" s="32" t="str">
        <f>IF(Catalog!D64="","","{""item_id"":"&amp;Catalog!A64&amp;",""title"":"""&amp;SUBSTITUTE(Catalog!D64,"""","\""")&amp;""",""creator"":"""&amp;SUBSTITUTE(Catalog!F64,"""","\""")&amp;""",""language"":"""&amp;Catalog!N64&amp;""",""identifier"":"""&amp;Catalog!C64&amp;"""}")</f>
        <v/>
      </c>
    </row>
    <row r="69" spans="1:4" x14ac:dyDescent="0.25">
      <c r="A69" s="24" t="str">
        <f>Catalog!A65</f>
        <v/>
      </c>
      <c r="B69" s="25">
        <f>Catalog!D65</f>
        <v>0</v>
      </c>
      <c r="C69" s="25">
        <f>Catalog!F65</f>
        <v>0</v>
      </c>
      <c r="D69" s="32" t="str">
        <f>IF(Catalog!D65="","","{""item_id"":"&amp;Catalog!A65&amp;",""title"":"""&amp;SUBSTITUTE(Catalog!D65,"""","\""")&amp;""",""creator"":"""&amp;SUBSTITUTE(Catalog!F65,"""","\""")&amp;""",""language"":"""&amp;Catalog!N65&amp;""",""identifier"":"""&amp;Catalog!C65&amp;"""}")</f>
        <v/>
      </c>
    </row>
    <row r="70" spans="1:4" x14ac:dyDescent="0.25">
      <c r="A70" s="24" t="str">
        <f>Catalog!A66</f>
        <v/>
      </c>
      <c r="B70" s="25">
        <f>Catalog!D66</f>
        <v>0</v>
      </c>
      <c r="C70" s="25">
        <f>Catalog!F66</f>
        <v>0</v>
      </c>
      <c r="D70" s="32" t="str">
        <f>IF(Catalog!D66="","","{""item_id"":"&amp;Catalog!A66&amp;",""title"":"""&amp;SUBSTITUTE(Catalog!D66,"""","\""")&amp;""",""creator"":"""&amp;SUBSTITUTE(Catalog!F66,"""","\""")&amp;""",""language"":"""&amp;Catalog!N66&amp;""",""identifier"":"""&amp;Catalog!C66&amp;"""}")</f>
        <v/>
      </c>
    </row>
    <row r="71" spans="1:4" x14ac:dyDescent="0.25">
      <c r="A71" s="24" t="str">
        <f>Catalog!A67</f>
        <v/>
      </c>
      <c r="B71" s="25">
        <f>Catalog!D67</f>
        <v>0</v>
      </c>
      <c r="C71" s="25">
        <f>Catalog!F67</f>
        <v>0</v>
      </c>
      <c r="D71" s="32" t="str">
        <f>IF(Catalog!D67="","","{""item_id"":"&amp;Catalog!A67&amp;",""title"":"""&amp;SUBSTITUTE(Catalog!D67,"""","\""")&amp;""",""creator"":"""&amp;SUBSTITUTE(Catalog!F67,"""","\""")&amp;""",""language"":"""&amp;Catalog!N67&amp;""",""identifier"":"""&amp;Catalog!C67&amp;"""}")</f>
        <v/>
      </c>
    </row>
    <row r="72" spans="1:4" x14ac:dyDescent="0.25">
      <c r="A72" s="24" t="str">
        <f>Catalog!A68</f>
        <v/>
      </c>
      <c r="B72" s="25">
        <f>Catalog!D68</f>
        <v>0</v>
      </c>
      <c r="C72" s="25">
        <f>Catalog!F68</f>
        <v>0</v>
      </c>
      <c r="D72" s="32" t="str">
        <f>IF(Catalog!D68="","","{""item_id"":"&amp;Catalog!A68&amp;",""title"":"""&amp;SUBSTITUTE(Catalog!D68,"""","\""")&amp;""",""creator"":"""&amp;SUBSTITUTE(Catalog!F68,"""","\""")&amp;""",""language"":"""&amp;Catalog!N68&amp;""",""identifier"":"""&amp;Catalog!C68&amp;"""}")</f>
        <v/>
      </c>
    </row>
    <row r="73" spans="1:4" x14ac:dyDescent="0.25">
      <c r="A73" s="24" t="str">
        <f>Catalog!A69</f>
        <v/>
      </c>
      <c r="B73" s="25">
        <f>Catalog!D69</f>
        <v>0</v>
      </c>
      <c r="C73" s="25">
        <f>Catalog!F69</f>
        <v>0</v>
      </c>
      <c r="D73" s="32" t="str">
        <f>IF(Catalog!D69="","","{""item_id"":"&amp;Catalog!A69&amp;",""title"":"""&amp;SUBSTITUTE(Catalog!D69,"""","\""")&amp;""",""creator"":"""&amp;SUBSTITUTE(Catalog!F69,"""","\""")&amp;""",""language"":"""&amp;Catalog!N69&amp;""",""identifier"":"""&amp;Catalog!C69&amp;"""}")</f>
        <v/>
      </c>
    </row>
    <row r="74" spans="1:4" x14ac:dyDescent="0.25">
      <c r="A74" s="24" t="str">
        <f>Catalog!A70</f>
        <v/>
      </c>
      <c r="B74" s="25">
        <f>Catalog!D70</f>
        <v>0</v>
      </c>
      <c r="C74" s="25">
        <f>Catalog!F70</f>
        <v>0</v>
      </c>
      <c r="D74" s="32" t="str">
        <f>IF(Catalog!D70="","","{""item_id"":"&amp;Catalog!A70&amp;",""title"":"""&amp;SUBSTITUTE(Catalog!D70,"""","\""")&amp;""",""creator"":"""&amp;SUBSTITUTE(Catalog!F70,"""","\""")&amp;""",""language"":"""&amp;Catalog!N70&amp;""",""identifier"":"""&amp;Catalog!C70&amp;"""}")</f>
        <v/>
      </c>
    </row>
    <row r="75" spans="1:4" x14ac:dyDescent="0.25">
      <c r="A75" s="24" t="str">
        <f>Catalog!A71</f>
        <v/>
      </c>
      <c r="B75" s="25">
        <f>Catalog!D71</f>
        <v>0</v>
      </c>
      <c r="C75" s="25">
        <f>Catalog!F71</f>
        <v>0</v>
      </c>
      <c r="D75" s="32" t="str">
        <f>IF(Catalog!D71="","","{""item_id"":"&amp;Catalog!A71&amp;",""title"":"""&amp;SUBSTITUTE(Catalog!D71,"""","\""")&amp;""",""creator"":"""&amp;SUBSTITUTE(Catalog!F71,"""","\""")&amp;""",""language"":"""&amp;Catalog!N71&amp;""",""identifier"":"""&amp;Catalog!C71&amp;"""}")</f>
        <v/>
      </c>
    </row>
    <row r="76" spans="1:4" x14ac:dyDescent="0.25">
      <c r="A76" s="24" t="str">
        <f>Catalog!A72</f>
        <v/>
      </c>
      <c r="B76" s="25">
        <f>Catalog!D72</f>
        <v>0</v>
      </c>
      <c r="C76" s="25">
        <f>Catalog!F72</f>
        <v>0</v>
      </c>
      <c r="D76" s="32" t="str">
        <f>IF(Catalog!D72="","","{""item_id"":"&amp;Catalog!A72&amp;",""title"":"""&amp;SUBSTITUTE(Catalog!D72,"""","\""")&amp;""",""creator"":"""&amp;SUBSTITUTE(Catalog!F72,"""","\""")&amp;""",""language"":"""&amp;Catalog!N72&amp;""",""identifier"":"""&amp;Catalog!C72&amp;"""}")</f>
        <v/>
      </c>
    </row>
    <row r="77" spans="1:4" x14ac:dyDescent="0.25">
      <c r="A77" s="24" t="str">
        <f>Catalog!A73</f>
        <v/>
      </c>
      <c r="B77" s="25">
        <f>Catalog!D73</f>
        <v>0</v>
      </c>
      <c r="C77" s="25">
        <f>Catalog!F73</f>
        <v>0</v>
      </c>
      <c r="D77" s="32" t="str">
        <f>IF(Catalog!D73="","","{""item_id"":"&amp;Catalog!A73&amp;",""title"":"""&amp;SUBSTITUTE(Catalog!D73,"""","\""")&amp;""",""creator"":"""&amp;SUBSTITUTE(Catalog!F73,"""","\""")&amp;""",""language"":"""&amp;Catalog!N73&amp;""",""identifier"":"""&amp;Catalog!C73&amp;"""}")</f>
        <v/>
      </c>
    </row>
    <row r="78" spans="1:4" x14ac:dyDescent="0.25">
      <c r="A78" s="24" t="str">
        <f>Catalog!A74</f>
        <v/>
      </c>
      <c r="B78" s="25">
        <f>Catalog!D74</f>
        <v>0</v>
      </c>
      <c r="C78" s="25">
        <f>Catalog!F74</f>
        <v>0</v>
      </c>
      <c r="D78" s="32" t="str">
        <f>IF(Catalog!D74="","","{""item_id"":"&amp;Catalog!A74&amp;",""title"":"""&amp;SUBSTITUTE(Catalog!D74,"""","\""")&amp;""",""creator"":"""&amp;SUBSTITUTE(Catalog!F74,"""","\""")&amp;""",""language"":"""&amp;Catalog!N74&amp;""",""identifier"":"""&amp;Catalog!C74&amp;"""}")</f>
        <v/>
      </c>
    </row>
    <row r="79" spans="1:4" x14ac:dyDescent="0.25">
      <c r="A79" s="24" t="str">
        <f>Catalog!A75</f>
        <v/>
      </c>
      <c r="B79" s="25">
        <f>Catalog!D75</f>
        <v>0</v>
      </c>
      <c r="C79" s="25">
        <f>Catalog!F75</f>
        <v>0</v>
      </c>
      <c r="D79" s="32" t="str">
        <f>IF(Catalog!D75="","","{""item_id"":"&amp;Catalog!A75&amp;",""title"":"""&amp;SUBSTITUTE(Catalog!D75,"""","\""")&amp;""",""creator"":"""&amp;SUBSTITUTE(Catalog!F75,"""","\""")&amp;""",""language"":"""&amp;Catalog!N75&amp;""",""identifier"":"""&amp;Catalog!C75&amp;"""}")</f>
        <v/>
      </c>
    </row>
    <row r="80" spans="1:4" x14ac:dyDescent="0.25">
      <c r="A80" s="24" t="str">
        <f>Catalog!A76</f>
        <v/>
      </c>
      <c r="B80" s="25">
        <f>Catalog!D76</f>
        <v>0</v>
      </c>
      <c r="C80" s="25">
        <f>Catalog!F76</f>
        <v>0</v>
      </c>
      <c r="D80" s="32" t="str">
        <f>IF(Catalog!D76="","","{""item_id"":"&amp;Catalog!A76&amp;",""title"":"""&amp;SUBSTITUTE(Catalog!D76,"""","\""")&amp;""",""creator"":"""&amp;SUBSTITUTE(Catalog!F76,"""","\""")&amp;""",""language"":"""&amp;Catalog!N76&amp;""",""identifier"":"""&amp;Catalog!C76&amp;"""}")</f>
        <v/>
      </c>
    </row>
    <row r="81" spans="1:4" x14ac:dyDescent="0.25">
      <c r="A81" s="24" t="str">
        <f>Catalog!A77</f>
        <v/>
      </c>
      <c r="B81" s="25">
        <f>Catalog!D77</f>
        <v>0</v>
      </c>
      <c r="C81" s="25">
        <f>Catalog!F77</f>
        <v>0</v>
      </c>
      <c r="D81" s="32" t="str">
        <f>IF(Catalog!D77="","","{""item_id"":"&amp;Catalog!A77&amp;",""title"":"""&amp;SUBSTITUTE(Catalog!D77,"""","\""")&amp;""",""creator"":"""&amp;SUBSTITUTE(Catalog!F77,"""","\""")&amp;""",""language"":"""&amp;Catalog!N77&amp;""",""identifier"":"""&amp;Catalog!C77&amp;"""}")</f>
        <v/>
      </c>
    </row>
    <row r="82" spans="1:4" x14ac:dyDescent="0.25">
      <c r="A82" s="24" t="str">
        <f>Catalog!A78</f>
        <v/>
      </c>
      <c r="B82" s="25">
        <f>Catalog!D78</f>
        <v>0</v>
      </c>
      <c r="C82" s="25">
        <f>Catalog!F78</f>
        <v>0</v>
      </c>
      <c r="D82" s="32" t="str">
        <f>IF(Catalog!D78="","","{""item_id"":"&amp;Catalog!A78&amp;",""title"":"""&amp;SUBSTITUTE(Catalog!D78,"""","\""")&amp;""",""creator"":"""&amp;SUBSTITUTE(Catalog!F78,"""","\""")&amp;""",""language"":"""&amp;Catalog!N78&amp;""",""identifier"":"""&amp;Catalog!C78&amp;"""}")</f>
        <v/>
      </c>
    </row>
    <row r="83" spans="1:4" x14ac:dyDescent="0.25">
      <c r="A83" s="24" t="str">
        <f>Catalog!A79</f>
        <v/>
      </c>
      <c r="B83" s="25">
        <f>Catalog!D79</f>
        <v>0</v>
      </c>
      <c r="C83" s="25">
        <f>Catalog!F79</f>
        <v>0</v>
      </c>
      <c r="D83" s="32" t="str">
        <f>IF(Catalog!D79="","","{""item_id"":"&amp;Catalog!A79&amp;",""title"":"""&amp;SUBSTITUTE(Catalog!D79,"""","\""")&amp;""",""creator"":"""&amp;SUBSTITUTE(Catalog!F79,"""","\""")&amp;""",""language"":"""&amp;Catalog!N79&amp;""",""identifier"":"""&amp;Catalog!C79&amp;"""}")</f>
        <v/>
      </c>
    </row>
    <row r="84" spans="1:4" x14ac:dyDescent="0.25">
      <c r="A84" s="24" t="str">
        <f>Catalog!A80</f>
        <v/>
      </c>
      <c r="B84" s="25">
        <f>Catalog!D80</f>
        <v>0</v>
      </c>
      <c r="C84" s="25">
        <f>Catalog!F80</f>
        <v>0</v>
      </c>
      <c r="D84" s="32" t="str">
        <f>IF(Catalog!D80="","","{""item_id"":"&amp;Catalog!A80&amp;",""title"":"""&amp;SUBSTITUTE(Catalog!D80,"""","\""")&amp;""",""creator"":"""&amp;SUBSTITUTE(Catalog!F80,"""","\""")&amp;""",""language"":"""&amp;Catalog!N80&amp;""",""identifier"":"""&amp;Catalog!C80&amp;"""}")</f>
        <v/>
      </c>
    </row>
    <row r="85" spans="1:4" x14ac:dyDescent="0.25">
      <c r="A85" s="24" t="str">
        <f>Catalog!A81</f>
        <v/>
      </c>
      <c r="B85" s="25">
        <f>Catalog!D81</f>
        <v>0</v>
      </c>
      <c r="C85" s="25">
        <f>Catalog!F81</f>
        <v>0</v>
      </c>
      <c r="D85" s="32" t="str">
        <f>IF(Catalog!D81="","","{""item_id"":"&amp;Catalog!A81&amp;",""title"":"""&amp;SUBSTITUTE(Catalog!D81,"""","\""")&amp;""",""creator"":"""&amp;SUBSTITUTE(Catalog!F81,"""","\""")&amp;""",""language"":"""&amp;Catalog!N81&amp;""",""identifier"":"""&amp;Catalog!C81&amp;"""}")</f>
        <v/>
      </c>
    </row>
    <row r="86" spans="1:4" x14ac:dyDescent="0.25">
      <c r="A86" s="24" t="str">
        <f>Catalog!A82</f>
        <v/>
      </c>
      <c r="B86" s="25">
        <f>Catalog!D82</f>
        <v>0</v>
      </c>
      <c r="C86" s="25">
        <f>Catalog!F82</f>
        <v>0</v>
      </c>
      <c r="D86" s="32" t="str">
        <f>IF(Catalog!D82="","","{""item_id"":"&amp;Catalog!A82&amp;",""title"":"""&amp;SUBSTITUTE(Catalog!D82,"""","\""")&amp;""",""creator"":"""&amp;SUBSTITUTE(Catalog!F82,"""","\""")&amp;""",""language"":"""&amp;Catalog!N82&amp;""",""identifier"":"""&amp;Catalog!C82&amp;"""}")</f>
        <v/>
      </c>
    </row>
    <row r="87" spans="1:4" x14ac:dyDescent="0.25">
      <c r="A87" s="24" t="str">
        <f>Catalog!A83</f>
        <v/>
      </c>
      <c r="B87" s="25">
        <f>Catalog!D83</f>
        <v>0</v>
      </c>
      <c r="C87" s="25">
        <f>Catalog!F83</f>
        <v>0</v>
      </c>
      <c r="D87" s="32" t="str">
        <f>IF(Catalog!D83="","","{""item_id"":"&amp;Catalog!A83&amp;",""title"":"""&amp;SUBSTITUTE(Catalog!D83,"""","\""")&amp;""",""creator"":"""&amp;SUBSTITUTE(Catalog!F83,"""","\""")&amp;""",""language"":"""&amp;Catalog!N83&amp;""",""identifier"":"""&amp;Catalog!C83&amp;"""}")</f>
        <v/>
      </c>
    </row>
    <row r="88" spans="1:4" x14ac:dyDescent="0.25">
      <c r="A88" s="24" t="str">
        <f>Catalog!A84</f>
        <v/>
      </c>
      <c r="B88" s="25">
        <f>Catalog!D84</f>
        <v>0</v>
      </c>
      <c r="C88" s="25">
        <f>Catalog!F84</f>
        <v>0</v>
      </c>
      <c r="D88" s="32" t="str">
        <f>IF(Catalog!D84="","","{""item_id"":"&amp;Catalog!A84&amp;",""title"":"""&amp;SUBSTITUTE(Catalog!D84,"""","\""")&amp;""",""creator"":"""&amp;SUBSTITUTE(Catalog!F84,"""","\""")&amp;""",""language"":"""&amp;Catalog!N84&amp;""",""identifier"":"""&amp;Catalog!C84&amp;"""}")</f>
        <v/>
      </c>
    </row>
    <row r="89" spans="1:4" x14ac:dyDescent="0.25">
      <c r="A89" s="24" t="str">
        <f>Catalog!A85</f>
        <v/>
      </c>
      <c r="B89" s="25">
        <f>Catalog!D85</f>
        <v>0</v>
      </c>
      <c r="C89" s="25">
        <f>Catalog!F85</f>
        <v>0</v>
      </c>
      <c r="D89" s="32" t="str">
        <f>IF(Catalog!D85="","","{""item_id"":"&amp;Catalog!A85&amp;",""title"":"""&amp;SUBSTITUTE(Catalog!D85,"""","\""")&amp;""",""creator"":"""&amp;SUBSTITUTE(Catalog!F85,"""","\""")&amp;""",""language"":"""&amp;Catalog!N85&amp;""",""identifier"":"""&amp;Catalog!C85&amp;"""}")</f>
        <v/>
      </c>
    </row>
    <row r="90" spans="1:4" x14ac:dyDescent="0.25">
      <c r="A90" s="24" t="str">
        <f>Catalog!A86</f>
        <v/>
      </c>
      <c r="B90" s="25">
        <f>Catalog!D86</f>
        <v>0</v>
      </c>
      <c r="C90" s="25">
        <f>Catalog!F86</f>
        <v>0</v>
      </c>
      <c r="D90" s="32" t="str">
        <f>IF(Catalog!D86="","","{""item_id"":"&amp;Catalog!A86&amp;",""title"":"""&amp;SUBSTITUTE(Catalog!D86,"""","\""")&amp;""",""creator"":"""&amp;SUBSTITUTE(Catalog!F86,"""","\""")&amp;""",""language"":"""&amp;Catalog!N86&amp;""",""identifier"":"""&amp;Catalog!C86&amp;"""}")</f>
        <v/>
      </c>
    </row>
    <row r="91" spans="1:4" x14ac:dyDescent="0.25">
      <c r="A91" s="24" t="str">
        <f>Catalog!A87</f>
        <v/>
      </c>
      <c r="B91" s="25">
        <f>Catalog!D87</f>
        <v>0</v>
      </c>
      <c r="C91" s="25">
        <f>Catalog!F87</f>
        <v>0</v>
      </c>
      <c r="D91" s="32" t="str">
        <f>IF(Catalog!D87="","","{""item_id"":"&amp;Catalog!A87&amp;",""title"":"""&amp;SUBSTITUTE(Catalog!D87,"""","\""")&amp;""",""creator"":"""&amp;SUBSTITUTE(Catalog!F87,"""","\""")&amp;""",""language"":"""&amp;Catalog!N87&amp;""",""identifier"":"""&amp;Catalog!C87&amp;"""}")</f>
        <v/>
      </c>
    </row>
    <row r="92" spans="1:4" x14ac:dyDescent="0.25">
      <c r="A92" s="24" t="str">
        <f>Catalog!A88</f>
        <v/>
      </c>
      <c r="B92" s="25">
        <f>Catalog!D88</f>
        <v>0</v>
      </c>
      <c r="C92" s="25">
        <f>Catalog!F88</f>
        <v>0</v>
      </c>
      <c r="D92" s="32" t="str">
        <f>IF(Catalog!D88="","","{""item_id"":"&amp;Catalog!A88&amp;",""title"":"""&amp;SUBSTITUTE(Catalog!D88,"""","\""")&amp;""",""creator"":"""&amp;SUBSTITUTE(Catalog!F88,"""","\""")&amp;""",""language"":"""&amp;Catalog!N88&amp;""",""identifier"":"""&amp;Catalog!C88&amp;"""}")</f>
        <v/>
      </c>
    </row>
    <row r="93" spans="1:4" x14ac:dyDescent="0.25">
      <c r="A93" s="24" t="str">
        <f>Catalog!A89</f>
        <v/>
      </c>
      <c r="B93" s="25">
        <f>Catalog!D89</f>
        <v>0</v>
      </c>
      <c r="C93" s="25">
        <f>Catalog!F89</f>
        <v>0</v>
      </c>
      <c r="D93" s="32" t="str">
        <f>IF(Catalog!D89="","","{""item_id"":"&amp;Catalog!A89&amp;",""title"":"""&amp;SUBSTITUTE(Catalog!D89,"""","\""")&amp;""",""creator"":"""&amp;SUBSTITUTE(Catalog!F89,"""","\""")&amp;""",""language"":"""&amp;Catalog!N89&amp;""",""identifier"":"""&amp;Catalog!C89&amp;"""}")</f>
        <v/>
      </c>
    </row>
    <row r="94" spans="1:4" x14ac:dyDescent="0.25">
      <c r="A94" s="24" t="str">
        <f>Catalog!A90</f>
        <v/>
      </c>
      <c r="B94" s="25">
        <f>Catalog!D90</f>
        <v>0</v>
      </c>
      <c r="C94" s="25">
        <f>Catalog!F90</f>
        <v>0</v>
      </c>
      <c r="D94" s="32" t="str">
        <f>IF(Catalog!D90="","","{""item_id"":"&amp;Catalog!A90&amp;",""title"":"""&amp;SUBSTITUTE(Catalog!D90,"""","\""")&amp;""",""creator"":"""&amp;SUBSTITUTE(Catalog!F90,"""","\""")&amp;""",""language"":"""&amp;Catalog!N90&amp;""",""identifier"":"""&amp;Catalog!C90&amp;"""}")</f>
        <v/>
      </c>
    </row>
    <row r="95" spans="1:4" x14ac:dyDescent="0.25">
      <c r="A95" s="24" t="str">
        <f>Catalog!A91</f>
        <v/>
      </c>
      <c r="B95" s="25">
        <f>Catalog!D91</f>
        <v>0</v>
      </c>
      <c r="C95" s="25">
        <f>Catalog!F91</f>
        <v>0</v>
      </c>
      <c r="D95" s="32" t="str">
        <f>IF(Catalog!D91="","","{""item_id"":"&amp;Catalog!A91&amp;",""title"":"""&amp;SUBSTITUTE(Catalog!D91,"""","\""")&amp;""",""creator"":"""&amp;SUBSTITUTE(Catalog!F91,"""","\""")&amp;""",""language"":"""&amp;Catalog!N91&amp;""",""identifier"":"""&amp;Catalog!C91&amp;"""}")</f>
        <v/>
      </c>
    </row>
    <row r="96" spans="1:4" x14ac:dyDescent="0.25">
      <c r="A96" s="24" t="str">
        <f>Catalog!A92</f>
        <v/>
      </c>
      <c r="B96" s="25">
        <f>Catalog!D92</f>
        <v>0</v>
      </c>
      <c r="C96" s="25">
        <f>Catalog!F92</f>
        <v>0</v>
      </c>
      <c r="D96" s="32" t="str">
        <f>IF(Catalog!D92="","","{""item_id"":"&amp;Catalog!A92&amp;",""title"":"""&amp;SUBSTITUTE(Catalog!D92,"""","\""")&amp;""",""creator"":"""&amp;SUBSTITUTE(Catalog!F92,"""","\""")&amp;""",""language"":"""&amp;Catalog!N92&amp;""",""identifier"":"""&amp;Catalog!C92&amp;"""}")</f>
        <v/>
      </c>
    </row>
    <row r="97" spans="1:4" x14ac:dyDescent="0.25">
      <c r="A97" s="24" t="str">
        <f>Catalog!A93</f>
        <v/>
      </c>
      <c r="B97" s="25">
        <f>Catalog!D93</f>
        <v>0</v>
      </c>
      <c r="C97" s="25">
        <f>Catalog!F93</f>
        <v>0</v>
      </c>
      <c r="D97" s="32" t="str">
        <f>IF(Catalog!D93="","","{""item_id"":"&amp;Catalog!A93&amp;",""title"":"""&amp;SUBSTITUTE(Catalog!D93,"""","\""")&amp;""",""creator"":"""&amp;SUBSTITUTE(Catalog!F93,"""","\""")&amp;""",""language"":"""&amp;Catalog!N93&amp;""",""identifier"":"""&amp;Catalog!C93&amp;"""}")</f>
        <v/>
      </c>
    </row>
    <row r="98" spans="1:4" x14ac:dyDescent="0.25">
      <c r="A98" s="24" t="str">
        <f>Catalog!A94</f>
        <v/>
      </c>
      <c r="B98" s="25">
        <f>Catalog!D94</f>
        <v>0</v>
      </c>
      <c r="C98" s="25">
        <f>Catalog!F94</f>
        <v>0</v>
      </c>
      <c r="D98" s="32" t="str">
        <f>IF(Catalog!D94="","","{""item_id"":"&amp;Catalog!A94&amp;",""title"":"""&amp;SUBSTITUTE(Catalog!D94,"""","\""")&amp;""",""creator"":"""&amp;SUBSTITUTE(Catalog!F94,"""","\""")&amp;""",""language"":"""&amp;Catalog!N94&amp;""",""identifier"":"""&amp;Catalog!C94&amp;"""}")</f>
        <v/>
      </c>
    </row>
    <row r="99" spans="1:4" x14ac:dyDescent="0.25">
      <c r="A99" s="24" t="str">
        <f>Catalog!A95</f>
        <v/>
      </c>
      <c r="B99" s="25">
        <f>Catalog!D95</f>
        <v>0</v>
      </c>
      <c r="C99" s="25">
        <f>Catalog!F95</f>
        <v>0</v>
      </c>
      <c r="D99" s="32" t="str">
        <f>IF(Catalog!D95="","","{""item_id"":"&amp;Catalog!A95&amp;",""title"":"""&amp;SUBSTITUTE(Catalog!D95,"""","\""")&amp;""",""creator"":"""&amp;SUBSTITUTE(Catalog!F95,"""","\""")&amp;""",""language"":"""&amp;Catalog!N95&amp;""",""identifier"":"""&amp;Catalog!C95&amp;"""}")</f>
        <v/>
      </c>
    </row>
    <row r="100" spans="1:4" x14ac:dyDescent="0.25">
      <c r="A100" s="24" t="str">
        <f>Catalog!A96</f>
        <v/>
      </c>
      <c r="B100" s="25">
        <f>Catalog!D96</f>
        <v>0</v>
      </c>
      <c r="C100" s="25">
        <f>Catalog!F96</f>
        <v>0</v>
      </c>
      <c r="D100" s="32" t="str">
        <f>IF(Catalog!D96="","","{""item_id"":"&amp;Catalog!A96&amp;",""title"":"""&amp;SUBSTITUTE(Catalog!D96,"""","\""")&amp;""",""creator"":"""&amp;SUBSTITUTE(Catalog!F96,"""","\""")&amp;""",""language"":"""&amp;Catalog!N96&amp;""",""identifier"":"""&amp;Catalog!C96&amp;"""}")</f>
        <v/>
      </c>
    </row>
    <row r="101" spans="1:4" x14ac:dyDescent="0.25">
      <c r="A101" s="24" t="str">
        <f>Catalog!A97</f>
        <v/>
      </c>
      <c r="B101" s="25">
        <f>Catalog!D97</f>
        <v>0</v>
      </c>
      <c r="C101" s="25">
        <f>Catalog!F97</f>
        <v>0</v>
      </c>
      <c r="D101" s="32" t="str">
        <f>IF(Catalog!D97="","","{""item_id"":"&amp;Catalog!A97&amp;",""title"":"""&amp;SUBSTITUTE(Catalog!D97,"""","\""")&amp;""",""creator"":"""&amp;SUBSTITUTE(Catalog!F97,"""","\""")&amp;""",""language"":"""&amp;Catalog!N97&amp;""",""identifier"":"""&amp;Catalog!C97&amp;"""}")</f>
        <v/>
      </c>
    </row>
    <row r="102" spans="1:4" x14ac:dyDescent="0.25">
      <c r="A102" s="24" t="str">
        <f>Catalog!A98</f>
        <v/>
      </c>
      <c r="B102" s="25">
        <f>Catalog!D98</f>
        <v>0</v>
      </c>
      <c r="C102" s="25">
        <f>Catalog!F98</f>
        <v>0</v>
      </c>
      <c r="D102" s="32" t="str">
        <f>IF(Catalog!D98="","","{""item_id"":"&amp;Catalog!A98&amp;",""title"":"""&amp;SUBSTITUTE(Catalog!D98,"""","\""")&amp;""",""creator"":"""&amp;SUBSTITUTE(Catalog!F98,"""","\""")&amp;""",""language"":"""&amp;Catalog!N98&amp;""",""identifier"":"""&amp;Catalog!C98&amp;"""}")</f>
        <v/>
      </c>
    </row>
    <row r="103" spans="1:4" x14ac:dyDescent="0.25">
      <c r="A103" s="24" t="str">
        <f>Catalog!A99</f>
        <v/>
      </c>
      <c r="B103" s="25">
        <f>Catalog!D99</f>
        <v>0</v>
      </c>
      <c r="C103" s="25">
        <f>Catalog!F99</f>
        <v>0</v>
      </c>
      <c r="D103" s="32" t="str">
        <f>IF(Catalog!D99="","","{""item_id"":"&amp;Catalog!A99&amp;",""title"":"""&amp;SUBSTITUTE(Catalog!D99,"""","\""")&amp;""",""creator"":"""&amp;SUBSTITUTE(Catalog!F99,"""","\""")&amp;""",""language"":"""&amp;Catalog!N99&amp;""",""identifier"":"""&amp;Catalog!C99&amp;"""}")</f>
        <v/>
      </c>
    </row>
    <row r="104" spans="1:4" x14ac:dyDescent="0.25">
      <c r="A104" s="24" t="str">
        <f>Catalog!A100</f>
        <v/>
      </c>
      <c r="B104" s="25">
        <f>Catalog!D100</f>
        <v>0</v>
      </c>
      <c r="C104" s="25">
        <f>Catalog!F100</f>
        <v>0</v>
      </c>
      <c r="D104" s="32" t="str">
        <f>IF(Catalog!D100="","","{""item_id"":"&amp;Catalog!A100&amp;",""title"":"""&amp;SUBSTITUTE(Catalog!D100,"""","\""")&amp;""",""creator"":"""&amp;SUBSTITUTE(Catalog!F100,"""","\""")&amp;""",""language"":"""&amp;Catalog!N100&amp;""",""identifier"":"""&amp;Catalog!C100&amp;"""}")</f>
        <v/>
      </c>
    </row>
    <row r="105" spans="1:4" x14ac:dyDescent="0.25">
      <c r="A105" s="24" t="str">
        <f>Catalog!A101</f>
        <v/>
      </c>
      <c r="B105" s="25">
        <f>Catalog!D101</f>
        <v>0</v>
      </c>
      <c r="C105" s="25">
        <f>Catalog!F101</f>
        <v>0</v>
      </c>
      <c r="D105" s="32" t="str">
        <f>IF(Catalog!D101="","","{""item_id"":"&amp;Catalog!A101&amp;",""title"":"""&amp;SUBSTITUTE(Catalog!D101,"""","\""")&amp;""",""creator"":"""&amp;SUBSTITUTE(Catalog!F101,"""","\""")&amp;""",""language"":"""&amp;Catalog!N101&amp;""",""identifier"":"""&amp;Catalog!C101&amp;"""}")</f>
        <v/>
      </c>
    </row>
    <row r="106" spans="1:4" x14ac:dyDescent="0.25">
      <c r="A106" s="24" t="str">
        <f>Catalog!A102</f>
        <v/>
      </c>
      <c r="B106" s="25">
        <f>Catalog!D102</f>
        <v>0</v>
      </c>
      <c r="C106" s="25">
        <f>Catalog!F102</f>
        <v>0</v>
      </c>
      <c r="D106" s="32" t="str">
        <f>IF(Catalog!D102="","","{""item_id"":"&amp;Catalog!A102&amp;",""title"":"""&amp;SUBSTITUTE(Catalog!D102,"""","\""")&amp;""",""creator"":"""&amp;SUBSTITUTE(Catalog!F102,"""","\""")&amp;""",""language"":"""&amp;Catalog!N102&amp;""",""identifier"":"""&amp;Catalog!C102&amp;"""}")</f>
        <v/>
      </c>
    </row>
    <row r="107" spans="1:4" x14ac:dyDescent="0.25">
      <c r="A107" s="24" t="str">
        <f>Catalog!A103</f>
        <v/>
      </c>
      <c r="B107" s="25">
        <f>Catalog!D103</f>
        <v>0</v>
      </c>
      <c r="C107" s="25">
        <f>Catalog!F103</f>
        <v>0</v>
      </c>
      <c r="D107" s="32" t="str">
        <f>IF(Catalog!D103="","","{""item_id"":"&amp;Catalog!A103&amp;",""title"":"""&amp;SUBSTITUTE(Catalog!D103,"""","\""")&amp;""",""creator"":"""&amp;SUBSTITUTE(Catalog!F103,"""","\""")&amp;""",""language"":"""&amp;Catalog!N103&amp;""",""identifier"":"""&amp;Catalog!C103&amp;"""}")</f>
        <v/>
      </c>
    </row>
    <row r="108" spans="1:4" x14ac:dyDescent="0.25">
      <c r="A108" s="24" t="str">
        <f>Catalog!A104</f>
        <v/>
      </c>
      <c r="B108" s="25">
        <f>Catalog!D104</f>
        <v>0</v>
      </c>
      <c r="C108" s="25">
        <f>Catalog!F104</f>
        <v>0</v>
      </c>
      <c r="D108" s="32" t="str">
        <f>IF(Catalog!D104="","","{""item_id"":"&amp;Catalog!A104&amp;",""title"":"""&amp;SUBSTITUTE(Catalog!D104,"""","\""")&amp;""",""creator"":"""&amp;SUBSTITUTE(Catalog!F104,"""","\""")&amp;""",""language"":"""&amp;Catalog!N104&amp;""",""identifier"":"""&amp;Catalog!C104&amp;"""}")</f>
        <v/>
      </c>
    </row>
    <row r="109" spans="1:4" x14ac:dyDescent="0.25">
      <c r="A109" s="24" t="str">
        <f>Catalog!A105</f>
        <v/>
      </c>
      <c r="B109" s="25">
        <f>Catalog!D105</f>
        <v>0</v>
      </c>
      <c r="C109" s="25">
        <f>Catalog!F105</f>
        <v>0</v>
      </c>
      <c r="D109" s="32" t="str">
        <f>IF(Catalog!D105="","","{""item_id"":"&amp;Catalog!A105&amp;",""title"":"""&amp;SUBSTITUTE(Catalog!D105,"""","\""")&amp;""",""creator"":"""&amp;SUBSTITUTE(Catalog!F105,"""","\""")&amp;""",""language"":"""&amp;Catalog!N105&amp;""",""identifier"":"""&amp;Catalog!C105&amp;"""}")</f>
        <v/>
      </c>
    </row>
    <row r="110" spans="1:4" x14ac:dyDescent="0.25">
      <c r="A110" s="24" t="str">
        <f>Catalog!A106</f>
        <v/>
      </c>
      <c r="B110" s="25">
        <f>Catalog!D106</f>
        <v>0</v>
      </c>
      <c r="C110" s="25">
        <f>Catalog!F106</f>
        <v>0</v>
      </c>
      <c r="D110" s="32" t="str">
        <f>IF(Catalog!D106="","","{""item_id"":"&amp;Catalog!A106&amp;",""title"":"""&amp;SUBSTITUTE(Catalog!D106,"""","\""")&amp;""",""creator"":"""&amp;SUBSTITUTE(Catalog!F106,"""","\""")&amp;""",""language"":"""&amp;Catalog!N106&amp;""",""identifier"":"""&amp;Catalog!C106&amp;"""}")</f>
        <v/>
      </c>
    </row>
    <row r="111" spans="1:4" x14ac:dyDescent="0.25">
      <c r="A111" s="24" t="str">
        <f>Catalog!A107</f>
        <v/>
      </c>
      <c r="B111" s="25">
        <f>Catalog!D107</f>
        <v>0</v>
      </c>
      <c r="C111" s="25">
        <f>Catalog!F107</f>
        <v>0</v>
      </c>
      <c r="D111" s="32" t="str">
        <f>IF(Catalog!D107="","","{""item_id"":"&amp;Catalog!A107&amp;",""title"":"""&amp;SUBSTITUTE(Catalog!D107,"""","\""")&amp;""",""creator"":"""&amp;SUBSTITUTE(Catalog!F107,"""","\""")&amp;""",""language"":"""&amp;Catalog!N107&amp;""",""identifier"":"""&amp;Catalog!C107&amp;"""}")</f>
        <v/>
      </c>
    </row>
    <row r="112" spans="1:4" x14ac:dyDescent="0.25">
      <c r="A112" s="24" t="str">
        <f>Catalog!A108</f>
        <v/>
      </c>
      <c r="B112" s="25">
        <f>Catalog!D108</f>
        <v>0</v>
      </c>
      <c r="C112" s="25">
        <f>Catalog!F108</f>
        <v>0</v>
      </c>
      <c r="D112" s="32" t="str">
        <f>IF(Catalog!D108="","","{""item_id"":"&amp;Catalog!A108&amp;",""title"":"""&amp;SUBSTITUTE(Catalog!D108,"""","\""")&amp;""",""creator"":"""&amp;SUBSTITUTE(Catalog!F108,"""","\""")&amp;""",""language"":"""&amp;Catalog!N108&amp;""",""identifier"":"""&amp;Catalog!C108&amp;"""}")</f>
        <v/>
      </c>
    </row>
    <row r="113" spans="1:4" x14ac:dyDescent="0.25">
      <c r="A113" s="24" t="str">
        <f>Catalog!A109</f>
        <v/>
      </c>
      <c r="B113" s="25">
        <f>Catalog!D109</f>
        <v>0</v>
      </c>
      <c r="C113" s="25">
        <f>Catalog!F109</f>
        <v>0</v>
      </c>
      <c r="D113" s="32" t="str">
        <f>IF(Catalog!D109="","","{""item_id"":"&amp;Catalog!A109&amp;",""title"":"""&amp;SUBSTITUTE(Catalog!D109,"""","\""")&amp;""",""creator"":"""&amp;SUBSTITUTE(Catalog!F109,"""","\""")&amp;""",""language"":"""&amp;Catalog!N109&amp;""",""identifier"":"""&amp;Catalog!C109&amp;"""}")</f>
        <v/>
      </c>
    </row>
    <row r="114" spans="1:4" x14ac:dyDescent="0.25">
      <c r="A114" s="24" t="str">
        <f>Catalog!A110</f>
        <v/>
      </c>
      <c r="B114" s="25">
        <f>Catalog!D110</f>
        <v>0</v>
      </c>
      <c r="C114" s="25">
        <f>Catalog!F110</f>
        <v>0</v>
      </c>
      <c r="D114" s="32" t="str">
        <f>IF(Catalog!D110="","","{""item_id"":"&amp;Catalog!A110&amp;",""title"":"""&amp;SUBSTITUTE(Catalog!D110,"""","\""")&amp;""",""creator"":"""&amp;SUBSTITUTE(Catalog!F110,"""","\""")&amp;""",""language"":"""&amp;Catalog!N110&amp;""",""identifier"":"""&amp;Catalog!C110&amp;"""}")</f>
        <v/>
      </c>
    </row>
    <row r="115" spans="1:4" x14ac:dyDescent="0.25">
      <c r="A115" s="24" t="str">
        <f>Catalog!A111</f>
        <v/>
      </c>
      <c r="B115" s="25">
        <f>Catalog!D111</f>
        <v>0</v>
      </c>
      <c r="C115" s="25">
        <f>Catalog!F111</f>
        <v>0</v>
      </c>
      <c r="D115" s="32" t="str">
        <f>IF(Catalog!D111="","","{""item_id"":"&amp;Catalog!A111&amp;",""title"":"""&amp;SUBSTITUTE(Catalog!D111,"""","\""")&amp;""",""creator"":"""&amp;SUBSTITUTE(Catalog!F111,"""","\""")&amp;""",""language"":"""&amp;Catalog!N111&amp;""",""identifier"":"""&amp;Catalog!C111&amp;"""}")</f>
        <v/>
      </c>
    </row>
    <row r="116" spans="1:4" x14ac:dyDescent="0.25">
      <c r="A116" s="24" t="str">
        <f>Catalog!A112</f>
        <v/>
      </c>
      <c r="B116" s="25">
        <f>Catalog!D112</f>
        <v>0</v>
      </c>
      <c r="C116" s="25">
        <f>Catalog!F112</f>
        <v>0</v>
      </c>
      <c r="D116" s="32" t="str">
        <f>IF(Catalog!D112="","","{""item_id"":"&amp;Catalog!A112&amp;",""title"":"""&amp;SUBSTITUTE(Catalog!D112,"""","\""")&amp;""",""creator"":"""&amp;SUBSTITUTE(Catalog!F112,"""","\""")&amp;""",""language"":"""&amp;Catalog!N112&amp;""",""identifier"":"""&amp;Catalog!C112&amp;"""}")</f>
        <v/>
      </c>
    </row>
    <row r="117" spans="1:4" x14ac:dyDescent="0.25">
      <c r="A117" s="24" t="str">
        <f>Catalog!A113</f>
        <v/>
      </c>
      <c r="B117" s="25">
        <f>Catalog!D113</f>
        <v>0</v>
      </c>
      <c r="C117" s="25">
        <f>Catalog!F113</f>
        <v>0</v>
      </c>
      <c r="D117" s="32" t="str">
        <f>IF(Catalog!D113="","","{""item_id"":"&amp;Catalog!A113&amp;",""title"":"""&amp;SUBSTITUTE(Catalog!D113,"""","\""")&amp;""",""creator"":"""&amp;SUBSTITUTE(Catalog!F113,"""","\""")&amp;""",""language"":"""&amp;Catalog!N113&amp;""",""identifier"":"""&amp;Catalog!C113&amp;"""}")</f>
        <v/>
      </c>
    </row>
    <row r="118" spans="1:4" x14ac:dyDescent="0.25">
      <c r="A118" s="24" t="str">
        <f>Catalog!A114</f>
        <v/>
      </c>
      <c r="B118" s="25">
        <f>Catalog!D114</f>
        <v>0</v>
      </c>
      <c r="C118" s="25">
        <f>Catalog!F114</f>
        <v>0</v>
      </c>
      <c r="D118" s="32" t="str">
        <f>IF(Catalog!D114="","","{""item_id"":"&amp;Catalog!A114&amp;",""title"":"""&amp;SUBSTITUTE(Catalog!D114,"""","\""")&amp;""",""creator"":"""&amp;SUBSTITUTE(Catalog!F114,"""","\""")&amp;""",""language"":"""&amp;Catalog!N114&amp;""",""identifier"":"""&amp;Catalog!C114&amp;"""}")</f>
        <v/>
      </c>
    </row>
    <row r="119" spans="1:4" x14ac:dyDescent="0.25">
      <c r="A119" s="24" t="str">
        <f>Catalog!A115</f>
        <v/>
      </c>
      <c r="B119" s="25">
        <f>Catalog!D115</f>
        <v>0</v>
      </c>
      <c r="C119" s="25">
        <f>Catalog!F115</f>
        <v>0</v>
      </c>
      <c r="D119" s="32" t="str">
        <f>IF(Catalog!D115="","","{""item_id"":"&amp;Catalog!A115&amp;",""title"":"""&amp;SUBSTITUTE(Catalog!D115,"""","\""")&amp;""",""creator"":"""&amp;SUBSTITUTE(Catalog!F115,"""","\""")&amp;""",""language"":"""&amp;Catalog!N115&amp;""",""identifier"":"""&amp;Catalog!C115&amp;"""}")</f>
        <v/>
      </c>
    </row>
    <row r="120" spans="1:4" x14ac:dyDescent="0.25">
      <c r="A120" s="24" t="str">
        <f>Catalog!A116</f>
        <v/>
      </c>
      <c r="B120" s="25">
        <f>Catalog!D116</f>
        <v>0</v>
      </c>
      <c r="C120" s="25">
        <f>Catalog!F116</f>
        <v>0</v>
      </c>
      <c r="D120" s="32" t="str">
        <f>IF(Catalog!D116="","","{""item_id"":"&amp;Catalog!A116&amp;",""title"":"""&amp;SUBSTITUTE(Catalog!D116,"""","\""")&amp;""",""creator"":"""&amp;SUBSTITUTE(Catalog!F116,"""","\""")&amp;""",""language"":"""&amp;Catalog!N116&amp;""",""identifier"":"""&amp;Catalog!C116&amp;"""}")</f>
        <v/>
      </c>
    </row>
    <row r="121" spans="1:4" x14ac:dyDescent="0.25">
      <c r="A121" s="24" t="str">
        <f>Catalog!A117</f>
        <v/>
      </c>
      <c r="B121" s="25">
        <f>Catalog!D117</f>
        <v>0</v>
      </c>
      <c r="C121" s="25">
        <f>Catalog!F117</f>
        <v>0</v>
      </c>
      <c r="D121" s="32" t="str">
        <f>IF(Catalog!D117="","","{""item_id"":"&amp;Catalog!A117&amp;",""title"":"""&amp;SUBSTITUTE(Catalog!D117,"""","\""")&amp;""",""creator"":"""&amp;SUBSTITUTE(Catalog!F117,"""","\""")&amp;""",""language"":"""&amp;Catalog!N117&amp;""",""identifier"":"""&amp;Catalog!C117&amp;"""}")</f>
        <v/>
      </c>
    </row>
    <row r="122" spans="1:4" x14ac:dyDescent="0.25">
      <c r="A122" s="24" t="str">
        <f>Catalog!A118</f>
        <v/>
      </c>
      <c r="B122" s="25">
        <f>Catalog!D118</f>
        <v>0</v>
      </c>
      <c r="C122" s="25">
        <f>Catalog!F118</f>
        <v>0</v>
      </c>
      <c r="D122" s="32" t="str">
        <f>IF(Catalog!D118="","","{""item_id"":"&amp;Catalog!A118&amp;",""title"":"""&amp;SUBSTITUTE(Catalog!D118,"""","\""")&amp;""",""creator"":"""&amp;SUBSTITUTE(Catalog!F118,"""","\""")&amp;""",""language"":"""&amp;Catalog!N118&amp;""",""identifier"":"""&amp;Catalog!C118&amp;"""}")</f>
        <v/>
      </c>
    </row>
    <row r="123" spans="1:4" x14ac:dyDescent="0.25">
      <c r="A123" s="24" t="str">
        <f>Catalog!A119</f>
        <v/>
      </c>
      <c r="B123" s="25">
        <f>Catalog!D119</f>
        <v>0</v>
      </c>
      <c r="C123" s="25">
        <f>Catalog!F119</f>
        <v>0</v>
      </c>
      <c r="D123" s="32" t="str">
        <f>IF(Catalog!D119="","","{""item_id"":"&amp;Catalog!A119&amp;",""title"":"""&amp;SUBSTITUTE(Catalog!D119,"""","\""")&amp;""",""creator"":"""&amp;SUBSTITUTE(Catalog!F119,"""","\""")&amp;""",""language"":"""&amp;Catalog!N119&amp;""",""identifier"":"""&amp;Catalog!C119&amp;"""}")</f>
        <v/>
      </c>
    </row>
    <row r="124" spans="1:4" x14ac:dyDescent="0.25">
      <c r="A124" s="24" t="str">
        <f>Catalog!A120</f>
        <v/>
      </c>
      <c r="B124" s="25">
        <f>Catalog!D120</f>
        <v>0</v>
      </c>
      <c r="C124" s="25">
        <f>Catalog!F120</f>
        <v>0</v>
      </c>
      <c r="D124" s="32" t="str">
        <f>IF(Catalog!D120="","","{""item_id"":"&amp;Catalog!A120&amp;",""title"":"""&amp;SUBSTITUTE(Catalog!D120,"""","\""")&amp;""",""creator"":"""&amp;SUBSTITUTE(Catalog!F120,"""","\""")&amp;""",""language"":"""&amp;Catalog!N120&amp;""",""identifier"":"""&amp;Catalog!C120&amp;"""}")</f>
        <v/>
      </c>
    </row>
    <row r="125" spans="1:4" x14ac:dyDescent="0.25">
      <c r="A125" s="24" t="str">
        <f>Catalog!A121</f>
        <v/>
      </c>
      <c r="B125" s="25">
        <f>Catalog!D121</f>
        <v>0</v>
      </c>
      <c r="C125" s="25">
        <f>Catalog!F121</f>
        <v>0</v>
      </c>
      <c r="D125" s="32" t="str">
        <f>IF(Catalog!D121="","","{""item_id"":"&amp;Catalog!A121&amp;",""title"":"""&amp;SUBSTITUTE(Catalog!D121,"""","\""")&amp;""",""creator"":"""&amp;SUBSTITUTE(Catalog!F121,"""","\""")&amp;""",""language"":"""&amp;Catalog!N121&amp;""",""identifier"":"""&amp;Catalog!C121&amp;"""}")</f>
        <v/>
      </c>
    </row>
    <row r="126" spans="1:4" x14ac:dyDescent="0.25">
      <c r="A126" s="24" t="str">
        <f>Catalog!A122</f>
        <v/>
      </c>
      <c r="B126" s="25">
        <f>Catalog!D122</f>
        <v>0</v>
      </c>
      <c r="C126" s="25">
        <f>Catalog!F122</f>
        <v>0</v>
      </c>
      <c r="D126" s="32" t="str">
        <f>IF(Catalog!D122="","","{""item_id"":"&amp;Catalog!A122&amp;",""title"":"""&amp;SUBSTITUTE(Catalog!D122,"""","\""")&amp;""",""creator"":"""&amp;SUBSTITUTE(Catalog!F122,"""","\""")&amp;""",""language"":"""&amp;Catalog!N122&amp;""",""identifier"":"""&amp;Catalog!C122&amp;"""}")</f>
        <v/>
      </c>
    </row>
    <row r="127" spans="1:4" x14ac:dyDescent="0.25">
      <c r="A127" s="24" t="str">
        <f>Catalog!A123</f>
        <v/>
      </c>
      <c r="B127" s="25">
        <f>Catalog!D123</f>
        <v>0</v>
      </c>
      <c r="C127" s="25">
        <f>Catalog!F123</f>
        <v>0</v>
      </c>
      <c r="D127" s="32" t="str">
        <f>IF(Catalog!D123="","","{""item_id"":"&amp;Catalog!A123&amp;",""title"":"""&amp;SUBSTITUTE(Catalog!D123,"""","\""")&amp;""",""creator"":"""&amp;SUBSTITUTE(Catalog!F123,"""","\""")&amp;""",""language"":"""&amp;Catalog!N123&amp;""",""identifier"":"""&amp;Catalog!C123&amp;"""}")</f>
        <v/>
      </c>
    </row>
    <row r="128" spans="1:4" x14ac:dyDescent="0.25">
      <c r="A128" s="24" t="str">
        <f>Catalog!A124</f>
        <v/>
      </c>
      <c r="B128" s="25">
        <f>Catalog!D124</f>
        <v>0</v>
      </c>
      <c r="C128" s="25">
        <f>Catalog!F124</f>
        <v>0</v>
      </c>
      <c r="D128" s="32" t="str">
        <f>IF(Catalog!D124="","","{""item_id"":"&amp;Catalog!A124&amp;",""title"":"""&amp;SUBSTITUTE(Catalog!D124,"""","\""")&amp;""",""creator"":"""&amp;SUBSTITUTE(Catalog!F124,"""","\""")&amp;""",""language"":"""&amp;Catalog!N124&amp;""",""identifier"":"""&amp;Catalog!C124&amp;"""}")</f>
        <v/>
      </c>
    </row>
    <row r="129" spans="1:4" x14ac:dyDescent="0.25">
      <c r="A129" s="24" t="str">
        <f>Catalog!A125</f>
        <v/>
      </c>
      <c r="B129" s="25">
        <f>Catalog!D125</f>
        <v>0</v>
      </c>
      <c r="C129" s="25">
        <f>Catalog!F125</f>
        <v>0</v>
      </c>
      <c r="D129" s="32" t="str">
        <f>IF(Catalog!D125="","","{""item_id"":"&amp;Catalog!A125&amp;",""title"":"""&amp;SUBSTITUTE(Catalog!D125,"""","\""")&amp;""",""creator"":"""&amp;SUBSTITUTE(Catalog!F125,"""","\""")&amp;""",""language"":"""&amp;Catalog!N125&amp;""",""identifier"":"""&amp;Catalog!C125&amp;"""}")</f>
        <v/>
      </c>
    </row>
    <row r="130" spans="1:4" x14ac:dyDescent="0.25">
      <c r="A130" s="24" t="str">
        <f>Catalog!A126</f>
        <v/>
      </c>
      <c r="B130" s="25">
        <f>Catalog!D126</f>
        <v>0</v>
      </c>
      <c r="C130" s="25">
        <f>Catalog!F126</f>
        <v>0</v>
      </c>
      <c r="D130" s="32" t="str">
        <f>IF(Catalog!D126="","","{""item_id"":"&amp;Catalog!A126&amp;",""title"":"""&amp;SUBSTITUTE(Catalog!D126,"""","\""")&amp;""",""creator"":"""&amp;SUBSTITUTE(Catalog!F126,"""","\""")&amp;""",""language"":"""&amp;Catalog!N126&amp;""",""identifier"":"""&amp;Catalog!C126&amp;"""}")</f>
        <v/>
      </c>
    </row>
    <row r="131" spans="1:4" x14ac:dyDescent="0.25">
      <c r="A131" s="24" t="str">
        <f>Catalog!A127</f>
        <v/>
      </c>
      <c r="B131" s="25">
        <f>Catalog!D127</f>
        <v>0</v>
      </c>
      <c r="C131" s="25">
        <f>Catalog!F127</f>
        <v>0</v>
      </c>
      <c r="D131" s="32" t="str">
        <f>IF(Catalog!D127="","","{""item_id"":"&amp;Catalog!A127&amp;",""title"":"""&amp;SUBSTITUTE(Catalog!D127,"""","\""")&amp;""",""creator"":"""&amp;SUBSTITUTE(Catalog!F127,"""","\""")&amp;""",""language"":"""&amp;Catalog!N127&amp;""",""identifier"":"""&amp;Catalog!C127&amp;"""}")</f>
        <v/>
      </c>
    </row>
    <row r="132" spans="1:4" x14ac:dyDescent="0.25">
      <c r="A132" s="24" t="str">
        <f>Catalog!A128</f>
        <v/>
      </c>
      <c r="B132" s="25">
        <f>Catalog!D128</f>
        <v>0</v>
      </c>
      <c r="C132" s="25">
        <f>Catalog!F128</f>
        <v>0</v>
      </c>
      <c r="D132" s="32" t="str">
        <f>IF(Catalog!D128="","","{""item_id"":"&amp;Catalog!A128&amp;",""title"":"""&amp;SUBSTITUTE(Catalog!D128,"""","\""")&amp;""",""creator"":"""&amp;SUBSTITUTE(Catalog!F128,"""","\""")&amp;""",""language"":"""&amp;Catalog!N128&amp;""",""identifier"":"""&amp;Catalog!C128&amp;"""}")</f>
        <v/>
      </c>
    </row>
    <row r="133" spans="1:4" x14ac:dyDescent="0.25">
      <c r="A133" s="24" t="str">
        <f>Catalog!A129</f>
        <v/>
      </c>
      <c r="B133" s="25">
        <f>Catalog!D129</f>
        <v>0</v>
      </c>
      <c r="C133" s="25">
        <f>Catalog!F129</f>
        <v>0</v>
      </c>
      <c r="D133" s="32" t="str">
        <f>IF(Catalog!D129="","","{""item_id"":"&amp;Catalog!A129&amp;",""title"":"""&amp;SUBSTITUTE(Catalog!D129,"""","\""")&amp;""",""creator"":"""&amp;SUBSTITUTE(Catalog!F129,"""","\""")&amp;""",""language"":"""&amp;Catalog!N129&amp;""",""identifier"":"""&amp;Catalog!C129&amp;"""}")</f>
        <v/>
      </c>
    </row>
    <row r="134" spans="1:4" x14ac:dyDescent="0.25">
      <c r="A134" s="24" t="str">
        <f>Catalog!A130</f>
        <v/>
      </c>
      <c r="B134" s="25">
        <f>Catalog!D130</f>
        <v>0</v>
      </c>
      <c r="C134" s="25">
        <f>Catalog!F130</f>
        <v>0</v>
      </c>
      <c r="D134" s="32" t="str">
        <f>IF(Catalog!D130="","","{""item_id"":"&amp;Catalog!A130&amp;",""title"":"""&amp;SUBSTITUTE(Catalog!D130,"""","\""")&amp;""",""creator"":"""&amp;SUBSTITUTE(Catalog!F130,"""","\""")&amp;""",""language"":"""&amp;Catalog!N130&amp;""",""identifier"":"""&amp;Catalog!C130&amp;"""}")</f>
        <v/>
      </c>
    </row>
    <row r="135" spans="1:4" x14ac:dyDescent="0.25">
      <c r="A135" s="24" t="str">
        <f>Catalog!A131</f>
        <v/>
      </c>
      <c r="B135" s="25">
        <f>Catalog!D131</f>
        <v>0</v>
      </c>
      <c r="C135" s="25">
        <f>Catalog!F131</f>
        <v>0</v>
      </c>
      <c r="D135" s="32" t="str">
        <f>IF(Catalog!D131="","","{""item_id"":"&amp;Catalog!A131&amp;",""title"":"""&amp;SUBSTITUTE(Catalog!D131,"""","\""")&amp;""",""creator"":"""&amp;SUBSTITUTE(Catalog!F131,"""","\""")&amp;""",""language"":"""&amp;Catalog!N131&amp;""",""identifier"":"""&amp;Catalog!C131&amp;"""}")</f>
        <v/>
      </c>
    </row>
    <row r="136" spans="1:4" x14ac:dyDescent="0.25">
      <c r="A136" s="24" t="str">
        <f>Catalog!A132</f>
        <v/>
      </c>
      <c r="B136" s="25">
        <f>Catalog!D132</f>
        <v>0</v>
      </c>
      <c r="C136" s="25">
        <f>Catalog!F132</f>
        <v>0</v>
      </c>
      <c r="D136" s="32" t="str">
        <f>IF(Catalog!D132="","","{""item_id"":"&amp;Catalog!A132&amp;",""title"":"""&amp;SUBSTITUTE(Catalog!D132,"""","\""")&amp;""",""creator"":"""&amp;SUBSTITUTE(Catalog!F132,"""","\""")&amp;""",""language"":"""&amp;Catalog!N132&amp;""",""identifier"":"""&amp;Catalog!C132&amp;"""}")</f>
        <v/>
      </c>
    </row>
    <row r="137" spans="1:4" x14ac:dyDescent="0.25">
      <c r="A137" s="24" t="str">
        <f>Catalog!A133</f>
        <v/>
      </c>
      <c r="B137" s="25">
        <f>Catalog!D133</f>
        <v>0</v>
      </c>
      <c r="C137" s="25">
        <f>Catalog!F133</f>
        <v>0</v>
      </c>
      <c r="D137" s="32" t="str">
        <f>IF(Catalog!D133="","","{""item_id"":"&amp;Catalog!A133&amp;",""title"":"""&amp;SUBSTITUTE(Catalog!D133,"""","\""")&amp;""",""creator"":"""&amp;SUBSTITUTE(Catalog!F133,"""","\""")&amp;""",""language"":"""&amp;Catalog!N133&amp;""",""identifier"":"""&amp;Catalog!C133&amp;"""}")</f>
        <v/>
      </c>
    </row>
    <row r="138" spans="1:4" x14ac:dyDescent="0.25">
      <c r="A138" s="24" t="str">
        <f>Catalog!A134</f>
        <v/>
      </c>
      <c r="B138" s="25">
        <f>Catalog!D134</f>
        <v>0</v>
      </c>
      <c r="C138" s="25">
        <f>Catalog!F134</f>
        <v>0</v>
      </c>
      <c r="D138" s="32" t="str">
        <f>IF(Catalog!D134="","","{""item_id"":"&amp;Catalog!A134&amp;",""title"":"""&amp;SUBSTITUTE(Catalog!D134,"""","\""")&amp;""",""creator"":"""&amp;SUBSTITUTE(Catalog!F134,"""","\""")&amp;""",""language"":"""&amp;Catalog!N134&amp;""",""identifier"":"""&amp;Catalog!C134&amp;"""}")</f>
        <v/>
      </c>
    </row>
    <row r="139" spans="1:4" x14ac:dyDescent="0.25">
      <c r="A139" s="24" t="str">
        <f>Catalog!A135</f>
        <v/>
      </c>
      <c r="B139" s="25">
        <f>Catalog!D135</f>
        <v>0</v>
      </c>
      <c r="C139" s="25">
        <f>Catalog!F135</f>
        <v>0</v>
      </c>
      <c r="D139" s="32" t="str">
        <f>IF(Catalog!D135="","","{""item_id"":"&amp;Catalog!A135&amp;",""title"":"""&amp;SUBSTITUTE(Catalog!D135,"""","\""")&amp;""",""creator"":"""&amp;SUBSTITUTE(Catalog!F135,"""","\""")&amp;""",""language"":"""&amp;Catalog!N135&amp;""",""identifier"":"""&amp;Catalog!C135&amp;"""}")</f>
        <v/>
      </c>
    </row>
    <row r="140" spans="1:4" x14ac:dyDescent="0.25">
      <c r="A140" s="24" t="str">
        <f>Catalog!A136</f>
        <v/>
      </c>
      <c r="B140" s="25">
        <f>Catalog!D136</f>
        <v>0</v>
      </c>
      <c r="C140" s="25">
        <f>Catalog!F136</f>
        <v>0</v>
      </c>
      <c r="D140" s="32" t="str">
        <f>IF(Catalog!D136="","","{""item_id"":"&amp;Catalog!A136&amp;",""title"":"""&amp;SUBSTITUTE(Catalog!D136,"""","\""")&amp;""",""creator"":"""&amp;SUBSTITUTE(Catalog!F136,"""","\""")&amp;""",""language"":"""&amp;Catalog!N136&amp;""",""identifier"":"""&amp;Catalog!C136&amp;"""}")</f>
        <v/>
      </c>
    </row>
    <row r="141" spans="1:4" x14ac:dyDescent="0.25">
      <c r="A141" s="24" t="str">
        <f>Catalog!A137</f>
        <v/>
      </c>
      <c r="B141" s="25">
        <f>Catalog!D137</f>
        <v>0</v>
      </c>
      <c r="C141" s="25">
        <f>Catalog!F137</f>
        <v>0</v>
      </c>
      <c r="D141" s="32" t="str">
        <f>IF(Catalog!D137="","","{""item_id"":"&amp;Catalog!A137&amp;",""title"":"""&amp;SUBSTITUTE(Catalog!D137,"""","\""")&amp;""",""creator"":"""&amp;SUBSTITUTE(Catalog!F137,"""","\""")&amp;""",""language"":"""&amp;Catalog!N137&amp;""",""identifier"":"""&amp;Catalog!C137&amp;"""}")</f>
        <v/>
      </c>
    </row>
    <row r="142" spans="1:4" x14ac:dyDescent="0.25">
      <c r="A142" s="24" t="str">
        <f>Catalog!A138</f>
        <v/>
      </c>
      <c r="B142" s="25">
        <f>Catalog!D138</f>
        <v>0</v>
      </c>
      <c r="C142" s="25">
        <f>Catalog!F138</f>
        <v>0</v>
      </c>
      <c r="D142" s="32" t="str">
        <f>IF(Catalog!D138="","","{""item_id"":"&amp;Catalog!A138&amp;",""title"":"""&amp;SUBSTITUTE(Catalog!D138,"""","\""")&amp;""",""creator"":"""&amp;SUBSTITUTE(Catalog!F138,"""","\""")&amp;""",""language"":"""&amp;Catalog!N138&amp;""",""identifier"":"""&amp;Catalog!C138&amp;"""}")</f>
        <v/>
      </c>
    </row>
    <row r="143" spans="1:4" x14ac:dyDescent="0.25">
      <c r="A143" s="24" t="str">
        <f>Catalog!A139</f>
        <v/>
      </c>
      <c r="B143" s="25">
        <f>Catalog!D139</f>
        <v>0</v>
      </c>
      <c r="C143" s="25">
        <f>Catalog!F139</f>
        <v>0</v>
      </c>
      <c r="D143" s="32" t="str">
        <f>IF(Catalog!D139="","","{""item_id"":"&amp;Catalog!A139&amp;",""title"":"""&amp;SUBSTITUTE(Catalog!D139,"""","\""")&amp;""",""creator"":"""&amp;SUBSTITUTE(Catalog!F139,"""","\""")&amp;""",""language"":"""&amp;Catalog!N139&amp;""",""identifier"":"""&amp;Catalog!C139&amp;"""}")</f>
        <v/>
      </c>
    </row>
    <row r="144" spans="1:4" x14ac:dyDescent="0.25">
      <c r="A144" s="24" t="str">
        <f>Catalog!A140</f>
        <v/>
      </c>
      <c r="B144" s="25">
        <f>Catalog!D140</f>
        <v>0</v>
      </c>
      <c r="C144" s="25">
        <f>Catalog!F140</f>
        <v>0</v>
      </c>
      <c r="D144" s="32" t="str">
        <f>IF(Catalog!D140="","","{""item_id"":"&amp;Catalog!A140&amp;",""title"":"""&amp;SUBSTITUTE(Catalog!D140,"""","\""")&amp;""",""creator"":"""&amp;SUBSTITUTE(Catalog!F140,"""","\""")&amp;""",""language"":"""&amp;Catalog!N140&amp;""",""identifier"":"""&amp;Catalog!C140&amp;"""}")</f>
        <v/>
      </c>
    </row>
    <row r="145" spans="1:4" x14ac:dyDescent="0.25">
      <c r="A145" s="24" t="str">
        <f>Catalog!A141</f>
        <v/>
      </c>
      <c r="B145" s="25">
        <f>Catalog!D141</f>
        <v>0</v>
      </c>
      <c r="C145" s="25">
        <f>Catalog!F141</f>
        <v>0</v>
      </c>
      <c r="D145" s="32" t="str">
        <f>IF(Catalog!D141="","","{""item_id"":"&amp;Catalog!A141&amp;",""title"":"""&amp;SUBSTITUTE(Catalog!D141,"""","\""")&amp;""",""creator"":"""&amp;SUBSTITUTE(Catalog!F141,"""","\""")&amp;""",""language"":"""&amp;Catalog!N141&amp;""",""identifier"":"""&amp;Catalog!C141&amp;"""}")</f>
        <v/>
      </c>
    </row>
    <row r="146" spans="1:4" x14ac:dyDescent="0.25">
      <c r="A146" s="24" t="str">
        <f>Catalog!A142</f>
        <v/>
      </c>
      <c r="B146" s="25">
        <f>Catalog!D142</f>
        <v>0</v>
      </c>
      <c r="C146" s="25">
        <f>Catalog!F142</f>
        <v>0</v>
      </c>
      <c r="D146" s="32" t="str">
        <f>IF(Catalog!D142="","","{""item_id"":"&amp;Catalog!A142&amp;",""title"":"""&amp;SUBSTITUTE(Catalog!D142,"""","\""")&amp;""",""creator"":"""&amp;SUBSTITUTE(Catalog!F142,"""","\""")&amp;""",""language"":"""&amp;Catalog!N142&amp;""",""identifier"":"""&amp;Catalog!C142&amp;"""}")</f>
        <v/>
      </c>
    </row>
    <row r="147" spans="1:4" x14ac:dyDescent="0.25">
      <c r="A147" s="24" t="str">
        <f>Catalog!A143</f>
        <v/>
      </c>
      <c r="B147" s="25">
        <f>Catalog!D143</f>
        <v>0</v>
      </c>
      <c r="C147" s="25">
        <f>Catalog!F143</f>
        <v>0</v>
      </c>
      <c r="D147" s="32" t="str">
        <f>IF(Catalog!D143="","","{""item_id"":"&amp;Catalog!A143&amp;",""title"":"""&amp;SUBSTITUTE(Catalog!D143,"""","\""")&amp;""",""creator"":"""&amp;SUBSTITUTE(Catalog!F143,"""","\""")&amp;""",""language"":"""&amp;Catalog!N143&amp;""",""identifier"":"""&amp;Catalog!C143&amp;"""}")</f>
        <v/>
      </c>
    </row>
    <row r="148" spans="1:4" x14ac:dyDescent="0.25">
      <c r="A148" s="24" t="str">
        <f>Catalog!A144</f>
        <v/>
      </c>
      <c r="B148" s="25">
        <f>Catalog!D144</f>
        <v>0</v>
      </c>
      <c r="C148" s="25">
        <f>Catalog!F144</f>
        <v>0</v>
      </c>
      <c r="D148" s="32" t="str">
        <f>IF(Catalog!D144="","","{""item_id"":"&amp;Catalog!A144&amp;",""title"":"""&amp;SUBSTITUTE(Catalog!D144,"""","\""")&amp;""",""creator"":"""&amp;SUBSTITUTE(Catalog!F144,"""","\""")&amp;""",""language"":"""&amp;Catalog!N144&amp;""",""identifier"":"""&amp;Catalog!C144&amp;"""}")</f>
        <v/>
      </c>
    </row>
    <row r="149" spans="1:4" x14ac:dyDescent="0.25">
      <c r="A149" s="24" t="str">
        <f>Catalog!A145</f>
        <v/>
      </c>
      <c r="B149" s="25">
        <f>Catalog!D145</f>
        <v>0</v>
      </c>
      <c r="C149" s="25">
        <f>Catalog!F145</f>
        <v>0</v>
      </c>
      <c r="D149" s="32" t="str">
        <f>IF(Catalog!D145="","","{""item_id"":"&amp;Catalog!A145&amp;",""title"":"""&amp;SUBSTITUTE(Catalog!D145,"""","\""")&amp;""",""creator"":"""&amp;SUBSTITUTE(Catalog!F145,"""","\""")&amp;""",""language"":"""&amp;Catalog!N145&amp;""",""identifier"":"""&amp;Catalog!C145&amp;"""}")</f>
        <v/>
      </c>
    </row>
    <row r="150" spans="1:4" x14ac:dyDescent="0.25">
      <c r="A150" s="24" t="str">
        <f>Catalog!A146</f>
        <v/>
      </c>
      <c r="B150" s="25">
        <f>Catalog!D146</f>
        <v>0</v>
      </c>
      <c r="C150" s="25">
        <f>Catalog!F146</f>
        <v>0</v>
      </c>
      <c r="D150" s="32" t="str">
        <f>IF(Catalog!D146="","","{""item_id"":"&amp;Catalog!A146&amp;",""title"":"""&amp;SUBSTITUTE(Catalog!D146,"""","\""")&amp;""",""creator"":"""&amp;SUBSTITUTE(Catalog!F146,"""","\""")&amp;""",""language"":"""&amp;Catalog!N146&amp;""",""identifier"":"""&amp;Catalog!C146&amp;"""}")</f>
        <v/>
      </c>
    </row>
    <row r="151" spans="1:4" x14ac:dyDescent="0.25">
      <c r="A151" s="24" t="str">
        <f>Catalog!A147</f>
        <v/>
      </c>
      <c r="B151" s="25">
        <f>Catalog!D147</f>
        <v>0</v>
      </c>
      <c r="C151" s="25">
        <f>Catalog!F147</f>
        <v>0</v>
      </c>
      <c r="D151" s="32" t="str">
        <f>IF(Catalog!D147="","","{""item_id"":"&amp;Catalog!A147&amp;",""title"":"""&amp;SUBSTITUTE(Catalog!D147,"""","\""")&amp;""",""creator"":"""&amp;SUBSTITUTE(Catalog!F147,"""","\""")&amp;""",""language"":"""&amp;Catalog!N147&amp;""",""identifier"":"""&amp;Catalog!C147&amp;"""}")</f>
        <v/>
      </c>
    </row>
    <row r="152" spans="1:4" x14ac:dyDescent="0.25">
      <c r="A152" s="24" t="str">
        <f>Catalog!A148</f>
        <v/>
      </c>
      <c r="B152" s="25">
        <f>Catalog!D148</f>
        <v>0</v>
      </c>
      <c r="C152" s="25">
        <f>Catalog!F148</f>
        <v>0</v>
      </c>
      <c r="D152" s="32" t="str">
        <f>IF(Catalog!D148="","","{""item_id"":"&amp;Catalog!A148&amp;",""title"":"""&amp;SUBSTITUTE(Catalog!D148,"""","\""")&amp;""",""creator"":"""&amp;SUBSTITUTE(Catalog!F148,"""","\""")&amp;""",""language"":"""&amp;Catalog!N148&amp;""",""identifier"":"""&amp;Catalog!C148&amp;"""}")</f>
        <v/>
      </c>
    </row>
    <row r="153" spans="1:4" x14ac:dyDescent="0.25">
      <c r="A153" s="24" t="str">
        <f>Catalog!A149</f>
        <v/>
      </c>
      <c r="B153" s="25">
        <f>Catalog!D149</f>
        <v>0</v>
      </c>
      <c r="C153" s="25">
        <f>Catalog!F149</f>
        <v>0</v>
      </c>
      <c r="D153" s="32" t="str">
        <f>IF(Catalog!D149="","","{""item_id"":"&amp;Catalog!A149&amp;",""title"":"""&amp;SUBSTITUTE(Catalog!D149,"""","\""")&amp;""",""creator"":"""&amp;SUBSTITUTE(Catalog!F149,"""","\""")&amp;""",""language"":"""&amp;Catalog!N149&amp;""",""identifier"":"""&amp;Catalog!C149&amp;"""}")</f>
        <v/>
      </c>
    </row>
    <row r="154" spans="1:4" x14ac:dyDescent="0.25">
      <c r="A154" s="24" t="str">
        <f>Catalog!A150</f>
        <v/>
      </c>
      <c r="B154" s="25">
        <f>Catalog!D150</f>
        <v>0</v>
      </c>
      <c r="C154" s="25">
        <f>Catalog!F150</f>
        <v>0</v>
      </c>
      <c r="D154" s="32" t="str">
        <f>IF(Catalog!D150="","","{""item_id"":"&amp;Catalog!A150&amp;",""title"":"""&amp;SUBSTITUTE(Catalog!D150,"""","\""")&amp;""",""creator"":"""&amp;SUBSTITUTE(Catalog!F150,"""","\""")&amp;""",""language"":"""&amp;Catalog!N150&amp;""",""identifier"":"""&amp;Catalog!C150&amp;"""}")</f>
        <v/>
      </c>
    </row>
    <row r="155" spans="1:4" x14ac:dyDescent="0.25">
      <c r="A155" s="24" t="str">
        <f>Catalog!A151</f>
        <v/>
      </c>
      <c r="B155" s="25">
        <f>Catalog!D151</f>
        <v>0</v>
      </c>
      <c r="C155" s="25">
        <f>Catalog!F151</f>
        <v>0</v>
      </c>
      <c r="D155" s="32" t="str">
        <f>IF(Catalog!D151="","","{""item_id"":"&amp;Catalog!A151&amp;",""title"":"""&amp;SUBSTITUTE(Catalog!D151,"""","\""")&amp;""",""creator"":"""&amp;SUBSTITUTE(Catalog!F151,"""","\""")&amp;""",""language"":"""&amp;Catalog!N151&amp;""",""identifier"":"""&amp;Catalog!C151&amp;"""}")</f>
        <v/>
      </c>
    </row>
    <row r="156" spans="1:4" x14ac:dyDescent="0.25">
      <c r="A156" s="24" t="str">
        <f>Catalog!A152</f>
        <v/>
      </c>
      <c r="B156" s="25">
        <f>Catalog!D152</f>
        <v>0</v>
      </c>
      <c r="C156" s="25">
        <f>Catalog!F152</f>
        <v>0</v>
      </c>
      <c r="D156" s="32" t="str">
        <f>IF(Catalog!D152="","","{""item_id"":"&amp;Catalog!A152&amp;",""title"":"""&amp;SUBSTITUTE(Catalog!D152,"""","\""")&amp;""",""creator"":"""&amp;SUBSTITUTE(Catalog!F152,"""","\""")&amp;""",""language"":"""&amp;Catalog!N152&amp;""",""identifier"":"""&amp;Catalog!C152&amp;"""}")</f>
        <v/>
      </c>
    </row>
    <row r="157" spans="1:4" x14ac:dyDescent="0.25">
      <c r="A157" s="24" t="str">
        <f>Catalog!A153</f>
        <v/>
      </c>
      <c r="B157" s="25">
        <f>Catalog!D153</f>
        <v>0</v>
      </c>
      <c r="C157" s="25">
        <f>Catalog!F153</f>
        <v>0</v>
      </c>
      <c r="D157" s="32" t="str">
        <f>IF(Catalog!D153="","","{""item_id"":"&amp;Catalog!A153&amp;",""title"":"""&amp;SUBSTITUTE(Catalog!D153,"""","\""")&amp;""",""creator"":"""&amp;SUBSTITUTE(Catalog!F153,"""","\""")&amp;""",""language"":"""&amp;Catalog!N153&amp;""",""identifier"":"""&amp;Catalog!C153&amp;"""}")</f>
        <v/>
      </c>
    </row>
    <row r="158" spans="1:4" x14ac:dyDescent="0.25">
      <c r="A158" s="24" t="str">
        <f>Catalog!A154</f>
        <v/>
      </c>
      <c r="B158" s="25">
        <f>Catalog!D154</f>
        <v>0</v>
      </c>
      <c r="C158" s="25">
        <f>Catalog!F154</f>
        <v>0</v>
      </c>
      <c r="D158" s="32" t="str">
        <f>IF(Catalog!D154="","","{""item_id"":"&amp;Catalog!A154&amp;",""title"":"""&amp;SUBSTITUTE(Catalog!D154,"""","\""")&amp;""",""creator"":"""&amp;SUBSTITUTE(Catalog!F154,"""","\""")&amp;""",""language"":"""&amp;Catalog!N154&amp;""",""identifier"":"""&amp;Catalog!C154&amp;"""}")</f>
        <v/>
      </c>
    </row>
    <row r="159" spans="1:4" x14ac:dyDescent="0.25">
      <c r="A159" s="24" t="str">
        <f>Catalog!A155</f>
        <v/>
      </c>
      <c r="B159" s="25">
        <f>Catalog!D155</f>
        <v>0</v>
      </c>
      <c r="C159" s="25">
        <f>Catalog!F155</f>
        <v>0</v>
      </c>
      <c r="D159" s="32" t="str">
        <f>IF(Catalog!D155="","","{""item_id"":"&amp;Catalog!A155&amp;",""title"":"""&amp;SUBSTITUTE(Catalog!D155,"""","\""")&amp;""",""creator"":"""&amp;SUBSTITUTE(Catalog!F155,"""","\""")&amp;""",""language"":"""&amp;Catalog!N155&amp;""",""identifier"":"""&amp;Catalog!C155&amp;"""}")</f>
        <v/>
      </c>
    </row>
    <row r="160" spans="1:4" x14ac:dyDescent="0.25">
      <c r="A160" s="24" t="str">
        <f>Catalog!A156</f>
        <v/>
      </c>
      <c r="B160" s="25">
        <f>Catalog!D156</f>
        <v>0</v>
      </c>
      <c r="C160" s="25">
        <f>Catalog!F156</f>
        <v>0</v>
      </c>
      <c r="D160" s="32" t="str">
        <f>IF(Catalog!D156="","","{""item_id"":"&amp;Catalog!A156&amp;",""title"":"""&amp;SUBSTITUTE(Catalog!D156,"""","\""")&amp;""",""creator"":"""&amp;SUBSTITUTE(Catalog!F156,"""","\""")&amp;""",""language"":"""&amp;Catalog!N156&amp;""",""identifier"":"""&amp;Catalog!C156&amp;"""}")</f>
        <v/>
      </c>
    </row>
    <row r="161" spans="1:4" x14ac:dyDescent="0.25">
      <c r="A161" s="24" t="str">
        <f>Catalog!A157</f>
        <v/>
      </c>
      <c r="B161" s="25">
        <f>Catalog!D157</f>
        <v>0</v>
      </c>
      <c r="C161" s="25">
        <f>Catalog!F157</f>
        <v>0</v>
      </c>
      <c r="D161" s="32" t="str">
        <f>IF(Catalog!D157="","","{""item_id"":"&amp;Catalog!A157&amp;",""title"":"""&amp;SUBSTITUTE(Catalog!D157,"""","\""")&amp;""",""creator"":"""&amp;SUBSTITUTE(Catalog!F157,"""","\""")&amp;""",""language"":"""&amp;Catalog!N157&amp;""",""identifier"":"""&amp;Catalog!C157&amp;"""}")</f>
        <v/>
      </c>
    </row>
    <row r="162" spans="1:4" x14ac:dyDescent="0.25">
      <c r="A162" s="24" t="str">
        <f>Catalog!A158</f>
        <v/>
      </c>
      <c r="B162" s="25">
        <f>Catalog!D158</f>
        <v>0</v>
      </c>
      <c r="C162" s="25">
        <f>Catalog!F158</f>
        <v>0</v>
      </c>
      <c r="D162" s="32" t="str">
        <f>IF(Catalog!D158="","","{""item_id"":"&amp;Catalog!A158&amp;",""title"":"""&amp;SUBSTITUTE(Catalog!D158,"""","\""")&amp;""",""creator"":"""&amp;SUBSTITUTE(Catalog!F158,"""","\""")&amp;""",""language"":"""&amp;Catalog!N158&amp;""",""identifier"":"""&amp;Catalog!C158&amp;"""}")</f>
        <v/>
      </c>
    </row>
    <row r="163" spans="1:4" x14ac:dyDescent="0.25">
      <c r="A163" s="24" t="str">
        <f>Catalog!A159</f>
        <v/>
      </c>
      <c r="B163" s="25">
        <f>Catalog!D159</f>
        <v>0</v>
      </c>
      <c r="C163" s="25">
        <f>Catalog!F159</f>
        <v>0</v>
      </c>
      <c r="D163" s="32" t="str">
        <f>IF(Catalog!D159="","","{""item_id"":"&amp;Catalog!A159&amp;",""title"":"""&amp;SUBSTITUTE(Catalog!D159,"""","\""")&amp;""",""creator"":"""&amp;SUBSTITUTE(Catalog!F159,"""","\""")&amp;""",""language"":"""&amp;Catalog!N159&amp;""",""identifier"":"""&amp;Catalog!C159&amp;"""}")</f>
        <v/>
      </c>
    </row>
    <row r="164" spans="1:4" x14ac:dyDescent="0.25">
      <c r="A164" s="24" t="str">
        <f>Catalog!A160</f>
        <v/>
      </c>
      <c r="B164" s="25">
        <f>Catalog!D160</f>
        <v>0</v>
      </c>
      <c r="C164" s="25">
        <f>Catalog!F160</f>
        <v>0</v>
      </c>
      <c r="D164" s="32" t="str">
        <f>IF(Catalog!D160="","","{""item_id"":"&amp;Catalog!A160&amp;",""title"":"""&amp;SUBSTITUTE(Catalog!D160,"""","\""")&amp;""",""creator"":"""&amp;SUBSTITUTE(Catalog!F160,"""","\""")&amp;""",""language"":"""&amp;Catalog!N160&amp;""",""identifier"":"""&amp;Catalog!C160&amp;"""}")</f>
        <v/>
      </c>
    </row>
    <row r="165" spans="1:4" x14ac:dyDescent="0.25">
      <c r="A165" s="24" t="str">
        <f>Catalog!A161</f>
        <v/>
      </c>
      <c r="B165" s="25">
        <f>Catalog!D161</f>
        <v>0</v>
      </c>
      <c r="C165" s="25">
        <f>Catalog!F161</f>
        <v>0</v>
      </c>
      <c r="D165" s="32" t="str">
        <f>IF(Catalog!D161="","","{""item_id"":"&amp;Catalog!A161&amp;",""title"":"""&amp;SUBSTITUTE(Catalog!D161,"""","\""")&amp;""",""creator"":"""&amp;SUBSTITUTE(Catalog!F161,"""","\""")&amp;""",""language"":"""&amp;Catalog!N161&amp;""",""identifier"":"""&amp;Catalog!C161&amp;"""}")</f>
        <v/>
      </c>
    </row>
    <row r="166" spans="1:4" x14ac:dyDescent="0.25">
      <c r="A166" s="24" t="str">
        <f>Catalog!A162</f>
        <v/>
      </c>
      <c r="B166" s="25">
        <f>Catalog!D162</f>
        <v>0</v>
      </c>
      <c r="C166" s="25">
        <f>Catalog!F162</f>
        <v>0</v>
      </c>
      <c r="D166" s="32" t="str">
        <f>IF(Catalog!D162="","","{""item_id"":"&amp;Catalog!A162&amp;",""title"":"""&amp;SUBSTITUTE(Catalog!D162,"""","\""")&amp;""",""creator"":"""&amp;SUBSTITUTE(Catalog!F162,"""","\""")&amp;""",""language"":"""&amp;Catalog!N162&amp;""",""identifier"":"""&amp;Catalog!C162&amp;"""}")</f>
        <v/>
      </c>
    </row>
    <row r="167" spans="1:4" x14ac:dyDescent="0.25">
      <c r="A167" s="24" t="str">
        <f>Catalog!A163</f>
        <v/>
      </c>
      <c r="B167" s="25">
        <f>Catalog!D163</f>
        <v>0</v>
      </c>
      <c r="C167" s="25">
        <f>Catalog!F163</f>
        <v>0</v>
      </c>
      <c r="D167" s="32" t="str">
        <f>IF(Catalog!D163="","","{""item_id"":"&amp;Catalog!A163&amp;",""title"":"""&amp;SUBSTITUTE(Catalog!D163,"""","\""")&amp;""",""creator"":"""&amp;SUBSTITUTE(Catalog!F163,"""","\""")&amp;""",""language"":"""&amp;Catalog!N163&amp;""",""identifier"":"""&amp;Catalog!C163&amp;"""}")</f>
        <v/>
      </c>
    </row>
    <row r="168" spans="1:4" x14ac:dyDescent="0.25">
      <c r="A168" s="24" t="str">
        <f>Catalog!A164</f>
        <v/>
      </c>
      <c r="B168" s="25">
        <f>Catalog!D164</f>
        <v>0</v>
      </c>
      <c r="C168" s="25">
        <f>Catalog!F164</f>
        <v>0</v>
      </c>
      <c r="D168" s="32" t="str">
        <f>IF(Catalog!D164="","","{""item_id"":"&amp;Catalog!A164&amp;",""title"":"""&amp;SUBSTITUTE(Catalog!D164,"""","\""")&amp;""",""creator"":"""&amp;SUBSTITUTE(Catalog!F164,"""","\""")&amp;""",""language"":"""&amp;Catalog!N164&amp;""",""identifier"":"""&amp;Catalog!C164&amp;"""}")</f>
        <v/>
      </c>
    </row>
    <row r="169" spans="1:4" x14ac:dyDescent="0.25">
      <c r="A169" s="24" t="str">
        <f>Catalog!A165</f>
        <v/>
      </c>
      <c r="B169" s="25">
        <f>Catalog!D165</f>
        <v>0</v>
      </c>
      <c r="C169" s="25">
        <f>Catalog!F165</f>
        <v>0</v>
      </c>
      <c r="D169" s="32" t="str">
        <f>IF(Catalog!D165="","","{""item_id"":"&amp;Catalog!A165&amp;",""title"":"""&amp;SUBSTITUTE(Catalog!D165,"""","\""")&amp;""",""creator"":"""&amp;SUBSTITUTE(Catalog!F165,"""","\""")&amp;""",""language"":"""&amp;Catalog!N165&amp;""",""identifier"":"""&amp;Catalog!C165&amp;"""}")</f>
        <v/>
      </c>
    </row>
    <row r="170" spans="1:4" x14ac:dyDescent="0.25">
      <c r="A170" s="24" t="str">
        <f>Catalog!A166</f>
        <v/>
      </c>
      <c r="B170" s="25">
        <f>Catalog!D166</f>
        <v>0</v>
      </c>
      <c r="C170" s="25">
        <f>Catalog!F166</f>
        <v>0</v>
      </c>
      <c r="D170" s="32" t="str">
        <f>IF(Catalog!D166="","","{""item_id"":"&amp;Catalog!A166&amp;",""title"":"""&amp;SUBSTITUTE(Catalog!D166,"""","\""")&amp;""",""creator"":"""&amp;SUBSTITUTE(Catalog!F166,"""","\""")&amp;""",""language"":"""&amp;Catalog!N166&amp;""",""identifier"":"""&amp;Catalog!C166&amp;"""}")</f>
        <v/>
      </c>
    </row>
    <row r="171" spans="1:4" x14ac:dyDescent="0.25">
      <c r="A171" s="24" t="str">
        <f>Catalog!A167</f>
        <v/>
      </c>
      <c r="B171" s="25">
        <f>Catalog!D167</f>
        <v>0</v>
      </c>
      <c r="C171" s="25">
        <f>Catalog!F167</f>
        <v>0</v>
      </c>
      <c r="D171" s="32" t="str">
        <f>IF(Catalog!D167="","","{""item_id"":"&amp;Catalog!A167&amp;",""title"":"""&amp;SUBSTITUTE(Catalog!D167,"""","\""")&amp;""",""creator"":"""&amp;SUBSTITUTE(Catalog!F167,"""","\""")&amp;""",""language"":"""&amp;Catalog!N167&amp;""",""identifier"":"""&amp;Catalog!C167&amp;"""}")</f>
        <v/>
      </c>
    </row>
    <row r="172" spans="1:4" x14ac:dyDescent="0.25">
      <c r="A172" s="24" t="str">
        <f>Catalog!A168</f>
        <v/>
      </c>
      <c r="B172" s="25">
        <f>Catalog!D168</f>
        <v>0</v>
      </c>
      <c r="C172" s="25">
        <f>Catalog!F168</f>
        <v>0</v>
      </c>
      <c r="D172" s="32" t="str">
        <f>IF(Catalog!D168="","","{""item_id"":"&amp;Catalog!A168&amp;",""title"":"""&amp;SUBSTITUTE(Catalog!D168,"""","\""")&amp;""",""creator"":"""&amp;SUBSTITUTE(Catalog!F168,"""","\""")&amp;""",""language"":"""&amp;Catalog!N168&amp;""",""identifier"":"""&amp;Catalog!C168&amp;"""}")</f>
        <v/>
      </c>
    </row>
    <row r="173" spans="1:4" x14ac:dyDescent="0.25">
      <c r="A173" s="24" t="str">
        <f>Catalog!A169</f>
        <v/>
      </c>
      <c r="B173" s="25">
        <f>Catalog!D169</f>
        <v>0</v>
      </c>
      <c r="C173" s="25">
        <f>Catalog!F169</f>
        <v>0</v>
      </c>
      <c r="D173" s="32" t="str">
        <f>IF(Catalog!D169="","","{""item_id"":"&amp;Catalog!A169&amp;",""title"":"""&amp;SUBSTITUTE(Catalog!D169,"""","\""")&amp;""",""creator"":"""&amp;SUBSTITUTE(Catalog!F169,"""","\""")&amp;""",""language"":"""&amp;Catalog!N169&amp;""",""identifier"":"""&amp;Catalog!C169&amp;"""}")</f>
        <v/>
      </c>
    </row>
    <row r="174" spans="1:4" x14ac:dyDescent="0.25">
      <c r="A174" s="24" t="str">
        <f>Catalog!A170</f>
        <v/>
      </c>
      <c r="B174" s="25">
        <f>Catalog!D170</f>
        <v>0</v>
      </c>
      <c r="C174" s="25">
        <f>Catalog!F170</f>
        <v>0</v>
      </c>
      <c r="D174" s="32" t="str">
        <f>IF(Catalog!D170="","","{""item_id"":"&amp;Catalog!A170&amp;",""title"":"""&amp;SUBSTITUTE(Catalog!D170,"""","\""")&amp;""",""creator"":"""&amp;SUBSTITUTE(Catalog!F170,"""","\""")&amp;""",""language"":"""&amp;Catalog!N170&amp;""",""identifier"":"""&amp;Catalog!C170&amp;"""}")</f>
        <v/>
      </c>
    </row>
    <row r="175" spans="1:4" x14ac:dyDescent="0.25">
      <c r="A175" s="24" t="str">
        <f>Catalog!A171</f>
        <v/>
      </c>
      <c r="B175" s="25">
        <f>Catalog!D171</f>
        <v>0</v>
      </c>
      <c r="C175" s="25">
        <f>Catalog!F171</f>
        <v>0</v>
      </c>
      <c r="D175" s="32" t="str">
        <f>IF(Catalog!D171="","","{""item_id"":"&amp;Catalog!A171&amp;",""title"":"""&amp;SUBSTITUTE(Catalog!D171,"""","\""")&amp;""",""creator"":"""&amp;SUBSTITUTE(Catalog!F171,"""","\""")&amp;""",""language"":"""&amp;Catalog!N171&amp;""",""identifier"":"""&amp;Catalog!C171&amp;"""}")</f>
        <v/>
      </c>
    </row>
    <row r="176" spans="1:4" x14ac:dyDescent="0.25">
      <c r="A176" s="24" t="str">
        <f>Catalog!A172</f>
        <v/>
      </c>
      <c r="B176" s="25">
        <f>Catalog!D172</f>
        <v>0</v>
      </c>
      <c r="C176" s="25">
        <f>Catalog!F172</f>
        <v>0</v>
      </c>
      <c r="D176" s="32" t="str">
        <f>IF(Catalog!D172="","","{""item_id"":"&amp;Catalog!A172&amp;",""title"":"""&amp;SUBSTITUTE(Catalog!D172,"""","\""")&amp;""",""creator"":"""&amp;SUBSTITUTE(Catalog!F172,"""","\""")&amp;""",""language"":"""&amp;Catalog!N172&amp;""",""identifier"":"""&amp;Catalog!C172&amp;"""}")</f>
        <v/>
      </c>
    </row>
    <row r="177" spans="1:4" x14ac:dyDescent="0.25">
      <c r="A177" s="24" t="str">
        <f>Catalog!A173</f>
        <v/>
      </c>
      <c r="B177" s="25">
        <f>Catalog!D173</f>
        <v>0</v>
      </c>
      <c r="C177" s="25">
        <f>Catalog!F173</f>
        <v>0</v>
      </c>
      <c r="D177" s="32" t="str">
        <f>IF(Catalog!D173="","","{""item_id"":"&amp;Catalog!A173&amp;",""title"":"""&amp;SUBSTITUTE(Catalog!D173,"""","\""")&amp;""",""creator"":"""&amp;SUBSTITUTE(Catalog!F173,"""","\""")&amp;""",""language"":"""&amp;Catalog!N173&amp;""",""identifier"":"""&amp;Catalog!C173&amp;"""}")</f>
        <v/>
      </c>
    </row>
    <row r="178" spans="1:4" x14ac:dyDescent="0.25">
      <c r="A178" s="24" t="str">
        <f>Catalog!A174</f>
        <v/>
      </c>
      <c r="B178" s="25">
        <f>Catalog!D174</f>
        <v>0</v>
      </c>
      <c r="C178" s="25">
        <f>Catalog!F174</f>
        <v>0</v>
      </c>
      <c r="D178" s="32" t="str">
        <f>IF(Catalog!D174="","","{""item_id"":"&amp;Catalog!A174&amp;",""title"":"""&amp;SUBSTITUTE(Catalog!D174,"""","\""")&amp;""",""creator"":"""&amp;SUBSTITUTE(Catalog!F174,"""","\""")&amp;""",""language"":"""&amp;Catalog!N174&amp;""",""identifier"":"""&amp;Catalog!C174&amp;"""}")</f>
        <v/>
      </c>
    </row>
    <row r="179" spans="1:4" x14ac:dyDescent="0.25">
      <c r="A179" s="24" t="str">
        <f>Catalog!A175</f>
        <v/>
      </c>
      <c r="B179" s="25">
        <f>Catalog!D175</f>
        <v>0</v>
      </c>
      <c r="C179" s="25">
        <f>Catalog!F175</f>
        <v>0</v>
      </c>
      <c r="D179" s="32" t="str">
        <f>IF(Catalog!D175="","","{""item_id"":"&amp;Catalog!A175&amp;",""title"":"""&amp;SUBSTITUTE(Catalog!D175,"""","\""")&amp;""",""creator"":"""&amp;SUBSTITUTE(Catalog!F175,"""","\""")&amp;""",""language"":"""&amp;Catalog!N175&amp;""",""identifier"":"""&amp;Catalog!C175&amp;"""}")</f>
        <v/>
      </c>
    </row>
    <row r="180" spans="1:4" x14ac:dyDescent="0.25">
      <c r="A180" s="24" t="str">
        <f>Catalog!A176</f>
        <v/>
      </c>
      <c r="B180" s="25">
        <f>Catalog!D176</f>
        <v>0</v>
      </c>
      <c r="C180" s="25">
        <f>Catalog!F176</f>
        <v>0</v>
      </c>
      <c r="D180" s="32" t="str">
        <f>IF(Catalog!D176="","","{""item_id"":"&amp;Catalog!A176&amp;",""title"":"""&amp;SUBSTITUTE(Catalog!D176,"""","\""")&amp;""",""creator"":"""&amp;SUBSTITUTE(Catalog!F176,"""","\""")&amp;""",""language"":"""&amp;Catalog!N176&amp;""",""identifier"":"""&amp;Catalog!C176&amp;"""}")</f>
        <v/>
      </c>
    </row>
    <row r="181" spans="1:4" x14ac:dyDescent="0.25">
      <c r="A181" s="24" t="str">
        <f>Catalog!A177</f>
        <v/>
      </c>
      <c r="B181" s="25">
        <f>Catalog!D177</f>
        <v>0</v>
      </c>
      <c r="C181" s="25">
        <f>Catalog!F177</f>
        <v>0</v>
      </c>
      <c r="D181" s="32" t="str">
        <f>IF(Catalog!D177="","","{""item_id"":"&amp;Catalog!A177&amp;",""title"":"""&amp;SUBSTITUTE(Catalog!D177,"""","\""")&amp;""",""creator"":"""&amp;SUBSTITUTE(Catalog!F177,"""","\""")&amp;""",""language"":"""&amp;Catalog!N177&amp;""",""identifier"":"""&amp;Catalog!C177&amp;"""}")</f>
        <v/>
      </c>
    </row>
    <row r="182" spans="1:4" x14ac:dyDescent="0.25">
      <c r="A182" s="24" t="str">
        <f>Catalog!A178</f>
        <v/>
      </c>
      <c r="B182" s="25">
        <f>Catalog!D178</f>
        <v>0</v>
      </c>
      <c r="C182" s="25">
        <f>Catalog!F178</f>
        <v>0</v>
      </c>
      <c r="D182" s="32" t="str">
        <f>IF(Catalog!D178="","","{""item_id"":"&amp;Catalog!A178&amp;",""title"":"""&amp;SUBSTITUTE(Catalog!D178,"""","\""")&amp;""",""creator"":"""&amp;SUBSTITUTE(Catalog!F178,"""","\""")&amp;""",""language"":"""&amp;Catalog!N178&amp;""",""identifier"":"""&amp;Catalog!C178&amp;"""}")</f>
        <v/>
      </c>
    </row>
    <row r="183" spans="1:4" x14ac:dyDescent="0.25">
      <c r="A183" s="24" t="str">
        <f>Catalog!A179</f>
        <v/>
      </c>
      <c r="B183" s="25">
        <f>Catalog!D179</f>
        <v>0</v>
      </c>
      <c r="C183" s="25">
        <f>Catalog!F179</f>
        <v>0</v>
      </c>
      <c r="D183" s="32" t="str">
        <f>IF(Catalog!D179="","","{""item_id"":"&amp;Catalog!A179&amp;",""title"":"""&amp;SUBSTITUTE(Catalog!D179,"""","\""")&amp;""",""creator"":"""&amp;SUBSTITUTE(Catalog!F179,"""","\""")&amp;""",""language"":"""&amp;Catalog!N179&amp;""",""identifier"":"""&amp;Catalog!C179&amp;"""}")</f>
        <v/>
      </c>
    </row>
    <row r="184" spans="1:4" x14ac:dyDescent="0.25">
      <c r="A184" s="24" t="str">
        <f>Catalog!A180</f>
        <v/>
      </c>
      <c r="B184" s="25">
        <f>Catalog!D180</f>
        <v>0</v>
      </c>
      <c r="C184" s="25">
        <f>Catalog!F180</f>
        <v>0</v>
      </c>
      <c r="D184" s="32" t="str">
        <f>IF(Catalog!D180="","","{""item_id"":"&amp;Catalog!A180&amp;",""title"":"""&amp;SUBSTITUTE(Catalog!D180,"""","\""")&amp;""",""creator"":"""&amp;SUBSTITUTE(Catalog!F180,"""","\""")&amp;""",""language"":"""&amp;Catalog!N180&amp;""",""identifier"":"""&amp;Catalog!C180&amp;"""}")</f>
        <v/>
      </c>
    </row>
    <row r="185" spans="1:4" x14ac:dyDescent="0.25">
      <c r="A185" s="24" t="str">
        <f>Catalog!A181</f>
        <v/>
      </c>
      <c r="B185" s="25">
        <f>Catalog!D181</f>
        <v>0</v>
      </c>
      <c r="C185" s="25">
        <f>Catalog!F181</f>
        <v>0</v>
      </c>
      <c r="D185" s="32" t="str">
        <f>IF(Catalog!D181="","","{""item_id"":"&amp;Catalog!A181&amp;",""title"":"""&amp;SUBSTITUTE(Catalog!D181,"""","\""")&amp;""",""creator"":"""&amp;SUBSTITUTE(Catalog!F181,"""","\""")&amp;""",""language"":"""&amp;Catalog!N181&amp;""",""identifier"":"""&amp;Catalog!C181&amp;"""}")</f>
        <v/>
      </c>
    </row>
    <row r="186" spans="1:4" x14ac:dyDescent="0.25">
      <c r="A186" s="24" t="str">
        <f>Catalog!A182</f>
        <v/>
      </c>
      <c r="B186" s="25">
        <f>Catalog!D182</f>
        <v>0</v>
      </c>
      <c r="C186" s="25">
        <f>Catalog!F182</f>
        <v>0</v>
      </c>
      <c r="D186" s="32" t="str">
        <f>IF(Catalog!D182="","","{""item_id"":"&amp;Catalog!A182&amp;",""title"":"""&amp;SUBSTITUTE(Catalog!D182,"""","\""")&amp;""",""creator"":"""&amp;SUBSTITUTE(Catalog!F182,"""","\""")&amp;""",""language"":"""&amp;Catalog!N182&amp;""",""identifier"":"""&amp;Catalog!C182&amp;"""}")</f>
        <v/>
      </c>
    </row>
    <row r="187" spans="1:4" x14ac:dyDescent="0.25">
      <c r="A187" s="24" t="str">
        <f>Catalog!A183</f>
        <v/>
      </c>
      <c r="B187" s="25">
        <f>Catalog!D183</f>
        <v>0</v>
      </c>
      <c r="C187" s="25">
        <f>Catalog!F183</f>
        <v>0</v>
      </c>
      <c r="D187" s="32" t="str">
        <f>IF(Catalog!D183="","","{""item_id"":"&amp;Catalog!A183&amp;",""title"":"""&amp;SUBSTITUTE(Catalog!D183,"""","\""")&amp;""",""creator"":"""&amp;SUBSTITUTE(Catalog!F183,"""","\""")&amp;""",""language"":"""&amp;Catalog!N183&amp;""",""identifier"":"""&amp;Catalog!C183&amp;"""}")</f>
        <v/>
      </c>
    </row>
    <row r="188" spans="1:4" x14ac:dyDescent="0.25">
      <c r="A188" s="24" t="str">
        <f>Catalog!A184</f>
        <v/>
      </c>
      <c r="B188" s="25">
        <f>Catalog!D184</f>
        <v>0</v>
      </c>
      <c r="C188" s="25">
        <f>Catalog!F184</f>
        <v>0</v>
      </c>
      <c r="D188" s="32" t="str">
        <f>IF(Catalog!D184="","","{""item_id"":"&amp;Catalog!A184&amp;",""title"":"""&amp;SUBSTITUTE(Catalog!D184,"""","\""")&amp;""",""creator"":"""&amp;SUBSTITUTE(Catalog!F184,"""","\""")&amp;""",""language"":"""&amp;Catalog!N184&amp;""",""identifier"":"""&amp;Catalog!C184&amp;"""}")</f>
        <v/>
      </c>
    </row>
    <row r="189" spans="1:4" x14ac:dyDescent="0.25">
      <c r="A189" s="24" t="str">
        <f>Catalog!A185</f>
        <v/>
      </c>
      <c r="B189" s="25">
        <f>Catalog!D185</f>
        <v>0</v>
      </c>
      <c r="C189" s="25">
        <f>Catalog!F185</f>
        <v>0</v>
      </c>
      <c r="D189" s="32" t="str">
        <f>IF(Catalog!D185="","","{""item_id"":"&amp;Catalog!A185&amp;",""title"":"""&amp;SUBSTITUTE(Catalog!D185,"""","\""")&amp;""",""creator"":"""&amp;SUBSTITUTE(Catalog!F185,"""","\""")&amp;""",""language"":"""&amp;Catalog!N185&amp;""",""identifier"":"""&amp;Catalog!C185&amp;"""}")</f>
        <v/>
      </c>
    </row>
    <row r="190" spans="1:4" x14ac:dyDescent="0.25">
      <c r="A190" s="24" t="str">
        <f>Catalog!A186</f>
        <v/>
      </c>
      <c r="B190" s="25">
        <f>Catalog!D186</f>
        <v>0</v>
      </c>
      <c r="C190" s="25">
        <f>Catalog!F186</f>
        <v>0</v>
      </c>
      <c r="D190" s="32" t="str">
        <f>IF(Catalog!D186="","","{""item_id"":"&amp;Catalog!A186&amp;",""title"":"""&amp;SUBSTITUTE(Catalog!D186,"""","\""")&amp;""",""creator"":"""&amp;SUBSTITUTE(Catalog!F186,"""","\""")&amp;""",""language"":"""&amp;Catalog!N186&amp;""",""identifier"":"""&amp;Catalog!C186&amp;"""}")</f>
        <v/>
      </c>
    </row>
    <row r="191" spans="1:4" x14ac:dyDescent="0.25">
      <c r="A191" s="24" t="str">
        <f>Catalog!A187</f>
        <v/>
      </c>
      <c r="B191" s="25">
        <f>Catalog!D187</f>
        <v>0</v>
      </c>
      <c r="C191" s="25">
        <f>Catalog!F187</f>
        <v>0</v>
      </c>
      <c r="D191" s="32" t="str">
        <f>IF(Catalog!D187="","","{""item_id"":"&amp;Catalog!A187&amp;",""title"":"""&amp;SUBSTITUTE(Catalog!D187,"""","\""")&amp;""",""creator"":"""&amp;SUBSTITUTE(Catalog!F187,"""","\""")&amp;""",""language"":"""&amp;Catalog!N187&amp;""",""identifier"":"""&amp;Catalog!C187&amp;"""}")</f>
        <v/>
      </c>
    </row>
    <row r="192" spans="1:4" x14ac:dyDescent="0.25">
      <c r="A192" s="24" t="str">
        <f>Catalog!A188</f>
        <v/>
      </c>
      <c r="B192" s="25">
        <f>Catalog!D188</f>
        <v>0</v>
      </c>
      <c r="C192" s="25">
        <f>Catalog!F188</f>
        <v>0</v>
      </c>
      <c r="D192" s="32" t="str">
        <f>IF(Catalog!D188="","","{""item_id"":"&amp;Catalog!A188&amp;",""title"":"""&amp;SUBSTITUTE(Catalog!D188,"""","\""")&amp;""",""creator"":"""&amp;SUBSTITUTE(Catalog!F188,"""","\""")&amp;""",""language"":"""&amp;Catalog!N188&amp;""",""identifier"":"""&amp;Catalog!C188&amp;"""}")</f>
        <v/>
      </c>
    </row>
    <row r="193" spans="1:4" x14ac:dyDescent="0.25">
      <c r="A193" s="24" t="str">
        <f>Catalog!A189</f>
        <v/>
      </c>
      <c r="B193" s="25">
        <f>Catalog!D189</f>
        <v>0</v>
      </c>
      <c r="C193" s="25">
        <f>Catalog!F189</f>
        <v>0</v>
      </c>
      <c r="D193" s="32" t="str">
        <f>IF(Catalog!D189="","","{""item_id"":"&amp;Catalog!A189&amp;",""title"":"""&amp;SUBSTITUTE(Catalog!D189,"""","\""")&amp;""",""creator"":"""&amp;SUBSTITUTE(Catalog!F189,"""","\""")&amp;""",""language"":"""&amp;Catalog!N189&amp;""",""identifier"":"""&amp;Catalog!C189&amp;"""}")</f>
        <v/>
      </c>
    </row>
    <row r="194" spans="1:4" x14ac:dyDescent="0.25">
      <c r="A194" s="24" t="str">
        <f>Catalog!A190</f>
        <v/>
      </c>
      <c r="B194" s="25">
        <f>Catalog!D190</f>
        <v>0</v>
      </c>
      <c r="C194" s="25">
        <f>Catalog!F190</f>
        <v>0</v>
      </c>
      <c r="D194" s="32" t="str">
        <f>IF(Catalog!D190="","","{""item_id"":"&amp;Catalog!A190&amp;",""title"":"""&amp;SUBSTITUTE(Catalog!D190,"""","\""")&amp;""",""creator"":"""&amp;SUBSTITUTE(Catalog!F190,"""","\""")&amp;""",""language"":"""&amp;Catalog!N190&amp;""",""identifier"":"""&amp;Catalog!C190&amp;"""}")</f>
        <v/>
      </c>
    </row>
    <row r="195" spans="1:4" x14ac:dyDescent="0.25">
      <c r="A195" s="24" t="str">
        <f>Catalog!A191</f>
        <v/>
      </c>
      <c r="B195" s="25">
        <f>Catalog!D191</f>
        <v>0</v>
      </c>
      <c r="C195" s="25">
        <f>Catalog!F191</f>
        <v>0</v>
      </c>
      <c r="D195" s="32" t="str">
        <f>IF(Catalog!D191="","","{""item_id"":"&amp;Catalog!A191&amp;",""title"":"""&amp;SUBSTITUTE(Catalog!D191,"""","\""")&amp;""",""creator"":"""&amp;SUBSTITUTE(Catalog!F191,"""","\""")&amp;""",""language"":"""&amp;Catalog!N191&amp;""",""identifier"":"""&amp;Catalog!C191&amp;"""}")</f>
        <v/>
      </c>
    </row>
    <row r="196" spans="1:4" x14ac:dyDescent="0.25">
      <c r="A196" s="24" t="str">
        <f>Catalog!A192</f>
        <v/>
      </c>
      <c r="B196" s="25">
        <f>Catalog!D192</f>
        <v>0</v>
      </c>
      <c r="C196" s="25">
        <f>Catalog!F192</f>
        <v>0</v>
      </c>
      <c r="D196" s="32" t="str">
        <f>IF(Catalog!D192="","","{""item_id"":"&amp;Catalog!A192&amp;",""title"":"""&amp;SUBSTITUTE(Catalog!D192,"""","\""")&amp;""",""creator"":"""&amp;SUBSTITUTE(Catalog!F192,"""","\""")&amp;""",""language"":"""&amp;Catalog!N192&amp;""",""identifier"":"""&amp;Catalog!C192&amp;"""}")</f>
        <v/>
      </c>
    </row>
    <row r="197" spans="1:4" x14ac:dyDescent="0.25">
      <c r="A197" s="24" t="str">
        <f>Catalog!A193</f>
        <v/>
      </c>
      <c r="B197" s="25">
        <f>Catalog!D193</f>
        <v>0</v>
      </c>
      <c r="C197" s="25">
        <f>Catalog!F193</f>
        <v>0</v>
      </c>
      <c r="D197" s="32" t="str">
        <f>IF(Catalog!D193="","","{""item_id"":"&amp;Catalog!A193&amp;",""title"":"""&amp;SUBSTITUTE(Catalog!D193,"""","\""")&amp;""",""creator"":"""&amp;SUBSTITUTE(Catalog!F193,"""","\""")&amp;""",""language"":"""&amp;Catalog!N193&amp;""",""identifier"":"""&amp;Catalog!C193&amp;"""}")</f>
        <v/>
      </c>
    </row>
    <row r="198" spans="1:4" x14ac:dyDescent="0.25">
      <c r="A198" s="24" t="str">
        <f>Catalog!A194</f>
        <v/>
      </c>
      <c r="B198" s="25">
        <f>Catalog!D194</f>
        <v>0</v>
      </c>
      <c r="C198" s="25">
        <f>Catalog!F194</f>
        <v>0</v>
      </c>
      <c r="D198" s="32" t="str">
        <f>IF(Catalog!D194="","","{""item_id"":"&amp;Catalog!A194&amp;",""title"":"""&amp;SUBSTITUTE(Catalog!D194,"""","\""")&amp;""",""creator"":"""&amp;SUBSTITUTE(Catalog!F194,"""","\""")&amp;""",""language"":"""&amp;Catalog!N194&amp;""",""identifier"":"""&amp;Catalog!C194&amp;"""}")</f>
        <v/>
      </c>
    </row>
    <row r="199" spans="1:4" x14ac:dyDescent="0.25">
      <c r="A199" s="24" t="str">
        <f>Catalog!A195</f>
        <v/>
      </c>
      <c r="B199" s="25">
        <f>Catalog!D195</f>
        <v>0</v>
      </c>
      <c r="C199" s="25">
        <f>Catalog!F195</f>
        <v>0</v>
      </c>
      <c r="D199" s="32" t="str">
        <f>IF(Catalog!D195="","","{""item_id"":"&amp;Catalog!A195&amp;",""title"":"""&amp;SUBSTITUTE(Catalog!D195,"""","\""")&amp;""",""creator"":"""&amp;SUBSTITUTE(Catalog!F195,"""","\""")&amp;""",""language"":"""&amp;Catalog!N195&amp;""",""identifier"":"""&amp;Catalog!C195&amp;"""}")</f>
        <v/>
      </c>
    </row>
    <row r="200" spans="1:4" x14ac:dyDescent="0.25">
      <c r="A200" s="24" t="str">
        <f>Catalog!A196</f>
        <v/>
      </c>
      <c r="B200" s="25">
        <f>Catalog!D196</f>
        <v>0</v>
      </c>
      <c r="C200" s="25">
        <f>Catalog!F196</f>
        <v>0</v>
      </c>
      <c r="D200" s="32" t="str">
        <f>IF(Catalog!D196="","","{""item_id"":"&amp;Catalog!A196&amp;",""title"":"""&amp;SUBSTITUTE(Catalog!D196,"""","\""")&amp;""",""creator"":"""&amp;SUBSTITUTE(Catalog!F196,"""","\""")&amp;""",""language"":"""&amp;Catalog!N196&amp;""",""identifier"":"""&amp;Catalog!C196&amp;"""}")</f>
        <v/>
      </c>
    </row>
    <row r="201" spans="1:4" x14ac:dyDescent="0.25">
      <c r="A201" s="24" t="str">
        <f>Catalog!A197</f>
        <v/>
      </c>
      <c r="B201" s="25">
        <f>Catalog!D197</f>
        <v>0</v>
      </c>
      <c r="C201" s="25">
        <f>Catalog!F197</f>
        <v>0</v>
      </c>
      <c r="D201" s="32" t="str">
        <f>IF(Catalog!D197="","","{""item_id"":"&amp;Catalog!A197&amp;",""title"":"""&amp;SUBSTITUTE(Catalog!D197,"""","\""")&amp;""",""creator"":"""&amp;SUBSTITUTE(Catalog!F197,"""","\""")&amp;""",""language"":"""&amp;Catalog!N197&amp;""",""identifier"":"""&amp;Catalog!C197&amp;"""}")</f>
        <v/>
      </c>
    </row>
    <row r="202" spans="1:4" x14ac:dyDescent="0.25">
      <c r="A202" s="24" t="str">
        <f>Catalog!A198</f>
        <v/>
      </c>
      <c r="B202" s="25">
        <f>Catalog!D198</f>
        <v>0</v>
      </c>
      <c r="C202" s="25">
        <f>Catalog!F198</f>
        <v>0</v>
      </c>
      <c r="D202" s="32" t="str">
        <f>IF(Catalog!D198="","","{""item_id"":"&amp;Catalog!A198&amp;",""title"":"""&amp;SUBSTITUTE(Catalog!D198,"""","\""")&amp;""",""creator"":"""&amp;SUBSTITUTE(Catalog!F198,"""","\""")&amp;""",""language"":"""&amp;Catalog!N198&amp;""",""identifier"":"""&amp;Catalog!C198&amp;"""}")</f>
        <v/>
      </c>
    </row>
    <row r="203" spans="1:4" x14ac:dyDescent="0.25">
      <c r="A203" s="24" t="str">
        <f>Catalog!A199</f>
        <v/>
      </c>
      <c r="B203" s="25">
        <f>Catalog!D199</f>
        <v>0</v>
      </c>
      <c r="C203" s="25">
        <f>Catalog!F199</f>
        <v>0</v>
      </c>
      <c r="D203" s="32" t="str">
        <f>IF(Catalog!D199="","","{""item_id"":"&amp;Catalog!A199&amp;",""title"":"""&amp;SUBSTITUTE(Catalog!D199,"""","\""")&amp;""",""creator"":"""&amp;SUBSTITUTE(Catalog!F199,"""","\""")&amp;""",""language"":"""&amp;Catalog!N199&amp;""",""identifier"":"""&amp;Catalog!C199&amp;"""}")</f>
        <v/>
      </c>
    </row>
    <row r="204" spans="1:4" x14ac:dyDescent="0.25">
      <c r="A204" s="24" t="str">
        <f>Catalog!A200</f>
        <v/>
      </c>
      <c r="B204" s="25">
        <f>Catalog!D200</f>
        <v>0</v>
      </c>
      <c r="C204" s="25">
        <f>Catalog!F200</f>
        <v>0</v>
      </c>
      <c r="D204" s="32" t="str">
        <f>IF(Catalog!D200="","","{""item_id"":"&amp;Catalog!A200&amp;",""title"":"""&amp;SUBSTITUTE(Catalog!D200,"""","\""")&amp;""",""creator"":"""&amp;SUBSTITUTE(Catalog!F200,"""","\""")&amp;""",""language"":"""&amp;Catalog!N200&amp;""",""identifier"":"""&amp;Catalog!C200&amp;"""}")</f>
        <v/>
      </c>
    </row>
    <row r="205" spans="1:4" x14ac:dyDescent="0.25">
      <c r="A205" s="24" t="str">
        <f>Catalog!A201</f>
        <v/>
      </c>
      <c r="B205" s="25">
        <f>Catalog!D201</f>
        <v>0</v>
      </c>
      <c r="C205" s="25">
        <f>Catalog!F201</f>
        <v>0</v>
      </c>
      <c r="D205" s="32" t="str">
        <f>IF(Catalog!D201="","","{""item_id"":"&amp;Catalog!A201&amp;",""title"":"""&amp;SUBSTITUTE(Catalog!D201,"""","\""")&amp;""",""creator"":"""&amp;SUBSTITUTE(Catalog!F201,"""","\""")&amp;""",""language"":"""&amp;Catalog!N201&amp;""",""identifier"":"""&amp;Catalog!C201&amp;"""}")</f>
        <v/>
      </c>
    </row>
    <row r="206" spans="1:4" x14ac:dyDescent="0.25">
      <c r="A206" s="24" t="str">
        <f>Catalog!A202</f>
        <v/>
      </c>
      <c r="B206" s="25">
        <f>Catalog!D202</f>
        <v>0</v>
      </c>
      <c r="C206" s="25">
        <f>Catalog!F202</f>
        <v>0</v>
      </c>
      <c r="D206" s="32" t="str">
        <f>IF(Catalog!D202="","","{""item_id"":"&amp;Catalog!A202&amp;",""title"":"""&amp;SUBSTITUTE(Catalog!D202,"""","\""")&amp;""",""creator"":"""&amp;SUBSTITUTE(Catalog!F202,"""","\""")&amp;""",""language"":"""&amp;Catalog!N202&amp;""",""identifier"":"""&amp;Catalog!C202&amp;"""}")</f>
        <v/>
      </c>
    </row>
    <row r="207" spans="1:4" x14ac:dyDescent="0.25">
      <c r="A207" s="24" t="str">
        <f>Catalog!A203</f>
        <v/>
      </c>
      <c r="B207" s="25">
        <f>Catalog!D203</f>
        <v>0</v>
      </c>
      <c r="C207" s="25">
        <f>Catalog!F203</f>
        <v>0</v>
      </c>
      <c r="D207" s="32" t="str">
        <f>IF(Catalog!D203="","","{""item_id"":"&amp;Catalog!A203&amp;",""title"":"""&amp;SUBSTITUTE(Catalog!D203,"""","\""")&amp;""",""creator"":"""&amp;SUBSTITUTE(Catalog!F203,"""","\""")&amp;""",""language"":"""&amp;Catalog!N203&amp;""",""identifier"":"""&amp;Catalog!C203&amp;"""}")</f>
        <v/>
      </c>
    </row>
    <row r="208" spans="1:4" x14ac:dyDescent="0.25">
      <c r="A208" s="24" t="str">
        <f>Catalog!A204</f>
        <v/>
      </c>
      <c r="B208" s="25">
        <f>Catalog!D204</f>
        <v>0</v>
      </c>
      <c r="C208" s="25">
        <f>Catalog!F204</f>
        <v>0</v>
      </c>
      <c r="D208" s="32" t="str">
        <f>IF(Catalog!D204="","","{""item_id"":"&amp;Catalog!A204&amp;",""title"":"""&amp;SUBSTITUTE(Catalog!D204,"""","\""")&amp;""",""creator"":"""&amp;SUBSTITUTE(Catalog!F204,"""","\""")&amp;""",""language"":"""&amp;Catalog!N204&amp;""",""identifier"":"""&amp;Catalog!C204&amp;"""}")</f>
        <v/>
      </c>
    </row>
    <row r="209" spans="1:4" x14ac:dyDescent="0.25">
      <c r="A209" s="24" t="str">
        <f>Catalog!A205</f>
        <v/>
      </c>
      <c r="B209" s="25">
        <f>Catalog!D205</f>
        <v>0</v>
      </c>
      <c r="C209" s="25">
        <f>Catalog!F205</f>
        <v>0</v>
      </c>
      <c r="D209" s="32" t="str">
        <f>IF(Catalog!D205="","","{""item_id"":"&amp;Catalog!A205&amp;",""title"":"""&amp;SUBSTITUTE(Catalog!D205,"""","\""")&amp;""",""creator"":"""&amp;SUBSTITUTE(Catalog!F205,"""","\""")&amp;""",""language"":"""&amp;Catalog!N205&amp;""",""identifier"":"""&amp;Catalog!C205&amp;"""}")</f>
        <v/>
      </c>
    </row>
    <row r="210" spans="1:4" x14ac:dyDescent="0.25">
      <c r="A210" s="24" t="str">
        <f>Catalog!A206</f>
        <v/>
      </c>
      <c r="B210" s="25">
        <f>Catalog!D206</f>
        <v>0</v>
      </c>
      <c r="C210" s="25">
        <f>Catalog!F206</f>
        <v>0</v>
      </c>
      <c r="D210" s="32" t="str">
        <f>IF(Catalog!D206="","","{""item_id"":"&amp;Catalog!A206&amp;",""title"":"""&amp;SUBSTITUTE(Catalog!D206,"""","\""")&amp;""",""creator"":"""&amp;SUBSTITUTE(Catalog!F206,"""","\""")&amp;""",""language"":"""&amp;Catalog!N206&amp;""",""identifier"":"""&amp;Catalog!C206&amp;"""}")</f>
        <v/>
      </c>
    </row>
    <row r="211" spans="1:4" x14ac:dyDescent="0.25">
      <c r="A211" s="24" t="str">
        <f>Catalog!A207</f>
        <v/>
      </c>
      <c r="B211" s="25">
        <f>Catalog!D207</f>
        <v>0</v>
      </c>
      <c r="C211" s="25">
        <f>Catalog!F207</f>
        <v>0</v>
      </c>
      <c r="D211" s="32" t="str">
        <f>IF(Catalog!D207="","","{""item_id"":"&amp;Catalog!A207&amp;",""title"":"""&amp;SUBSTITUTE(Catalog!D207,"""","\""")&amp;""",""creator"":"""&amp;SUBSTITUTE(Catalog!F207,"""","\""")&amp;""",""language"":"""&amp;Catalog!N207&amp;""",""identifier"":"""&amp;Catalog!C207&amp;"""}")</f>
        <v/>
      </c>
    </row>
    <row r="212" spans="1:4" x14ac:dyDescent="0.25">
      <c r="A212" s="24" t="str">
        <f>Catalog!A208</f>
        <v/>
      </c>
      <c r="B212" s="25">
        <f>Catalog!D208</f>
        <v>0</v>
      </c>
      <c r="C212" s="25">
        <f>Catalog!F208</f>
        <v>0</v>
      </c>
      <c r="D212" s="32" t="str">
        <f>IF(Catalog!D208="","","{""item_id"":"&amp;Catalog!A208&amp;",""title"":"""&amp;SUBSTITUTE(Catalog!D208,"""","\""")&amp;""",""creator"":"""&amp;SUBSTITUTE(Catalog!F208,"""","\""")&amp;""",""language"":"""&amp;Catalog!N208&amp;""",""identifier"":"""&amp;Catalog!C208&amp;"""}")</f>
        <v/>
      </c>
    </row>
    <row r="213" spans="1:4" x14ac:dyDescent="0.25">
      <c r="A213" s="24" t="str">
        <f>Catalog!A209</f>
        <v/>
      </c>
      <c r="B213" s="25">
        <f>Catalog!D209</f>
        <v>0</v>
      </c>
      <c r="C213" s="25">
        <f>Catalog!F209</f>
        <v>0</v>
      </c>
      <c r="D213" s="32" t="str">
        <f>IF(Catalog!D209="","","{""item_id"":"&amp;Catalog!A209&amp;",""title"":"""&amp;SUBSTITUTE(Catalog!D209,"""","\""")&amp;""",""creator"":"""&amp;SUBSTITUTE(Catalog!F209,"""","\""")&amp;""",""language"":"""&amp;Catalog!N209&amp;""",""identifier"":"""&amp;Catalog!C209&amp;"""}")</f>
        <v/>
      </c>
    </row>
    <row r="214" spans="1:4" x14ac:dyDescent="0.25">
      <c r="A214" s="24" t="str">
        <f>Catalog!A210</f>
        <v/>
      </c>
      <c r="B214" s="25">
        <f>Catalog!D210</f>
        <v>0</v>
      </c>
      <c r="C214" s="25">
        <f>Catalog!F210</f>
        <v>0</v>
      </c>
      <c r="D214" s="32" t="str">
        <f>IF(Catalog!D210="","","{""item_id"":"&amp;Catalog!A210&amp;",""title"":"""&amp;SUBSTITUTE(Catalog!D210,"""","\""")&amp;""",""creator"":"""&amp;SUBSTITUTE(Catalog!F210,"""","\""")&amp;""",""language"":"""&amp;Catalog!N210&amp;""",""identifier"":"""&amp;Catalog!C210&amp;"""}")</f>
        <v/>
      </c>
    </row>
    <row r="215" spans="1:4" x14ac:dyDescent="0.25">
      <c r="A215" s="24" t="str">
        <f>Catalog!A211</f>
        <v/>
      </c>
      <c r="B215" s="25">
        <f>Catalog!D211</f>
        <v>0</v>
      </c>
      <c r="C215" s="25">
        <f>Catalog!F211</f>
        <v>0</v>
      </c>
      <c r="D215" s="32" t="str">
        <f>IF(Catalog!D211="","","{""item_id"":"&amp;Catalog!A211&amp;",""title"":"""&amp;SUBSTITUTE(Catalog!D211,"""","\""")&amp;""",""creator"":"""&amp;SUBSTITUTE(Catalog!F211,"""","\""")&amp;""",""language"":"""&amp;Catalog!N211&amp;""",""identifier"":"""&amp;Catalog!C211&amp;"""}")</f>
        <v/>
      </c>
    </row>
    <row r="216" spans="1:4" x14ac:dyDescent="0.25">
      <c r="A216" s="24" t="str">
        <f>Catalog!A212</f>
        <v/>
      </c>
      <c r="B216" s="25">
        <f>Catalog!D212</f>
        <v>0</v>
      </c>
      <c r="C216" s="25">
        <f>Catalog!F212</f>
        <v>0</v>
      </c>
      <c r="D216" s="32" t="str">
        <f>IF(Catalog!D212="","","{""item_id"":"&amp;Catalog!A212&amp;",""title"":"""&amp;SUBSTITUTE(Catalog!D212,"""","\""")&amp;""",""creator"":"""&amp;SUBSTITUTE(Catalog!F212,"""","\""")&amp;""",""language"":"""&amp;Catalog!N212&amp;""",""identifier"":"""&amp;Catalog!C212&amp;"""}")</f>
        <v/>
      </c>
    </row>
    <row r="217" spans="1:4" x14ac:dyDescent="0.25">
      <c r="A217" s="24" t="str">
        <f>Catalog!A213</f>
        <v/>
      </c>
      <c r="B217" s="25">
        <f>Catalog!D213</f>
        <v>0</v>
      </c>
      <c r="C217" s="25">
        <f>Catalog!F213</f>
        <v>0</v>
      </c>
      <c r="D217" s="32" t="str">
        <f>IF(Catalog!D213="","","{""item_id"":"&amp;Catalog!A213&amp;",""title"":"""&amp;SUBSTITUTE(Catalog!D213,"""","\""")&amp;""",""creator"":"""&amp;SUBSTITUTE(Catalog!F213,"""","\""")&amp;""",""language"":"""&amp;Catalog!N213&amp;""",""identifier"":"""&amp;Catalog!C213&amp;"""}")</f>
        <v/>
      </c>
    </row>
    <row r="218" spans="1:4" x14ac:dyDescent="0.25">
      <c r="A218" s="24" t="str">
        <f>Catalog!A214</f>
        <v/>
      </c>
      <c r="B218" s="25">
        <f>Catalog!D214</f>
        <v>0</v>
      </c>
      <c r="C218" s="25">
        <f>Catalog!F214</f>
        <v>0</v>
      </c>
      <c r="D218" s="32" t="str">
        <f>IF(Catalog!D214="","","{""item_id"":"&amp;Catalog!A214&amp;",""title"":"""&amp;SUBSTITUTE(Catalog!D214,"""","\""")&amp;""",""creator"":"""&amp;SUBSTITUTE(Catalog!F214,"""","\""")&amp;""",""language"":"""&amp;Catalog!N214&amp;""",""identifier"":"""&amp;Catalog!C214&amp;"""}")</f>
        <v/>
      </c>
    </row>
    <row r="219" spans="1:4" x14ac:dyDescent="0.25">
      <c r="A219" s="24" t="str">
        <f>Catalog!A215</f>
        <v/>
      </c>
      <c r="B219" s="25">
        <f>Catalog!D215</f>
        <v>0</v>
      </c>
      <c r="C219" s="25">
        <f>Catalog!F215</f>
        <v>0</v>
      </c>
      <c r="D219" s="32" t="str">
        <f>IF(Catalog!D215="","","{""item_id"":"&amp;Catalog!A215&amp;",""title"":"""&amp;SUBSTITUTE(Catalog!D215,"""","\""")&amp;""",""creator"":"""&amp;SUBSTITUTE(Catalog!F215,"""","\""")&amp;""",""language"":"""&amp;Catalog!N215&amp;""",""identifier"":"""&amp;Catalog!C215&amp;"""}")</f>
        <v/>
      </c>
    </row>
    <row r="220" spans="1:4" x14ac:dyDescent="0.25">
      <c r="A220" s="24" t="str">
        <f>Catalog!A216</f>
        <v/>
      </c>
      <c r="B220" s="25">
        <f>Catalog!D216</f>
        <v>0</v>
      </c>
      <c r="C220" s="25">
        <f>Catalog!F216</f>
        <v>0</v>
      </c>
      <c r="D220" s="32" t="str">
        <f>IF(Catalog!D216="","","{""item_id"":"&amp;Catalog!A216&amp;",""title"":"""&amp;SUBSTITUTE(Catalog!D216,"""","\""")&amp;""",""creator"":"""&amp;SUBSTITUTE(Catalog!F216,"""","\""")&amp;""",""language"":"""&amp;Catalog!N216&amp;""",""identifier"":"""&amp;Catalog!C216&amp;"""}")</f>
        <v/>
      </c>
    </row>
    <row r="221" spans="1:4" x14ac:dyDescent="0.25">
      <c r="A221" s="24" t="str">
        <f>Catalog!A217</f>
        <v/>
      </c>
      <c r="B221" s="25">
        <f>Catalog!D217</f>
        <v>0</v>
      </c>
      <c r="C221" s="25">
        <f>Catalog!F217</f>
        <v>0</v>
      </c>
      <c r="D221" s="32" t="str">
        <f>IF(Catalog!D217="","","{""item_id"":"&amp;Catalog!A217&amp;",""title"":"""&amp;SUBSTITUTE(Catalog!D217,"""","\""")&amp;""",""creator"":"""&amp;SUBSTITUTE(Catalog!F217,"""","\""")&amp;""",""language"":"""&amp;Catalog!N217&amp;""",""identifier"":"""&amp;Catalog!C217&amp;"""}")</f>
        <v/>
      </c>
    </row>
    <row r="222" spans="1:4" x14ac:dyDescent="0.25">
      <c r="A222" s="24" t="str">
        <f>Catalog!A218</f>
        <v/>
      </c>
      <c r="B222" s="25">
        <f>Catalog!D218</f>
        <v>0</v>
      </c>
      <c r="C222" s="25">
        <f>Catalog!F218</f>
        <v>0</v>
      </c>
      <c r="D222" s="32" t="str">
        <f>IF(Catalog!D218="","","{""item_id"":"&amp;Catalog!A218&amp;",""title"":"""&amp;SUBSTITUTE(Catalog!D218,"""","\""")&amp;""",""creator"":"""&amp;SUBSTITUTE(Catalog!F218,"""","\""")&amp;""",""language"":"""&amp;Catalog!N218&amp;""",""identifier"":"""&amp;Catalog!C218&amp;"""}")</f>
        <v/>
      </c>
    </row>
    <row r="223" spans="1:4" x14ac:dyDescent="0.25">
      <c r="A223" s="24" t="str">
        <f>Catalog!A219</f>
        <v/>
      </c>
      <c r="B223" s="25">
        <f>Catalog!D219</f>
        <v>0</v>
      </c>
      <c r="C223" s="25">
        <f>Catalog!F219</f>
        <v>0</v>
      </c>
      <c r="D223" s="32" t="str">
        <f>IF(Catalog!D219="","","{""item_id"":"&amp;Catalog!A219&amp;",""title"":"""&amp;SUBSTITUTE(Catalog!D219,"""","\""")&amp;""",""creator"":"""&amp;SUBSTITUTE(Catalog!F219,"""","\""")&amp;""",""language"":"""&amp;Catalog!N219&amp;""",""identifier"":"""&amp;Catalog!C219&amp;"""}")</f>
        <v/>
      </c>
    </row>
    <row r="224" spans="1:4" x14ac:dyDescent="0.25">
      <c r="A224" s="24" t="str">
        <f>Catalog!A220</f>
        <v/>
      </c>
      <c r="B224" s="25">
        <f>Catalog!D220</f>
        <v>0</v>
      </c>
      <c r="C224" s="25">
        <f>Catalog!F220</f>
        <v>0</v>
      </c>
      <c r="D224" s="32" t="str">
        <f>IF(Catalog!D220="","","{""item_id"":"&amp;Catalog!A220&amp;",""title"":"""&amp;SUBSTITUTE(Catalog!D220,"""","\""")&amp;""",""creator"":"""&amp;SUBSTITUTE(Catalog!F220,"""","\""")&amp;""",""language"":"""&amp;Catalog!N220&amp;""",""identifier"":"""&amp;Catalog!C220&amp;"""}")</f>
        <v/>
      </c>
    </row>
    <row r="225" spans="1:4" x14ac:dyDescent="0.25">
      <c r="A225" s="24" t="str">
        <f>Catalog!A221</f>
        <v/>
      </c>
      <c r="B225" s="25">
        <f>Catalog!D221</f>
        <v>0</v>
      </c>
      <c r="C225" s="25">
        <f>Catalog!F221</f>
        <v>0</v>
      </c>
      <c r="D225" s="32" t="str">
        <f>IF(Catalog!D221="","","{""item_id"":"&amp;Catalog!A221&amp;",""title"":"""&amp;SUBSTITUTE(Catalog!D221,"""","\""")&amp;""",""creator"":"""&amp;SUBSTITUTE(Catalog!F221,"""","\""")&amp;""",""language"":"""&amp;Catalog!N221&amp;""",""identifier"":"""&amp;Catalog!C221&amp;"""}")</f>
        <v/>
      </c>
    </row>
    <row r="226" spans="1:4" x14ac:dyDescent="0.25">
      <c r="A226" s="24" t="str">
        <f>Catalog!A222</f>
        <v/>
      </c>
      <c r="B226" s="25">
        <f>Catalog!D222</f>
        <v>0</v>
      </c>
      <c r="C226" s="25">
        <f>Catalog!F222</f>
        <v>0</v>
      </c>
      <c r="D226" s="32" t="str">
        <f>IF(Catalog!D222="","","{""item_id"":"&amp;Catalog!A222&amp;",""title"":"""&amp;SUBSTITUTE(Catalog!D222,"""","\""")&amp;""",""creator"":"""&amp;SUBSTITUTE(Catalog!F222,"""","\""")&amp;""",""language"":"""&amp;Catalog!N222&amp;""",""identifier"":"""&amp;Catalog!C222&amp;"""}")</f>
        <v/>
      </c>
    </row>
    <row r="227" spans="1:4" x14ac:dyDescent="0.25">
      <c r="A227" s="24" t="str">
        <f>Catalog!A223</f>
        <v/>
      </c>
      <c r="B227" s="25">
        <f>Catalog!D223</f>
        <v>0</v>
      </c>
      <c r="C227" s="25">
        <f>Catalog!F223</f>
        <v>0</v>
      </c>
      <c r="D227" s="32" t="str">
        <f>IF(Catalog!D223="","","{""item_id"":"&amp;Catalog!A223&amp;",""title"":"""&amp;SUBSTITUTE(Catalog!D223,"""","\""")&amp;""",""creator"":"""&amp;SUBSTITUTE(Catalog!F223,"""","\""")&amp;""",""language"":"""&amp;Catalog!N223&amp;""",""identifier"":"""&amp;Catalog!C223&amp;"""}")</f>
        <v/>
      </c>
    </row>
    <row r="228" spans="1:4" x14ac:dyDescent="0.25">
      <c r="A228" s="24" t="str">
        <f>Catalog!A224</f>
        <v/>
      </c>
      <c r="B228" s="25">
        <f>Catalog!D224</f>
        <v>0</v>
      </c>
      <c r="C228" s="25">
        <f>Catalog!F224</f>
        <v>0</v>
      </c>
      <c r="D228" s="32" t="str">
        <f>IF(Catalog!D224="","","{""item_id"":"&amp;Catalog!A224&amp;",""title"":"""&amp;SUBSTITUTE(Catalog!D224,"""","\""")&amp;""",""creator"":"""&amp;SUBSTITUTE(Catalog!F224,"""","\""")&amp;""",""language"":"""&amp;Catalog!N224&amp;""",""identifier"":"""&amp;Catalog!C224&amp;"""}")</f>
        <v/>
      </c>
    </row>
    <row r="229" spans="1:4" x14ac:dyDescent="0.25">
      <c r="A229" s="24" t="str">
        <f>Catalog!A225</f>
        <v/>
      </c>
      <c r="B229" s="25">
        <f>Catalog!D225</f>
        <v>0</v>
      </c>
      <c r="C229" s="25">
        <f>Catalog!F225</f>
        <v>0</v>
      </c>
      <c r="D229" s="32" t="str">
        <f>IF(Catalog!D225="","","{""item_id"":"&amp;Catalog!A225&amp;",""title"":"""&amp;SUBSTITUTE(Catalog!D225,"""","\""")&amp;""",""creator"":"""&amp;SUBSTITUTE(Catalog!F225,"""","\""")&amp;""",""language"":"""&amp;Catalog!N225&amp;""",""identifier"":"""&amp;Catalog!C225&amp;"""}")</f>
        <v/>
      </c>
    </row>
    <row r="230" spans="1:4" x14ac:dyDescent="0.25">
      <c r="A230" s="24" t="str">
        <f>Catalog!A226</f>
        <v/>
      </c>
      <c r="B230" s="25">
        <f>Catalog!D226</f>
        <v>0</v>
      </c>
      <c r="C230" s="25">
        <f>Catalog!F226</f>
        <v>0</v>
      </c>
      <c r="D230" s="32" t="str">
        <f>IF(Catalog!D226="","","{""item_id"":"&amp;Catalog!A226&amp;",""title"":"""&amp;SUBSTITUTE(Catalog!D226,"""","\""")&amp;""",""creator"":"""&amp;SUBSTITUTE(Catalog!F226,"""","\""")&amp;""",""language"":"""&amp;Catalog!N226&amp;""",""identifier"":"""&amp;Catalog!C226&amp;"""}")</f>
        <v/>
      </c>
    </row>
    <row r="231" spans="1:4" x14ac:dyDescent="0.25">
      <c r="A231" s="24" t="str">
        <f>Catalog!A227</f>
        <v/>
      </c>
      <c r="B231" s="25">
        <f>Catalog!D227</f>
        <v>0</v>
      </c>
      <c r="C231" s="25">
        <f>Catalog!F227</f>
        <v>0</v>
      </c>
      <c r="D231" s="32" t="str">
        <f>IF(Catalog!D227="","","{""item_id"":"&amp;Catalog!A227&amp;",""title"":"""&amp;SUBSTITUTE(Catalog!D227,"""","\""")&amp;""",""creator"":"""&amp;SUBSTITUTE(Catalog!F227,"""","\""")&amp;""",""language"":"""&amp;Catalog!N227&amp;""",""identifier"":"""&amp;Catalog!C227&amp;"""}")</f>
        <v/>
      </c>
    </row>
    <row r="232" spans="1:4" x14ac:dyDescent="0.25">
      <c r="A232" s="24" t="str">
        <f>Catalog!A228</f>
        <v/>
      </c>
      <c r="B232" s="25">
        <f>Catalog!D228</f>
        <v>0</v>
      </c>
      <c r="C232" s="25">
        <f>Catalog!F228</f>
        <v>0</v>
      </c>
      <c r="D232" s="32" t="str">
        <f>IF(Catalog!D228="","","{""item_id"":"&amp;Catalog!A228&amp;",""title"":"""&amp;SUBSTITUTE(Catalog!D228,"""","\""")&amp;""",""creator"":"""&amp;SUBSTITUTE(Catalog!F228,"""","\""")&amp;""",""language"":"""&amp;Catalog!N228&amp;""",""identifier"":"""&amp;Catalog!C228&amp;"""}")</f>
        <v/>
      </c>
    </row>
    <row r="233" spans="1:4" x14ac:dyDescent="0.25">
      <c r="A233" s="24" t="str">
        <f>Catalog!A229</f>
        <v/>
      </c>
      <c r="B233" s="25">
        <f>Catalog!D229</f>
        <v>0</v>
      </c>
      <c r="C233" s="25">
        <f>Catalog!F229</f>
        <v>0</v>
      </c>
      <c r="D233" s="32" t="str">
        <f>IF(Catalog!D229="","","{""item_id"":"&amp;Catalog!A229&amp;",""title"":"""&amp;SUBSTITUTE(Catalog!D229,"""","\""")&amp;""",""creator"":"""&amp;SUBSTITUTE(Catalog!F229,"""","\""")&amp;""",""language"":"""&amp;Catalog!N229&amp;""",""identifier"":"""&amp;Catalog!C229&amp;"""}")</f>
        <v/>
      </c>
    </row>
    <row r="234" spans="1:4" x14ac:dyDescent="0.25">
      <c r="A234" s="24" t="str">
        <f>Catalog!A230</f>
        <v/>
      </c>
      <c r="B234" s="25">
        <f>Catalog!D230</f>
        <v>0</v>
      </c>
      <c r="C234" s="25">
        <f>Catalog!F230</f>
        <v>0</v>
      </c>
      <c r="D234" s="32" t="str">
        <f>IF(Catalog!D230="","","{""item_id"":"&amp;Catalog!A230&amp;",""title"":"""&amp;SUBSTITUTE(Catalog!D230,"""","\""")&amp;""",""creator"":"""&amp;SUBSTITUTE(Catalog!F230,"""","\""")&amp;""",""language"":"""&amp;Catalog!N230&amp;""",""identifier"":"""&amp;Catalog!C230&amp;"""}")</f>
        <v/>
      </c>
    </row>
    <row r="235" spans="1:4" x14ac:dyDescent="0.25">
      <c r="A235" s="24" t="str">
        <f>Catalog!A231</f>
        <v/>
      </c>
      <c r="B235" s="25">
        <f>Catalog!D231</f>
        <v>0</v>
      </c>
      <c r="C235" s="25">
        <f>Catalog!F231</f>
        <v>0</v>
      </c>
      <c r="D235" s="32" t="str">
        <f>IF(Catalog!D231="","","{""item_id"":"&amp;Catalog!A231&amp;",""title"":"""&amp;SUBSTITUTE(Catalog!D231,"""","\""")&amp;""",""creator"":"""&amp;SUBSTITUTE(Catalog!F231,"""","\""")&amp;""",""language"":"""&amp;Catalog!N231&amp;""",""identifier"":"""&amp;Catalog!C231&amp;"""}")</f>
        <v/>
      </c>
    </row>
    <row r="236" spans="1:4" x14ac:dyDescent="0.25">
      <c r="A236" s="24" t="str">
        <f>Catalog!A232</f>
        <v/>
      </c>
      <c r="B236" s="25">
        <f>Catalog!D232</f>
        <v>0</v>
      </c>
      <c r="C236" s="25">
        <f>Catalog!F232</f>
        <v>0</v>
      </c>
      <c r="D236" s="32" t="str">
        <f>IF(Catalog!D232="","","{""item_id"":"&amp;Catalog!A232&amp;",""title"":"""&amp;SUBSTITUTE(Catalog!D232,"""","\""")&amp;""",""creator"":"""&amp;SUBSTITUTE(Catalog!F232,"""","\""")&amp;""",""language"":"""&amp;Catalog!N232&amp;""",""identifier"":"""&amp;Catalog!C232&amp;"""}")</f>
        <v/>
      </c>
    </row>
    <row r="237" spans="1:4" x14ac:dyDescent="0.25">
      <c r="A237" s="24" t="str">
        <f>Catalog!A233</f>
        <v/>
      </c>
      <c r="B237" s="25">
        <f>Catalog!D233</f>
        <v>0</v>
      </c>
      <c r="C237" s="25">
        <f>Catalog!F233</f>
        <v>0</v>
      </c>
      <c r="D237" s="32" t="str">
        <f>IF(Catalog!D233="","","{""item_id"":"&amp;Catalog!A233&amp;",""title"":"""&amp;SUBSTITUTE(Catalog!D233,"""","\""")&amp;""",""creator"":"""&amp;SUBSTITUTE(Catalog!F233,"""","\""")&amp;""",""language"":"""&amp;Catalog!N233&amp;""",""identifier"":"""&amp;Catalog!C233&amp;"""}")</f>
        <v/>
      </c>
    </row>
    <row r="238" spans="1:4" x14ac:dyDescent="0.25">
      <c r="A238" s="24" t="str">
        <f>Catalog!A234</f>
        <v/>
      </c>
      <c r="B238" s="25">
        <f>Catalog!D234</f>
        <v>0</v>
      </c>
      <c r="C238" s="25">
        <f>Catalog!F234</f>
        <v>0</v>
      </c>
      <c r="D238" s="32" t="str">
        <f>IF(Catalog!D234="","","{""item_id"":"&amp;Catalog!A234&amp;",""title"":"""&amp;SUBSTITUTE(Catalog!D234,"""","\""")&amp;""",""creator"":"""&amp;SUBSTITUTE(Catalog!F234,"""","\""")&amp;""",""language"":"""&amp;Catalog!N234&amp;""",""identifier"":"""&amp;Catalog!C234&amp;"""}")</f>
        <v/>
      </c>
    </row>
    <row r="239" spans="1:4" x14ac:dyDescent="0.25">
      <c r="A239" s="24" t="str">
        <f>Catalog!A235</f>
        <v/>
      </c>
      <c r="B239" s="25">
        <f>Catalog!D235</f>
        <v>0</v>
      </c>
      <c r="C239" s="25">
        <f>Catalog!F235</f>
        <v>0</v>
      </c>
      <c r="D239" s="32" t="str">
        <f>IF(Catalog!D235="","","{""item_id"":"&amp;Catalog!A235&amp;",""title"":"""&amp;SUBSTITUTE(Catalog!D235,"""","\""")&amp;""",""creator"":"""&amp;SUBSTITUTE(Catalog!F235,"""","\""")&amp;""",""language"":"""&amp;Catalog!N235&amp;""",""identifier"":"""&amp;Catalog!C235&amp;"""}")</f>
        <v/>
      </c>
    </row>
    <row r="240" spans="1:4" x14ac:dyDescent="0.25">
      <c r="A240" s="24" t="str">
        <f>Catalog!A236</f>
        <v/>
      </c>
      <c r="B240" s="25">
        <f>Catalog!D236</f>
        <v>0</v>
      </c>
      <c r="C240" s="25">
        <f>Catalog!F236</f>
        <v>0</v>
      </c>
      <c r="D240" s="32" t="str">
        <f>IF(Catalog!D236="","","{""item_id"":"&amp;Catalog!A236&amp;",""title"":"""&amp;SUBSTITUTE(Catalog!D236,"""","\""")&amp;""",""creator"":"""&amp;SUBSTITUTE(Catalog!F236,"""","\""")&amp;""",""language"":"""&amp;Catalog!N236&amp;""",""identifier"":"""&amp;Catalog!C236&amp;"""}")</f>
        <v/>
      </c>
    </row>
    <row r="241" spans="1:4" x14ac:dyDescent="0.25">
      <c r="A241" s="24" t="str">
        <f>Catalog!A237</f>
        <v/>
      </c>
      <c r="B241" s="25">
        <f>Catalog!D237</f>
        <v>0</v>
      </c>
      <c r="C241" s="25">
        <f>Catalog!F237</f>
        <v>0</v>
      </c>
      <c r="D241" s="32" t="str">
        <f>IF(Catalog!D237="","","{""item_id"":"&amp;Catalog!A237&amp;",""title"":"""&amp;SUBSTITUTE(Catalog!D237,"""","\""")&amp;""",""creator"":"""&amp;SUBSTITUTE(Catalog!F237,"""","\""")&amp;""",""language"":"""&amp;Catalog!N237&amp;""",""identifier"":"""&amp;Catalog!C237&amp;"""}")</f>
        <v/>
      </c>
    </row>
    <row r="242" spans="1:4" x14ac:dyDescent="0.25">
      <c r="A242" s="24" t="str">
        <f>Catalog!A238</f>
        <v/>
      </c>
      <c r="B242" s="25">
        <f>Catalog!D238</f>
        <v>0</v>
      </c>
      <c r="C242" s="25">
        <f>Catalog!F238</f>
        <v>0</v>
      </c>
      <c r="D242" s="32" t="str">
        <f>IF(Catalog!D238="","","{""item_id"":"&amp;Catalog!A238&amp;",""title"":"""&amp;SUBSTITUTE(Catalog!D238,"""","\""")&amp;""",""creator"":"""&amp;SUBSTITUTE(Catalog!F238,"""","\""")&amp;""",""language"":"""&amp;Catalog!N238&amp;""",""identifier"":"""&amp;Catalog!C238&amp;"""}")</f>
        <v/>
      </c>
    </row>
    <row r="243" spans="1:4" x14ac:dyDescent="0.25">
      <c r="A243" s="24" t="str">
        <f>Catalog!A239</f>
        <v/>
      </c>
      <c r="B243" s="25">
        <f>Catalog!D239</f>
        <v>0</v>
      </c>
      <c r="C243" s="25">
        <f>Catalog!F239</f>
        <v>0</v>
      </c>
      <c r="D243" s="32" t="str">
        <f>IF(Catalog!D239="","","{""item_id"":"&amp;Catalog!A239&amp;",""title"":"""&amp;SUBSTITUTE(Catalog!D239,"""","\""")&amp;""",""creator"":"""&amp;SUBSTITUTE(Catalog!F239,"""","\""")&amp;""",""language"":"""&amp;Catalog!N239&amp;""",""identifier"":"""&amp;Catalog!C239&amp;"""}")</f>
        <v/>
      </c>
    </row>
    <row r="244" spans="1:4" x14ac:dyDescent="0.25">
      <c r="A244" s="24" t="str">
        <f>Catalog!A240</f>
        <v/>
      </c>
      <c r="B244" s="25">
        <f>Catalog!D240</f>
        <v>0</v>
      </c>
      <c r="C244" s="25">
        <f>Catalog!F240</f>
        <v>0</v>
      </c>
      <c r="D244" s="32" t="str">
        <f>IF(Catalog!D240="","","{""item_id"":"&amp;Catalog!A240&amp;",""title"":"""&amp;SUBSTITUTE(Catalog!D240,"""","\""")&amp;""",""creator"":"""&amp;SUBSTITUTE(Catalog!F240,"""","\""")&amp;""",""language"":"""&amp;Catalog!N240&amp;""",""identifier"":"""&amp;Catalog!C240&amp;"""}")</f>
        <v/>
      </c>
    </row>
    <row r="245" spans="1:4" x14ac:dyDescent="0.25">
      <c r="A245" s="24" t="str">
        <f>Catalog!A241</f>
        <v/>
      </c>
      <c r="B245" s="25">
        <f>Catalog!D241</f>
        <v>0</v>
      </c>
      <c r="C245" s="25">
        <f>Catalog!F241</f>
        <v>0</v>
      </c>
      <c r="D245" s="32" t="str">
        <f>IF(Catalog!D241="","","{""item_id"":"&amp;Catalog!A241&amp;",""title"":"""&amp;SUBSTITUTE(Catalog!D241,"""","\""")&amp;""",""creator"":"""&amp;SUBSTITUTE(Catalog!F241,"""","\""")&amp;""",""language"":"""&amp;Catalog!N241&amp;""",""identifier"":"""&amp;Catalog!C241&amp;"""}")</f>
        <v/>
      </c>
    </row>
    <row r="246" spans="1:4" x14ac:dyDescent="0.25">
      <c r="A246" s="24" t="str">
        <f>Catalog!A242</f>
        <v/>
      </c>
      <c r="B246" s="25">
        <f>Catalog!D242</f>
        <v>0</v>
      </c>
      <c r="C246" s="25">
        <f>Catalog!F242</f>
        <v>0</v>
      </c>
      <c r="D246" s="32" t="str">
        <f>IF(Catalog!D242="","","{""item_id"":"&amp;Catalog!A242&amp;",""title"":"""&amp;SUBSTITUTE(Catalog!D242,"""","\""")&amp;""",""creator"":"""&amp;SUBSTITUTE(Catalog!F242,"""","\""")&amp;""",""language"":"""&amp;Catalog!N242&amp;""",""identifier"":"""&amp;Catalog!C242&amp;"""}")</f>
        <v/>
      </c>
    </row>
    <row r="247" spans="1:4" x14ac:dyDescent="0.25">
      <c r="A247" s="24" t="str">
        <f>Catalog!A243</f>
        <v/>
      </c>
      <c r="B247" s="25">
        <f>Catalog!D243</f>
        <v>0</v>
      </c>
      <c r="C247" s="25">
        <f>Catalog!F243</f>
        <v>0</v>
      </c>
      <c r="D247" s="32" t="str">
        <f>IF(Catalog!D243="","","{""item_id"":"&amp;Catalog!A243&amp;",""title"":"""&amp;SUBSTITUTE(Catalog!D243,"""","\""")&amp;""",""creator"":"""&amp;SUBSTITUTE(Catalog!F243,"""","\""")&amp;""",""language"":"""&amp;Catalog!N243&amp;""",""identifier"":"""&amp;Catalog!C243&amp;"""}")</f>
        <v/>
      </c>
    </row>
    <row r="248" spans="1:4" x14ac:dyDescent="0.25">
      <c r="A248" s="24" t="str">
        <f>Catalog!A244</f>
        <v/>
      </c>
      <c r="B248" s="25">
        <f>Catalog!D244</f>
        <v>0</v>
      </c>
      <c r="C248" s="25">
        <f>Catalog!F244</f>
        <v>0</v>
      </c>
      <c r="D248" s="32" t="str">
        <f>IF(Catalog!D244="","","{""item_id"":"&amp;Catalog!A244&amp;",""title"":"""&amp;SUBSTITUTE(Catalog!D244,"""","\""")&amp;""",""creator"":"""&amp;SUBSTITUTE(Catalog!F244,"""","\""")&amp;""",""language"":"""&amp;Catalog!N244&amp;""",""identifier"":"""&amp;Catalog!C244&amp;"""}")</f>
        <v/>
      </c>
    </row>
    <row r="249" spans="1:4" x14ac:dyDescent="0.25">
      <c r="A249" s="24" t="str">
        <f>Catalog!A245</f>
        <v/>
      </c>
      <c r="B249" s="25">
        <f>Catalog!D245</f>
        <v>0</v>
      </c>
      <c r="C249" s="25">
        <f>Catalog!F245</f>
        <v>0</v>
      </c>
      <c r="D249" s="32" t="str">
        <f>IF(Catalog!D245="","","{""item_id"":"&amp;Catalog!A245&amp;",""title"":"""&amp;SUBSTITUTE(Catalog!D245,"""","\""")&amp;""",""creator"":"""&amp;SUBSTITUTE(Catalog!F245,"""","\""")&amp;""",""language"":"""&amp;Catalog!N245&amp;""",""identifier"":"""&amp;Catalog!C245&amp;"""}")</f>
        <v/>
      </c>
    </row>
    <row r="250" spans="1:4" x14ac:dyDescent="0.25">
      <c r="A250" s="24" t="str">
        <f>Catalog!A246</f>
        <v/>
      </c>
      <c r="B250" s="25">
        <f>Catalog!D246</f>
        <v>0</v>
      </c>
      <c r="C250" s="25">
        <f>Catalog!F246</f>
        <v>0</v>
      </c>
      <c r="D250" s="32" t="str">
        <f>IF(Catalog!D246="","","{""item_id"":"&amp;Catalog!A246&amp;",""title"":"""&amp;SUBSTITUTE(Catalog!D246,"""","\""")&amp;""",""creator"":"""&amp;SUBSTITUTE(Catalog!F246,"""","\""")&amp;""",""language"":"""&amp;Catalog!N246&amp;""",""identifier"":"""&amp;Catalog!C246&amp;"""}")</f>
        <v/>
      </c>
    </row>
    <row r="251" spans="1:4" x14ac:dyDescent="0.25">
      <c r="A251" s="24" t="str">
        <f>Catalog!A247</f>
        <v/>
      </c>
      <c r="B251" s="25">
        <f>Catalog!D247</f>
        <v>0</v>
      </c>
      <c r="C251" s="25">
        <f>Catalog!F247</f>
        <v>0</v>
      </c>
      <c r="D251" s="32" t="str">
        <f>IF(Catalog!D247="","","{""item_id"":"&amp;Catalog!A247&amp;",""title"":"""&amp;SUBSTITUTE(Catalog!D247,"""","\""")&amp;""",""creator"":"""&amp;SUBSTITUTE(Catalog!F247,"""","\""")&amp;""",""language"":"""&amp;Catalog!N247&amp;""",""identifier"":"""&amp;Catalog!C247&amp;"""}")</f>
        <v/>
      </c>
    </row>
    <row r="252" spans="1:4" x14ac:dyDescent="0.25">
      <c r="A252" s="24" t="str">
        <f>Catalog!A248</f>
        <v/>
      </c>
      <c r="B252" s="25">
        <f>Catalog!D248</f>
        <v>0</v>
      </c>
      <c r="C252" s="25">
        <f>Catalog!F248</f>
        <v>0</v>
      </c>
      <c r="D252" s="32" t="str">
        <f>IF(Catalog!D248="","","{""item_id"":"&amp;Catalog!A248&amp;",""title"":"""&amp;SUBSTITUTE(Catalog!D248,"""","\""")&amp;""",""creator"":"""&amp;SUBSTITUTE(Catalog!F248,"""","\""")&amp;""",""language"":"""&amp;Catalog!N248&amp;""",""identifier"":"""&amp;Catalog!C248&amp;"""}")</f>
        <v/>
      </c>
    </row>
    <row r="253" spans="1:4" x14ac:dyDescent="0.25">
      <c r="A253" s="24" t="str">
        <f>Catalog!A249</f>
        <v/>
      </c>
      <c r="B253" s="25">
        <f>Catalog!D249</f>
        <v>0</v>
      </c>
      <c r="C253" s="25">
        <f>Catalog!F249</f>
        <v>0</v>
      </c>
      <c r="D253" s="32" t="str">
        <f>IF(Catalog!D249="","","{""item_id"":"&amp;Catalog!A249&amp;",""title"":"""&amp;SUBSTITUTE(Catalog!D249,"""","\""")&amp;""",""creator"":"""&amp;SUBSTITUTE(Catalog!F249,"""","\""")&amp;""",""language"":"""&amp;Catalog!N249&amp;""",""identifier"":"""&amp;Catalog!C249&amp;"""}")</f>
        <v/>
      </c>
    </row>
    <row r="254" spans="1:4" x14ac:dyDescent="0.25">
      <c r="A254" s="24" t="str">
        <f>Catalog!A250</f>
        <v/>
      </c>
      <c r="B254" s="25">
        <f>Catalog!D250</f>
        <v>0</v>
      </c>
      <c r="C254" s="25">
        <f>Catalog!F250</f>
        <v>0</v>
      </c>
      <c r="D254" s="32" t="str">
        <f>IF(Catalog!D250="","","{""item_id"":"&amp;Catalog!A250&amp;",""title"":"""&amp;SUBSTITUTE(Catalog!D250,"""","\""")&amp;""",""creator"":"""&amp;SUBSTITUTE(Catalog!F250,"""","\""")&amp;""",""language"":"""&amp;Catalog!N250&amp;""",""identifier"":"""&amp;Catalog!C250&amp;"""}")</f>
        <v/>
      </c>
    </row>
    <row r="255" spans="1:4" x14ac:dyDescent="0.25">
      <c r="A255" s="24" t="str">
        <f>Catalog!A251</f>
        <v/>
      </c>
      <c r="B255" s="25">
        <f>Catalog!D251</f>
        <v>0</v>
      </c>
      <c r="C255" s="25">
        <f>Catalog!F251</f>
        <v>0</v>
      </c>
      <c r="D255" s="32" t="str">
        <f>IF(Catalog!D251="","","{""item_id"":"&amp;Catalog!A251&amp;",""title"":"""&amp;SUBSTITUTE(Catalog!D251,"""","\""")&amp;""",""creator"":"""&amp;SUBSTITUTE(Catalog!F251,"""","\""")&amp;""",""language"":"""&amp;Catalog!N251&amp;""",""identifier"":"""&amp;Catalog!C251&amp;"""}")</f>
        <v/>
      </c>
    </row>
    <row r="256" spans="1:4" x14ac:dyDescent="0.25">
      <c r="A256" s="24" t="str">
        <f>Catalog!A252</f>
        <v/>
      </c>
      <c r="B256" s="25">
        <f>Catalog!D252</f>
        <v>0</v>
      </c>
      <c r="C256" s="25">
        <f>Catalog!F252</f>
        <v>0</v>
      </c>
      <c r="D256" s="32" t="str">
        <f>IF(Catalog!D252="","","{""item_id"":"&amp;Catalog!A252&amp;",""title"":"""&amp;SUBSTITUTE(Catalog!D252,"""","\""")&amp;""",""creator"":"""&amp;SUBSTITUTE(Catalog!F252,"""","\""")&amp;""",""language"":"""&amp;Catalog!N252&amp;""",""identifier"":"""&amp;Catalog!C252&amp;"""}")</f>
        <v/>
      </c>
    </row>
    <row r="257" spans="1:4" x14ac:dyDescent="0.25">
      <c r="A257" s="24" t="str">
        <f>Catalog!A253</f>
        <v/>
      </c>
      <c r="B257" s="25">
        <f>Catalog!D253</f>
        <v>0</v>
      </c>
      <c r="C257" s="25">
        <f>Catalog!F253</f>
        <v>0</v>
      </c>
      <c r="D257" s="32" t="str">
        <f>IF(Catalog!D253="","","{""item_id"":"&amp;Catalog!A253&amp;",""title"":"""&amp;SUBSTITUTE(Catalog!D253,"""","\""")&amp;""",""creator"":"""&amp;SUBSTITUTE(Catalog!F253,"""","\""")&amp;""",""language"":"""&amp;Catalog!N253&amp;""",""identifier"":"""&amp;Catalog!C253&amp;"""}")</f>
        <v/>
      </c>
    </row>
    <row r="258" spans="1:4" x14ac:dyDescent="0.25">
      <c r="A258" s="24" t="str">
        <f>Catalog!A254</f>
        <v/>
      </c>
      <c r="B258" s="25">
        <f>Catalog!D254</f>
        <v>0</v>
      </c>
      <c r="C258" s="25">
        <f>Catalog!F254</f>
        <v>0</v>
      </c>
      <c r="D258" s="32" t="str">
        <f>IF(Catalog!D254="","","{""item_id"":"&amp;Catalog!A254&amp;",""title"":"""&amp;SUBSTITUTE(Catalog!D254,"""","\""")&amp;""",""creator"":"""&amp;SUBSTITUTE(Catalog!F254,"""","\""")&amp;""",""language"":"""&amp;Catalog!N254&amp;""",""identifier"":"""&amp;Catalog!C254&amp;"""}")</f>
        <v/>
      </c>
    </row>
    <row r="259" spans="1:4" x14ac:dyDescent="0.25">
      <c r="A259" s="24" t="str">
        <f>Catalog!A255</f>
        <v/>
      </c>
      <c r="B259" s="25">
        <f>Catalog!D255</f>
        <v>0</v>
      </c>
      <c r="C259" s="25">
        <f>Catalog!F255</f>
        <v>0</v>
      </c>
      <c r="D259" s="32" t="str">
        <f>IF(Catalog!D255="","","{""item_id"":"&amp;Catalog!A255&amp;",""title"":"""&amp;SUBSTITUTE(Catalog!D255,"""","\""")&amp;""",""creator"":"""&amp;SUBSTITUTE(Catalog!F255,"""","\""")&amp;""",""language"":"""&amp;Catalog!N255&amp;""",""identifier"":"""&amp;Catalog!C255&amp;"""}")</f>
        <v/>
      </c>
    </row>
    <row r="260" spans="1:4" x14ac:dyDescent="0.25">
      <c r="A260" s="24" t="str">
        <f>Catalog!A256</f>
        <v/>
      </c>
      <c r="B260" s="25">
        <f>Catalog!D256</f>
        <v>0</v>
      </c>
      <c r="C260" s="25">
        <f>Catalog!F256</f>
        <v>0</v>
      </c>
      <c r="D260" s="32" t="str">
        <f>IF(Catalog!D256="","","{""item_id"":"&amp;Catalog!A256&amp;",""title"":"""&amp;SUBSTITUTE(Catalog!D256,"""","\""")&amp;""",""creator"":"""&amp;SUBSTITUTE(Catalog!F256,"""","\""")&amp;""",""language"":"""&amp;Catalog!N256&amp;""",""identifier"":"""&amp;Catalog!C256&amp;"""}")</f>
        <v/>
      </c>
    </row>
    <row r="261" spans="1:4" x14ac:dyDescent="0.25">
      <c r="A261" s="24" t="str">
        <f>Catalog!A257</f>
        <v/>
      </c>
      <c r="B261" s="25">
        <f>Catalog!D257</f>
        <v>0</v>
      </c>
      <c r="C261" s="25">
        <f>Catalog!F257</f>
        <v>0</v>
      </c>
      <c r="D261" s="32" t="str">
        <f>IF(Catalog!D257="","","{""item_id"":"&amp;Catalog!A257&amp;",""title"":"""&amp;SUBSTITUTE(Catalog!D257,"""","\""")&amp;""",""creator"":"""&amp;SUBSTITUTE(Catalog!F257,"""","\""")&amp;""",""language"":"""&amp;Catalog!N257&amp;""",""identifier"":"""&amp;Catalog!C257&amp;"""}")</f>
        <v/>
      </c>
    </row>
    <row r="262" spans="1:4" x14ac:dyDescent="0.25">
      <c r="A262" s="24" t="str">
        <f>Catalog!A258</f>
        <v/>
      </c>
      <c r="B262" s="25">
        <f>Catalog!D258</f>
        <v>0</v>
      </c>
      <c r="C262" s="25">
        <f>Catalog!F258</f>
        <v>0</v>
      </c>
      <c r="D262" s="32" t="str">
        <f>IF(Catalog!D258="","","{""item_id"":"&amp;Catalog!A258&amp;",""title"":"""&amp;SUBSTITUTE(Catalog!D258,"""","\""")&amp;""",""creator"":"""&amp;SUBSTITUTE(Catalog!F258,"""","\""")&amp;""",""language"":"""&amp;Catalog!N258&amp;""",""identifier"":"""&amp;Catalog!C258&amp;"""}")</f>
        <v/>
      </c>
    </row>
    <row r="263" spans="1:4" x14ac:dyDescent="0.25">
      <c r="A263" s="24" t="str">
        <f>Catalog!A259</f>
        <v/>
      </c>
      <c r="B263" s="25">
        <f>Catalog!D259</f>
        <v>0</v>
      </c>
      <c r="C263" s="25">
        <f>Catalog!F259</f>
        <v>0</v>
      </c>
      <c r="D263" s="32" t="str">
        <f>IF(Catalog!D259="","","{""item_id"":"&amp;Catalog!A259&amp;",""title"":"""&amp;SUBSTITUTE(Catalog!D259,"""","\""")&amp;""",""creator"":"""&amp;SUBSTITUTE(Catalog!F259,"""","\""")&amp;""",""language"":"""&amp;Catalog!N259&amp;""",""identifier"":"""&amp;Catalog!C259&amp;"""}")</f>
        <v/>
      </c>
    </row>
    <row r="264" spans="1:4" x14ac:dyDescent="0.25">
      <c r="A264" s="24" t="str">
        <f>Catalog!A260</f>
        <v/>
      </c>
      <c r="B264" s="25">
        <f>Catalog!D260</f>
        <v>0</v>
      </c>
      <c r="C264" s="25">
        <f>Catalog!F260</f>
        <v>0</v>
      </c>
      <c r="D264" s="32" t="str">
        <f>IF(Catalog!D260="","","{""item_id"":"&amp;Catalog!A260&amp;",""title"":"""&amp;SUBSTITUTE(Catalog!D260,"""","\""")&amp;""",""creator"":"""&amp;SUBSTITUTE(Catalog!F260,"""","\""")&amp;""",""language"":"""&amp;Catalog!N260&amp;""",""identifier"":"""&amp;Catalog!C260&amp;"""}")</f>
        <v/>
      </c>
    </row>
    <row r="265" spans="1:4" x14ac:dyDescent="0.25">
      <c r="A265" s="24" t="str">
        <f>Catalog!A261</f>
        <v/>
      </c>
      <c r="B265" s="25">
        <f>Catalog!D261</f>
        <v>0</v>
      </c>
      <c r="C265" s="25">
        <f>Catalog!F261</f>
        <v>0</v>
      </c>
      <c r="D265" s="32" t="str">
        <f>IF(Catalog!D261="","","{""item_id"":"&amp;Catalog!A261&amp;",""title"":"""&amp;SUBSTITUTE(Catalog!D261,"""","\""")&amp;""",""creator"":"""&amp;SUBSTITUTE(Catalog!F261,"""","\""")&amp;""",""language"":"""&amp;Catalog!N261&amp;""",""identifier"":"""&amp;Catalog!C261&amp;"""}")</f>
        <v/>
      </c>
    </row>
    <row r="266" spans="1:4" x14ac:dyDescent="0.25">
      <c r="A266" s="24" t="str">
        <f>Catalog!A262</f>
        <v/>
      </c>
      <c r="B266" s="25">
        <f>Catalog!D262</f>
        <v>0</v>
      </c>
      <c r="C266" s="25">
        <f>Catalog!F262</f>
        <v>0</v>
      </c>
      <c r="D266" s="32" t="str">
        <f>IF(Catalog!D262="","","{""item_id"":"&amp;Catalog!A262&amp;",""title"":"""&amp;SUBSTITUTE(Catalog!D262,"""","\""")&amp;""",""creator"":"""&amp;SUBSTITUTE(Catalog!F262,"""","\""")&amp;""",""language"":"""&amp;Catalog!N262&amp;""",""identifier"":"""&amp;Catalog!C262&amp;"""}")</f>
        <v/>
      </c>
    </row>
    <row r="267" spans="1:4" x14ac:dyDescent="0.25">
      <c r="A267" s="24" t="str">
        <f>Catalog!A263</f>
        <v/>
      </c>
      <c r="B267" s="25">
        <f>Catalog!D263</f>
        <v>0</v>
      </c>
      <c r="C267" s="25">
        <f>Catalog!F263</f>
        <v>0</v>
      </c>
      <c r="D267" s="32" t="str">
        <f>IF(Catalog!D263="","","{""item_id"":"&amp;Catalog!A263&amp;",""title"":"""&amp;SUBSTITUTE(Catalog!D263,"""","\""")&amp;""",""creator"":"""&amp;SUBSTITUTE(Catalog!F263,"""","\""")&amp;""",""language"":"""&amp;Catalog!N263&amp;""",""identifier"":"""&amp;Catalog!C263&amp;"""}")</f>
        <v/>
      </c>
    </row>
    <row r="268" spans="1:4" x14ac:dyDescent="0.25">
      <c r="A268" s="24" t="str">
        <f>Catalog!A264</f>
        <v/>
      </c>
      <c r="B268" s="25">
        <f>Catalog!D264</f>
        <v>0</v>
      </c>
      <c r="C268" s="25">
        <f>Catalog!F264</f>
        <v>0</v>
      </c>
      <c r="D268" s="32" t="str">
        <f>IF(Catalog!D264="","","{""item_id"":"&amp;Catalog!A264&amp;",""title"":"""&amp;SUBSTITUTE(Catalog!D264,"""","\""")&amp;""",""creator"":"""&amp;SUBSTITUTE(Catalog!F264,"""","\""")&amp;""",""language"":"""&amp;Catalog!N264&amp;""",""identifier"":"""&amp;Catalog!C264&amp;"""}")</f>
        <v/>
      </c>
    </row>
    <row r="269" spans="1:4" x14ac:dyDescent="0.25">
      <c r="A269" s="24" t="str">
        <f>Catalog!A265</f>
        <v/>
      </c>
      <c r="B269" s="25">
        <f>Catalog!D265</f>
        <v>0</v>
      </c>
      <c r="C269" s="25">
        <f>Catalog!F265</f>
        <v>0</v>
      </c>
      <c r="D269" s="32" t="str">
        <f>IF(Catalog!D265="","","{""item_id"":"&amp;Catalog!A265&amp;",""title"":"""&amp;SUBSTITUTE(Catalog!D265,"""","\""")&amp;""",""creator"":"""&amp;SUBSTITUTE(Catalog!F265,"""","\""")&amp;""",""language"":"""&amp;Catalog!N265&amp;""",""identifier"":"""&amp;Catalog!C265&amp;"""}")</f>
        <v/>
      </c>
    </row>
    <row r="270" spans="1:4" x14ac:dyDescent="0.25">
      <c r="A270" s="24" t="str">
        <f>Catalog!A266</f>
        <v/>
      </c>
      <c r="B270" s="25">
        <f>Catalog!D266</f>
        <v>0</v>
      </c>
      <c r="C270" s="25">
        <f>Catalog!F266</f>
        <v>0</v>
      </c>
      <c r="D270" s="32" t="str">
        <f>IF(Catalog!D266="","","{""item_id"":"&amp;Catalog!A266&amp;",""title"":"""&amp;SUBSTITUTE(Catalog!D266,"""","\""")&amp;""",""creator"":"""&amp;SUBSTITUTE(Catalog!F266,"""","\""")&amp;""",""language"":"""&amp;Catalog!N266&amp;""",""identifier"":"""&amp;Catalog!C266&amp;"""}")</f>
        <v/>
      </c>
    </row>
    <row r="271" spans="1:4" x14ac:dyDescent="0.25">
      <c r="A271" s="24" t="str">
        <f>Catalog!A267</f>
        <v/>
      </c>
      <c r="B271" s="25">
        <f>Catalog!D267</f>
        <v>0</v>
      </c>
      <c r="C271" s="25">
        <f>Catalog!F267</f>
        <v>0</v>
      </c>
      <c r="D271" s="32" t="str">
        <f>IF(Catalog!D267="","","{""item_id"":"&amp;Catalog!A267&amp;",""title"":"""&amp;SUBSTITUTE(Catalog!D267,"""","\""")&amp;""",""creator"":"""&amp;SUBSTITUTE(Catalog!F267,"""","\""")&amp;""",""language"":"""&amp;Catalog!N267&amp;""",""identifier"":"""&amp;Catalog!C267&amp;"""}")</f>
        <v/>
      </c>
    </row>
    <row r="272" spans="1:4" x14ac:dyDescent="0.25">
      <c r="A272" s="24" t="str">
        <f>Catalog!A268</f>
        <v/>
      </c>
      <c r="B272" s="25">
        <f>Catalog!D268</f>
        <v>0</v>
      </c>
      <c r="C272" s="25">
        <f>Catalog!F268</f>
        <v>0</v>
      </c>
      <c r="D272" s="32" t="str">
        <f>IF(Catalog!D268="","","{""item_id"":"&amp;Catalog!A268&amp;",""title"":"""&amp;SUBSTITUTE(Catalog!D268,"""","\""")&amp;""",""creator"":"""&amp;SUBSTITUTE(Catalog!F268,"""","\""")&amp;""",""language"":"""&amp;Catalog!N268&amp;""",""identifier"":"""&amp;Catalog!C268&amp;"""}")</f>
        <v/>
      </c>
    </row>
    <row r="273" spans="1:4" x14ac:dyDescent="0.25">
      <c r="A273" s="24" t="str">
        <f>Catalog!A269</f>
        <v/>
      </c>
      <c r="B273" s="25">
        <f>Catalog!D269</f>
        <v>0</v>
      </c>
      <c r="C273" s="25">
        <f>Catalog!F269</f>
        <v>0</v>
      </c>
      <c r="D273" s="32" t="str">
        <f>IF(Catalog!D269="","","{""item_id"":"&amp;Catalog!A269&amp;",""title"":"""&amp;SUBSTITUTE(Catalog!D269,"""","\""")&amp;""",""creator"":"""&amp;SUBSTITUTE(Catalog!F269,"""","\""")&amp;""",""language"":"""&amp;Catalog!N269&amp;""",""identifier"":"""&amp;Catalog!C269&amp;"""}")</f>
        <v/>
      </c>
    </row>
    <row r="274" spans="1:4" x14ac:dyDescent="0.25">
      <c r="A274" s="24" t="str">
        <f>Catalog!A270</f>
        <v/>
      </c>
      <c r="B274" s="25">
        <f>Catalog!D270</f>
        <v>0</v>
      </c>
      <c r="C274" s="25">
        <f>Catalog!F270</f>
        <v>0</v>
      </c>
      <c r="D274" s="32" t="str">
        <f>IF(Catalog!D270="","","{""item_id"":"&amp;Catalog!A270&amp;",""title"":"""&amp;SUBSTITUTE(Catalog!D270,"""","\""")&amp;""",""creator"":"""&amp;SUBSTITUTE(Catalog!F270,"""","\""")&amp;""",""language"":"""&amp;Catalog!N270&amp;""",""identifier"":"""&amp;Catalog!C270&amp;"""}")</f>
        <v/>
      </c>
    </row>
    <row r="275" spans="1:4" x14ac:dyDescent="0.25">
      <c r="A275" s="24" t="str">
        <f>Catalog!A271</f>
        <v/>
      </c>
      <c r="B275" s="25">
        <f>Catalog!D271</f>
        <v>0</v>
      </c>
      <c r="C275" s="25">
        <f>Catalog!F271</f>
        <v>0</v>
      </c>
      <c r="D275" s="32" t="str">
        <f>IF(Catalog!D271="","","{""item_id"":"&amp;Catalog!A271&amp;",""title"":"""&amp;SUBSTITUTE(Catalog!D271,"""","\""")&amp;""",""creator"":"""&amp;SUBSTITUTE(Catalog!F271,"""","\""")&amp;""",""language"":"""&amp;Catalog!N271&amp;""",""identifier"":"""&amp;Catalog!C271&amp;"""}")</f>
        <v/>
      </c>
    </row>
    <row r="276" spans="1:4" x14ac:dyDescent="0.25">
      <c r="A276" s="24" t="str">
        <f>Catalog!A272</f>
        <v/>
      </c>
      <c r="B276" s="25">
        <f>Catalog!D272</f>
        <v>0</v>
      </c>
      <c r="C276" s="25">
        <f>Catalog!F272</f>
        <v>0</v>
      </c>
      <c r="D276" s="32" t="str">
        <f>IF(Catalog!D272="","","{""item_id"":"&amp;Catalog!A272&amp;",""title"":"""&amp;SUBSTITUTE(Catalog!D272,"""","\""")&amp;""",""creator"":"""&amp;SUBSTITUTE(Catalog!F272,"""","\""")&amp;""",""language"":"""&amp;Catalog!N272&amp;""",""identifier"":"""&amp;Catalog!C272&amp;"""}")</f>
        <v/>
      </c>
    </row>
    <row r="277" spans="1:4" x14ac:dyDescent="0.25">
      <c r="A277" s="24" t="str">
        <f>Catalog!A273</f>
        <v/>
      </c>
      <c r="B277" s="25">
        <f>Catalog!D273</f>
        <v>0</v>
      </c>
      <c r="C277" s="25">
        <f>Catalog!F273</f>
        <v>0</v>
      </c>
      <c r="D277" s="32" t="str">
        <f>IF(Catalog!D273="","","{""item_id"":"&amp;Catalog!A273&amp;",""title"":"""&amp;SUBSTITUTE(Catalog!D273,"""","\""")&amp;""",""creator"":"""&amp;SUBSTITUTE(Catalog!F273,"""","\""")&amp;""",""language"":"""&amp;Catalog!N273&amp;""",""identifier"":"""&amp;Catalog!C273&amp;"""}")</f>
        <v/>
      </c>
    </row>
    <row r="278" spans="1:4" x14ac:dyDescent="0.25">
      <c r="A278" s="24" t="str">
        <f>Catalog!A274</f>
        <v/>
      </c>
      <c r="B278" s="25">
        <f>Catalog!D274</f>
        <v>0</v>
      </c>
      <c r="C278" s="25">
        <f>Catalog!F274</f>
        <v>0</v>
      </c>
      <c r="D278" s="32" t="str">
        <f>IF(Catalog!D274="","","{""item_id"":"&amp;Catalog!A274&amp;",""title"":"""&amp;SUBSTITUTE(Catalog!D274,"""","\""")&amp;""",""creator"":"""&amp;SUBSTITUTE(Catalog!F274,"""","\""")&amp;""",""language"":"""&amp;Catalog!N274&amp;""",""identifier"":"""&amp;Catalog!C274&amp;"""}")</f>
        <v/>
      </c>
    </row>
    <row r="279" spans="1:4" x14ac:dyDescent="0.25">
      <c r="A279" s="24" t="str">
        <f>Catalog!A275</f>
        <v/>
      </c>
      <c r="B279" s="25">
        <f>Catalog!D275</f>
        <v>0</v>
      </c>
      <c r="C279" s="25">
        <f>Catalog!F275</f>
        <v>0</v>
      </c>
      <c r="D279" s="32" t="str">
        <f>IF(Catalog!D275="","","{""item_id"":"&amp;Catalog!A275&amp;",""title"":"""&amp;SUBSTITUTE(Catalog!D275,"""","\""")&amp;""",""creator"":"""&amp;SUBSTITUTE(Catalog!F275,"""","\""")&amp;""",""language"":"""&amp;Catalog!N275&amp;""",""identifier"":"""&amp;Catalog!C275&amp;"""}")</f>
        <v/>
      </c>
    </row>
    <row r="280" spans="1:4" x14ac:dyDescent="0.25">
      <c r="A280" s="24" t="str">
        <f>Catalog!A276</f>
        <v/>
      </c>
      <c r="B280" s="25">
        <f>Catalog!D276</f>
        <v>0</v>
      </c>
      <c r="C280" s="25">
        <f>Catalog!F276</f>
        <v>0</v>
      </c>
      <c r="D280" s="32" t="str">
        <f>IF(Catalog!D276="","","{""item_id"":"&amp;Catalog!A276&amp;",""title"":"""&amp;SUBSTITUTE(Catalog!D276,"""","\""")&amp;""",""creator"":"""&amp;SUBSTITUTE(Catalog!F276,"""","\""")&amp;""",""language"":"""&amp;Catalog!N276&amp;""",""identifier"":"""&amp;Catalog!C276&amp;"""}")</f>
        <v/>
      </c>
    </row>
    <row r="281" spans="1:4" x14ac:dyDescent="0.25">
      <c r="A281" s="24" t="str">
        <f>Catalog!A277</f>
        <v/>
      </c>
      <c r="B281" s="25">
        <f>Catalog!D277</f>
        <v>0</v>
      </c>
      <c r="C281" s="25">
        <f>Catalog!F277</f>
        <v>0</v>
      </c>
      <c r="D281" s="32" t="str">
        <f>IF(Catalog!D277="","","{""item_id"":"&amp;Catalog!A277&amp;",""title"":"""&amp;SUBSTITUTE(Catalog!D277,"""","\""")&amp;""",""creator"":"""&amp;SUBSTITUTE(Catalog!F277,"""","\""")&amp;""",""language"":"""&amp;Catalog!N277&amp;""",""identifier"":"""&amp;Catalog!C277&amp;"""}")</f>
        <v/>
      </c>
    </row>
    <row r="282" spans="1:4" x14ac:dyDescent="0.25">
      <c r="A282" s="24" t="str">
        <f>Catalog!A278</f>
        <v/>
      </c>
      <c r="B282" s="25">
        <f>Catalog!D278</f>
        <v>0</v>
      </c>
      <c r="C282" s="25">
        <f>Catalog!F278</f>
        <v>0</v>
      </c>
      <c r="D282" s="32" t="str">
        <f>IF(Catalog!D278="","","{""item_id"":"&amp;Catalog!A278&amp;",""title"":"""&amp;SUBSTITUTE(Catalog!D278,"""","\""")&amp;""",""creator"":"""&amp;SUBSTITUTE(Catalog!F278,"""","\""")&amp;""",""language"":"""&amp;Catalog!N278&amp;""",""identifier"":"""&amp;Catalog!C278&amp;"""}")</f>
        <v/>
      </c>
    </row>
    <row r="283" spans="1:4" x14ac:dyDescent="0.25">
      <c r="A283" s="24" t="str">
        <f>Catalog!A279</f>
        <v/>
      </c>
      <c r="B283" s="25">
        <f>Catalog!D279</f>
        <v>0</v>
      </c>
      <c r="C283" s="25">
        <f>Catalog!F279</f>
        <v>0</v>
      </c>
      <c r="D283" s="32" t="str">
        <f>IF(Catalog!D279="","","{""item_id"":"&amp;Catalog!A279&amp;",""title"":"""&amp;SUBSTITUTE(Catalog!D279,"""","\""")&amp;""",""creator"":"""&amp;SUBSTITUTE(Catalog!F279,"""","\""")&amp;""",""language"":"""&amp;Catalog!N279&amp;""",""identifier"":"""&amp;Catalog!C279&amp;"""}")</f>
        <v/>
      </c>
    </row>
    <row r="284" spans="1:4" x14ac:dyDescent="0.25">
      <c r="A284" s="24" t="str">
        <f>Catalog!A280</f>
        <v/>
      </c>
      <c r="B284" s="25">
        <f>Catalog!D280</f>
        <v>0</v>
      </c>
      <c r="C284" s="25">
        <f>Catalog!F280</f>
        <v>0</v>
      </c>
      <c r="D284" s="32" t="str">
        <f>IF(Catalog!D280="","","{""item_id"":"&amp;Catalog!A280&amp;",""title"":"""&amp;SUBSTITUTE(Catalog!D280,"""","\""")&amp;""",""creator"":"""&amp;SUBSTITUTE(Catalog!F280,"""","\""")&amp;""",""language"":"""&amp;Catalog!N280&amp;""",""identifier"":"""&amp;Catalog!C280&amp;"""}")</f>
        <v/>
      </c>
    </row>
    <row r="285" spans="1:4" x14ac:dyDescent="0.25">
      <c r="A285" s="24" t="str">
        <f>Catalog!A281</f>
        <v/>
      </c>
      <c r="B285" s="25">
        <f>Catalog!D281</f>
        <v>0</v>
      </c>
      <c r="C285" s="25">
        <f>Catalog!F281</f>
        <v>0</v>
      </c>
      <c r="D285" s="32" t="str">
        <f>IF(Catalog!D281="","","{""item_id"":"&amp;Catalog!A281&amp;",""title"":"""&amp;SUBSTITUTE(Catalog!D281,"""","\""")&amp;""",""creator"":"""&amp;SUBSTITUTE(Catalog!F281,"""","\""")&amp;""",""language"":"""&amp;Catalog!N281&amp;""",""identifier"":"""&amp;Catalog!C281&amp;"""}")</f>
        <v/>
      </c>
    </row>
    <row r="286" spans="1:4" x14ac:dyDescent="0.25">
      <c r="A286" s="24" t="str">
        <f>Catalog!A282</f>
        <v/>
      </c>
      <c r="B286" s="25">
        <f>Catalog!D282</f>
        <v>0</v>
      </c>
      <c r="C286" s="25">
        <f>Catalog!F282</f>
        <v>0</v>
      </c>
      <c r="D286" s="32" t="str">
        <f>IF(Catalog!D282="","","{""item_id"":"&amp;Catalog!A282&amp;",""title"":"""&amp;SUBSTITUTE(Catalog!D282,"""","\""")&amp;""",""creator"":"""&amp;SUBSTITUTE(Catalog!F282,"""","\""")&amp;""",""language"":"""&amp;Catalog!N282&amp;""",""identifier"":"""&amp;Catalog!C282&amp;"""}")</f>
        <v/>
      </c>
    </row>
    <row r="287" spans="1:4" x14ac:dyDescent="0.25">
      <c r="A287" s="24" t="str">
        <f>Catalog!A283</f>
        <v/>
      </c>
      <c r="B287" s="25">
        <f>Catalog!D283</f>
        <v>0</v>
      </c>
      <c r="C287" s="25">
        <f>Catalog!F283</f>
        <v>0</v>
      </c>
      <c r="D287" s="32" t="str">
        <f>IF(Catalog!D283="","","{""item_id"":"&amp;Catalog!A283&amp;",""title"":"""&amp;SUBSTITUTE(Catalog!D283,"""","\""")&amp;""",""creator"":"""&amp;SUBSTITUTE(Catalog!F283,"""","\""")&amp;""",""language"":"""&amp;Catalog!N283&amp;""",""identifier"":"""&amp;Catalog!C283&amp;"""}")</f>
        <v/>
      </c>
    </row>
    <row r="288" spans="1:4" x14ac:dyDescent="0.25">
      <c r="A288" s="24" t="str">
        <f>Catalog!A284</f>
        <v/>
      </c>
      <c r="B288" s="25">
        <f>Catalog!D284</f>
        <v>0</v>
      </c>
      <c r="C288" s="25">
        <f>Catalog!F284</f>
        <v>0</v>
      </c>
      <c r="D288" s="32" t="str">
        <f>IF(Catalog!D284="","","{""item_id"":"&amp;Catalog!A284&amp;",""title"":"""&amp;SUBSTITUTE(Catalog!D284,"""","\""")&amp;""",""creator"":"""&amp;SUBSTITUTE(Catalog!F284,"""","\""")&amp;""",""language"":"""&amp;Catalog!N284&amp;""",""identifier"":"""&amp;Catalog!C284&amp;"""}")</f>
        <v/>
      </c>
    </row>
    <row r="289" spans="1:4" x14ac:dyDescent="0.25">
      <c r="A289" s="24" t="str">
        <f>Catalog!A285</f>
        <v/>
      </c>
      <c r="B289" s="25">
        <f>Catalog!D285</f>
        <v>0</v>
      </c>
      <c r="C289" s="25">
        <f>Catalog!F285</f>
        <v>0</v>
      </c>
      <c r="D289" s="32" t="str">
        <f>IF(Catalog!D285="","","{""item_id"":"&amp;Catalog!A285&amp;",""title"":"""&amp;SUBSTITUTE(Catalog!D285,"""","\""")&amp;""",""creator"":"""&amp;SUBSTITUTE(Catalog!F285,"""","\""")&amp;""",""language"":"""&amp;Catalog!N285&amp;""",""identifier"":"""&amp;Catalog!C285&amp;"""}")</f>
        <v/>
      </c>
    </row>
    <row r="290" spans="1:4" x14ac:dyDescent="0.25">
      <c r="A290" s="24" t="str">
        <f>Catalog!A286</f>
        <v/>
      </c>
      <c r="B290" s="25">
        <f>Catalog!D286</f>
        <v>0</v>
      </c>
      <c r="C290" s="25">
        <f>Catalog!F286</f>
        <v>0</v>
      </c>
      <c r="D290" s="32" t="str">
        <f>IF(Catalog!D286="","","{""item_id"":"&amp;Catalog!A286&amp;",""title"":"""&amp;SUBSTITUTE(Catalog!D286,"""","\""")&amp;""",""creator"":"""&amp;SUBSTITUTE(Catalog!F286,"""","\""")&amp;""",""language"":"""&amp;Catalog!N286&amp;""",""identifier"":"""&amp;Catalog!C286&amp;"""}")</f>
        <v/>
      </c>
    </row>
    <row r="291" spans="1:4" x14ac:dyDescent="0.25">
      <c r="A291" s="24" t="str">
        <f>Catalog!A287</f>
        <v/>
      </c>
      <c r="B291" s="25">
        <f>Catalog!D287</f>
        <v>0</v>
      </c>
      <c r="C291" s="25">
        <f>Catalog!F287</f>
        <v>0</v>
      </c>
      <c r="D291" s="32" t="str">
        <f>IF(Catalog!D287="","","{""item_id"":"&amp;Catalog!A287&amp;",""title"":"""&amp;SUBSTITUTE(Catalog!D287,"""","\""")&amp;""",""creator"":"""&amp;SUBSTITUTE(Catalog!F287,"""","\""")&amp;""",""language"":"""&amp;Catalog!N287&amp;""",""identifier"":"""&amp;Catalog!C287&amp;"""}")</f>
        <v/>
      </c>
    </row>
    <row r="292" spans="1:4" x14ac:dyDescent="0.25">
      <c r="A292" s="24" t="str">
        <f>Catalog!A288</f>
        <v/>
      </c>
      <c r="B292" s="25">
        <f>Catalog!D288</f>
        <v>0</v>
      </c>
      <c r="C292" s="25">
        <f>Catalog!F288</f>
        <v>0</v>
      </c>
      <c r="D292" s="32" t="str">
        <f>IF(Catalog!D288="","","{""item_id"":"&amp;Catalog!A288&amp;",""title"":"""&amp;SUBSTITUTE(Catalog!D288,"""","\""")&amp;""",""creator"":"""&amp;SUBSTITUTE(Catalog!F288,"""","\""")&amp;""",""language"":"""&amp;Catalog!N288&amp;""",""identifier"":"""&amp;Catalog!C288&amp;"""}")</f>
        <v/>
      </c>
    </row>
    <row r="293" spans="1:4" x14ac:dyDescent="0.25">
      <c r="A293" s="24" t="str">
        <f>Catalog!A289</f>
        <v/>
      </c>
      <c r="B293" s="25">
        <f>Catalog!D289</f>
        <v>0</v>
      </c>
      <c r="C293" s="25">
        <f>Catalog!F289</f>
        <v>0</v>
      </c>
      <c r="D293" s="32" t="str">
        <f>IF(Catalog!D289="","","{""item_id"":"&amp;Catalog!A289&amp;",""title"":"""&amp;SUBSTITUTE(Catalog!D289,"""","\""")&amp;""",""creator"":"""&amp;SUBSTITUTE(Catalog!F289,"""","\""")&amp;""",""language"":"""&amp;Catalog!N289&amp;""",""identifier"":"""&amp;Catalog!C289&amp;"""}")</f>
        <v/>
      </c>
    </row>
    <row r="294" spans="1:4" x14ac:dyDescent="0.25">
      <c r="A294" s="24" t="str">
        <f>Catalog!A290</f>
        <v/>
      </c>
      <c r="B294" s="25">
        <f>Catalog!D290</f>
        <v>0</v>
      </c>
      <c r="C294" s="25">
        <f>Catalog!F290</f>
        <v>0</v>
      </c>
      <c r="D294" s="32" t="str">
        <f>IF(Catalog!D290="","","{""item_id"":"&amp;Catalog!A290&amp;",""title"":"""&amp;SUBSTITUTE(Catalog!D290,"""","\""")&amp;""",""creator"":"""&amp;SUBSTITUTE(Catalog!F290,"""","\""")&amp;""",""language"":"""&amp;Catalog!N290&amp;""",""identifier"":"""&amp;Catalog!C290&amp;"""}")</f>
        <v/>
      </c>
    </row>
    <row r="295" spans="1:4" x14ac:dyDescent="0.25">
      <c r="A295" s="24" t="str">
        <f>Catalog!A291</f>
        <v/>
      </c>
      <c r="B295" s="25">
        <f>Catalog!D291</f>
        <v>0</v>
      </c>
      <c r="C295" s="25">
        <f>Catalog!F291</f>
        <v>0</v>
      </c>
      <c r="D295" s="32" t="str">
        <f>IF(Catalog!D291="","","{""item_id"":"&amp;Catalog!A291&amp;",""title"":"""&amp;SUBSTITUTE(Catalog!D291,"""","\""")&amp;""",""creator"":"""&amp;SUBSTITUTE(Catalog!F291,"""","\""")&amp;""",""language"":"""&amp;Catalog!N291&amp;""",""identifier"":"""&amp;Catalog!C291&amp;"""}")</f>
        <v/>
      </c>
    </row>
    <row r="296" spans="1:4" x14ac:dyDescent="0.25">
      <c r="A296" s="24" t="str">
        <f>Catalog!A292</f>
        <v/>
      </c>
      <c r="B296" s="25">
        <f>Catalog!D292</f>
        <v>0</v>
      </c>
      <c r="C296" s="25">
        <f>Catalog!F292</f>
        <v>0</v>
      </c>
      <c r="D296" s="32" t="str">
        <f>IF(Catalog!D292="","","{""item_id"":"&amp;Catalog!A292&amp;",""title"":"""&amp;SUBSTITUTE(Catalog!D292,"""","\""")&amp;""",""creator"":"""&amp;SUBSTITUTE(Catalog!F292,"""","\""")&amp;""",""language"":"""&amp;Catalog!N292&amp;""",""identifier"":"""&amp;Catalog!C292&amp;"""}")</f>
        <v/>
      </c>
    </row>
    <row r="297" spans="1:4" x14ac:dyDescent="0.25">
      <c r="A297" s="24" t="str">
        <f>Catalog!A293</f>
        <v/>
      </c>
      <c r="B297" s="25">
        <f>Catalog!D293</f>
        <v>0</v>
      </c>
      <c r="C297" s="25">
        <f>Catalog!F293</f>
        <v>0</v>
      </c>
      <c r="D297" s="32" t="str">
        <f>IF(Catalog!D293="","","{""item_id"":"&amp;Catalog!A293&amp;",""title"":"""&amp;SUBSTITUTE(Catalog!D293,"""","\""")&amp;""",""creator"":"""&amp;SUBSTITUTE(Catalog!F293,"""","\""")&amp;""",""language"":"""&amp;Catalog!N293&amp;""",""identifier"":"""&amp;Catalog!C293&amp;"""}")</f>
        <v/>
      </c>
    </row>
    <row r="298" spans="1:4" x14ac:dyDescent="0.25">
      <c r="A298" s="24" t="str">
        <f>Catalog!A294</f>
        <v/>
      </c>
      <c r="B298" s="25">
        <f>Catalog!D294</f>
        <v>0</v>
      </c>
      <c r="C298" s="25">
        <f>Catalog!F294</f>
        <v>0</v>
      </c>
      <c r="D298" s="32" t="str">
        <f>IF(Catalog!D294="","","{""item_id"":"&amp;Catalog!A294&amp;",""title"":"""&amp;SUBSTITUTE(Catalog!D294,"""","\""")&amp;""",""creator"":"""&amp;SUBSTITUTE(Catalog!F294,"""","\""")&amp;""",""language"":"""&amp;Catalog!N294&amp;""",""identifier"":"""&amp;Catalog!C294&amp;"""}")</f>
        <v/>
      </c>
    </row>
    <row r="299" spans="1:4" x14ac:dyDescent="0.25">
      <c r="A299" s="24" t="str">
        <f>Catalog!A295</f>
        <v/>
      </c>
      <c r="B299" s="25">
        <f>Catalog!D295</f>
        <v>0</v>
      </c>
      <c r="C299" s="25">
        <f>Catalog!F295</f>
        <v>0</v>
      </c>
      <c r="D299" s="32" t="str">
        <f>IF(Catalog!D295="","","{""item_id"":"&amp;Catalog!A295&amp;",""title"":"""&amp;SUBSTITUTE(Catalog!D295,"""","\""")&amp;""",""creator"":"""&amp;SUBSTITUTE(Catalog!F295,"""","\""")&amp;""",""language"":"""&amp;Catalog!N295&amp;""",""identifier"":"""&amp;Catalog!C295&amp;"""}")</f>
        <v/>
      </c>
    </row>
    <row r="300" spans="1:4" x14ac:dyDescent="0.25">
      <c r="A300" s="24" t="str">
        <f>Catalog!A296</f>
        <v/>
      </c>
      <c r="B300" s="25">
        <f>Catalog!D296</f>
        <v>0</v>
      </c>
      <c r="C300" s="25">
        <f>Catalog!F296</f>
        <v>0</v>
      </c>
      <c r="D300" s="32" t="str">
        <f>IF(Catalog!D296="","","{""item_id"":"&amp;Catalog!A296&amp;",""title"":"""&amp;SUBSTITUTE(Catalog!D296,"""","\""")&amp;""",""creator"":"""&amp;SUBSTITUTE(Catalog!F296,"""","\""")&amp;""",""language"":"""&amp;Catalog!N296&amp;""",""identifier"":"""&amp;Catalog!C296&amp;"""}")</f>
        <v/>
      </c>
    </row>
    <row r="301" spans="1:4" x14ac:dyDescent="0.25">
      <c r="A301" s="24" t="str">
        <f>Catalog!A297</f>
        <v/>
      </c>
      <c r="B301" s="25">
        <f>Catalog!D297</f>
        <v>0</v>
      </c>
      <c r="C301" s="25">
        <f>Catalog!F297</f>
        <v>0</v>
      </c>
      <c r="D301" s="32" t="str">
        <f>IF(Catalog!D297="","","{""item_id"":"&amp;Catalog!A297&amp;",""title"":"""&amp;SUBSTITUTE(Catalog!D297,"""","\""")&amp;""",""creator"":"""&amp;SUBSTITUTE(Catalog!F297,"""","\""")&amp;""",""language"":"""&amp;Catalog!N297&amp;""",""identifier"":"""&amp;Catalog!C297&amp;"""}")</f>
        <v/>
      </c>
    </row>
    <row r="302" spans="1:4" x14ac:dyDescent="0.25">
      <c r="A302" s="24" t="str">
        <f>Catalog!A298</f>
        <v/>
      </c>
      <c r="B302" s="25">
        <f>Catalog!D298</f>
        <v>0</v>
      </c>
      <c r="C302" s="25">
        <f>Catalog!F298</f>
        <v>0</v>
      </c>
      <c r="D302" s="32" t="str">
        <f>IF(Catalog!D298="","","{""item_id"":"&amp;Catalog!A298&amp;",""title"":"""&amp;SUBSTITUTE(Catalog!D298,"""","\""")&amp;""",""creator"":"""&amp;SUBSTITUTE(Catalog!F298,"""","\""")&amp;""",""language"":"""&amp;Catalog!N298&amp;""",""identifier"":"""&amp;Catalog!C298&amp;"""}")</f>
        <v/>
      </c>
    </row>
    <row r="303" spans="1:4" x14ac:dyDescent="0.25">
      <c r="A303" s="24" t="str">
        <f>Catalog!A299</f>
        <v/>
      </c>
      <c r="B303" s="25">
        <f>Catalog!D299</f>
        <v>0</v>
      </c>
      <c r="C303" s="25">
        <f>Catalog!F299</f>
        <v>0</v>
      </c>
      <c r="D303" s="32" t="str">
        <f>IF(Catalog!D299="","","{""item_id"":"&amp;Catalog!A299&amp;",""title"":"""&amp;SUBSTITUTE(Catalog!D299,"""","\""")&amp;""",""creator"":"""&amp;SUBSTITUTE(Catalog!F299,"""","\""")&amp;""",""language"":"""&amp;Catalog!N299&amp;""",""identifier"":"""&amp;Catalog!C299&amp;"""}")</f>
        <v/>
      </c>
    </row>
    <row r="304" spans="1:4" x14ac:dyDescent="0.25">
      <c r="A304" s="24" t="str">
        <f>Catalog!A300</f>
        <v/>
      </c>
      <c r="B304" s="25">
        <f>Catalog!D300</f>
        <v>0</v>
      </c>
      <c r="C304" s="25">
        <f>Catalog!F300</f>
        <v>0</v>
      </c>
      <c r="D304" s="32" t="str">
        <f>IF(Catalog!D300="","","{""item_id"":"&amp;Catalog!A300&amp;",""title"":"""&amp;SUBSTITUTE(Catalog!D300,"""","\""")&amp;""",""creator"":"""&amp;SUBSTITUTE(Catalog!F300,"""","\""")&amp;""",""language"":"""&amp;Catalog!N300&amp;""",""identifier"":"""&amp;Catalog!C300&amp;"""}")</f>
        <v/>
      </c>
    </row>
    <row r="305" spans="1:4" x14ac:dyDescent="0.25">
      <c r="A305" s="24" t="str">
        <f>Catalog!A301</f>
        <v/>
      </c>
      <c r="B305" s="25">
        <f>Catalog!D301</f>
        <v>0</v>
      </c>
      <c r="C305" s="25">
        <f>Catalog!F301</f>
        <v>0</v>
      </c>
      <c r="D305" s="32" t="str">
        <f>IF(Catalog!D301="","","{""item_id"":"&amp;Catalog!A301&amp;",""title"":"""&amp;SUBSTITUTE(Catalog!D301,"""","\""")&amp;""",""creator"":"""&amp;SUBSTITUTE(Catalog!F301,"""","\""")&amp;""",""language"":"""&amp;Catalog!N301&amp;""",""identifier"":"""&amp;Catalog!C301&amp;"""}")</f>
        <v/>
      </c>
    </row>
    <row r="306" spans="1:4" x14ac:dyDescent="0.25">
      <c r="A306" s="24" t="str">
        <f>Catalog!A302</f>
        <v/>
      </c>
      <c r="B306" s="25">
        <f>Catalog!D302</f>
        <v>0</v>
      </c>
      <c r="C306" s="25">
        <f>Catalog!F302</f>
        <v>0</v>
      </c>
      <c r="D306" s="32" t="str">
        <f>IF(Catalog!D302="","","{""item_id"":"&amp;Catalog!A302&amp;",""title"":"""&amp;SUBSTITUTE(Catalog!D302,"""","\""")&amp;""",""creator"":"""&amp;SUBSTITUTE(Catalog!F302,"""","\""")&amp;""",""language"":"""&amp;Catalog!N302&amp;""",""identifier"":"""&amp;Catalog!C302&amp;"""}")</f>
        <v/>
      </c>
    </row>
    <row r="307" spans="1:4" x14ac:dyDescent="0.25">
      <c r="A307" s="24" t="str">
        <f>Catalog!A303</f>
        <v/>
      </c>
      <c r="B307" s="25">
        <f>Catalog!D303</f>
        <v>0</v>
      </c>
      <c r="C307" s="25">
        <f>Catalog!F303</f>
        <v>0</v>
      </c>
      <c r="D307" s="32" t="str">
        <f>IF(Catalog!D303="","","{""item_id"":"&amp;Catalog!A303&amp;",""title"":"""&amp;SUBSTITUTE(Catalog!D303,"""","\""")&amp;""",""creator"":"""&amp;SUBSTITUTE(Catalog!F303,"""","\""")&amp;""",""language"":"""&amp;Catalog!N303&amp;""",""identifier"":"""&amp;Catalog!C303&amp;"""}")</f>
        <v/>
      </c>
    </row>
    <row r="308" spans="1:4" x14ac:dyDescent="0.25">
      <c r="A308" s="24" t="str">
        <f>Catalog!A304</f>
        <v/>
      </c>
      <c r="B308" s="25">
        <f>Catalog!D304</f>
        <v>0</v>
      </c>
      <c r="C308" s="25">
        <f>Catalog!F304</f>
        <v>0</v>
      </c>
      <c r="D308" s="32" t="str">
        <f>IF(Catalog!D304="","","{""item_id"":"&amp;Catalog!A304&amp;",""title"":"""&amp;SUBSTITUTE(Catalog!D304,"""","\""")&amp;""",""creator"":"""&amp;SUBSTITUTE(Catalog!F304,"""","\""")&amp;""",""language"":"""&amp;Catalog!N304&amp;""",""identifier"":"""&amp;Catalog!C304&amp;"""}")</f>
        <v/>
      </c>
    </row>
    <row r="309" spans="1:4" x14ac:dyDescent="0.25">
      <c r="A309" s="24" t="str">
        <f>Catalog!A305</f>
        <v/>
      </c>
      <c r="B309" s="25">
        <f>Catalog!D305</f>
        <v>0</v>
      </c>
      <c r="C309" s="25">
        <f>Catalog!F305</f>
        <v>0</v>
      </c>
      <c r="D309" s="32" t="str">
        <f>IF(Catalog!D305="","","{""item_id"":"&amp;Catalog!A305&amp;",""title"":"""&amp;SUBSTITUTE(Catalog!D305,"""","\""")&amp;""",""creator"":"""&amp;SUBSTITUTE(Catalog!F305,"""","\""")&amp;""",""language"":"""&amp;Catalog!N305&amp;""",""identifier"":"""&amp;Catalog!C305&amp;"""}")</f>
        <v/>
      </c>
    </row>
    <row r="310" spans="1:4" x14ac:dyDescent="0.25">
      <c r="A310" s="24" t="str">
        <f>Catalog!A306</f>
        <v/>
      </c>
      <c r="B310" s="25">
        <f>Catalog!D306</f>
        <v>0</v>
      </c>
      <c r="C310" s="25">
        <f>Catalog!F306</f>
        <v>0</v>
      </c>
      <c r="D310" s="32" t="str">
        <f>IF(Catalog!D306="","","{""item_id"":"&amp;Catalog!A306&amp;",""title"":"""&amp;SUBSTITUTE(Catalog!D306,"""","\""")&amp;""",""creator"":"""&amp;SUBSTITUTE(Catalog!F306,"""","\""")&amp;""",""language"":"""&amp;Catalog!N306&amp;""",""identifier"":"""&amp;Catalog!C306&amp;"""}")</f>
        <v/>
      </c>
    </row>
    <row r="311" spans="1:4" x14ac:dyDescent="0.25">
      <c r="A311" s="24" t="str">
        <f>Catalog!A307</f>
        <v/>
      </c>
      <c r="B311" s="25">
        <f>Catalog!D307</f>
        <v>0</v>
      </c>
      <c r="C311" s="25">
        <f>Catalog!F307</f>
        <v>0</v>
      </c>
      <c r="D311" s="32" t="str">
        <f>IF(Catalog!D307="","","{""item_id"":"&amp;Catalog!A307&amp;",""title"":"""&amp;SUBSTITUTE(Catalog!D307,"""","\""")&amp;""",""creator"":"""&amp;SUBSTITUTE(Catalog!F307,"""","\""")&amp;""",""language"":"""&amp;Catalog!N307&amp;""",""identifier"":"""&amp;Catalog!C307&amp;"""}")</f>
        <v/>
      </c>
    </row>
    <row r="312" spans="1:4" x14ac:dyDescent="0.25">
      <c r="A312" s="24" t="str">
        <f>Catalog!A308</f>
        <v/>
      </c>
      <c r="B312" s="25">
        <f>Catalog!D308</f>
        <v>0</v>
      </c>
      <c r="C312" s="25">
        <f>Catalog!F308</f>
        <v>0</v>
      </c>
      <c r="D312" s="32" t="str">
        <f>IF(Catalog!D308="","","{""item_id"":"&amp;Catalog!A308&amp;",""title"":"""&amp;SUBSTITUTE(Catalog!D308,"""","\""")&amp;""",""creator"":"""&amp;SUBSTITUTE(Catalog!F308,"""","\""")&amp;""",""language"":"""&amp;Catalog!N308&amp;""",""identifier"":"""&amp;Catalog!C308&amp;"""}")</f>
        <v/>
      </c>
    </row>
    <row r="313" spans="1:4" x14ac:dyDescent="0.25">
      <c r="A313" s="24" t="str">
        <f>Catalog!A309</f>
        <v/>
      </c>
      <c r="B313" s="25">
        <f>Catalog!D309</f>
        <v>0</v>
      </c>
      <c r="C313" s="25">
        <f>Catalog!F309</f>
        <v>0</v>
      </c>
      <c r="D313" s="32" t="str">
        <f>IF(Catalog!D309="","","{""item_id"":"&amp;Catalog!A309&amp;",""title"":"""&amp;SUBSTITUTE(Catalog!D309,"""","\""")&amp;""",""creator"":"""&amp;SUBSTITUTE(Catalog!F309,"""","\""")&amp;""",""language"":"""&amp;Catalog!N309&amp;""",""identifier"":"""&amp;Catalog!C309&amp;"""}")</f>
        <v/>
      </c>
    </row>
    <row r="314" spans="1:4" x14ac:dyDescent="0.25">
      <c r="A314" s="24" t="str">
        <f>Catalog!A310</f>
        <v/>
      </c>
      <c r="B314" s="25">
        <f>Catalog!D310</f>
        <v>0</v>
      </c>
      <c r="C314" s="25">
        <f>Catalog!F310</f>
        <v>0</v>
      </c>
      <c r="D314" s="32" t="str">
        <f>IF(Catalog!D310="","","{""item_id"":"&amp;Catalog!A310&amp;",""title"":"""&amp;SUBSTITUTE(Catalog!D310,"""","\""")&amp;""",""creator"":"""&amp;SUBSTITUTE(Catalog!F310,"""","\""")&amp;""",""language"":"""&amp;Catalog!N310&amp;""",""identifier"":"""&amp;Catalog!C310&amp;"""}")</f>
        <v/>
      </c>
    </row>
    <row r="315" spans="1:4" x14ac:dyDescent="0.25">
      <c r="A315" s="24" t="str">
        <f>Catalog!A311</f>
        <v/>
      </c>
      <c r="B315" s="25">
        <f>Catalog!D311</f>
        <v>0</v>
      </c>
      <c r="C315" s="25">
        <f>Catalog!F311</f>
        <v>0</v>
      </c>
      <c r="D315" s="32" t="str">
        <f>IF(Catalog!D311="","","{""item_id"":"&amp;Catalog!A311&amp;",""title"":"""&amp;SUBSTITUTE(Catalog!D311,"""","\""")&amp;""",""creator"":"""&amp;SUBSTITUTE(Catalog!F311,"""","\""")&amp;""",""language"":"""&amp;Catalog!N311&amp;""",""identifier"":"""&amp;Catalog!C311&amp;"""}")</f>
        <v/>
      </c>
    </row>
    <row r="316" spans="1:4" x14ac:dyDescent="0.25">
      <c r="A316" s="24" t="str">
        <f>Catalog!A312</f>
        <v/>
      </c>
      <c r="B316" s="25">
        <f>Catalog!D312</f>
        <v>0</v>
      </c>
      <c r="C316" s="25">
        <f>Catalog!F312</f>
        <v>0</v>
      </c>
      <c r="D316" s="32" t="str">
        <f>IF(Catalog!D312="","","{""item_id"":"&amp;Catalog!A312&amp;",""title"":"""&amp;SUBSTITUTE(Catalog!D312,"""","\""")&amp;""",""creator"":"""&amp;SUBSTITUTE(Catalog!F312,"""","\""")&amp;""",""language"":"""&amp;Catalog!N312&amp;""",""identifier"":"""&amp;Catalog!C312&amp;"""}")</f>
        <v/>
      </c>
    </row>
    <row r="317" spans="1:4" x14ac:dyDescent="0.25">
      <c r="A317" s="24" t="str">
        <f>Catalog!A313</f>
        <v/>
      </c>
      <c r="B317" s="25">
        <f>Catalog!D313</f>
        <v>0</v>
      </c>
      <c r="C317" s="25">
        <f>Catalog!F313</f>
        <v>0</v>
      </c>
      <c r="D317" s="32" t="str">
        <f>IF(Catalog!D313="","","{""item_id"":"&amp;Catalog!A313&amp;",""title"":"""&amp;SUBSTITUTE(Catalog!D313,"""","\""")&amp;""",""creator"":"""&amp;SUBSTITUTE(Catalog!F313,"""","\""")&amp;""",""language"":"""&amp;Catalog!N313&amp;""",""identifier"":"""&amp;Catalog!C313&amp;"""}")</f>
        <v/>
      </c>
    </row>
    <row r="318" spans="1:4" x14ac:dyDescent="0.25">
      <c r="A318" s="24" t="str">
        <f>Catalog!A314</f>
        <v/>
      </c>
      <c r="B318" s="25">
        <f>Catalog!D314</f>
        <v>0</v>
      </c>
      <c r="C318" s="25">
        <f>Catalog!F314</f>
        <v>0</v>
      </c>
      <c r="D318" s="32" t="str">
        <f>IF(Catalog!D314="","","{""item_id"":"&amp;Catalog!A314&amp;",""title"":"""&amp;SUBSTITUTE(Catalog!D314,"""","\""")&amp;""",""creator"":"""&amp;SUBSTITUTE(Catalog!F314,"""","\""")&amp;""",""language"":"""&amp;Catalog!N314&amp;""",""identifier"":"""&amp;Catalog!C314&amp;"""}")</f>
        <v/>
      </c>
    </row>
    <row r="319" spans="1:4" x14ac:dyDescent="0.25">
      <c r="A319" s="24" t="str">
        <f>Catalog!A315</f>
        <v/>
      </c>
      <c r="B319" s="25">
        <f>Catalog!D315</f>
        <v>0</v>
      </c>
      <c r="C319" s="25">
        <f>Catalog!F315</f>
        <v>0</v>
      </c>
      <c r="D319" s="32" t="str">
        <f>IF(Catalog!D315="","","{""item_id"":"&amp;Catalog!A315&amp;",""title"":"""&amp;SUBSTITUTE(Catalog!D315,"""","\""")&amp;""",""creator"":"""&amp;SUBSTITUTE(Catalog!F315,"""","\""")&amp;""",""language"":"""&amp;Catalog!N315&amp;""",""identifier"":"""&amp;Catalog!C315&amp;"""}")</f>
        <v/>
      </c>
    </row>
    <row r="320" spans="1:4" x14ac:dyDescent="0.25">
      <c r="A320" s="24" t="str">
        <f>Catalog!A316</f>
        <v/>
      </c>
      <c r="B320" s="25">
        <f>Catalog!D316</f>
        <v>0</v>
      </c>
      <c r="C320" s="25">
        <f>Catalog!F316</f>
        <v>0</v>
      </c>
      <c r="D320" s="32" t="str">
        <f>IF(Catalog!D316="","","{""item_id"":"&amp;Catalog!A316&amp;",""title"":"""&amp;SUBSTITUTE(Catalog!D316,"""","\""")&amp;""",""creator"":"""&amp;SUBSTITUTE(Catalog!F316,"""","\""")&amp;""",""language"":"""&amp;Catalog!N316&amp;""",""identifier"":"""&amp;Catalog!C316&amp;"""}")</f>
        <v/>
      </c>
    </row>
    <row r="321" spans="1:4" x14ac:dyDescent="0.25">
      <c r="A321" s="24" t="str">
        <f>Catalog!A317</f>
        <v/>
      </c>
      <c r="B321" s="25">
        <f>Catalog!D317</f>
        <v>0</v>
      </c>
      <c r="C321" s="25">
        <f>Catalog!F317</f>
        <v>0</v>
      </c>
      <c r="D321" s="32" t="str">
        <f>IF(Catalog!D317="","","{""item_id"":"&amp;Catalog!A317&amp;",""title"":"""&amp;SUBSTITUTE(Catalog!D317,"""","\""")&amp;""",""creator"":"""&amp;SUBSTITUTE(Catalog!F317,"""","\""")&amp;""",""language"":"""&amp;Catalog!N317&amp;""",""identifier"":"""&amp;Catalog!C317&amp;"""}")</f>
        <v/>
      </c>
    </row>
    <row r="322" spans="1:4" x14ac:dyDescent="0.25">
      <c r="A322" s="24" t="str">
        <f>Catalog!A318</f>
        <v/>
      </c>
      <c r="B322" s="25">
        <f>Catalog!D318</f>
        <v>0</v>
      </c>
      <c r="C322" s="25">
        <f>Catalog!F318</f>
        <v>0</v>
      </c>
      <c r="D322" s="32" t="str">
        <f>IF(Catalog!D318="","","{""item_id"":"&amp;Catalog!A318&amp;",""title"":"""&amp;SUBSTITUTE(Catalog!D318,"""","\""")&amp;""",""creator"":"""&amp;SUBSTITUTE(Catalog!F318,"""","\""")&amp;""",""language"":"""&amp;Catalog!N318&amp;""",""identifier"":"""&amp;Catalog!C318&amp;"""}")</f>
        <v/>
      </c>
    </row>
    <row r="323" spans="1:4" x14ac:dyDescent="0.25">
      <c r="A323" s="24" t="str">
        <f>Catalog!A319</f>
        <v/>
      </c>
      <c r="B323" s="25">
        <f>Catalog!D319</f>
        <v>0</v>
      </c>
      <c r="C323" s="25">
        <f>Catalog!F319</f>
        <v>0</v>
      </c>
      <c r="D323" s="32" t="str">
        <f>IF(Catalog!D319="","","{""item_id"":"&amp;Catalog!A319&amp;",""title"":"""&amp;SUBSTITUTE(Catalog!D319,"""","\""")&amp;""",""creator"":"""&amp;SUBSTITUTE(Catalog!F319,"""","\""")&amp;""",""language"":"""&amp;Catalog!N319&amp;""",""identifier"":"""&amp;Catalog!C319&amp;"""}")</f>
        <v/>
      </c>
    </row>
    <row r="324" spans="1:4" x14ac:dyDescent="0.25">
      <c r="A324" s="24" t="str">
        <f>Catalog!A320</f>
        <v/>
      </c>
      <c r="B324" s="25">
        <f>Catalog!D320</f>
        <v>0</v>
      </c>
      <c r="C324" s="25">
        <f>Catalog!F320</f>
        <v>0</v>
      </c>
      <c r="D324" s="32" t="str">
        <f>IF(Catalog!D320="","","{""item_id"":"&amp;Catalog!A320&amp;",""title"":"""&amp;SUBSTITUTE(Catalog!D320,"""","\""")&amp;""",""creator"":"""&amp;SUBSTITUTE(Catalog!F320,"""","\""")&amp;""",""language"":"""&amp;Catalog!N320&amp;""",""identifier"":"""&amp;Catalog!C320&amp;"""}")</f>
        <v/>
      </c>
    </row>
    <row r="325" spans="1:4" x14ac:dyDescent="0.25">
      <c r="A325" s="24" t="str">
        <f>Catalog!A321</f>
        <v/>
      </c>
      <c r="B325" s="25">
        <f>Catalog!D321</f>
        <v>0</v>
      </c>
      <c r="C325" s="25">
        <f>Catalog!F321</f>
        <v>0</v>
      </c>
      <c r="D325" s="32" t="str">
        <f>IF(Catalog!D321="","","{""item_id"":"&amp;Catalog!A321&amp;",""title"":"""&amp;SUBSTITUTE(Catalog!D321,"""","\""")&amp;""",""creator"":"""&amp;SUBSTITUTE(Catalog!F321,"""","\""")&amp;""",""language"":"""&amp;Catalog!N321&amp;""",""identifier"":"""&amp;Catalog!C321&amp;"""}")</f>
        <v/>
      </c>
    </row>
    <row r="326" spans="1:4" x14ac:dyDescent="0.25">
      <c r="A326" s="24" t="str">
        <f>Catalog!A322</f>
        <v/>
      </c>
      <c r="B326" s="25">
        <f>Catalog!D322</f>
        <v>0</v>
      </c>
      <c r="C326" s="25">
        <f>Catalog!F322</f>
        <v>0</v>
      </c>
      <c r="D326" s="32" t="str">
        <f>IF(Catalog!D322="","","{""item_id"":"&amp;Catalog!A322&amp;",""title"":"""&amp;SUBSTITUTE(Catalog!D322,"""","\""")&amp;""",""creator"":"""&amp;SUBSTITUTE(Catalog!F322,"""","\""")&amp;""",""language"":"""&amp;Catalog!N322&amp;""",""identifier"":"""&amp;Catalog!C322&amp;"""}")</f>
        <v/>
      </c>
    </row>
    <row r="327" spans="1:4" x14ac:dyDescent="0.25">
      <c r="A327" s="24" t="str">
        <f>Catalog!A323</f>
        <v/>
      </c>
      <c r="B327" s="25">
        <f>Catalog!D323</f>
        <v>0</v>
      </c>
      <c r="C327" s="25">
        <f>Catalog!F323</f>
        <v>0</v>
      </c>
      <c r="D327" s="32" t="str">
        <f>IF(Catalog!D323="","","{""item_id"":"&amp;Catalog!A323&amp;",""title"":"""&amp;SUBSTITUTE(Catalog!D323,"""","\""")&amp;""",""creator"":"""&amp;SUBSTITUTE(Catalog!F323,"""","\""")&amp;""",""language"":"""&amp;Catalog!N323&amp;""",""identifier"":"""&amp;Catalog!C323&amp;"""}")</f>
        <v/>
      </c>
    </row>
    <row r="328" spans="1:4" x14ac:dyDescent="0.25">
      <c r="A328" s="24" t="str">
        <f>Catalog!A324</f>
        <v/>
      </c>
      <c r="B328" s="25">
        <f>Catalog!D324</f>
        <v>0</v>
      </c>
      <c r="C328" s="25">
        <f>Catalog!F324</f>
        <v>0</v>
      </c>
      <c r="D328" s="32" t="str">
        <f>IF(Catalog!D324="","","{""item_id"":"&amp;Catalog!A324&amp;",""title"":"""&amp;SUBSTITUTE(Catalog!D324,"""","\""")&amp;""",""creator"":"""&amp;SUBSTITUTE(Catalog!F324,"""","\""")&amp;""",""language"":"""&amp;Catalog!N324&amp;""",""identifier"":"""&amp;Catalog!C324&amp;"""}")</f>
        <v/>
      </c>
    </row>
    <row r="329" spans="1:4" x14ac:dyDescent="0.25">
      <c r="A329" s="24" t="str">
        <f>Catalog!A325</f>
        <v/>
      </c>
      <c r="B329" s="25">
        <f>Catalog!D325</f>
        <v>0</v>
      </c>
      <c r="C329" s="25">
        <f>Catalog!F325</f>
        <v>0</v>
      </c>
      <c r="D329" s="32" t="str">
        <f>IF(Catalog!D325="","","{""item_id"":"&amp;Catalog!A325&amp;",""title"":"""&amp;SUBSTITUTE(Catalog!D325,"""","\""")&amp;""",""creator"":"""&amp;SUBSTITUTE(Catalog!F325,"""","\""")&amp;""",""language"":"""&amp;Catalog!N325&amp;""",""identifier"":"""&amp;Catalog!C325&amp;"""}")</f>
        <v/>
      </c>
    </row>
    <row r="330" spans="1:4" x14ac:dyDescent="0.25">
      <c r="A330" s="24" t="str">
        <f>Catalog!A326</f>
        <v/>
      </c>
      <c r="B330" s="25">
        <f>Catalog!D326</f>
        <v>0</v>
      </c>
      <c r="C330" s="25">
        <f>Catalog!F326</f>
        <v>0</v>
      </c>
      <c r="D330" s="32" t="str">
        <f>IF(Catalog!D326="","","{""item_id"":"&amp;Catalog!A326&amp;",""title"":"""&amp;SUBSTITUTE(Catalog!D326,"""","\""")&amp;""",""creator"":"""&amp;SUBSTITUTE(Catalog!F326,"""","\""")&amp;""",""language"":"""&amp;Catalog!N326&amp;""",""identifier"":"""&amp;Catalog!C326&amp;"""}")</f>
        <v/>
      </c>
    </row>
    <row r="331" spans="1:4" x14ac:dyDescent="0.25">
      <c r="A331" s="24" t="str">
        <f>Catalog!A327</f>
        <v/>
      </c>
      <c r="B331" s="25">
        <f>Catalog!D327</f>
        <v>0</v>
      </c>
      <c r="C331" s="25">
        <f>Catalog!F327</f>
        <v>0</v>
      </c>
      <c r="D331" s="32" t="str">
        <f>IF(Catalog!D327="","","{""item_id"":"&amp;Catalog!A327&amp;",""title"":"""&amp;SUBSTITUTE(Catalog!D327,"""","\""")&amp;""",""creator"":"""&amp;SUBSTITUTE(Catalog!F327,"""","\""")&amp;""",""language"":"""&amp;Catalog!N327&amp;""",""identifier"":"""&amp;Catalog!C327&amp;"""}")</f>
        <v/>
      </c>
    </row>
    <row r="332" spans="1:4" x14ac:dyDescent="0.25">
      <c r="A332" s="24" t="str">
        <f>Catalog!A328</f>
        <v/>
      </c>
      <c r="B332" s="25">
        <f>Catalog!D328</f>
        <v>0</v>
      </c>
      <c r="C332" s="25">
        <f>Catalog!F328</f>
        <v>0</v>
      </c>
      <c r="D332" s="32" t="str">
        <f>IF(Catalog!D328="","","{""item_id"":"&amp;Catalog!A328&amp;",""title"":"""&amp;SUBSTITUTE(Catalog!D328,"""","\""")&amp;""",""creator"":"""&amp;SUBSTITUTE(Catalog!F328,"""","\""")&amp;""",""language"":"""&amp;Catalog!N328&amp;""",""identifier"":"""&amp;Catalog!C328&amp;"""}")</f>
        <v/>
      </c>
    </row>
    <row r="333" spans="1:4" x14ac:dyDescent="0.25">
      <c r="A333" s="24" t="str">
        <f>Catalog!A329</f>
        <v/>
      </c>
      <c r="B333" s="25">
        <f>Catalog!D329</f>
        <v>0</v>
      </c>
      <c r="C333" s="25">
        <f>Catalog!F329</f>
        <v>0</v>
      </c>
      <c r="D333" s="32" t="str">
        <f>IF(Catalog!D329="","","{""item_id"":"&amp;Catalog!A329&amp;",""title"":"""&amp;SUBSTITUTE(Catalog!D329,"""","\""")&amp;""",""creator"":"""&amp;SUBSTITUTE(Catalog!F329,"""","\""")&amp;""",""language"":"""&amp;Catalog!N329&amp;""",""identifier"":"""&amp;Catalog!C329&amp;"""}")</f>
        <v/>
      </c>
    </row>
    <row r="334" spans="1:4" x14ac:dyDescent="0.25">
      <c r="A334" s="24" t="str">
        <f>Catalog!A330</f>
        <v/>
      </c>
      <c r="B334" s="25">
        <f>Catalog!D330</f>
        <v>0</v>
      </c>
      <c r="C334" s="25">
        <f>Catalog!F330</f>
        <v>0</v>
      </c>
      <c r="D334" s="32" t="str">
        <f>IF(Catalog!D330="","","{""item_id"":"&amp;Catalog!A330&amp;",""title"":"""&amp;SUBSTITUTE(Catalog!D330,"""","\""")&amp;""",""creator"":"""&amp;SUBSTITUTE(Catalog!F330,"""","\""")&amp;""",""language"":"""&amp;Catalog!N330&amp;""",""identifier"":"""&amp;Catalog!C330&amp;"""}")</f>
        <v/>
      </c>
    </row>
    <row r="335" spans="1:4" x14ac:dyDescent="0.25">
      <c r="A335" s="24" t="str">
        <f>Catalog!A331</f>
        <v/>
      </c>
      <c r="B335" s="25">
        <f>Catalog!D331</f>
        <v>0</v>
      </c>
      <c r="C335" s="25">
        <f>Catalog!F331</f>
        <v>0</v>
      </c>
      <c r="D335" s="32" t="str">
        <f>IF(Catalog!D331="","","{""item_id"":"&amp;Catalog!A331&amp;",""title"":"""&amp;SUBSTITUTE(Catalog!D331,"""","\""")&amp;""",""creator"":"""&amp;SUBSTITUTE(Catalog!F331,"""","\""")&amp;""",""language"":"""&amp;Catalog!N331&amp;""",""identifier"":"""&amp;Catalog!C331&amp;"""}")</f>
        <v/>
      </c>
    </row>
    <row r="336" spans="1:4" x14ac:dyDescent="0.25">
      <c r="A336" s="24" t="str">
        <f>Catalog!A332</f>
        <v/>
      </c>
      <c r="B336" s="25">
        <f>Catalog!D332</f>
        <v>0</v>
      </c>
      <c r="C336" s="25">
        <f>Catalog!F332</f>
        <v>0</v>
      </c>
      <c r="D336" s="32" t="str">
        <f>IF(Catalog!D332="","","{""item_id"":"&amp;Catalog!A332&amp;",""title"":"""&amp;SUBSTITUTE(Catalog!D332,"""","\""")&amp;""",""creator"":"""&amp;SUBSTITUTE(Catalog!F332,"""","\""")&amp;""",""language"":"""&amp;Catalog!N332&amp;""",""identifier"":"""&amp;Catalog!C332&amp;"""}")</f>
        <v/>
      </c>
    </row>
    <row r="337" spans="1:4" x14ac:dyDescent="0.25">
      <c r="A337" s="24" t="str">
        <f>Catalog!A333</f>
        <v/>
      </c>
      <c r="B337" s="25">
        <f>Catalog!D333</f>
        <v>0</v>
      </c>
      <c r="C337" s="25">
        <f>Catalog!F333</f>
        <v>0</v>
      </c>
      <c r="D337" s="32" t="str">
        <f>IF(Catalog!D333="","","{""item_id"":"&amp;Catalog!A333&amp;",""title"":"""&amp;SUBSTITUTE(Catalog!D333,"""","\""")&amp;""",""creator"":"""&amp;SUBSTITUTE(Catalog!F333,"""","\""")&amp;""",""language"":"""&amp;Catalog!N333&amp;""",""identifier"":"""&amp;Catalog!C333&amp;"""}")</f>
        <v/>
      </c>
    </row>
    <row r="338" spans="1:4" x14ac:dyDescent="0.25">
      <c r="A338" s="24" t="str">
        <f>Catalog!A334</f>
        <v/>
      </c>
      <c r="B338" s="25">
        <f>Catalog!D334</f>
        <v>0</v>
      </c>
      <c r="C338" s="25">
        <f>Catalog!F334</f>
        <v>0</v>
      </c>
      <c r="D338" s="32" t="str">
        <f>IF(Catalog!D334="","","{""item_id"":"&amp;Catalog!A334&amp;",""title"":"""&amp;SUBSTITUTE(Catalog!D334,"""","\""")&amp;""",""creator"":"""&amp;SUBSTITUTE(Catalog!F334,"""","\""")&amp;""",""language"":"""&amp;Catalog!N334&amp;""",""identifier"":"""&amp;Catalog!C334&amp;"""}")</f>
        <v/>
      </c>
    </row>
    <row r="339" spans="1:4" x14ac:dyDescent="0.25">
      <c r="A339" s="24" t="str">
        <f>Catalog!A335</f>
        <v/>
      </c>
      <c r="B339" s="25">
        <f>Catalog!D335</f>
        <v>0</v>
      </c>
      <c r="C339" s="25">
        <f>Catalog!F335</f>
        <v>0</v>
      </c>
      <c r="D339" s="32" t="str">
        <f>IF(Catalog!D335="","","{""item_id"":"&amp;Catalog!A335&amp;",""title"":"""&amp;SUBSTITUTE(Catalog!D335,"""","\""")&amp;""",""creator"":"""&amp;SUBSTITUTE(Catalog!F335,"""","\""")&amp;""",""language"":"""&amp;Catalog!N335&amp;""",""identifier"":"""&amp;Catalog!C335&amp;"""}")</f>
        <v/>
      </c>
    </row>
    <row r="340" spans="1:4" x14ac:dyDescent="0.25">
      <c r="A340" s="24" t="str">
        <f>Catalog!A336</f>
        <v/>
      </c>
      <c r="B340" s="25">
        <f>Catalog!D336</f>
        <v>0</v>
      </c>
      <c r="C340" s="25">
        <f>Catalog!F336</f>
        <v>0</v>
      </c>
      <c r="D340" s="32" t="str">
        <f>IF(Catalog!D336="","","{""item_id"":"&amp;Catalog!A336&amp;",""title"":"""&amp;SUBSTITUTE(Catalog!D336,"""","\""")&amp;""",""creator"":"""&amp;SUBSTITUTE(Catalog!F336,"""","\""")&amp;""",""language"":"""&amp;Catalog!N336&amp;""",""identifier"":"""&amp;Catalog!C336&amp;"""}")</f>
        <v/>
      </c>
    </row>
    <row r="341" spans="1:4" x14ac:dyDescent="0.25">
      <c r="A341" s="24" t="str">
        <f>Catalog!A337</f>
        <v/>
      </c>
      <c r="B341" s="25">
        <f>Catalog!D337</f>
        <v>0</v>
      </c>
      <c r="C341" s="25">
        <f>Catalog!F337</f>
        <v>0</v>
      </c>
      <c r="D341" s="32" t="str">
        <f>IF(Catalog!D337="","","{""item_id"":"&amp;Catalog!A337&amp;",""title"":"""&amp;SUBSTITUTE(Catalog!D337,"""","\""")&amp;""",""creator"":"""&amp;SUBSTITUTE(Catalog!F337,"""","\""")&amp;""",""language"":"""&amp;Catalog!N337&amp;""",""identifier"":"""&amp;Catalog!C337&amp;"""}")</f>
        <v/>
      </c>
    </row>
    <row r="342" spans="1:4" x14ac:dyDescent="0.25">
      <c r="A342" s="24" t="str">
        <f>Catalog!A338</f>
        <v/>
      </c>
      <c r="B342" s="25">
        <f>Catalog!D338</f>
        <v>0</v>
      </c>
      <c r="C342" s="25">
        <f>Catalog!F338</f>
        <v>0</v>
      </c>
      <c r="D342" s="32" t="str">
        <f>IF(Catalog!D338="","","{""item_id"":"&amp;Catalog!A338&amp;",""title"":"""&amp;SUBSTITUTE(Catalog!D338,"""","\""")&amp;""",""creator"":"""&amp;SUBSTITUTE(Catalog!F338,"""","\""")&amp;""",""language"":"""&amp;Catalog!N338&amp;""",""identifier"":"""&amp;Catalog!C338&amp;"""}")</f>
        <v/>
      </c>
    </row>
    <row r="343" spans="1:4" x14ac:dyDescent="0.25">
      <c r="A343" s="24" t="str">
        <f>Catalog!A339</f>
        <v/>
      </c>
      <c r="B343" s="25">
        <f>Catalog!D339</f>
        <v>0</v>
      </c>
      <c r="C343" s="25">
        <f>Catalog!F339</f>
        <v>0</v>
      </c>
      <c r="D343" s="32" t="str">
        <f>IF(Catalog!D339="","","{""item_id"":"&amp;Catalog!A339&amp;",""title"":"""&amp;SUBSTITUTE(Catalog!D339,"""","\""")&amp;""",""creator"":"""&amp;SUBSTITUTE(Catalog!F339,"""","\""")&amp;""",""language"":"""&amp;Catalog!N339&amp;""",""identifier"":"""&amp;Catalog!C339&amp;"""}")</f>
        <v/>
      </c>
    </row>
    <row r="344" spans="1:4" x14ac:dyDescent="0.25">
      <c r="A344" s="24" t="str">
        <f>Catalog!A340</f>
        <v/>
      </c>
      <c r="B344" s="25">
        <f>Catalog!D340</f>
        <v>0</v>
      </c>
      <c r="C344" s="25">
        <f>Catalog!F340</f>
        <v>0</v>
      </c>
      <c r="D344" s="32" t="str">
        <f>IF(Catalog!D340="","","{""item_id"":"&amp;Catalog!A340&amp;",""title"":"""&amp;SUBSTITUTE(Catalog!D340,"""","\""")&amp;""",""creator"":"""&amp;SUBSTITUTE(Catalog!F340,"""","\""")&amp;""",""language"":"""&amp;Catalog!N340&amp;""",""identifier"":"""&amp;Catalog!C340&amp;"""}")</f>
        <v/>
      </c>
    </row>
    <row r="345" spans="1:4" x14ac:dyDescent="0.25">
      <c r="A345" s="24" t="str">
        <f>Catalog!A341</f>
        <v/>
      </c>
      <c r="B345" s="25">
        <f>Catalog!D341</f>
        <v>0</v>
      </c>
      <c r="C345" s="25">
        <f>Catalog!F341</f>
        <v>0</v>
      </c>
      <c r="D345" s="32" t="str">
        <f>IF(Catalog!D341="","","{""item_id"":"&amp;Catalog!A341&amp;",""title"":"""&amp;SUBSTITUTE(Catalog!D341,"""","\""")&amp;""",""creator"":"""&amp;SUBSTITUTE(Catalog!F341,"""","\""")&amp;""",""language"":"""&amp;Catalog!N341&amp;""",""identifier"":"""&amp;Catalog!C341&amp;"""}")</f>
        <v/>
      </c>
    </row>
    <row r="346" spans="1:4" x14ac:dyDescent="0.25">
      <c r="A346" s="24" t="str">
        <f>Catalog!A342</f>
        <v/>
      </c>
      <c r="B346" s="25">
        <f>Catalog!D342</f>
        <v>0</v>
      </c>
      <c r="C346" s="25">
        <f>Catalog!F342</f>
        <v>0</v>
      </c>
      <c r="D346" s="32" t="str">
        <f>IF(Catalog!D342="","","{""item_id"":"&amp;Catalog!A342&amp;",""title"":"""&amp;SUBSTITUTE(Catalog!D342,"""","\""")&amp;""",""creator"":"""&amp;SUBSTITUTE(Catalog!F342,"""","\""")&amp;""",""language"":"""&amp;Catalog!N342&amp;""",""identifier"":"""&amp;Catalog!C342&amp;"""}")</f>
        <v/>
      </c>
    </row>
    <row r="347" spans="1:4" x14ac:dyDescent="0.25">
      <c r="A347" s="24" t="str">
        <f>Catalog!A343</f>
        <v/>
      </c>
      <c r="B347" s="25">
        <f>Catalog!D343</f>
        <v>0</v>
      </c>
      <c r="C347" s="25">
        <f>Catalog!F343</f>
        <v>0</v>
      </c>
      <c r="D347" s="32" t="str">
        <f>IF(Catalog!D343="","","{""item_id"":"&amp;Catalog!A343&amp;",""title"":"""&amp;SUBSTITUTE(Catalog!D343,"""","\""")&amp;""",""creator"":"""&amp;SUBSTITUTE(Catalog!F343,"""","\""")&amp;""",""language"":"""&amp;Catalog!N343&amp;""",""identifier"":"""&amp;Catalog!C343&amp;"""}")</f>
        <v/>
      </c>
    </row>
    <row r="348" spans="1:4" x14ac:dyDescent="0.25">
      <c r="A348" s="24" t="str">
        <f>Catalog!A344</f>
        <v/>
      </c>
      <c r="B348" s="25">
        <f>Catalog!D344</f>
        <v>0</v>
      </c>
      <c r="C348" s="25">
        <f>Catalog!F344</f>
        <v>0</v>
      </c>
      <c r="D348" s="32" t="str">
        <f>IF(Catalog!D344="","","{""item_id"":"&amp;Catalog!A344&amp;",""title"":"""&amp;SUBSTITUTE(Catalog!D344,"""","\""")&amp;""",""creator"":"""&amp;SUBSTITUTE(Catalog!F344,"""","\""")&amp;""",""language"":"""&amp;Catalog!N344&amp;""",""identifier"":"""&amp;Catalog!C344&amp;"""}")</f>
        <v/>
      </c>
    </row>
    <row r="349" spans="1:4" x14ac:dyDescent="0.25">
      <c r="A349" s="24" t="str">
        <f>Catalog!A345</f>
        <v/>
      </c>
      <c r="B349" s="25">
        <f>Catalog!D345</f>
        <v>0</v>
      </c>
      <c r="C349" s="25">
        <f>Catalog!F345</f>
        <v>0</v>
      </c>
      <c r="D349" s="32" t="str">
        <f>IF(Catalog!D345="","","{""item_id"":"&amp;Catalog!A345&amp;",""title"":"""&amp;SUBSTITUTE(Catalog!D345,"""","\""")&amp;""",""creator"":"""&amp;SUBSTITUTE(Catalog!F345,"""","\""")&amp;""",""language"":"""&amp;Catalog!N345&amp;""",""identifier"":"""&amp;Catalog!C345&amp;"""}")</f>
        <v/>
      </c>
    </row>
    <row r="350" spans="1:4" x14ac:dyDescent="0.25">
      <c r="A350" s="24" t="str">
        <f>Catalog!A346</f>
        <v/>
      </c>
      <c r="B350" s="25">
        <f>Catalog!D346</f>
        <v>0</v>
      </c>
      <c r="C350" s="25">
        <f>Catalog!F346</f>
        <v>0</v>
      </c>
      <c r="D350" s="32" t="str">
        <f>IF(Catalog!D346="","","{""item_id"":"&amp;Catalog!A346&amp;",""title"":"""&amp;SUBSTITUTE(Catalog!D346,"""","\""")&amp;""",""creator"":"""&amp;SUBSTITUTE(Catalog!F346,"""","\""")&amp;""",""language"":"""&amp;Catalog!N346&amp;""",""identifier"":"""&amp;Catalog!C346&amp;"""}")</f>
        <v/>
      </c>
    </row>
    <row r="351" spans="1:4" x14ac:dyDescent="0.25">
      <c r="A351" s="24" t="str">
        <f>Catalog!A347</f>
        <v/>
      </c>
      <c r="B351" s="25">
        <f>Catalog!D347</f>
        <v>0</v>
      </c>
      <c r="C351" s="25">
        <f>Catalog!F347</f>
        <v>0</v>
      </c>
      <c r="D351" s="32" t="str">
        <f>IF(Catalog!D347="","","{""item_id"":"&amp;Catalog!A347&amp;",""title"":"""&amp;SUBSTITUTE(Catalog!D347,"""","\""")&amp;""",""creator"":"""&amp;SUBSTITUTE(Catalog!F347,"""","\""")&amp;""",""language"":"""&amp;Catalog!N347&amp;""",""identifier"":"""&amp;Catalog!C347&amp;"""}")</f>
        <v/>
      </c>
    </row>
    <row r="352" spans="1:4" x14ac:dyDescent="0.25">
      <c r="A352" s="24" t="str">
        <f>Catalog!A348</f>
        <v/>
      </c>
      <c r="B352" s="25">
        <f>Catalog!D348</f>
        <v>0</v>
      </c>
      <c r="C352" s="25">
        <f>Catalog!F348</f>
        <v>0</v>
      </c>
      <c r="D352" s="32" t="str">
        <f>IF(Catalog!D348="","","{""item_id"":"&amp;Catalog!A348&amp;",""title"":"""&amp;SUBSTITUTE(Catalog!D348,"""","\""")&amp;""",""creator"":"""&amp;SUBSTITUTE(Catalog!F348,"""","\""")&amp;""",""language"":"""&amp;Catalog!N348&amp;""",""identifier"":"""&amp;Catalog!C348&amp;"""}")</f>
        <v/>
      </c>
    </row>
    <row r="353" spans="1:4" x14ac:dyDescent="0.25">
      <c r="A353" s="24" t="str">
        <f>Catalog!A349</f>
        <v/>
      </c>
      <c r="B353" s="25">
        <f>Catalog!D349</f>
        <v>0</v>
      </c>
      <c r="C353" s="25">
        <f>Catalog!F349</f>
        <v>0</v>
      </c>
      <c r="D353" s="32" t="str">
        <f>IF(Catalog!D349="","","{""item_id"":"&amp;Catalog!A349&amp;",""title"":"""&amp;SUBSTITUTE(Catalog!D349,"""","\""")&amp;""",""creator"":"""&amp;SUBSTITUTE(Catalog!F349,"""","\""")&amp;""",""language"":"""&amp;Catalog!N349&amp;""",""identifier"":"""&amp;Catalog!C349&amp;"""}")</f>
        <v/>
      </c>
    </row>
    <row r="354" spans="1:4" x14ac:dyDescent="0.25">
      <c r="A354" s="24" t="str">
        <f>Catalog!A350</f>
        <v/>
      </c>
      <c r="B354" s="25">
        <f>Catalog!D350</f>
        <v>0</v>
      </c>
      <c r="C354" s="25">
        <f>Catalog!F350</f>
        <v>0</v>
      </c>
      <c r="D354" s="32" t="str">
        <f>IF(Catalog!D350="","","{""item_id"":"&amp;Catalog!A350&amp;",""title"":"""&amp;SUBSTITUTE(Catalog!D350,"""","\""")&amp;""",""creator"":"""&amp;SUBSTITUTE(Catalog!F350,"""","\""")&amp;""",""language"":"""&amp;Catalog!N350&amp;""",""identifier"":"""&amp;Catalog!C350&amp;"""}")</f>
        <v/>
      </c>
    </row>
    <row r="355" spans="1:4" x14ac:dyDescent="0.25">
      <c r="A355" s="24" t="str">
        <f>Catalog!A351</f>
        <v/>
      </c>
      <c r="B355" s="25">
        <f>Catalog!D351</f>
        <v>0</v>
      </c>
      <c r="C355" s="25">
        <f>Catalog!F351</f>
        <v>0</v>
      </c>
      <c r="D355" s="32" t="str">
        <f>IF(Catalog!D351="","","{""item_id"":"&amp;Catalog!A351&amp;",""title"":"""&amp;SUBSTITUTE(Catalog!D351,"""","\""")&amp;""",""creator"":"""&amp;SUBSTITUTE(Catalog!F351,"""","\""")&amp;""",""language"":"""&amp;Catalog!N351&amp;""",""identifier"":"""&amp;Catalog!C351&amp;"""}")</f>
        <v/>
      </c>
    </row>
    <row r="356" spans="1:4" x14ac:dyDescent="0.25">
      <c r="A356" s="24" t="str">
        <f>Catalog!A352</f>
        <v/>
      </c>
      <c r="B356" s="25">
        <f>Catalog!D352</f>
        <v>0</v>
      </c>
      <c r="C356" s="25">
        <f>Catalog!F352</f>
        <v>0</v>
      </c>
      <c r="D356" s="32" t="str">
        <f>IF(Catalog!D352="","","{""item_id"":"&amp;Catalog!A352&amp;",""title"":"""&amp;SUBSTITUTE(Catalog!D352,"""","\""")&amp;""",""creator"":"""&amp;SUBSTITUTE(Catalog!F352,"""","\""")&amp;""",""language"":"""&amp;Catalog!N352&amp;""",""identifier"":"""&amp;Catalog!C352&amp;"""}")</f>
        <v/>
      </c>
    </row>
    <row r="357" spans="1:4" x14ac:dyDescent="0.25">
      <c r="A357" s="24" t="str">
        <f>Catalog!A353</f>
        <v/>
      </c>
      <c r="B357" s="25">
        <f>Catalog!D353</f>
        <v>0</v>
      </c>
      <c r="C357" s="25">
        <f>Catalog!F353</f>
        <v>0</v>
      </c>
      <c r="D357" s="32" t="str">
        <f>IF(Catalog!D353="","","{""item_id"":"&amp;Catalog!A353&amp;",""title"":"""&amp;SUBSTITUTE(Catalog!D353,"""","\""")&amp;""",""creator"":"""&amp;SUBSTITUTE(Catalog!F353,"""","\""")&amp;""",""language"":"""&amp;Catalog!N353&amp;""",""identifier"":"""&amp;Catalog!C353&amp;"""}")</f>
        <v/>
      </c>
    </row>
    <row r="358" spans="1:4" x14ac:dyDescent="0.25">
      <c r="A358" s="24" t="str">
        <f>Catalog!A354</f>
        <v/>
      </c>
      <c r="B358" s="25">
        <f>Catalog!D354</f>
        <v>0</v>
      </c>
      <c r="C358" s="25">
        <f>Catalog!F354</f>
        <v>0</v>
      </c>
      <c r="D358" s="32" t="str">
        <f>IF(Catalog!D354="","","{""item_id"":"&amp;Catalog!A354&amp;",""title"":"""&amp;SUBSTITUTE(Catalog!D354,"""","\""")&amp;""",""creator"":"""&amp;SUBSTITUTE(Catalog!F354,"""","\""")&amp;""",""language"":"""&amp;Catalog!N354&amp;""",""identifier"":"""&amp;Catalog!C354&amp;"""}")</f>
        <v/>
      </c>
    </row>
    <row r="359" spans="1:4" x14ac:dyDescent="0.25">
      <c r="A359" s="24" t="str">
        <f>Catalog!A355</f>
        <v/>
      </c>
      <c r="B359" s="25">
        <f>Catalog!D355</f>
        <v>0</v>
      </c>
      <c r="C359" s="25">
        <f>Catalog!F355</f>
        <v>0</v>
      </c>
      <c r="D359" s="32" t="str">
        <f>IF(Catalog!D355="","","{""item_id"":"&amp;Catalog!A355&amp;",""title"":"""&amp;SUBSTITUTE(Catalog!D355,"""","\""")&amp;""",""creator"":"""&amp;SUBSTITUTE(Catalog!F355,"""","\""")&amp;""",""language"":"""&amp;Catalog!N355&amp;""",""identifier"":"""&amp;Catalog!C355&amp;"""}")</f>
        <v/>
      </c>
    </row>
    <row r="360" spans="1:4" x14ac:dyDescent="0.25">
      <c r="A360" s="24" t="str">
        <f>Catalog!A356</f>
        <v/>
      </c>
      <c r="B360" s="25">
        <f>Catalog!D356</f>
        <v>0</v>
      </c>
      <c r="C360" s="25">
        <f>Catalog!F356</f>
        <v>0</v>
      </c>
      <c r="D360" s="32" t="str">
        <f>IF(Catalog!D356="","","{""item_id"":"&amp;Catalog!A356&amp;",""title"":"""&amp;SUBSTITUTE(Catalog!D356,"""","\""")&amp;""",""creator"":"""&amp;SUBSTITUTE(Catalog!F356,"""","\""")&amp;""",""language"":"""&amp;Catalog!N356&amp;""",""identifier"":"""&amp;Catalog!C356&amp;"""}")</f>
        <v/>
      </c>
    </row>
    <row r="361" spans="1:4" x14ac:dyDescent="0.25">
      <c r="A361" s="24" t="str">
        <f>Catalog!A357</f>
        <v/>
      </c>
      <c r="B361" s="25">
        <f>Catalog!D357</f>
        <v>0</v>
      </c>
      <c r="C361" s="25">
        <f>Catalog!F357</f>
        <v>0</v>
      </c>
      <c r="D361" s="32" t="str">
        <f>IF(Catalog!D357="","","{""item_id"":"&amp;Catalog!A357&amp;",""title"":"""&amp;SUBSTITUTE(Catalog!D357,"""","\""")&amp;""",""creator"":"""&amp;SUBSTITUTE(Catalog!F357,"""","\""")&amp;""",""language"":"""&amp;Catalog!N357&amp;""",""identifier"":"""&amp;Catalog!C357&amp;"""}")</f>
        <v/>
      </c>
    </row>
    <row r="362" spans="1:4" x14ac:dyDescent="0.25">
      <c r="A362" s="24" t="str">
        <f>Catalog!A358</f>
        <v/>
      </c>
      <c r="B362" s="25">
        <f>Catalog!D358</f>
        <v>0</v>
      </c>
      <c r="C362" s="25">
        <f>Catalog!F358</f>
        <v>0</v>
      </c>
      <c r="D362" s="32" t="str">
        <f>IF(Catalog!D358="","","{""item_id"":"&amp;Catalog!A358&amp;",""title"":"""&amp;SUBSTITUTE(Catalog!D358,"""","\""")&amp;""",""creator"":"""&amp;SUBSTITUTE(Catalog!F358,"""","\""")&amp;""",""language"":"""&amp;Catalog!N358&amp;""",""identifier"":"""&amp;Catalog!C358&amp;"""}")</f>
        <v/>
      </c>
    </row>
    <row r="363" spans="1:4" x14ac:dyDescent="0.25">
      <c r="A363" s="24" t="str">
        <f>Catalog!A359</f>
        <v/>
      </c>
      <c r="B363" s="25">
        <f>Catalog!D359</f>
        <v>0</v>
      </c>
      <c r="C363" s="25">
        <f>Catalog!F359</f>
        <v>0</v>
      </c>
      <c r="D363" s="32" t="str">
        <f>IF(Catalog!D359="","","{""item_id"":"&amp;Catalog!A359&amp;",""title"":"""&amp;SUBSTITUTE(Catalog!D359,"""","\""")&amp;""",""creator"":"""&amp;SUBSTITUTE(Catalog!F359,"""","\""")&amp;""",""language"":"""&amp;Catalog!N359&amp;""",""identifier"":"""&amp;Catalog!C359&amp;"""}")</f>
        <v/>
      </c>
    </row>
    <row r="364" spans="1:4" x14ac:dyDescent="0.25">
      <c r="A364" s="24" t="str">
        <f>Catalog!A360</f>
        <v/>
      </c>
      <c r="B364" s="25">
        <f>Catalog!D360</f>
        <v>0</v>
      </c>
      <c r="C364" s="25">
        <f>Catalog!F360</f>
        <v>0</v>
      </c>
      <c r="D364" s="32" t="str">
        <f>IF(Catalog!D360="","","{""item_id"":"&amp;Catalog!A360&amp;",""title"":"""&amp;SUBSTITUTE(Catalog!D360,"""","\""")&amp;""",""creator"":"""&amp;SUBSTITUTE(Catalog!F360,"""","\""")&amp;""",""language"":"""&amp;Catalog!N360&amp;""",""identifier"":"""&amp;Catalog!C360&amp;"""}")</f>
        <v/>
      </c>
    </row>
    <row r="365" spans="1:4" x14ac:dyDescent="0.25">
      <c r="A365" s="24" t="str">
        <f>Catalog!A361</f>
        <v/>
      </c>
      <c r="B365" s="25">
        <f>Catalog!D361</f>
        <v>0</v>
      </c>
      <c r="C365" s="25">
        <f>Catalog!F361</f>
        <v>0</v>
      </c>
      <c r="D365" s="32" t="str">
        <f>IF(Catalog!D361="","","{""item_id"":"&amp;Catalog!A361&amp;",""title"":"""&amp;SUBSTITUTE(Catalog!D361,"""","\""")&amp;""",""creator"":"""&amp;SUBSTITUTE(Catalog!F361,"""","\""")&amp;""",""language"":"""&amp;Catalog!N361&amp;""",""identifier"":"""&amp;Catalog!C361&amp;"""}")</f>
        <v/>
      </c>
    </row>
    <row r="366" spans="1:4" x14ac:dyDescent="0.25">
      <c r="A366" s="24" t="str">
        <f>Catalog!A362</f>
        <v/>
      </c>
      <c r="B366" s="25">
        <f>Catalog!D362</f>
        <v>0</v>
      </c>
      <c r="C366" s="25">
        <f>Catalog!F362</f>
        <v>0</v>
      </c>
      <c r="D366" s="32" t="str">
        <f>IF(Catalog!D362="","","{""item_id"":"&amp;Catalog!A362&amp;",""title"":"""&amp;SUBSTITUTE(Catalog!D362,"""","\""")&amp;""",""creator"":"""&amp;SUBSTITUTE(Catalog!F362,"""","\""")&amp;""",""language"":"""&amp;Catalog!N362&amp;""",""identifier"":"""&amp;Catalog!C362&amp;"""}")</f>
        <v/>
      </c>
    </row>
    <row r="367" spans="1:4" x14ac:dyDescent="0.25">
      <c r="A367" s="24" t="str">
        <f>Catalog!A363</f>
        <v/>
      </c>
      <c r="B367" s="25">
        <f>Catalog!D363</f>
        <v>0</v>
      </c>
      <c r="C367" s="25">
        <f>Catalog!F363</f>
        <v>0</v>
      </c>
      <c r="D367" s="32" t="str">
        <f>IF(Catalog!D363="","","{""item_id"":"&amp;Catalog!A363&amp;",""title"":"""&amp;SUBSTITUTE(Catalog!D363,"""","\""")&amp;""",""creator"":"""&amp;SUBSTITUTE(Catalog!F363,"""","\""")&amp;""",""language"":"""&amp;Catalog!N363&amp;""",""identifier"":"""&amp;Catalog!C363&amp;"""}")</f>
        <v/>
      </c>
    </row>
    <row r="368" spans="1:4" x14ac:dyDescent="0.25">
      <c r="A368" s="24" t="str">
        <f>Catalog!A364</f>
        <v/>
      </c>
      <c r="B368" s="25">
        <f>Catalog!D364</f>
        <v>0</v>
      </c>
      <c r="C368" s="25">
        <f>Catalog!F364</f>
        <v>0</v>
      </c>
      <c r="D368" s="32" t="str">
        <f>IF(Catalog!D364="","","{""item_id"":"&amp;Catalog!A364&amp;",""title"":"""&amp;SUBSTITUTE(Catalog!D364,"""","\""")&amp;""",""creator"":"""&amp;SUBSTITUTE(Catalog!F364,"""","\""")&amp;""",""language"":"""&amp;Catalog!N364&amp;""",""identifier"":"""&amp;Catalog!C364&amp;"""}")</f>
        <v/>
      </c>
    </row>
    <row r="369" spans="1:4" x14ac:dyDescent="0.25">
      <c r="A369" s="24" t="str">
        <f>Catalog!A365</f>
        <v/>
      </c>
      <c r="B369" s="25">
        <f>Catalog!D365</f>
        <v>0</v>
      </c>
      <c r="C369" s="25">
        <f>Catalog!F365</f>
        <v>0</v>
      </c>
      <c r="D369" s="32" t="str">
        <f>IF(Catalog!D365="","","{""item_id"":"&amp;Catalog!A365&amp;",""title"":"""&amp;SUBSTITUTE(Catalog!D365,"""","\""")&amp;""",""creator"":"""&amp;SUBSTITUTE(Catalog!F365,"""","\""")&amp;""",""language"":"""&amp;Catalog!N365&amp;""",""identifier"":"""&amp;Catalog!C365&amp;"""}")</f>
        <v/>
      </c>
    </row>
    <row r="370" spans="1:4" x14ac:dyDescent="0.25">
      <c r="A370" s="24" t="str">
        <f>Catalog!A366</f>
        <v/>
      </c>
      <c r="B370" s="25">
        <f>Catalog!D366</f>
        <v>0</v>
      </c>
      <c r="C370" s="25">
        <f>Catalog!F366</f>
        <v>0</v>
      </c>
      <c r="D370" s="32" t="str">
        <f>IF(Catalog!D366="","","{""item_id"":"&amp;Catalog!A366&amp;",""title"":"""&amp;SUBSTITUTE(Catalog!D366,"""","\""")&amp;""",""creator"":"""&amp;SUBSTITUTE(Catalog!F366,"""","\""")&amp;""",""language"":"""&amp;Catalog!N366&amp;""",""identifier"":"""&amp;Catalog!C366&amp;"""}")</f>
        <v/>
      </c>
    </row>
    <row r="371" spans="1:4" x14ac:dyDescent="0.25">
      <c r="A371" s="24" t="str">
        <f>Catalog!A367</f>
        <v/>
      </c>
      <c r="B371" s="25">
        <f>Catalog!D367</f>
        <v>0</v>
      </c>
      <c r="C371" s="25">
        <f>Catalog!F367</f>
        <v>0</v>
      </c>
      <c r="D371" s="32" t="str">
        <f>IF(Catalog!D367="","","{""item_id"":"&amp;Catalog!A367&amp;",""title"":"""&amp;SUBSTITUTE(Catalog!D367,"""","\""")&amp;""",""creator"":"""&amp;SUBSTITUTE(Catalog!F367,"""","\""")&amp;""",""language"":"""&amp;Catalog!N367&amp;""",""identifier"":"""&amp;Catalog!C367&amp;"""}")</f>
        <v/>
      </c>
    </row>
    <row r="372" spans="1:4" x14ac:dyDescent="0.25">
      <c r="A372" s="24" t="str">
        <f>Catalog!A368</f>
        <v/>
      </c>
      <c r="B372" s="25">
        <f>Catalog!D368</f>
        <v>0</v>
      </c>
      <c r="C372" s="25">
        <f>Catalog!F368</f>
        <v>0</v>
      </c>
      <c r="D372" s="32" t="str">
        <f>IF(Catalog!D368="","","{""item_id"":"&amp;Catalog!A368&amp;",""title"":"""&amp;SUBSTITUTE(Catalog!D368,"""","\""")&amp;""",""creator"":"""&amp;SUBSTITUTE(Catalog!F368,"""","\""")&amp;""",""language"":"""&amp;Catalog!N368&amp;""",""identifier"":"""&amp;Catalog!C368&amp;"""}")</f>
        <v/>
      </c>
    </row>
    <row r="373" spans="1:4" x14ac:dyDescent="0.25">
      <c r="A373" s="24" t="str">
        <f>Catalog!A369</f>
        <v/>
      </c>
      <c r="B373" s="25">
        <f>Catalog!D369</f>
        <v>0</v>
      </c>
      <c r="C373" s="25">
        <f>Catalog!F369</f>
        <v>0</v>
      </c>
      <c r="D373" s="32" t="str">
        <f>IF(Catalog!D369="","","{""item_id"":"&amp;Catalog!A369&amp;",""title"":"""&amp;SUBSTITUTE(Catalog!D369,"""","\""")&amp;""",""creator"":"""&amp;SUBSTITUTE(Catalog!F369,"""","\""")&amp;""",""language"":"""&amp;Catalog!N369&amp;""",""identifier"":"""&amp;Catalog!C369&amp;"""}")</f>
        <v/>
      </c>
    </row>
    <row r="374" spans="1:4" x14ac:dyDescent="0.25">
      <c r="A374" s="24" t="str">
        <f>Catalog!A370</f>
        <v/>
      </c>
      <c r="B374" s="25">
        <f>Catalog!D370</f>
        <v>0</v>
      </c>
      <c r="C374" s="25">
        <f>Catalog!F370</f>
        <v>0</v>
      </c>
      <c r="D374" s="32" t="str">
        <f>IF(Catalog!D370="","","{""item_id"":"&amp;Catalog!A370&amp;",""title"":"""&amp;SUBSTITUTE(Catalog!D370,"""","\""")&amp;""",""creator"":"""&amp;SUBSTITUTE(Catalog!F370,"""","\""")&amp;""",""language"":"""&amp;Catalog!N370&amp;""",""identifier"":"""&amp;Catalog!C370&amp;"""}")</f>
        <v/>
      </c>
    </row>
    <row r="375" spans="1:4" x14ac:dyDescent="0.25">
      <c r="A375" s="24" t="str">
        <f>Catalog!A371</f>
        <v/>
      </c>
      <c r="B375" s="25">
        <f>Catalog!D371</f>
        <v>0</v>
      </c>
      <c r="C375" s="25">
        <f>Catalog!F371</f>
        <v>0</v>
      </c>
      <c r="D375" s="32" t="str">
        <f>IF(Catalog!D371="","","{""item_id"":"&amp;Catalog!A371&amp;",""title"":"""&amp;SUBSTITUTE(Catalog!D371,"""","\""")&amp;""",""creator"":"""&amp;SUBSTITUTE(Catalog!F371,"""","\""")&amp;""",""language"":"""&amp;Catalog!N371&amp;""",""identifier"":"""&amp;Catalog!C371&amp;"""}")</f>
        <v/>
      </c>
    </row>
    <row r="376" spans="1:4" x14ac:dyDescent="0.25">
      <c r="A376" s="24" t="str">
        <f>Catalog!A372</f>
        <v/>
      </c>
      <c r="B376" s="25">
        <f>Catalog!D372</f>
        <v>0</v>
      </c>
      <c r="C376" s="25">
        <f>Catalog!F372</f>
        <v>0</v>
      </c>
      <c r="D376" s="32" t="str">
        <f>IF(Catalog!D372="","","{""item_id"":"&amp;Catalog!A372&amp;",""title"":"""&amp;SUBSTITUTE(Catalog!D372,"""","\""")&amp;""",""creator"":"""&amp;SUBSTITUTE(Catalog!F372,"""","\""")&amp;""",""language"":"""&amp;Catalog!N372&amp;""",""identifier"":"""&amp;Catalog!C372&amp;"""}")</f>
        <v/>
      </c>
    </row>
    <row r="377" spans="1:4" x14ac:dyDescent="0.25">
      <c r="A377" s="24" t="str">
        <f>Catalog!A373</f>
        <v/>
      </c>
      <c r="B377" s="25">
        <f>Catalog!D373</f>
        <v>0</v>
      </c>
      <c r="C377" s="25">
        <f>Catalog!F373</f>
        <v>0</v>
      </c>
      <c r="D377" s="32" t="str">
        <f>IF(Catalog!D373="","","{""item_id"":"&amp;Catalog!A373&amp;",""title"":"""&amp;SUBSTITUTE(Catalog!D373,"""","\""")&amp;""",""creator"":"""&amp;SUBSTITUTE(Catalog!F373,"""","\""")&amp;""",""language"":"""&amp;Catalog!N373&amp;""",""identifier"":"""&amp;Catalog!C373&amp;"""}")</f>
        <v/>
      </c>
    </row>
    <row r="378" spans="1:4" x14ac:dyDescent="0.25">
      <c r="A378" s="24" t="str">
        <f>Catalog!A374</f>
        <v/>
      </c>
      <c r="B378" s="25">
        <f>Catalog!D374</f>
        <v>0</v>
      </c>
      <c r="C378" s="25">
        <f>Catalog!F374</f>
        <v>0</v>
      </c>
      <c r="D378" s="32" t="str">
        <f>IF(Catalog!D374="","","{""item_id"":"&amp;Catalog!A374&amp;",""title"":"""&amp;SUBSTITUTE(Catalog!D374,"""","\""")&amp;""",""creator"":"""&amp;SUBSTITUTE(Catalog!F374,"""","\""")&amp;""",""language"":"""&amp;Catalog!N374&amp;""",""identifier"":"""&amp;Catalog!C374&amp;"""}")</f>
        <v/>
      </c>
    </row>
    <row r="379" spans="1:4" x14ac:dyDescent="0.25">
      <c r="A379" s="24" t="str">
        <f>Catalog!A375</f>
        <v/>
      </c>
      <c r="B379" s="25">
        <f>Catalog!D375</f>
        <v>0</v>
      </c>
      <c r="C379" s="25">
        <f>Catalog!F375</f>
        <v>0</v>
      </c>
      <c r="D379" s="32" t="str">
        <f>IF(Catalog!D375="","","{""item_id"":"&amp;Catalog!A375&amp;",""title"":"""&amp;SUBSTITUTE(Catalog!D375,"""","\""")&amp;""",""creator"":"""&amp;SUBSTITUTE(Catalog!F375,"""","\""")&amp;""",""language"":"""&amp;Catalog!N375&amp;""",""identifier"":"""&amp;Catalog!C375&amp;"""}")</f>
        <v/>
      </c>
    </row>
    <row r="380" spans="1:4" x14ac:dyDescent="0.25">
      <c r="A380" s="24" t="str">
        <f>Catalog!A376</f>
        <v/>
      </c>
      <c r="B380" s="25">
        <f>Catalog!D376</f>
        <v>0</v>
      </c>
      <c r="C380" s="25">
        <f>Catalog!F376</f>
        <v>0</v>
      </c>
      <c r="D380" s="32" t="str">
        <f>IF(Catalog!D376="","","{""item_id"":"&amp;Catalog!A376&amp;",""title"":"""&amp;SUBSTITUTE(Catalog!D376,"""","\""")&amp;""",""creator"":"""&amp;SUBSTITUTE(Catalog!F376,"""","\""")&amp;""",""language"":"""&amp;Catalog!N376&amp;""",""identifier"":"""&amp;Catalog!C376&amp;"""}")</f>
        <v/>
      </c>
    </row>
    <row r="381" spans="1:4" x14ac:dyDescent="0.25">
      <c r="A381" s="24" t="str">
        <f>Catalog!A377</f>
        <v/>
      </c>
      <c r="B381" s="25">
        <f>Catalog!D377</f>
        <v>0</v>
      </c>
      <c r="C381" s="25">
        <f>Catalog!F377</f>
        <v>0</v>
      </c>
      <c r="D381" s="32" t="str">
        <f>IF(Catalog!D377="","","{""item_id"":"&amp;Catalog!A377&amp;",""title"":"""&amp;SUBSTITUTE(Catalog!D377,"""","\""")&amp;""",""creator"":"""&amp;SUBSTITUTE(Catalog!F377,"""","\""")&amp;""",""language"":"""&amp;Catalog!N377&amp;""",""identifier"":"""&amp;Catalog!C377&amp;"""}")</f>
        <v/>
      </c>
    </row>
    <row r="382" spans="1:4" x14ac:dyDescent="0.25">
      <c r="A382" s="24" t="str">
        <f>Catalog!A378</f>
        <v/>
      </c>
      <c r="B382" s="25">
        <f>Catalog!D378</f>
        <v>0</v>
      </c>
      <c r="C382" s="25">
        <f>Catalog!F378</f>
        <v>0</v>
      </c>
      <c r="D382" s="32" t="str">
        <f>IF(Catalog!D378="","","{""item_id"":"&amp;Catalog!A378&amp;",""title"":"""&amp;SUBSTITUTE(Catalog!D378,"""","\""")&amp;""",""creator"":"""&amp;SUBSTITUTE(Catalog!F378,"""","\""")&amp;""",""language"":"""&amp;Catalog!N378&amp;""",""identifier"":"""&amp;Catalog!C378&amp;"""}")</f>
        <v/>
      </c>
    </row>
    <row r="383" spans="1:4" x14ac:dyDescent="0.25">
      <c r="A383" s="24" t="str">
        <f>Catalog!A379</f>
        <v/>
      </c>
      <c r="B383" s="25">
        <f>Catalog!D379</f>
        <v>0</v>
      </c>
      <c r="C383" s="25">
        <f>Catalog!F379</f>
        <v>0</v>
      </c>
      <c r="D383" s="32" t="str">
        <f>IF(Catalog!D379="","","{""item_id"":"&amp;Catalog!A379&amp;",""title"":"""&amp;SUBSTITUTE(Catalog!D379,"""","\""")&amp;""",""creator"":"""&amp;SUBSTITUTE(Catalog!F379,"""","\""")&amp;""",""language"":"""&amp;Catalog!N379&amp;""",""identifier"":"""&amp;Catalog!C379&amp;"""}")</f>
        <v/>
      </c>
    </row>
    <row r="384" spans="1:4" x14ac:dyDescent="0.25">
      <c r="A384" s="24" t="str">
        <f>Catalog!A380</f>
        <v/>
      </c>
      <c r="B384" s="25">
        <f>Catalog!D380</f>
        <v>0</v>
      </c>
      <c r="C384" s="25">
        <f>Catalog!F380</f>
        <v>0</v>
      </c>
      <c r="D384" s="32" t="str">
        <f>IF(Catalog!D380="","","{""item_id"":"&amp;Catalog!A380&amp;",""title"":"""&amp;SUBSTITUTE(Catalog!D380,"""","\""")&amp;""",""creator"":"""&amp;SUBSTITUTE(Catalog!F380,"""","\""")&amp;""",""language"":"""&amp;Catalog!N380&amp;""",""identifier"":"""&amp;Catalog!C380&amp;"""}")</f>
        <v/>
      </c>
    </row>
    <row r="385" spans="1:4" x14ac:dyDescent="0.25">
      <c r="A385" s="24" t="str">
        <f>Catalog!A381</f>
        <v/>
      </c>
      <c r="B385" s="25">
        <f>Catalog!D381</f>
        <v>0</v>
      </c>
      <c r="C385" s="25">
        <f>Catalog!F381</f>
        <v>0</v>
      </c>
      <c r="D385" s="32" t="str">
        <f>IF(Catalog!D381="","","{""item_id"":"&amp;Catalog!A381&amp;",""title"":"""&amp;SUBSTITUTE(Catalog!D381,"""","\""")&amp;""",""creator"":"""&amp;SUBSTITUTE(Catalog!F381,"""","\""")&amp;""",""language"":"""&amp;Catalog!N381&amp;""",""identifier"":"""&amp;Catalog!C381&amp;"""}")</f>
        <v/>
      </c>
    </row>
    <row r="386" spans="1:4" x14ac:dyDescent="0.25">
      <c r="A386" s="24" t="str">
        <f>Catalog!A382</f>
        <v/>
      </c>
      <c r="B386" s="25">
        <f>Catalog!D382</f>
        <v>0</v>
      </c>
      <c r="C386" s="25">
        <f>Catalog!F382</f>
        <v>0</v>
      </c>
      <c r="D386" s="32" t="str">
        <f>IF(Catalog!D382="","","{""item_id"":"&amp;Catalog!A382&amp;",""title"":"""&amp;SUBSTITUTE(Catalog!D382,"""","\""")&amp;""",""creator"":"""&amp;SUBSTITUTE(Catalog!F382,"""","\""")&amp;""",""language"":"""&amp;Catalog!N382&amp;""",""identifier"":"""&amp;Catalog!C382&amp;"""}")</f>
        <v/>
      </c>
    </row>
    <row r="387" spans="1:4" x14ac:dyDescent="0.25">
      <c r="A387" s="24" t="str">
        <f>Catalog!A383</f>
        <v/>
      </c>
      <c r="B387" s="25">
        <f>Catalog!D383</f>
        <v>0</v>
      </c>
      <c r="C387" s="25">
        <f>Catalog!F383</f>
        <v>0</v>
      </c>
      <c r="D387" s="32" t="str">
        <f>IF(Catalog!D383="","","{""item_id"":"&amp;Catalog!A383&amp;",""title"":"""&amp;SUBSTITUTE(Catalog!D383,"""","\""")&amp;""",""creator"":"""&amp;SUBSTITUTE(Catalog!F383,"""","\""")&amp;""",""language"":"""&amp;Catalog!N383&amp;""",""identifier"":"""&amp;Catalog!C383&amp;"""}")</f>
        <v/>
      </c>
    </row>
    <row r="388" spans="1:4" x14ac:dyDescent="0.25">
      <c r="A388" s="24" t="str">
        <f>Catalog!A384</f>
        <v/>
      </c>
      <c r="B388" s="25">
        <f>Catalog!D384</f>
        <v>0</v>
      </c>
      <c r="C388" s="25">
        <f>Catalog!F384</f>
        <v>0</v>
      </c>
      <c r="D388" s="32" t="str">
        <f>IF(Catalog!D384="","","{""item_id"":"&amp;Catalog!A384&amp;",""title"":"""&amp;SUBSTITUTE(Catalog!D384,"""","\""")&amp;""",""creator"":"""&amp;SUBSTITUTE(Catalog!F384,"""","\""")&amp;""",""language"":"""&amp;Catalog!N384&amp;""",""identifier"":"""&amp;Catalog!C384&amp;"""}")</f>
        <v/>
      </c>
    </row>
    <row r="389" spans="1:4" x14ac:dyDescent="0.25">
      <c r="A389" s="24" t="str">
        <f>Catalog!A385</f>
        <v/>
      </c>
      <c r="B389" s="25">
        <f>Catalog!D385</f>
        <v>0</v>
      </c>
      <c r="C389" s="25">
        <f>Catalog!F385</f>
        <v>0</v>
      </c>
      <c r="D389" s="32" t="str">
        <f>IF(Catalog!D385="","","{""item_id"":"&amp;Catalog!A385&amp;",""title"":"""&amp;SUBSTITUTE(Catalog!D385,"""","\""")&amp;""",""creator"":"""&amp;SUBSTITUTE(Catalog!F385,"""","\""")&amp;""",""language"":"""&amp;Catalog!N385&amp;""",""identifier"":"""&amp;Catalog!C385&amp;"""}")</f>
        <v/>
      </c>
    </row>
    <row r="390" spans="1:4" x14ac:dyDescent="0.25">
      <c r="A390" s="24" t="str">
        <f>Catalog!A386</f>
        <v/>
      </c>
      <c r="B390" s="25">
        <f>Catalog!D386</f>
        <v>0</v>
      </c>
      <c r="C390" s="25">
        <f>Catalog!F386</f>
        <v>0</v>
      </c>
      <c r="D390" s="32" t="str">
        <f>IF(Catalog!D386="","","{""item_id"":"&amp;Catalog!A386&amp;",""title"":"""&amp;SUBSTITUTE(Catalog!D386,"""","\""")&amp;""",""creator"":"""&amp;SUBSTITUTE(Catalog!F386,"""","\""")&amp;""",""language"":"""&amp;Catalog!N386&amp;""",""identifier"":"""&amp;Catalog!C386&amp;"""}")</f>
        <v/>
      </c>
    </row>
    <row r="391" spans="1:4" x14ac:dyDescent="0.25">
      <c r="A391" s="24" t="str">
        <f>Catalog!A387</f>
        <v/>
      </c>
      <c r="B391" s="25">
        <f>Catalog!D387</f>
        <v>0</v>
      </c>
      <c r="C391" s="25">
        <f>Catalog!F387</f>
        <v>0</v>
      </c>
      <c r="D391" s="32" t="str">
        <f>IF(Catalog!D387="","","{""item_id"":"&amp;Catalog!A387&amp;",""title"":"""&amp;SUBSTITUTE(Catalog!D387,"""","\""")&amp;""",""creator"":"""&amp;SUBSTITUTE(Catalog!F387,"""","\""")&amp;""",""language"":"""&amp;Catalog!N387&amp;""",""identifier"":"""&amp;Catalog!C387&amp;"""}")</f>
        <v/>
      </c>
    </row>
    <row r="392" spans="1:4" x14ac:dyDescent="0.25">
      <c r="A392" s="24" t="str">
        <f>Catalog!A388</f>
        <v/>
      </c>
      <c r="B392" s="25">
        <f>Catalog!D388</f>
        <v>0</v>
      </c>
      <c r="C392" s="25">
        <f>Catalog!F388</f>
        <v>0</v>
      </c>
      <c r="D392" s="32" t="str">
        <f>IF(Catalog!D388="","","{""item_id"":"&amp;Catalog!A388&amp;",""title"":"""&amp;SUBSTITUTE(Catalog!D388,"""","\""")&amp;""",""creator"":"""&amp;SUBSTITUTE(Catalog!F388,"""","\""")&amp;""",""language"":"""&amp;Catalog!N388&amp;""",""identifier"":"""&amp;Catalog!C388&amp;"""}")</f>
        <v/>
      </c>
    </row>
    <row r="393" spans="1:4" x14ac:dyDescent="0.25">
      <c r="A393" s="24" t="str">
        <f>Catalog!A389</f>
        <v/>
      </c>
      <c r="B393" s="25">
        <f>Catalog!D389</f>
        <v>0</v>
      </c>
      <c r="C393" s="25">
        <f>Catalog!F389</f>
        <v>0</v>
      </c>
      <c r="D393" s="32" t="str">
        <f>IF(Catalog!D389="","","{""item_id"":"&amp;Catalog!A389&amp;",""title"":"""&amp;SUBSTITUTE(Catalog!D389,"""","\""")&amp;""",""creator"":"""&amp;SUBSTITUTE(Catalog!F389,"""","\""")&amp;""",""language"":"""&amp;Catalog!N389&amp;""",""identifier"":"""&amp;Catalog!C389&amp;"""}")</f>
        <v/>
      </c>
    </row>
    <row r="394" spans="1:4" x14ac:dyDescent="0.25">
      <c r="A394" s="24" t="str">
        <f>Catalog!A390</f>
        <v/>
      </c>
      <c r="B394" s="25">
        <f>Catalog!D390</f>
        <v>0</v>
      </c>
      <c r="C394" s="25">
        <f>Catalog!F390</f>
        <v>0</v>
      </c>
      <c r="D394" s="32" t="str">
        <f>IF(Catalog!D390="","","{""item_id"":"&amp;Catalog!A390&amp;",""title"":"""&amp;SUBSTITUTE(Catalog!D390,"""","\""")&amp;""",""creator"":"""&amp;SUBSTITUTE(Catalog!F390,"""","\""")&amp;""",""language"":"""&amp;Catalog!N390&amp;""",""identifier"":"""&amp;Catalog!C390&amp;"""}")</f>
        <v/>
      </c>
    </row>
    <row r="395" spans="1:4" x14ac:dyDescent="0.25">
      <c r="A395" s="24" t="str">
        <f>Catalog!A391</f>
        <v/>
      </c>
      <c r="B395" s="25">
        <f>Catalog!D391</f>
        <v>0</v>
      </c>
      <c r="C395" s="25">
        <f>Catalog!F391</f>
        <v>0</v>
      </c>
      <c r="D395" s="32" t="str">
        <f>IF(Catalog!D391="","","{""item_id"":"&amp;Catalog!A391&amp;",""title"":"""&amp;SUBSTITUTE(Catalog!D391,"""","\""")&amp;""",""creator"":"""&amp;SUBSTITUTE(Catalog!F391,"""","\""")&amp;""",""language"":"""&amp;Catalog!N391&amp;""",""identifier"":"""&amp;Catalog!C391&amp;"""}")</f>
        <v/>
      </c>
    </row>
    <row r="396" spans="1:4" x14ac:dyDescent="0.25">
      <c r="A396" s="24" t="str">
        <f>Catalog!A392</f>
        <v/>
      </c>
      <c r="B396" s="25">
        <f>Catalog!D392</f>
        <v>0</v>
      </c>
      <c r="C396" s="25">
        <f>Catalog!F392</f>
        <v>0</v>
      </c>
      <c r="D396" s="32" t="str">
        <f>IF(Catalog!D392="","","{""item_id"":"&amp;Catalog!A392&amp;",""title"":"""&amp;SUBSTITUTE(Catalog!D392,"""","\""")&amp;""",""creator"":"""&amp;SUBSTITUTE(Catalog!F392,"""","\""")&amp;""",""language"":"""&amp;Catalog!N392&amp;""",""identifier"":"""&amp;Catalog!C392&amp;"""}")</f>
        <v/>
      </c>
    </row>
    <row r="397" spans="1:4" x14ac:dyDescent="0.25">
      <c r="A397" s="24" t="str">
        <f>Catalog!A393</f>
        <v/>
      </c>
      <c r="B397" s="25">
        <f>Catalog!D393</f>
        <v>0</v>
      </c>
      <c r="C397" s="25">
        <f>Catalog!F393</f>
        <v>0</v>
      </c>
      <c r="D397" s="32" t="str">
        <f>IF(Catalog!D393="","","{""item_id"":"&amp;Catalog!A393&amp;",""title"":"""&amp;SUBSTITUTE(Catalog!D393,"""","\""")&amp;""",""creator"":"""&amp;SUBSTITUTE(Catalog!F393,"""","\""")&amp;""",""language"":"""&amp;Catalog!N393&amp;""",""identifier"":"""&amp;Catalog!C393&amp;"""}")</f>
        <v/>
      </c>
    </row>
    <row r="398" spans="1:4" x14ac:dyDescent="0.25">
      <c r="A398" s="24" t="str">
        <f>Catalog!A394</f>
        <v/>
      </c>
      <c r="B398" s="25">
        <f>Catalog!D394</f>
        <v>0</v>
      </c>
      <c r="C398" s="25">
        <f>Catalog!F394</f>
        <v>0</v>
      </c>
      <c r="D398" s="32" t="str">
        <f>IF(Catalog!D394="","","{""item_id"":"&amp;Catalog!A394&amp;",""title"":"""&amp;SUBSTITUTE(Catalog!D394,"""","\""")&amp;""",""creator"":"""&amp;SUBSTITUTE(Catalog!F394,"""","\""")&amp;""",""language"":"""&amp;Catalog!N394&amp;""",""identifier"":"""&amp;Catalog!C394&amp;"""}")</f>
        <v/>
      </c>
    </row>
    <row r="399" spans="1:4" x14ac:dyDescent="0.25">
      <c r="A399" s="24" t="str">
        <f>Catalog!A395</f>
        <v/>
      </c>
      <c r="B399" s="25">
        <f>Catalog!D395</f>
        <v>0</v>
      </c>
      <c r="C399" s="25">
        <f>Catalog!F395</f>
        <v>0</v>
      </c>
      <c r="D399" s="32" t="str">
        <f>IF(Catalog!D395="","","{""item_id"":"&amp;Catalog!A395&amp;",""title"":"""&amp;SUBSTITUTE(Catalog!D395,"""","\""")&amp;""",""creator"":"""&amp;SUBSTITUTE(Catalog!F395,"""","\""")&amp;""",""language"":"""&amp;Catalog!N395&amp;""",""identifier"":"""&amp;Catalog!C395&amp;"""}")</f>
        <v/>
      </c>
    </row>
    <row r="400" spans="1:4" x14ac:dyDescent="0.25">
      <c r="A400" s="24" t="str">
        <f>Catalog!A396</f>
        <v/>
      </c>
      <c r="B400" s="25">
        <f>Catalog!D396</f>
        <v>0</v>
      </c>
      <c r="C400" s="25">
        <f>Catalog!F396</f>
        <v>0</v>
      </c>
      <c r="D400" s="32" t="str">
        <f>IF(Catalog!D396="","","{""item_id"":"&amp;Catalog!A396&amp;",""title"":"""&amp;SUBSTITUTE(Catalog!D396,"""","\""")&amp;""",""creator"":"""&amp;SUBSTITUTE(Catalog!F396,"""","\""")&amp;""",""language"":"""&amp;Catalog!N396&amp;""",""identifier"":"""&amp;Catalog!C396&amp;"""}")</f>
        <v/>
      </c>
    </row>
    <row r="401" spans="1:4" x14ac:dyDescent="0.25">
      <c r="A401" s="24" t="str">
        <f>Catalog!A397</f>
        <v/>
      </c>
      <c r="B401" s="25">
        <f>Catalog!D397</f>
        <v>0</v>
      </c>
      <c r="C401" s="25">
        <f>Catalog!F397</f>
        <v>0</v>
      </c>
      <c r="D401" s="32" t="str">
        <f>IF(Catalog!D397="","","{""item_id"":"&amp;Catalog!A397&amp;",""title"":"""&amp;SUBSTITUTE(Catalog!D397,"""","\""")&amp;""",""creator"":"""&amp;SUBSTITUTE(Catalog!F397,"""","\""")&amp;""",""language"":"""&amp;Catalog!N397&amp;""",""identifier"":"""&amp;Catalog!C397&amp;"""}")</f>
        <v/>
      </c>
    </row>
    <row r="402" spans="1:4" x14ac:dyDescent="0.25">
      <c r="A402" s="24" t="str">
        <f>Catalog!A398</f>
        <v/>
      </c>
      <c r="B402" s="25">
        <f>Catalog!D398</f>
        <v>0</v>
      </c>
      <c r="C402" s="25">
        <f>Catalog!F398</f>
        <v>0</v>
      </c>
      <c r="D402" s="32" t="str">
        <f>IF(Catalog!D398="","","{""item_id"":"&amp;Catalog!A398&amp;",""title"":"""&amp;SUBSTITUTE(Catalog!D398,"""","\""")&amp;""",""creator"":"""&amp;SUBSTITUTE(Catalog!F398,"""","\""")&amp;""",""language"":"""&amp;Catalog!N398&amp;""",""identifier"":"""&amp;Catalog!C398&amp;"""}")</f>
        <v/>
      </c>
    </row>
    <row r="403" spans="1:4" x14ac:dyDescent="0.25">
      <c r="A403" s="24" t="str">
        <f>Catalog!A399</f>
        <v/>
      </c>
      <c r="B403" s="25">
        <f>Catalog!D399</f>
        <v>0</v>
      </c>
      <c r="C403" s="25">
        <f>Catalog!F399</f>
        <v>0</v>
      </c>
      <c r="D403" s="32" t="str">
        <f>IF(Catalog!D399="","","{""item_id"":"&amp;Catalog!A399&amp;",""title"":"""&amp;SUBSTITUTE(Catalog!D399,"""","\""")&amp;""",""creator"":"""&amp;SUBSTITUTE(Catalog!F399,"""","\""")&amp;""",""language"":"""&amp;Catalog!N399&amp;""",""identifier"":"""&amp;Catalog!C399&amp;"""}")</f>
        <v/>
      </c>
    </row>
    <row r="404" spans="1:4" x14ac:dyDescent="0.25">
      <c r="A404" s="24" t="str">
        <f>Catalog!A400</f>
        <v/>
      </c>
      <c r="B404" s="25">
        <f>Catalog!D400</f>
        <v>0</v>
      </c>
      <c r="C404" s="25">
        <f>Catalog!F400</f>
        <v>0</v>
      </c>
      <c r="D404" s="32" t="str">
        <f>IF(Catalog!D400="","","{""item_id"":"&amp;Catalog!A400&amp;",""title"":"""&amp;SUBSTITUTE(Catalog!D400,"""","\""")&amp;""",""creator"":"""&amp;SUBSTITUTE(Catalog!F400,"""","\""")&amp;""",""language"":"""&amp;Catalog!N400&amp;""",""identifier"":"""&amp;Catalog!C400&amp;"""}")</f>
        <v/>
      </c>
    </row>
    <row r="405" spans="1:4" x14ac:dyDescent="0.25">
      <c r="A405" s="24" t="str">
        <f>Catalog!A401</f>
        <v/>
      </c>
      <c r="B405" s="25">
        <f>Catalog!D401</f>
        <v>0</v>
      </c>
      <c r="C405" s="25">
        <f>Catalog!F401</f>
        <v>0</v>
      </c>
      <c r="D405" s="32" t="str">
        <f>IF(Catalog!D401="","","{""item_id"":"&amp;Catalog!A401&amp;",""title"":"""&amp;SUBSTITUTE(Catalog!D401,"""","\""")&amp;""",""creator"":"""&amp;SUBSTITUTE(Catalog!F401,"""","\""")&amp;""",""language"":"""&amp;Catalog!N401&amp;""",""identifier"":"""&amp;Catalog!C401&amp;"""}")</f>
        <v/>
      </c>
    </row>
    <row r="406" spans="1:4" x14ac:dyDescent="0.25">
      <c r="A406" s="24" t="str">
        <f>Catalog!A402</f>
        <v/>
      </c>
      <c r="B406" s="25">
        <f>Catalog!D402</f>
        <v>0</v>
      </c>
      <c r="C406" s="25">
        <f>Catalog!F402</f>
        <v>0</v>
      </c>
      <c r="D406" s="32" t="str">
        <f>IF(Catalog!D402="","","{""item_id"":"&amp;Catalog!A402&amp;",""title"":"""&amp;SUBSTITUTE(Catalog!D402,"""","\""")&amp;""",""creator"":"""&amp;SUBSTITUTE(Catalog!F402,"""","\""")&amp;""",""language"":"""&amp;Catalog!N402&amp;""",""identifier"":"""&amp;Catalog!C402&amp;"""}")</f>
        <v/>
      </c>
    </row>
    <row r="407" spans="1:4" x14ac:dyDescent="0.25">
      <c r="A407" s="24" t="str">
        <f>Catalog!A403</f>
        <v/>
      </c>
      <c r="B407" s="25">
        <f>Catalog!D403</f>
        <v>0</v>
      </c>
      <c r="C407" s="25">
        <f>Catalog!F403</f>
        <v>0</v>
      </c>
      <c r="D407" s="32" t="str">
        <f>IF(Catalog!D403="","","{""item_id"":"&amp;Catalog!A403&amp;",""title"":"""&amp;SUBSTITUTE(Catalog!D403,"""","\""")&amp;""",""creator"":"""&amp;SUBSTITUTE(Catalog!F403,"""","\""")&amp;""",""language"":"""&amp;Catalog!N403&amp;""",""identifier"":"""&amp;Catalog!C403&amp;"""}")</f>
        <v/>
      </c>
    </row>
    <row r="408" spans="1:4" x14ac:dyDescent="0.25">
      <c r="A408" s="24" t="str">
        <f>Catalog!A404</f>
        <v/>
      </c>
      <c r="B408" s="25">
        <f>Catalog!D404</f>
        <v>0</v>
      </c>
      <c r="C408" s="25">
        <f>Catalog!F404</f>
        <v>0</v>
      </c>
      <c r="D408" s="32" t="str">
        <f>IF(Catalog!D404="","","{""item_id"":"&amp;Catalog!A404&amp;",""title"":"""&amp;SUBSTITUTE(Catalog!D404,"""","\""")&amp;""",""creator"":"""&amp;SUBSTITUTE(Catalog!F404,"""","\""")&amp;""",""language"":"""&amp;Catalog!N404&amp;""",""identifier"":"""&amp;Catalog!C404&amp;"""}")</f>
        <v/>
      </c>
    </row>
    <row r="409" spans="1:4" x14ac:dyDescent="0.25">
      <c r="A409" s="24" t="str">
        <f>Catalog!A405</f>
        <v/>
      </c>
      <c r="B409" s="25">
        <f>Catalog!D405</f>
        <v>0</v>
      </c>
      <c r="C409" s="25">
        <f>Catalog!F405</f>
        <v>0</v>
      </c>
      <c r="D409" s="32" t="str">
        <f>IF(Catalog!D405="","","{""item_id"":"&amp;Catalog!A405&amp;",""title"":"""&amp;SUBSTITUTE(Catalog!D405,"""","\""")&amp;""",""creator"":"""&amp;SUBSTITUTE(Catalog!F405,"""","\""")&amp;""",""language"":"""&amp;Catalog!N405&amp;""",""identifier"":"""&amp;Catalog!C405&amp;"""}")</f>
        <v/>
      </c>
    </row>
    <row r="410" spans="1:4" x14ac:dyDescent="0.25">
      <c r="A410" s="24" t="str">
        <f>Catalog!A406</f>
        <v/>
      </c>
      <c r="B410" s="25">
        <f>Catalog!D406</f>
        <v>0</v>
      </c>
      <c r="C410" s="25">
        <f>Catalog!F406</f>
        <v>0</v>
      </c>
      <c r="D410" s="32" t="str">
        <f>IF(Catalog!D406="","","{""item_id"":"&amp;Catalog!A406&amp;",""title"":"""&amp;SUBSTITUTE(Catalog!D406,"""","\""")&amp;""",""creator"":"""&amp;SUBSTITUTE(Catalog!F406,"""","\""")&amp;""",""language"":"""&amp;Catalog!N406&amp;""",""identifier"":"""&amp;Catalog!C406&amp;"""}")</f>
        <v/>
      </c>
    </row>
    <row r="411" spans="1:4" x14ac:dyDescent="0.25">
      <c r="A411" s="24" t="str">
        <f>Catalog!A407</f>
        <v/>
      </c>
      <c r="B411" s="25">
        <f>Catalog!D407</f>
        <v>0</v>
      </c>
      <c r="C411" s="25">
        <f>Catalog!F407</f>
        <v>0</v>
      </c>
      <c r="D411" s="32" t="str">
        <f>IF(Catalog!D407="","","{""item_id"":"&amp;Catalog!A407&amp;",""title"":"""&amp;SUBSTITUTE(Catalog!D407,"""","\""")&amp;""",""creator"":"""&amp;SUBSTITUTE(Catalog!F407,"""","\""")&amp;""",""language"":"""&amp;Catalog!N407&amp;""",""identifier"":"""&amp;Catalog!C407&amp;"""}")</f>
        <v/>
      </c>
    </row>
    <row r="412" spans="1:4" x14ac:dyDescent="0.25">
      <c r="A412" s="24" t="str">
        <f>Catalog!A408</f>
        <v/>
      </c>
      <c r="B412" s="25">
        <f>Catalog!D408</f>
        <v>0</v>
      </c>
      <c r="C412" s="25">
        <f>Catalog!F408</f>
        <v>0</v>
      </c>
      <c r="D412" s="32" t="str">
        <f>IF(Catalog!D408="","","{""item_id"":"&amp;Catalog!A408&amp;",""title"":"""&amp;SUBSTITUTE(Catalog!D408,"""","\""")&amp;""",""creator"":"""&amp;SUBSTITUTE(Catalog!F408,"""","\""")&amp;""",""language"":"""&amp;Catalog!N408&amp;""",""identifier"":"""&amp;Catalog!C408&amp;"""}")</f>
        <v/>
      </c>
    </row>
    <row r="413" spans="1:4" x14ac:dyDescent="0.25">
      <c r="A413" s="24" t="str">
        <f>Catalog!A409</f>
        <v/>
      </c>
      <c r="B413" s="25">
        <f>Catalog!D409</f>
        <v>0</v>
      </c>
      <c r="C413" s="25">
        <f>Catalog!F409</f>
        <v>0</v>
      </c>
      <c r="D413" s="32" t="str">
        <f>IF(Catalog!D409="","","{""item_id"":"&amp;Catalog!A409&amp;",""title"":"""&amp;SUBSTITUTE(Catalog!D409,"""","\""")&amp;""",""creator"":"""&amp;SUBSTITUTE(Catalog!F409,"""","\""")&amp;""",""language"":"""&amp;Catalog!N409&amp;""",""identifier"":"""&amp;Catalog!C409&amp;"""}")</f>
        <v/>
      </c>
    </row>
    <row r="414" spans="1:4" x14ac:dyDescent="0.25">
      <c r="A414" s="24" t="str">
        <f>Catalog!A410</f>
        <v/>
      </c>
      <c r="B414" s="25">
        <f>Catalog!D410</f>
        <v>0</v>
      </c>
      <c r="C414" s="25">
        <f>Catalog!F410</f>
        <v>0</v>
      </c>
      <c r="D414" s="32" t="str">
        <f>IF(Catalog!D410="","","{""item_id"":"&amp;Catalog!A410&amp;",""title"":"""&amp;SUBSTITUTE(Catalog!D410,"""","\""")&amp;""",""creator"":"""&amp;SUBSTITUTE(Catalog!F410,"""","\""")&amp;""",""language"":"""&amp;Catalog!N410&amp;""",""identifier"":"""&amp;Catalog!C410&amp;"""}")</f>
        <v/>
      </c>
    </row>
    <row r="415" spans="1:4" x14ac:dyDescent="0.25">
      <c r="A415" s="24" t="str">
        <f>Catalog!A411</f>
        <v/>
      </c>
      <c r="B415" s="25">
        <f>Catalog!D411</f>
        <v>0</v>
      </c>
      <c r="C415" s="25">
        <f>Catalog!F411</f>
        <v>0</v>
      </c>
      <c r="D415" s="32" t="str">
        <f>IF(Catalog!D411="","","{""item_id"":"&amp;Catalog!A411&amp;",""title"":"""&amp;SUBSTITUTE(Catalog!D411,"""","\""")&amp;""",""creator"":"""&amp;SUBSTITUTE(Catalog!F411,"""","\""")&amp;""",""language"":"""&amp;Catalog!N411&amp;""",""identifier"":"""&amp;Catalog!C411&amp;"""}")</f>
        <v/>
      </c>
    </row>
    <row r="416" spans="1:4" x14ac:dyDescent="0.25">
      <c r="A416" s="24" t="str">
        <f>Catalog!A412</f>
        <v/>
      </c>
      <c r="B416" s="25">
        <f>Catalog!D412</f>
        <v>0</v>
      </c>
      <c r="C416" s="25">
        <f>Catalog!F412</f>
        <v>0</v>
      </c>
      <c r="D416" s="32" t="str">
        <f>IF(Catalog!D412="","","{""item_id"":"&amp;Catalog!A412&amp;",""title"":"""&amp;SUBSTITUTE(Catalog!D412,"""","\""")&amp;""",""creator"":"""&amp;SUBSTITUTE(Catalog!F412,"""","\""")&amp;""",""language"":"""&amp;Catalog!N412&amp;""",""identifier"":"""&amp;Catalog!C412&amp;"""}")</f>
        <v/>
      </c>
    </row>
    <row r="417" spans="1:4" x14ac:dyDescent="0.25">
      <c r="A417" s="24" t="str">
        <f>Catalog!A413</f>
        <v/>
      </c>
      <c r="B417" s="25">
        <f>Catalog!D413</f>
        <v>0</v>
      </c>
      <c r="C417" s="25">
        <f>Catalog!F413</f>
        <v>0</v>
      </c>
      <c r="D417" s="32" t="str">
        <f>IF(Catalog!D413="","","{""item_id"":"&amp;Catalog!A413&amp;",""title"":"""&amp;SUBSTITUTE(Catalog!D413,"""","\""")&amp;""",""creator"":"""&amp;SUBSTITUTE(Catalog!F413,"""","\""")&amp;""",""language"":"""&amp;Catalog!N413&amp;""",""identifier"":"""&amp;Catalog!C413&amp;"""}")</f>
        <v/>
      </c>
    </row>
    <row r="418" spans="1:4" x14ac:dyDescent="0.25">
      <c r="A418" s="24" t="str">
        <f>Catalog!A414</f>
        <v/>
      </c>
      <c r="B418" s="25">
        <f>Catalog!D414</f>
        <v>0</v>
      </c>
      <c r="C418" s="25">
        <f>Catalog!F414</f>
        <v>0</v>
      </c>
      <c r="D418" s="32" t="str">
        <f>IF(Catalog!D414="","","{""item_id"":"&amp;Catalog!A414&amp;",""title"":"""&amp;SUBSTITUTE(Catalog!D414,"""","\""")&amp;""",""creator"":"""&amp;SUBSTITUTE(Catalog!F414,"""","\""")&amp;""",""language"":"""&amp;Catalog!N414&amp;""",""identifier"":"""&amp;Catalog!C414&amp;"""}")</f>
        <v/>
      </c>
    </row>
    <row r="419" spans="1:4" x14ac:dyDescent="0.25">
      <c r="A419" s="24" t="str">
        <f>Catalog!A415</f>
        <v/>
      </c>
      <c r="B419" s="25">
        <f>Catalog!D415</f>
        <v>0</v>
      </c>
      <c r="C419" s="25">
        <f>Catalog!F415</f>
        <v>0</v>
      </c>
      <c r="D419" s="32" t="str">
        <f>IF(Catalog!D415="","","{""item_id"":"&amp;Catalog!A415&amp;",""title"":"""&amp;SUBSTITUTE(Catalog!D415,"""","\""")&amp;""",""creator"":"""&amp;SUBSTITUTE(Catalog!F415,"""","\""")&amp;""",""language"":"""&amp;Catalog!N415&amp;""",""identifier"":"""&amp;Catalog!C415&amp;"""}")</f>
        <v/>
      </c>
    </row>
    <row r="420" spans="1:4" x14ac:dyDescent="0.25">
      <c r="A420" s="24" t="str">
        <f>Catalog!A416</f>
        <v/>
      </c>
      <c r="B420" s="25">
        <f>Catalog!D416</f>
        <v>0</v>
      </c>
      <c r="C420" s="25">
        <f>Catalog!F416</f>
        <v>0</v>
      </c>
      <c r="D420" s="32" t="str">
        <f>IF(Catalog!D416="","","{""item_id"":"&amp;Catalog!A416&amp;",""title"":"""&amp;SUBSTITUTE(Catalog!D416,"""","\""")&amp;""",""creator"":"""&amp;SUBSTITUTE(Catalog!F416,"""","\""")&amp;""",""language"":"""&amp;Catalog!N416&amp;""",""identifier"":"""&amp;Catalog!C416&amp;"""}")</f>
        <v/>
      </c>
    </row>
    <row r="421" spans="1:4" x14ac:dyDescent="0.25">
      <c r="A421" s="24" t="str">
        <f>Catalog!A417</f>
        <v/>
      </c>
      <c r="B421" s="25">
        <f>Catalog!D417</f>
        <v>0</v>
      </c>
      <c r="C421" s="25">
        <f>Catalog!F417</f>
        <v>0</v>
      </c>
      <c r="D421" s="32" t="str">
        <f>IF(Catalog!D417="","","{""item_id"":"&amp;Catalog!A417&amp;",""title"":"""&amp;SUBSTITUTE(Catalog!D417,"""","\""")&amp;""",""creator"":"""&amp;SUBSTITUTE(Catalog!F417,"""","\""")&amp;""",""language"":"""&amp;Catalog!N417&amp;""",""identifier"":"""&amp;Catalog!C417&amp;"""}")</f>
        <v/>
      </c>
    </row>
    <row r="422" spans="1:4" x14ac:dyDescent="0.25">
      <c r="A422" s="24" t="str">
        <f>Catalog!A418</f>
        <v/>
      </c>
      <c r="B422" s="25">
        <f>Catalog!D418</f>
        <v>0</v>
      </c>
      <c r="C422" s="25">
        <f>Catalog!F418</f>
        <v>0</v>
      </c>
      <c r="D422" s="32" t="str">
        <f>IF(Catalog!D418="","","{""item_id"":"&amp;Catalog!A418&amp;",""title"":"""&amp;SUBSTITUTE(Catalog!D418,"""","\""")&amp;""",""creator"":"""&amp;SUBSTITUTE(Catalog!F418,"""","\""")&amp;""",""language"":"""&amp;Catalog!N418&amp;""",""identifier"":"""&amp;Catalog!C418&amp;"""}")</f>
        <v/>
      </c>
    </row>
    <row r="423" spans="1:4" x14ac:dyDescent="0.25">
      <c r="A423" s="24" t="str">
        <f>Catalog!A419</f>
        <v/>
      </c>
      <c r="B423" s="25">
        <f>Catalog!D419</f>
        <v>0</v>
      </c>
      <c r="C423" s="25">
        <f>Catalog!F419</f>
        <v>0</v>
      </c>
      <c r="D423" s="32" t="str">
        <f>IF(Catalog!D419="","","{""item_id"":"&amp;Catalog!A419&amp;",""title"":"""&amp;SUBSTITUTE(Catalog!D419,"""","\""")&amp;""",""creator"":"""&amp;SUBSTITUTE(Catalog!F419,"""","\""")&amp;""",""language"":"""&amp;Catalog!N419&amp;""",""identifier"":"""&amp;Catalog!C419&amp;"""}")</f>
        <v/>
      </c>
    </row>
    <row r="424" spans="1:4" x14ac:dyDescent="0.25">
      <c r="A424" s="24" t="str">
        <f>Catalog!A420</f>
        <v/>
      </c>
      <c r="B424" s="25">
        <f>Catalog!D420</f>
        <v>0</v>
      </c>
      <c r="C424" s="25">
        <f>Catalog!F420</f>
        <v>0</v>
      </c>
      <c r="D424" s="32" t="str">
        <f>IF(Catalog!D420="","","{""item_id"":"&amp;Catalog!A420&amp;",""title"":"""&amp;SUBSTITUTE(Catalog!D420,"""","\""")&amp;""",""creator"":"""&amp;SUBSTITUTE(Catalog!F420,"""","\""")&amp;""",""language"":"""&amp;Catalog!N420&amp;""",""identifier"":"""&amp;Catalog!C420&amp;"""}")</f>
        <v/>
      </c>
    </row>
    <row r="425" spans="1:4" x14ac:dyDescent="0.25">
      <c r="A425" s="24" t="str">
        <f>Catalog!A421</f>
        <v/>
      </c>
      <c r="B425" s="25">
        <f>Catalog!D421</f>
        <v>0</v>
      </c>
      <c r="C425" s="25">
        <f>Catalog!F421</f>
        <v>0</v>
      </c>
      <c r="D425" s="32" t="str">
        <f>IF(Catalog!D421="","","{""item_id"":"&amp;Catalog!A421&amp;",""title"":"""&amp;SUBSTITUTE(Catalog!D421,"""","\""")&amp;""",""creator"":"""&amp;SUBSTITUTE(Catalog!F421,"""","\""")&amp;""",""language"":"""&amp;Catalog!N421&amp;""",""identifier"":"""&amp;Catalog!C421&amp;"""}")</f>
        <v/>
      </c>
    </row>
    <row r="426" spans="1:4" x14ac:dyDescent="0.25">
      <c r="A426" s="24" t="str">
        <f>Catalog!A422</f>
        <v/>
      </c>
      <c r="B426" s="25">
        <f>Catalog!D422</f>
        <v>0</v>
      </c>
      <c r="C426" s="25">
        <f>Catalog!F422</f>
        <v>0</v>
      </c>
      <c r="D426" s="32" t="str">
        <f>IF(Catalog!D422="","","{""item_id"":"&amp;Catalog!A422&amp;",""title"":"""&amp;SUBSTITUTE(Catalog!D422,"""","\""")&amp;""",""creator"":"""&amp;SUBSTITUTE(Catalog!F422,"""","\""")&amp;""",""language"":"""&amp;Catalog!N422&amp;""",""identifier"":"""&amp;Catalog!C422&amp;"""}")</f>
        <v/>
      </c>
    </row>
    <row r="427" spans="1:4" x14ac:dyDescent="0.25">
      <c r="A427" s="24" t="str">
        <f>Catalog!A423</f>
        <v/>
      </c>
      <c r="B427" s="25">
        <f>Catalog!D423</f>
        <v>0</v>
      </c>
      <c r="C427" s="25">
        <f>Catalog!F423</f>
        <v>0</v>
      </c>
      <c r="D427" s="32" t="str">
        <f>IF(Catalog!D423="","","{""item_id"":"&amp;Catalog!A423&amp;",""title"":"""&amp;SUBSTITUTE(Catalog!D423,"""","\""")&amp;""",""creator"":"""&amp;SUBSTITUTE(Catalog!F423,"""","\""")&amp;""",""language"":"""&amp;Catalog!N423&amp;""",""identifier"":"""&amp;Catalog!C423&amp;"""}")</f>
        <v/>
      </c>
    </row>
    <row r="428" spans="1:4" x14ac:dyDescent="0.25">
      <c r="A428" s="24" t="str">
        <f>Catalog!A424</f>
        <v/>
      </c>
      <c r="B428" s="25">
        <f>Catalog!D424</f>
        <v>0</v>
      </c>
      <c r="C428" s="25">
        <f>Catalog!F424</f>
        <v>0</v>
      </c>
      <c r="D428" s="32" t="str">
        <f>IF(Catalog!D424="","","{""item_id"":"&amp;Catalog!A424&amp;",""title"":"""&amp;SUBSTITUTE(Catalog!D424,"""","\""")&amp;""",""creator"":"""&amp;SUBSTITUTE(Catalog!F424,"""","\""")&amp;""",""language"":"""&amp;Catalog!N424&amp;""",""identifier"":"""&amp;Catalog!C424&amp;"""}")</f>
        <v/>
      </c>
    </row>
    <row r="429" spans="1:4" x14ac:dyDescent="0.25">
      <c r="A429" s="24" t="str">
        <f>Catalog!A425</f>
        <v/>
      </c>
      <c r="B429" s="25">
        <f>Catalog!D425</f>
        <v>0</v>
      </c>
      <c r="C429" s="25">
        <f>Catalog!F425</f>
        <v>0</v>
      </c>
      <c r="D429" s="32" t="str">
        <f>IF(Catalog!D425="","","{""item_id"":"&amp;Catalog!A425&amp;",""title"":"""&amp;SUBSTITUTE(Catalog!D425,"""","\""")&amp;""",""creator"":"""&amp;SUBSTITUTE(Catalog!F425,"""","\""")&amp;""",""language"":"""&amp;Catalog!N425&amp;""",""identifier"":"""&amp;Catalog!C425&amp;"""}")</f>
        <v/>
      </c>
    </row>
    <row r="430" spans="1:4" x14ac:dyDescent="0.25">
      <c r="A430" s="24" t="str">
        <f>Catalog!A426</f>
        <v/>
      </c>
      <c r="B430" s="25">
        <f>Catalog!D426</f>
        <v>0</v>
      </c>
      <c r="C430" s="25">
        <f>Catalog!F426</f>
        <v>0</v>
      </c>
      <c r="D430" s="32" t="str">
        <f>IF(Catalog!D426="","","{""item_id"":"&amp;Catalog!A426&amp;",""title"":"""&amp;SUBSTITUTE(Catalog!D426,"""","\""")&amp;""",""creator"":"""&amp;SUBSTITUTE(Catalog!F426,"""","\""")&amp;""",""language"":"""&amp;Catalog!N426&amp;""",""identifier"":"""&amp;Catalog!C426&amp;"""}")</f>
        <v/>
      </c>
    </row>
    <row r="431" spans="1:4" x14ac:dyDescent="0.25">
      <c r="A431" s="24" t="str">
        <f>Catalog!A427</f>
        <v/>
      </c>
      <c r="B431" s="25">
        <f>Catalog!D427</f>
        <v>0</v>
      </c>
      <c r="C431" s="25">
        <f>Catalog!F427</f>
        <v>0</v>
      </c>
      <c r="D431" s="32" t="str">
        <f>IF(Catalog!D427="","","{""item_id"":"&amp;Catalog!A427&amp;",""title"":"""&amp;SUBSTITUTE(Catalog!D427,"""","\""")&amp;""",""creator"":"""&amp;SUBSTITUTE(Catalog!F427,"""","\""")&amp;""",""language"":"""&amp;Catalog!N427&amp;""",""identifier"":"""&amp;Catalog!C427&amp;"""}")</f>
        <v/>
      </c>
    </row>
    <row r="432" spans="1:4" x14ac:dyDescent="0.25">
      <c r="A432" s="24" t="str">
        <f>Catalog!A428</f>
        <v/>
      </c>
      <c r="B432" s="25">
        <f>Catalog!D428</f>
        <v>0</v>
      </c>
      <c r="C432" s="25">
        <f>Catalog!F428</f>
        <v>0</v>
      </c>
      <c r="D432" s="32" t="str">
        <f>IF(Catalog!D428="","","{""item_id"":"&amp;Catalog!A428&amp;",""title"":"""&amp;SUBSTITUTE(Catalog!D428,"""","\""")&amp;""",""creator"":"""&amp;SUBSTITUTE(Catalog!F428,"""","\""")&amp;""",""language"":"""&amp;Catalog!N428&amp;""",""identifier"":"""&amp;Catalog!C428&amp;"""}")</f>
        <v/>
      </c>
    </row>
    <row r="433" spans="1:4" x14ac:dyDescent="0.25">
      <c r="A433" s="24" t="str">
        <f>Catalog!A429</f>
        <v/>
      </c>
      <c r="B433" s="25">
        <f>Catalog!D429</f>
        <v>0</v>
      </c>
      <c r="C433" s="25">
        <f>Catalog!F429</f>
        <v>0</v>
      </c>
      <c r="D433" s="32" t="str">
        <f>IF(Catalog!D429="","","{""item_id"":"&amp;Catalog!A429&amp;",""title"":"""&amp;SUBSTITUTE(Catalog!D429,"""","\""")&amp;""",""creator"":"""&amp;SUBSTITUTE(Catalog!F429,"""","\""")&amp;""",""language"":"""&amp;Catalog!N429&amp;""",""identifier"":"""&amp;Catalog!C429&amp;"""}")</f>
        <v/>
      </c>
    </row>
    <row r="434" spans="1:4" x14ac:dyDescent="0.25">
      <c r="A434" s="24" t="str">
        <f>Catalog!A430</f>
        <v/>
      </c>
      <c r="B434" s="25">
        <f>Catalog!D430</f>
        <v>0</v>
      </c>
      <c r="C434" s="25">
        <f>Catalog!F430</f>
        <v>0</v>
      </c>
      <c r="D434" s="32" t="str">
        <f>IF(Catalog!D430="","","{""item_id"":"&amp;Catalog!A430&amp;",""title"":"""&amp;SUBSTITUTE(Catalog!D430,"""","\""")&amp;""",""creator"":"""&amp;SUBSTITUTE(Catalog!F430,"""","\""")&amp;""",""language"":"""&amp;Catalog!N430&amp;""",""identifier"":"""&amp;Catalog!C430&amp;"""}")</f>
        <v/>
      </c>
    </row>
    <row r="435" spans="1:4" x14ac:dyDescent="0.25">
      <c r="A435" s="24" t="str">
        <f>Catalog!A431</f>
        <v/>
      </c>
      <c r="B435" s="25">
        <f>Catalog!D431</f>
        <v>0</v>
      </c>
      <c r="C435" s="25">
        <f>Catalog!F431</f>
        <v>0</v>
      </c>
      <c r="D435" s="32" t="str">
        <f>IF(Catalog!D431="","","{""item_id"":"&amp;Catalog!A431&amp;",""title"":"""&amp;SUBSTITUTE(Catalog!D431,"""","\""")&amp;""",""creator"":"""&amp;SUBSTITUTE(Catalog!F431,"""","\""")&amp;""",""language"":"""&amp;Catalog!N431&amp;""",""identifier"":"""&amp;Catalog!C431&amp;"""}")</f>
        <v/>
      </c>
    </row>
    <row r="436" spans="1:4" x14ac:dyDescent="0.25">
      <c r="A436" s="24" t="str">
        <f>Catalog!A432</f>
        <v/>
      </c>
      <c r="B436" s="25">
        <f>Catalog!D432</f>
        <v>0</v>
      </c>
      <c r="C436" s="25">
        <f>Catalog!F432</f>
        <v>0</v>
      </c>
      <c r="D436" s="32" t="str">
        <f>IF(Catalog!D432="","","{""item_id"":"&amp;Catalog!A432&amp;",""title"":"""&amp;SUBSTITUTE(Catalog!D432,"""","\""")&amp;""",""creator"":"""&amp;SUBSTITUTE(Catalog!F432,"""","\""")&amp;""",""language"":"""&amp;Catalog!N432&amp;""",""identifier"":"""&amp;Catalog!C432&amp;"""}")</f>
        <v/>
      </c>
    </row>
    <row r="437" spans="1:4" x14ac:dyDescent="0.25">
      <c r="A437" s="24" t="str">
        <f>Catalog!A433</f>
        <v/>
      </c>
      <c r="B437" s="25">
        <f>Catalog!D433</f>
        <v>0</v>
      </c>
      <c r="C437" s="25">
        <f>Catalog!F433</f>
        <v>0</v>
      </c>
      <c r="D437" s="32" t="str">
        <f>IF(Catalog!D433="","","{""item_id"":"&amp;Catalog!A433&amp;",""title"":"""&amp;SUBSTITUTE(Catalog!D433,"""","\""")&amp;""",""creator"":"""&amp;SUBSTITUTE(Catalog!F433,"""","\""")&amp;""",""language"":"""&amp;Catalog!N433&amp;""",""identifier"":"""&amp;Catalog!C433&amp;"""}")</f>
        <v/>
      </c>
    </row>
    <row r="438" spans="1:4" x14ac:dyDescent="0.25">
      <c r="A438" s="24" t="str">
        <f>Catalog!A434</f>
        <v/>
      </c>
      <c r="B438" s="25">
        <f>Catalog!D434</f>
        <v>0</v>
      </c>
      <c r="C438" s="25">
        <f>Catalog!F434</f>
        <v>0</v>
      </c>
      <c r="D438" s="32" t="str">
        <f>IF(Catalog!D434="","","{""item_id"":"&amp;Catalog!A434&amp;",""title"":"""&amp;SUBSTITUTE(Catalog!D434,"""","\""")&amp;""",""creator"":"""&amp;SUBSTITUTE(Catalog!F434,"""","\""")&amp;""",""language"":"""&amp;Catalog!N434&amp;""",""identifier"":"""&amp;Catalog!C434&amp;"""}")</f>
        <v/>
      </c>
    </row>
    <row r="439" spans="1:4" x14ac:dyDescent="0.25">
      <c r="A439" s="24" t="str">
        <f>Catalog!A435</f>
        <v/>
      </c>
      <c r="B439" s="25">
        <f>Catalog!D435</f>
        <v>0</v>
      </c>
      <c r="C439" s="25">
        <f>Catalog!F435</f>
        <v>0</v>
      </c>
      <c r="D439" s="32" t="str">
        <f>IF(Catalog!D435="","","{""item_id"":"&amp;Catalog!A435&amp;",""title"":"""&amp;SUBSTITUTE(Catalog!D435,"""","\""")&amp;""",""creator"":"""&amp;SUBSTITUTE(Catalog!F435,"""","\""")&amp;""",""language"":"""&amp;Catalog!N435&amp;""",""identifier"":"""&amp;Catalog!C435&amp;"""}")</f>
        <v/>
      </c>
    </row>
    <row r="440" spans="1:4" x14ac:dyDescent="0.25">
      <c r="A440" s="24" t="str">
        <f>Catalog!A436</f>
        <v/>
      </c>
      <c r="B440" s="25">
        <f>Catalog!D436</f>
        <v>0</v>
      </c>
      <c r="C440" s="25">
        <f>Catalog!F436</f>
        <v>0</v>
      </c>
      <c r="D440" s="32" t="str">
        <f>IF(Catalog!D436="","","{""item_id"":"&amp;Catalog!A436&amp;",""title"":"""&amp;SUBSTITUTE(Catalog!D436,"""","\""")&amp;""",""creator"":"""&amp;SUBSTITUTE(Catalog!F436,"""","\""")&amp;""",""language"":"""&amp;Catalog!N436&amp;""",""identifier"":"""&amp;Catalog!C436&amp;"""}")</f>
        <v/>
      </c>
    </row>
    <row r="441" spans="1:4" x14ac:dyDescent="0.25">
      <c r="A441" s="24" t="str">
        <f>Catalog!A437</f>
        <v/>
      </c>
      <c r="B441" s="25">
        <f>Catalog!D437</f>
        <v>0</v>
      </c>
      <c r="C441" s="25">
        <f>Catalog!F437</f>
        <v>0</v>
      </c>
      <c r="D441" s="32" t="str">
        <f>IF(Catalog!D437="","","{""item_id"":"&amp;Catalog!A437&amp;",""title"":"""&amp;SUBSTITUTE(Catalog!D437,"""","\""")&amp;""",""creator"":"""&amp;SUBSTITUTE(Catalog!F437,"""","\""")&amp;""",""language"":"""&amp;Catalog!N437&amp;""",""identifier"":"""&amp;Catalog!C437&amp;"""}")</f>
        <v/>
      </c>
    </row>
    <row r="442" spans="1:4" x14ac:dyDescent="0.25">
      <c r="A442" s="24" t="str">
        <f>Catalog!A438</f>
        <v/>
      </c>
      <c r="B442" s="25">
        <f>Catalog!D438</f>
        <v>0</v>
      </c>
      <c r="C442" s="25">
        <f>Catalog!F438</f>
        <v>0</v>
      </c>
      <c r="D442" s="32" t="str">
        <f>IF(Catalog!D438="","","{""item_id"":"&amp;Catalog!A438&amp;",""title"":"""&amp;SUBSTITUTE(Catalog!D438,"""","\""")&amp;""",""creator"":"""&amp;SUBSTITUTE(Catalog!F438,"""","\""")&amp;""",""language"":"""&amp;Catalog!N438&amp;""",""identifier"":"""&amp;Catalog!C438&amp;"""}")</f>
        <v/>
      </c>
    </row>
    <row r="443" spans="1:4" x14ac:dyDescent="0.25">
      <c r="A443" s="24" t="str">
        <f>Catalog!A439</f>
        <v/>
      </c>
      <c r="B443" s="25">
        <f>Catalog!D439</f>
        <v>0</v>
      </c>
      <c r="C443" s="25">
        <f>Catalog!F439</f>
        <v>0</v>
      </c>
      <c r="D443" s="32" t="str">
        <f>IF(Catalog!D439="","","{""item_id"":"&amp;Catalog!A439&amp;",""title"":"""&amp;SUBSTITUTE(Catalog!D439,"""","\""")&amp;""",""creator"":"""&amp;SUBSTITUTE(Catalog!F439,"""","\""")&amp;""",""language"":"""&amp;Catalog!N439&amp;""",""identifier"":"""&amp;Catalog!C439&amp;"""}")</f>
        <v/>
      </c>
    </row>
    <row r="444" spans="1:4" x14ac:dyDescent="0.25">
      <c r="A444" s="24" t="str">
        <f>Catalog!A440</f>
        <v/>
      </c>
      <c r="B444" s="25">
        <f>Catalog!D440</f>
        <v>0</v>
      </c>
      <c r="C444" s="25">
        <f>Catalog!F440</f>
        <v>0</v>
      </c>
      <c r="D444" s="32" t="str">
        <f>IF(Catalog!D440="","","{""item_id"":"&amp;Catalog!A440&amp;",""title"":"""&amp;SUBSTITUTE(Catalog!D440,"""","\""")&amp;""",""creator"":"""&amp;SUBSTITUTE(Catalog!F440,"""","\""")&amp;""",""language"":"""&amp;Catalog!N440&amp;""",""identifier"":"""&amp;Catalog!C440&amp;"""}")</f>
        <v/>
      </c>
    </row>
    <row r="445" spans="1:4" x14ac:dyDescent="0.25">
      <c r="A445" s="24" t="str">
        <f>Catalog!A441</f>
        <v/>
      </c>
      <c r="B445" s="25">
        <f>Catalog!D441</f>
        <v>0</v>
      </c>
      <c r="C445" s="25">
        <f>Catalog!F441</f>
        <v>0</v>
      </c>
      <c r="D445" s="32" t="str">
        <f>IF(Catalog!D441="","","{""item_id"":"&amp;Catalog!A441&amp;",""title"":"""&amp;SUBSTITUTE(Catalog!D441,"""","\""")&amp;""",""creator"":"""&amp;SUBSTITUTE(Catalog!F441,"""","\""")&amp;""",""language"":"""&amp;Catalog!N441&amp;""",""identifier"":"""&amp;Catalog!C441&amp;"""}")</f>
        <v/>
      </c>
    </row>
    <row r="446" spans="1:4" x14ac:dyDescent="0.25">
      <c r="A446" s="24" t="str">
        <f>Catalog!A442</f>
        <v/>
      </c>
      <c r="B446" s="25">
        <f>Catalog!D442</f>
        <v>0</v>
      </c>
      <c r="C446" s="25">
        <f>Catalog!F442</f>
        <v>0</v>
      </c>
      <c r="D446" s="32" t="str">
        <f>IF(Catalog!D442="","","{""item_id"":"&amp;Catalog!A442&amp;",""title"":"""&amp;SUBSTITUTE(Catalog!D442,"""","\""")&amp;""",""creator"":"""&amp;SUBSTITUTE(Catalog!F442,"""","\""")&amp;""",""language"":"""&amp;Catalog!N442&amp;""",""identifier"":"""&amp;Catalog!C442&amp;"""}")</f>
        <v/>
      </c>
    </row>
    <row r="447" spans="1:4" x14ac:dyDescent="0.25">
      <c r="A447" s="24" t="str">
        <f>Catalog!A443</f>
        <v/>
      </c>
      <c r="B447" s="25">
        <f>Catalog!D443</f>
        <v>0</v>
      </c>
      <c r="C447" s="25">
        <f>Catalog!F443</f>
        <v>0</v>
      </c>
      <c r="D447" s="32" t="str">
        <f>IF(Catalog!D443="","","{""item_id"":"&amp;Catalog!A443&amp;",""title"":"""&amp;SUBSTITUTE(Catalog!D443,"""","\""")&amp;""",""creator"":"""&amp;SUBSTITUTE(Catalog!F443,"""","\""")&amp;""",""language"":"""&amp;Catalog!N443&amp;""",""identifier"":"""&amp;Catalog!C443&amp;"""}")</f>
        <v/>
      </c>
    </row>
    <row r="448" spans="1:4" x14ac:dyDescent="0.25">
      <c r="A448" s="24" t="str">
        <f>Catalog!A444</f>
        <v/>
      </c>
      <c r="B448" s="25">
        <f>Catalog!D444</f>
        <v>0</v>
      </c>
      <c r="C448" s="25">
        <f>Catalog!F444</f>
        <v>0</v>
      </c>
      <c r="D448" s="32" t="str">
        <f>IF(Catalog!D444="","","{""item_id"":"&amp;Catalog!A444&amp;",""title"":"""&amp;SUBSTITUTE(Catalog!D444,"""","\""")&amp;""",""creator"":"""&amp;SUBSTITUTE(Catalog!F444,"""","\""")&amp;""",""language"":"""&amp;Catalog!N444&amp;""",""identifier"":"""&amp;Catalog!C444&amp;"""}")</f>
        <v/>
      </c>
    </row>
    <row r="449" spans="1:4" x14ac:dyDescent="0.25">
      <c r="A449" s="24" t="str">
        <f>Catalog!A445</f>
        <v/>
      </c>
      <c r="B449" s="25">
        <f>Catalog!D445</f>
        <v>0</v>
      </c>
      <c r="C449" s="25">
        <f>Catalog!F445</f>
        <v>0</v>
      </c>
      <c r="D449" s="32" t="str">
        <f>IF(Catalog!D445="","","{""item_id"":"&amp;Catalog!A445&amp;",""title"":"""&amp;SUBSTITUTE(Catalog!D445,"""","\""")&amp;""",""creator"":"""&amp;SUBSTITUTE(Catalog!F445,"""","\""")&amp;""",""language"":"""&amp;Catalog!N445&amp;""",""identifier"":"""&amp;Catalog!C445&amp;"""}")</f>
        <v/>
      </c>
    </row>
    <row r="450" spans="1:4" x14ac:dyDescent="0.25">
      <c r="A450" s="24" t="str">
        <f>Catalog!A446</f>
        <v/>
      </c>
      <c r="B450" s="25">
        <f>Catalog!D446</f>
        <v>0</v>
      </c>
      <c r="C450" s="25">
        <f>Catalog!F446</f>
        <v>0</v>
      </c>
      <c r="D450" s="32" t="str">
        <f>IF(Catalog!D446="","","{""item_id"":"&amp;Catalog!A446&amp;",""title"":"""&amp;SUBSTITUTE(Catalog!D446,"""","\""")&amp;""",""creator"":"""&amp;SUBSTITUTE(Catalog!F446,"""","\""")&amp;""",""language"":"""&amp;Catalog!N446&amp;""",""identifier"":"""&amp;Catalog!C446&amp;"""}")</f>
        <v/>
      </c>
    </row>
    <row r="451" spans="1:4" x14ac:dyDescent="0.25">
      <c r="A451" s="24" t="str">
        <f>Catalog!A447</f>
        <v/>
      </c>
      <c r="B451" s="25">
        <f>Catalog!D447</f>
        <v>0</v>
      </c>
      <c r="C451" s="25">
        <f>Catalog!F447</f>
        <v>0</v>
      </c>
      <c r="D451" s="32" t="str">
        <f>IF(Catalog!D447="","","{""item_id"":"&amp;Catalog!A447&amp;",""title"":"""&amp;SUBSTITUTE(Catalog!D447,"""","\""")&amp;""",""creator"":"""&amp;SUBSTITUTE(Catalog!F447,"""","\""")&amp;""",""language"":"""&amp;Catalog!N447&amp;""",""identifier"":"""&amp;Catalog!C447&amp;"""}")</f>
        <v/>
      </c>
    </row>
    <row r="452" spans="1:4" x14ac:dyDescent="0.25">
      <c r="A452" s="24" t="str">
        <f>Catalog!A448</f>
        <v/>
      </c>
      <c r="B452" s="25">
        <f>Catalog!D448</f>
        <v>0</v>
      </c>
      <c r="C452" s="25">
        <f>Catalog!F448</f>
        <v>0</v>
      </c>
      <c r="D452" s="32" t="str">
        <f>IF(Catalog!D448="","","{""item_id"":"&amp;Catalog!A448&amp;",""title"":"""&amp;SUBSTITUTE(Catalog!D448,"""","\""")&amp;""",""creator"":"""&amp;SUBSTITUTE(Catalog!F448,"""","\""")&amp;""",""language"":"""&amp;Catalog!N448&amp;""",""identifier"":"""&amp;Catalog!C448&amp;"""}")</f>
        <v/>
      </c>
    </row>
    <row r="453" spans="1:4" x14ac:dyDescent="0.25">
      <c r="A453" s="24" t="str">
        <f>Catalog!A449</f>
        <v/>
      </c>
      <c r="B453" s="25">
        <f>Catalog!D449</f>
        <v>0</v>
      </c>
      <c r="C453" s="25">
        <f>Catalog!F449</f>
        <v>0</v>
      </c>
      <c r="D453" s="32" t="str">
        <f>IF(Catalog!D449="","","{""item_id"":"&amp;Catalog!A449&amp;",""title"":"""&amp;SUBSTITUTE(Catalog!D449,"""","\""")&amp;""",""creator"":"""&amp;SUBSTITUTE(Catalog!F449,"""","\""")&amp;""",""language"":"""&amp;Catalog!N449&amp;""",""identifier"":"""&amp;Catalog!C449&amp;"""}")</f>
        <v/>
      </c>
    </row>
    <row r="454" spans="1:4" x14ac:dyDescent="0.25">
      <c r="A454" s="24" t="str">
        <f>Catalog!A450</f>
        <v/>
      </c>
      <c r="B454" s="25">
        <f>Catalog!D450</f>
        <v>0</v>
      </c>
      <c r="C454" s="25">
        <f>Catalog!F450</f>
        <v>0</v>
      </c>
      <c r="D454" s="32" t="str">
        <f>IF(Catalog!D450="","","{""item_id"":"&amp;Catalog!A450&amp;",""title"":"""&amp;SUBSTITUTE(Catalog!D450,"""","\""")&amp;""",""creator"":"""&amp;SUBSTITUTE(Catalog!F450,"""","\""")&amp;""",""language"":"""&amp;Catalog!N450&amp;""",""identifier"":"""&amp;Catalog!C450&amp;"""}")</f>
        <v/>
      </c>
    </row>
    <row r="455" spans="1:4" x14ac:dyDescent="0.25">
      <c r="A455" s="24" t="str">
        <f>Catalog!A451</f>
        <v/>
      </c>
      <c r="B455" s="25">
        <f>Catalog!D451</f>
        <v>0</v>
      </c>
      <c r="C455" s="25">
        <f>Catalog!F451</f>
        <v>0</v>
      </c>
      <c r="D455" s="32" t="str">
        <f>IF(Catalog!D451="","","{""item_id"":"&amp;Catalog!A451&amp;",""title"":"""&amp;SUBSTITUTE(Catalog!D451,"""","\""")&amp;""",""creator"":"""&amp;SUBSTITUTE(Catalog!F451,"""","\""")&amp;""",""language"":"""&amp;Catalog!N451&amp;""",""identifier"":"""&amp;Catalog!C451&amp;"""}")</f>
        <v/>
      </c>
    </row>
    <row r="456" spans="1:4" x14ac:dyDescent="0.25">
      <c r="A456" s="24" t="str">
        <f>Catalog!A452</f>
        <v/>
      </c>
      <c r="B456" s="25">
        <f>Catalog!D452</f>
        <v>0</v>
      </c>
      <c r="C456" s="25">
        <f>Catalog!F452</f>
        <v>0</v>
      </c>
      <c r="D456" s="32" t="str">
        <f>IF(Catalog!D452="","","{""item_id"":"&amp;Catalog!A452&amp;",""title"":"""&amp;SUBSTITUTE(Catalog!D452,"""","\""")&amp;""",""creator"":"""&amp;SUBSTITUTE(Catalog!F452,"""","\""")&amp;""",""language"":"""&amp;Catalog!N452&amp;""",""identifier"":"""&amp;Catalog!C452&amp;"""}")</f>
        <v/>
      </c>
    </row>
    <row r="457" spans="1:4" x14ac:dyDescent="0.25">
      <c r="A457" s="24" t="str">
        <f>Catalog!A453</f>
        <v/>
      </c>
      <c r="B457" s="25">
        <f>Catalog!D453</f>
        <v>0</v>
      </c>
      <c r="C457" s="25">
        <f>Catalog!F453</f>
        <v>0</v>
      </c>
      <c r="D457" s="32" t="str">
        <f>IF(Catalog!D453="","","{""item_id"":"&amp;Catalog!A453&amp;",""title"":"""&amp;SUBSTITUTE(Catalog!D453,"""","\""")&amp;""",""creator"":"""&amp;SUBSTITUTE(Catalog!F453,"""","\""")&amp;""",""language"":"""&amp;Catalog!N453&amp;""",""identifier"":"""&amp;Catalog!C453&amp;"""}")</f>
        <v/>
      </c>
    </row>
    <row r="458" spans="1:4" x14ac:dyDescent="0.25">
      <c r="A458" s="24" t="str">
        <f>Catalog!A454</f>
        <v/>
      </c>
      <c r="B458" s="25">
        <f>Catalog!D454</f>
        <v>0</v>
      </c>
      <c r="C458" s="25">
        <f>Catalog!F454</f>
        <v>0</v>
      </c>
      <c r="D458" s="32" t="str">
        <f>IF(Catalog!D454="","","{""item_id"":"&amp;Catalog!A454&amp;",""title"":"""&amp;SUBSTITUTE(Catalog!D454,"""","\""")&amp;""",""creator"":"""&amp;SUBSTITUTE(Catalog!F454,"""","\""")&amp;""",""language"":"""&amp;Catalog!N454&amp;""",""identifier"":"""&amp;Catalog!C454&amp;"""}")</f>
        <v/>
      </c>
    </row>
    <row r="459" spans="1:4" x14ac:dyDescent="0.25">
      <c r="A459" s="24" t="str">
        <f>Catalog!A455</f>
        <v/>
      </c>
      <c r="B459" s="25">
        <f>Catalog!D455</f>
        <v>0</v>
      </c>
      <c r="C459" s="25">
        <f>Catalog!F455</f>
        <v>0</v>
      </c>
      <c r="D459" s="32" t="str">
        <f>IF(Catalog!D455="","","{""item_id"":"&amp;Catalog!A455&amp;",""title"":"""&amp;SUBSTITUTE(Catalog!D455,"""","\""")&amp;""",""creator"":"""&amp;SUBSTITUTE(Catalog!F455,"""","\""")&amp;""",""language"":"""&amp;Catalog!N455&amp;""",""identifier"":"""&amp;Catalog!C455&amp;"""}")</f>
        <v/>
      </c>
    </row>
    <row r="460" spans="1:4" x14ac:dyDescent="0.25">
      <c r="A460" s="24" t="str">
        <f>Catalog!A456</f>
        <v/>
      </c>
      <c r="B460" s="25">
        <f>Catalog!D456</f>
        <v>0</v>
      </c>
      <c r="C460" s="25">
        <f>Catalog!F456</f>
        <v>0</v>
      </c>
      <c r="D460" s="32" t="str">
        <f>IF(Catalog!D456="","","{""item_id"":"&amp;Catalog!A456&amp;",""title"":"""&amp;SUBSTITUTE(Catalog!D456,"""","\""")&amp;""",""creator"":"""&amp;SUBSTITUTE(Catalog!F456,"""","\""")&amp;""",""language"":"""&amp;Catalog!N456&amp;""",""identifier"":"""&amp;Catalog!C456&amp;"""}")</f>
        <v/>
      </c>
    </row>
    <row r="461" spans="1:4" x14ac:dyDescent="0.25">
      <c r="A461" s="24" t="str">
        <f>Catalog!A457</f>
        <v/>
      </c>
      <c r="B461" s="25">
        <f>Catalog!D457</f>
        <v>0</v>
      </c>
      <c r="C461" s="25">
        <f>Catalog!F457</f>
        <v>0</v>
      </c>
      <c r="D461" s="32" t="str">
        <f>IF(Catalog!D457="","","{""item_id"":"&amp;Catalog!A457&amp;",""title"":"""&amp;SUBSTITUTE(Catalog!D457,"""","\""")&amp;""",""creator"":"""&amp;SUBSTITUTE(Catalog!F457,"""","\""")&amp;""",""language"":"""&amp;Catalog!N457&amp;""",""identifier"":"""&amp;Catalog!C457&amp;"""}")</f>
        <v/>
      </c>
    </row>
    <row r="462" spans="1:4" x14ac:dyDescent="0.25">
      <c r="A462" s="24" t="str">
        <f>Catalog!A458</f>
        <v/>
      </c>
      <c r="B462" s="25">
        <f>Catalog!D458</f>
        <v>0</v>
      </c>
      <c r="C462" s="25">
        <f>Catalog!F458</f>
        <v>0</v>
      </c>
      <c r="D462" s="32" t="str">
        <f>IF(Catalog!D458="","","{""item_id"":"&amp;Catalog!A458&amp;",""title"":"""&amp;SUBSTITUTE(Catalog!D458,"""","\""")&amp;""",""creator"":"""&amp;SUBSTITUTE(Catalog!F458,"""","\""")&amp;""",""language"":"""&amp;Catalog!N458&amp;""",""identifier"":"""&amp;Catalog!C458&amp;"""}")</f>
        <v/>
      </c>
    </row>
    <row r="463" spans="1:4" x14ac:dyDescent="0.25">
      <c r="A463" s="24" t="str">
        <f>Catalog!A459</f>
        <v/>
      </c>
      <c r="B463" s="25">
        <f>Catalog!D459</f>
        <v>0</v>
      </c>
      <c r="C463" s="25">
        <f>Catalog!F459</f>
        <v>0</v>
      </c>
      <c r="D463" s="32" t="str">
        <f>IF(Catalog!D459="","","{""item_id"":"&amp;Catalog!A459&amp;",""title"":"""&amp;SUBSTITUTE(Catalog!D459,"""","\""")&amp;""",""creator"":"""&amp;SUBSTITUTE(Catalog!F459,"""","\""")&amp;""",""language"":"""&amp;Catalog!N459&amp;""",""identifier"":"""&amp;Catalog!C459&amp;"""}")</f>
        <v/>
      </c>
    </row>
    <row r="464" spans="1:4" x14ac:dyDescent="0.25">
      <c r="A464" s="24" t="str">
        <f>Catalog!A460</f>
        <v/>
      </c>
      <c r="B464" s="25">
        <f>Catalog!D460</f>
        <v>0</v>
      </c>
      <c r="C464" s="25">
        <f>Catalog!F460</f>
        <v>0</v>
      </c>
      <c r="D464" s="32" t="str">
        <f>IF(Catalog!D460="","","{""item_id"":"&amp;Catalog!A460&amp;",""title"":"""&amp;SUBSTITUTE(Catalog!D460,"""","\""")&amp;""",""creator"":"""&amp;SUBSTITUTE(Catalog!F460,"""","\""")&amp;""",""language"":"""&amp;Catalog!N460&amp;""",""identifier"":"""&amp;Catalog!C460&amp;"""}")</f>
        <v/>
      </c>
    </row>
    <row r="465" spans="1:4" x14ac:dyDescent="0.25">
      <c r="A465" s="24" t="str">
        <f>Catalog!A461</f>
        <v/>
      </c>
      <c r="B465" s="25">
        <f>Catalog!D461</f>
        <v>0</v>
      </c>
      <c r="C465" s="25">
        <f>Catalog!F461</f>
        <v>0</v>
      </c>
      <c r="D465" s="32" t="str">
        <f>IF(Catalog!D461="","","{""item_id"":"&amp;Catalog!A461&amp;",""title"":"""&amp;SUBSTITUTE(Catalog!D461,"""","\""")&amp;""",""creator"":"""&amp;SUBSTITUTE(Catalog!F461,"""","\""")&amp;""",""language"":"""&amp;Catalog!N461&amp;""",""identifier"":"""&amp;Catalog!C461&amp;"""}")</f>
        <v/>
      </c>
    </row>
    <row r="466" spans="1:4" x14ac:dyDescent="0.25">
      <c r="A466" s="24" t="str">
        <f>Catalog!A462</f>
        <v/>
      </c>
      <c r="B466" s="25">
        <f>Catalog!D462</f>
        <v>0</v>
      </c>
      <c r="C466" s="25">
        <f>Catalog!F462</f>
        <v>0</v>
      </c>
      <c r="D466" s="32" t="str">
        <f>IF(Catalog!D462="","","{""item_id"":"&amp;Catalog!A462&amp;",""title"":"""&amp;SUBSTITUTE(Catalog!D462,"""","\""")&amp;""",""creator"":"""&amp;SUBSTITUTE(Catalog!F462,"""","\""")&amp;""",""language"":"""&amp;Catalog!N462&amp;""",""identifier"":"""&amp;Catalog!C462&amp;"""}")</f>
        <v/>
      </c>
    </row>
    <row r="467" spans="1:4" x14ac:dyDescent="0.25">
      <c r="A467" s="24" t="str">
        <f>Catalog!A463</f>
        <v/>
      </c>
      <c r="B467" s="25">
        <f>Catalog!D463</f>
        <v>0</v>
      </c>
      <c r="C467" s="25">
        <f>Catalog!F463</f>
        <v>0</v>
      </c>
      <c r="D467" s="32" t="str">
        <f>IF(Catalog!D463="","","{""item_id"":"&amp;Catalog!A463&amp;",""title"":"""&amp;SUBSTITUTE(Catalog!D463,"""","\""")&amp;""",""creator"":"""&amp;SUBSTITUTE(Catalog!F463,"""","\""")&amp;""",""language"":"""&amp;Catalog!N463&amp;""",""identifier"":"""&amp;Catalog!C463&amp;"""}")</f>
        <v/>
      </c>
    </row>
    <row r="468" spans="1:4" x14ac:dyDescent="0.25">
      <c r="A468" s="24" t="str">
        <f>Catalog!A464</f>
        <v/>
      </c>
      <c r="B468" s="25">
        <f>Catalog!D464</f>
        <v>0</v>
      </c>
      <c r="C468" s="25">
        <f>Catalog!F464</f>
        <v>0</v>
      </c>
      <c r="D468" s="32" t="str">
        <f>IF(Catalog!D464="","","{""item_id"":"&amp;Catalog!A464&amp;",""title"":"""&amp;SUBSTITUTE(Catalog!D464,"""","\""")&amp;""",""creator"":"""&amp;SUBSTITUTE(Catalog!F464,"""","\""")&amp;""",""language"":"""&amp;Catalog!N464&amp;""",""identifier"":"""&amp;Catalog!C464&amp;"""}")</f>
        <v/>
      </c>
    </row>
    <row r="469" spans="1:4" x14ac:dyDescent="0.25">
      <c r="A469" s="24" t="str">
        <f>Catalog!A465</f>
        <v/>
      </c>
      <c r="B469" s="25">
        <f>Catalog!D465</f>
        <v>0</v>
      </c>
      <c r="C469" s="25">
        <f>Catalog!F465</f>
        <v>0</v>
      </c>
      <c r="D469" s="32" t="str">
        <f>IF(Catalog!D465="","","{""item_id"":"&amp;Catalog!A465&amp;",""title"":"""&amp;SUBSTITUTE(Catalog!D465,"""","\""")&amp;""",""creator"":"""&amp;SUBSTITUTE(Catalog!F465,"""","\""")&amp;""",""language"":"""&amp;Catalog!N465&amp;""",""identifier"":"""&amp;Catalog!C465&amp;"""}")</f>
        <v/>
      </c>
    </row>
    <row r="470" spans="1:4" x14ac:dyDescent="0.25">
      <c r="A470" s="24" t="str">
        <f>Catalog!A466</f>
        <v/>
      </c>
      <c r="B470" s="25">
        <f>Catalog!D466</f>
        <v>0</v>
      </c>
      <c r="C470" s="25">
        <f>Catalog!F466</f>
        <v>0</v>
      </c>
      <c r="D470" s="32" t="str">
        <f>IF(Catalog!D466="","","{""item_id"":"&amp;Catalog!A466&amp;",""title"":"""&amp;SUBSTITUTE(Catalog!D466,"""","\""")&amp;""",""creator"":"""&amp;SUBSTITUTE(Catalog!F466,"""","\""")&amp;""",""language"":"""&amp;Catalog!N466&amp;""",""identifier"":"""&amp;Catalog!C466&amp;"""}")</f>
        <v/>
      </c>
    </row>
    <row r="471" spans="1:4" x14ac:dyDescent="0.25">
      <c r="A471" s="24" t="str">
        <f>Catalog!A467</f>
        <v/>
      </c>
      <c r="B471" s="25">
        <f>Catalog!D467</f>
        <v>0</v>
      </c>
      <c r="C471" s="25">
        <f>Catalog!F467</f>
        <v>0</v>
      </c>
      <c r="D471" s="32" t="str">
        <f>IF(Catalog!D467="","","{""item_id"":"&amp;Catalog!A467&amp;",""title"":"""&amp;SUBSTITUTE(Catalog!D467,"""","\""")&amp;""",""creator"":"""&amp;SUBSTITUTE(Catalog!F467,"""","\""")&amp;""",""language"":"""&amp;Catalog!N467&amp;""",""identifier"":"""&amp;Catalog!C467&amp;"""}")</f>
        <v/>
      </c>
    </row>
    <row r="472" spans="1:4" x14ac:dyDescent="0.25">
      <c r="A472" s="24" t="str">
        <f>Catalog!A468</f>
        <v/>
      </c>
      <c r="B472" s="25">
        <f>Catalog!D468</f>
        <v>0</v>
      </c>
      <c r="C472" s="25">
        <f>Catalog!F468</f>
        <v>0</v>
      </c>
      <c r="D472" s="32" t="str">
        <f>IF(Catalog!D468="","","{""item_id"":"&amp;Catalog!A468&amp;",""title"":"""&amp;SUBSTITUTE(Catalog!D468,"""","\""")&amp;""",""creator"":"""&amp;SUBSTITUTE(Catalog!F468,"""","\""")&amp;""",""language"":"""&amp;Catalog!N468&amp;""",""identifier"":"""&amp;Catalog!C468&amp;"""}")</f>
        <v/>
      </c>
    </row>
    <row r="473" spans="1:4" x14ac:dyDescent="0.25">
      <c r="A473" s="24" t="str">
        <f>Catalog!A469</f>
        <v/>
      </c>
      <c r="B473" s="25">
        <f>Catalog!D469</f>
        <v>0</v>
      </c>
      <c r="C473" s="25">
        <f>Catalog!F469</f>
        <v>0</v>
      </c>
      <c r="D473" s="32" t="str">
        <f>IF(Catalog!D469="","","{""item_id"":"&amp;Catalog!A469&amp;",""title"":"""&amp;SUBSTITUTE(Catalog!D469,"""","\""")&amp;""",""creator"":"""&amp;SUBSTITUTE(Catalog!F469,"""","\""")&amp;""",""language"":"""&amp;Catalog!N469&amp;""",""identifier"":"""&amp;Catalog!C469&amp;"""}")</f>
        <v/>
      </c>
    </row>
    <row r="474" spans="1:4" x14ac:dyDescent="0.25">
      <c r="A474" s="24" t="str">
        <f>Catalog!A470</f>
        <v/>
      </c>
      <c r="B474" s="25">
        <f>Catalog!D470</f>
        <v>0</v>
      </c>
      <c r="C474" s="25">
        <f>Catalog!F470</f>
        <v>0</v>
      </c>
      <c r="D474" s="32" t="str">
        <f>IF(Catalog!D470="","","{""item_id"":"&amp;Catalog!A470&amp;",""title"":"""&amp;SUBSTITUTE(Catalog!D470,"""","\""")&amp;""",""creator"":"""&amp;SUBSTITUTE(Catalog!F470,"""","\""")&amp;""",""language"":"""&amp;Catalog!N470&amp;""",""identifier"":"""&amp;Catalog!C470&amp;"""}")</f>
        <v/>
      </c>
    </row>
    <row r="475" spans="1:4" x14ac:dyDescent="0.25">
      <c r="A475" s="24" t="str">
        <f>Catalog!A471</f>
        <v/>
      </c>
      <c r="B475" s="25">
        <f>Catalog!D471</f>
        <v>0</v>
      </c>
      <c r="C475" s="25">
        <f>Catalog!F471</f>
        <v>0</v>
      </c>
      <c r="D475" s="32" t="str">
        <f>IF(Catalog!D471="","","{""item_id"":"&amp;Catalog!A471&amp;",""title"":"""&amp;SUBSTITUTE(Catalog!D471,"""","\""")&amp;""",""creator"":"""&amp;SUBSTITUTE(Catalog!F471,"""","\""")&amp;""",""language"":"""&amp;Catalog!N471&amp;""",""identifier"":"""&amp;Catalog!C471&amp;"""}")</f>
        <v/>
      </c>
    </row>
    <row r="476" spans="1:4" x14ac:dyDescent="0.25">
      <c r="A476" s="24" t="str">
        <f>Catalog!A472</f>
        <v/>
      </c>
      <c r="B476" s="25">
        <f>Catalog!D472</f>
        <v>0</v>
      </c>
      <c r="C476" s="25">
        <f>Catalog!F472</f>
        <v>0</v>
      </c>
      <c r="D476" s="32" t="str">
        <f>IF(Catalog!D472="","","{""item_id"":"&amp;Catalog!A472&amp;",""title"":"""&amp;SUBSTITUTE(Catalog!D472,"""","\""")&amp;""",""creator"":"""&amp;SUBSTITUTE(Catalog!F472,"""","\""")&amp;""",""language"":"""&amp;Catalog!N472&amp;""",""identifier"":"""&amp;Catalog!C472&amp;"""}")</f>
        <v/>
      </c>
    </row>
    <row r="477" spans="1:4" x14ac:dyDescent="0.25">
      <c r="A477" s="24" t="str">
        <f>Catalog!A473</f>
        <v/>
      </c>
      <c r="B477" s="25">
        <f>Catalog!D473</f>
        <v>0</v>
      </c>
      <c r="C477" s="25">
        <f>Catalog!F473</f>
        <v>0</v>
      </c>
      <c r="D477" s="32" t="str">
        <f>IF(Catalog!D473="","","{""item_id"":"&amp;Catalog!A473&amp;",""title"":"""&amp;SUBSTITUTE(Catalog!D473,"""","\""")&amp;""",""creator"":"""&amp;SUBSTITUTE(Catalog!F473,"""","\""")&amp;""",""language"":"""&amp;Catalog!N473&amp;""",""identifier"":"""&amp;Catalog!C473&amp;"""}")</f>
        <v/>
      </c>
    </row>
    <row r="478" spans="1:4" x14ac:dyDescent="0.25">
      <c r="A478" s="24" t="str">
        <f>Catalog!A474</f>
        <v/>
      </c>
      <c r="B478" s="25">
        <f>Catalog!D474</f>
        <v>0</v>
      </c>
      <c r="C478" s="25">
        <f>Catalog!F474</f>
        <v>0</v>
      </c>
      <c r="D478" s="32" t="str">
        <f>IF(Catalog!D474="","","{""item_id"":"&amp;Catalog!A474&amp;",""title"":"""&amp;SUBSTITUTE(Catalog!D474,"""","\""")&amp;""",""creator"":"""&amp;SUBSTITUTE(Catalog!F474,"""","\""")&amp;""",""language"":"""&amp;Catalog!N474&amp;""",""identifier"":"""&amp;Catalog!C474&amp;"""}")</f>
        <v/>
      </c>
    </row>
    <row r="479" spans="1:4" x14ac:dyDescent="0.25">
      <c r="A479" s="24" t="str">
        <f>Catalog!A475</f>
        <v/>
      </c>
      <c r="B479" s="25">
        <f>Catalog!D475</f>
        <v>0</v>
      </c>
      <c r="C479" s="25">
        <f>Catalog!F475</f>
        <v>0</v>
      </c>
      <c r="D479" s="32" t="str">
        <f>IF(Catalog!D475="","","{""item_id"":"&amp;Catalog!A475&amp;",""title"":"""&amp;SUBSTITUTE(Catalog!D475,"""","\""")&amp;""",""creator"":"""&amp;SUBSTITUTE(Catalog!F475,"""","\""")&amp;""",""language"":"""&amp;Catalog!N475&amp;""",""identifier"":"""&amp;Catalog!C475&amp;"""}")</f>
        <v/>
      </c>
    </row>
    <row r="480" spans="1:4" x14ac:dyDescent="0.25">
      <c r="A480" s="24" t="str">
        <f>Catalog!A476</f>
        <v/>
      </c>
      <c r="B480" s="25">
        <f>Catalog!D476</f>
        <v>0</v>
      </c>
      <c r="C480" s="25">
        <f>Catalog!F476</f>
        <v>0</v>
      </c>
      <c r="D480" s="32" t="str">
        <f>IF(Catalog!D476="","","{""item_id"":"&amp;Catalog!A476&amp;",""title"":"""&amp;SUBSTITUTE(Catalog!D476,"""","\""")&amp;""",""creator"":"""&amp;SUBSTITUTE(Catalog!F476,"""","\""")&amp;""",""language"":"""&amp;Catalog!N476&amp;""",""identifier"":"""&amp;Catalog!C476&amp;"""}")</f>
        <v/>
      </c>
    </row>
    <row r="481" spans="1:4" x14ac:dyDescent="0.25">
      <c r="A481" s="24" t="str">
        <f>Catalog!A477</f>
        <v/>
      </c>
      <c r="B481" s="25">
        <f>Catalog!D477</f>
        <v>0</v>
      </c>
      <c r="C481" s="25">
        <f>Catalog!F477</f>
        <v>0</v>
      </c>
      <c r="D481" s="32" t="str">
        <f>IF(Catalog!D477="","","{""item_id"":"&amp;Catalog!A477&amp;",""title"":"""&amp;SUBSTITUTE(Catalog!D477,"""","\""")&amp;""",""creator"":"""&amp;SUBSTITUTE(Catalog!F477,"""","\""")&amp;""",""language"":"""&amp;Catalog!N477&amp;""",""identifier"":"""&amp;Catalog!C477&amp;"""}")</f>
        <v/>
      </c>
    </row>
    <row r="482" spans="1:4" x14ac:dyDescent="0.25">
      <c r="A482" s="24" t="str">
        <f>Catalog!A478</f>
        <v/>
      </c>
      <c r="B482" s="25">
        <f>Catalog!D478</f>
        <v>0</v>
      </c>
      <c r="C482" s="25">
        <f>Catalog!F478</f>
        <v>0</v>
      </c>
      <c r="D482" s="32" t="str">
        <f>IF(Catalog!D478="","","{""item_id"":"&amp;Catalog!A478&amp;",""title"":"""&amp;SUBSTITUTE(Catalog!D478,"""","\""")&amp;""",""creator"":"""&amp;SUBSTITUTE(Catalog!F478,"""","\""")&amp;""",""language"":"""&amp;Catalog!N478&amp;""",""identifier"":"""&amp;Catalog!C478&amp;"""}")</f>
        <v/>
      </c>
    </row>
    <row r="483" spans="1:4" x14ac:dyDescent="0.25">
      <c r="A483" s="24" t="str">
        <f>Catalog!A479</f>
        <v/>
      </c>
      <c r="B483" s="25">
        <f>Catalog!D479</f>
        <v>0</v>
      </c>
      <c r="C483" s="25">
        <f>Catalog!F479</f>
        <v>0</v>
      </c>
      <c r="D483" s="32" t="str">
        <f>IF(Catalog!D479="","","{""item_id"":"&amp;Catalog!A479&amp;",""title"":"""&amp;SUBSTITUTE(Catalog!D479,"""","\""")&amp;""",""creator"":"""&amp;SUBSTITUTE(Catalog!F479,"""","\""")&amp;""",""language"":"""&amp;Catalog!N479&amp;""",""identifier"":"""&amp;Catalog!C479&amp;"""}")</f>
        <v/>
      </c>
    </row>
    <row r="484" spans="1:4" x14ac:dyDescent="0.25">
      <c r="A484" s="24" t="str">
        <f>Catalog!A480</f>
        <v/>
      </c>
      <c r="B484" s="25">
        <f>Catalog!D480</f>
        <v>0</v>
      </c>
      <c r="C484" s="25">
        <f>Catalog!F480</f>
        <v>0</v>
      </c>
      <c r="D484" s="32" t="str">
        <f>IF(Catalog!D480="","","{""item_id"":"&amp;Catalog!A480&amp;",""title"":"""&amp;SUBSTITUTE(Catalog!D480,"""","\""")&amp;""",""creator"":"""&amp;SUBSTITUTE(Catalog!F480,"""","\""")&amp;""",""language"":"""&amp;Catalog!N480&amp;""",""identifier"":"""&amp;Catalog!C480&amp;"""}")</f>
        <v/>
      </c>
    </row>
    <row r="485" spans="1:4" x14ac:dyDescent="0.25">
      <c r="A485" s="24" t="str">
        <f>Catalog!A481</f>
        <v/>
      </c>
      <c r="B485" s="25">
        <f>Catalog!D481</f>
        <v>0</v>
      </c>
      <c r="C485" s="25">
        <f>Catalog!F481</f>
        <v>0</v>
      </c>
      <c r="D485" s="32" t="str">
        <f>IF(Catalog!D481="","","{""item_id"":"&amp;Catalog!A481&amp;",""title"":"""&amp;SUBSTITUTE(Catalog!D481,"""","\""")&amp;""",""creator"":"""&amp;SUBSTITUTE(Catalog!F481,"""","\""")&amp;""",""language"":"""&amp;Catalog!N481&amp;""",""identifier"":"""&amp;Catalog!C481&amp;"""}")</f>
        <v/>
      </c>
    </row>
    <row r="486" spans="1:4" x14ac:dyDescent="0.25">
      <c r="A486" s="24" t="str">
        <f>Catalog!A482</f>
        <v/>
      </c>
      <c r="B486" s="25">
        <f>Catalog!D482</f>
        <v>0</v>
      </c>
      <c r="C486" s="25">
        <f>Catalog!F482</f>
        <v>0</v>
      </c>
      <c r="D486" s="32" t="str">
        <f>IF(Catalog!D482="","","{""item_id"":"&amp;Catalog!A482&amp;",""title"":"""&amp;SUBSTITUTE(Catalog!D482,"""","\""")&amp;""",""creator"":"""&amp;SUBSTITUTE(Catalog!F482,"""","\""")&amp;""",""language"":"""&amp;Catalog!N482&amp;""",""identifier"":"""&amp;Catalog!C482&amp;"""}")</f>
        <v/>
      </c>
    </row>
    <row r="487" spans="1:4" x14ac:dyDescent="0.25">
      <c r="A487" s="24" t="str">
        <f>Catalog!A483</f>
        <v/>
      </c>
      <c r="B487" s="25">
        <f>Catalog!D483</f>
        <v>0</v>
      </c>
      <c r="C487" s="25">
        <f>Catalog!F483</f>
        <v>0</v>
      </c>
      <c r="D487" s="32" t="str">
        <f>IF(Catalog!D483="","","{""item_id"":"&amp;Catalog!A483&amp;",""title"":"""&amp;SUBSTITUTE(Catalog!D483,"""","\""")&amp;""",""creator"":"""&amp;SUBSTITUTE(Catalog!F483,"""","\""")&amp;""",""language"":"""&amp;Catalog!N483&amp;""",""identifier"":"""&amp;Catalog!C483&amp;"""}")</f>
        <v/>
      </c>
    </row>
    <row r="488" spans="1:4" x14ac:dyDescent="0.25">
      <c r="A488" s="24" t="str">
        <f>Catalog!A484</f>
        <v/>
      </c>
      <c r="B488" s="25">
        <f>Catalog!D484</f>
        <v>0</v>
      </c>
      <c r="C488" s="25">
        <f>Catalog!F484</f>
        <v>0</v>
      </c>
      <c r="D488" s="32" t="str">
        <f>IF(Catalog!D484="","","{""item_id"":"&amp;Catalog!A484&amp;",""title"":"""&amp;SUBSTITUTE(Catalog!D484,"""","\""")&amp;""",""creator"":"""&amp;SUBSTITUTE(Catalog!F484,"""","\""")&amp;""",""language"":"""&amp;Catalog!N484&amp;""",""identifier"":"""&amp;Catalog!C484&amp;"""}")</f>
        <v/>
      </c>
    </row>
    <row r="489" spans="1:4" x14ac:dyDescent="0.25">
      <c r="A489" s="24" t="str">
        <f>Catalog!A485</f>
        <v/>
      </c>
      <c r="B489" s="25">
        <f>Catalog!D485</f>
        <v>0</v>
      </c>
      <c r="C489" s="25">
        <f>Catalog!F485</f>
        <v>0</v>
      </c>
      <c r="D489" s="32" t="str">
        <f>IF(Catalog!D485="","","{""item_id"":"&amp;Catalog!A485&amp;",""title"":"""&amp;SUBSTITUTE(Catalog!D485,"""","\""")&amp;""",""creator"":"""&amp;SUBSTITUTE(Catalog!F485,"""","\""")&amp;""",""language"":"""&amp;Catalog!N485&amp;""",""identifier"":"""&amp;Catalog!C485&amp;"""}")</f>
        <v/>
      </c>
    </row>
    <row r="490" spans="1:4" x14ac:dyDescent="0.25">
      <c r="A490" s="24" t="str">
        <f>Catalog!A486</f>
        <v/>
      </c>
      <c r="B490" s="25">
        <f>Catalog!D486</f>
        <v>0</v>
      </c>
      <c r="C490" s="25">
        <f>Catalog!F486</f>
        <v>0</v>
      </c>
      <c r="D490" s="32" t="str">
        <f>IF(Catalog!D486="","","{""item_id"":"&amp;Catalog!A486&amp;",""title"":"""&amp;SUBSTITUTE(Catalog!D486,"""","\""")&amp;""",""creator"":"""&amp;SUBSTITUTE(Catalog!F486,"""","\""")&amp;""",""language"":"""&amp;Catalog!N486&amp;""",""identifier"":"""&amp;Catalog!C486&amp;"""}")</f>
        <v/>
      </c>
    </row>
    <row r="491" spans="1:4" x14ac:dyDescent="0.25">
      <c r="A491" s="24" t="str">
        <f>Catalog!A487</f>
        <v/>
      </c>
      <c r="B491" s="25">
        <f>Catalog!D487</f>
        <v>0</v>
      </c>
      <c r="C491" s="25">
        <f>Catalog!F487</f>
        <v>0</v>
      </c>
      <c r="D491" s="32" t="str">
        <f>IF(Catalog!D487="","","{""item_id"":"&amp;Catalog!A487&amp;",""title"":"""&amp;SUBSTITUTE(Catalog!D487,"""","\""")&amp;""",""creator"":"""&amp;SUBSTITUTE(Catalog!F487,"""","\""")&amp;""",""language"":"""&amp;Catalog!N487&amp;""",""identifier"":"""&amp;Catalog!C487&amp;"""}")</f>
        <v/>
      </c>
    </row>
    <row r="492" spans="1:4" x14ac:dyDescent="0.25">
      <c r="A492" s="24" t="str">
        <f>Catalog!A488</f>
        <v/>
      </c>
      <c r="B492" s="25">
        <f>Catalog!D488</f>
        <v>0</v>
      </c>
      <c r="C492" s="25">
        <f>Catalog!F488</f>
        <v>0</v>
      </c>
      <c r="D492" s="32" t="str">
        <f>IF(Catalog!D488="","","{""item_id"":"&amp;Catalog!A488&amp;",""title"":"""&amp;SUBSTITUTE(Catalog!D488,"""","\""")&amp;""",""creator"":"""&amp;SUBSTITUTE(Catalog!F488,"""","\""")&amp;""",""language"":"""&amp;Catalog!N488&amp;""",""identifier"":"""&amp;Catalog!C488&amp;"""}")</f>
        <v/>
      </c>
    </row>
    <row r="493" spans="1:4" x14ac:dyDescent="0.25">
      <c r="A493" s="24" t="str">
        <f>Catalog!A489</f>
        <v/>
      </c>
      <c r="B493" s="25">
        <f>Catalog!D489</f>
        <v>0</v>
      </c>
      <c r="C493" s="25">
        <f>Catalog!F489</f>
        <v>0</v>
      </c>
      <c r="D493" s="32" t="str">
        <f>IF(Catalog!D489="","","{""item_id"":"&amp;Catalog!A489&amp;",""title"":"""&amp;SUBSTITUTE(Catalog!D489,"""","\""")&amp;""",""creator"":"""&amp;SUBSTITUTE(Catalog!F489,"""","\""")&amp;""",""language"":"""&amp;Catalog!N489&amp;""",""identifier"":"""&amp;Catalog!C489&amp;"""}")</f>
        <v/>
      </c>
    </row>
    <row r="494" spans="1:4" x14ac:dyDescent="0.25">
      <c r="A494" s="24" t="str">
        <f>Catalog!A490</f>
        <v/>
      </c>
      <c r="B494" s="25">
        <f>Catalog!D490</f>
        <v>0</v>
      </c>
      <c r="C494" s="25">
        <f>Catalog!F490</f>
        <v>0</v>
      </c>
      <c r="D494" s="32" t="str">
        <f>IF(Catalog!D490="","","{""item_id"":"&amp;Catalog!A490&amp;",""title"":"""&amp;SUBSTITUTE(Catalog!D490,"""","\""")&amp;""",""creator"":"""&amp;SUBSTITUTE(Catalog!F490,"""","\""")&amp;""",""language"":"""&amp;Catalog!N490&amp;""",""identifier"":"""&amp;Catalog!C490&amp;"""}")</f>
        <v/>
      </c>
    </row>
    <row r="495" spans="1:4" x14ac:dyDescent="0.25">
      <c r="A495" s="24" t="str">
        <f>Catalog!A491</f>
        <v/>
      </c>
      <c r="B495" s="25">
        <f>Catalog!D491</f>
        <v>0</v>
      </c>
      <c r="C495" s="25">
        <f>Catalog!F491</f>
        <v>0</v>
      </c>
      <c r="D495" s="32" t="str">
        <f>IF(Catalog!D491="","","{""item_id"":"&amp;Catalog!A491&amp;",""title"":"""&amp;SUBSTITUTE(Catalog!D491,"""","\""")&amp;""",""creator"":"""&amp;SUBSTITUTE(Catalog!F491,"""","\""")&amp;""",""language"":"""&amp;Catalog!N491&amp;""",""identifier"":"""&amp;Catalog!C491&amp;"""}")</f>
        <v/>
      </c>
    </row>
    <row r="496" spans="1:4" x14ac:dyDescent="0.25">
      <c r="A496" s="24" t="str">
        <f>Catalog!A492</f>
        <v/>
      </c>
      <c r="B496" s="25">
        <f>Catalog!D492</f>
        <v>0</v>
      </c>
      <c r="C496" s="25">
        <f>Catalog!F492</f>
        <v>0</v>
      </c>
      <c r="D496" s="32" t="str">
        <f>IF(Catalog!D492="","","{""item_id"":"&amp;Catalog!A492&amp;",""title"":"""&amp;SUBSTITUTE(Catalog!D492,"""","\""")&amp;""",""creator"":"""&amp;SUBSTITUTE(Catalog!F492,"""","\""")&amp;""",""language"":"""&amp;Catalog!N492&amp;""",""identifier"":"""&amp;Catalog!C492&amp;"""}")</f>
        <v/>
      </c>
    </row>
    <row r="497" spans="1:4" x14ac:dyDescent="0.25">
      <c r="A497" s="24" t="str">
        <f>Catalog!A493</f>
        <v/>
      </c>
      <c r="B497" s="25">
        <f>Catalog!D493</f>
        <v>0</v>
      </c>
      <c r="C497" s="25">
        <f>Catalog!F493</f>
        <v>0</v>
      </c>
      <c r="D497" s="32" t="str">
        <f>IF(Catalog!D493="","","{""item_id"":"&amp;Catalog!A493&amp;",""title"":"""&amp;SUBSTITUTE(Catalog!D493,"""","\""")&amp;""",""creator"":"""&amp;SUBSTITUTE(Catalog!F493,"""","\""")&amp;""",""language"":"""&amp;Catalog!N493&amp;""",""identifier"":"""&amp;Catalog!C493&amp;"""}")</f>
        <v/>
      </c>
    </row>
    <row r="498" spans="1:4" x14ac:dyDescent="0.25">
      <c r="A498" s="24" t="str">
        <f>Catalog!A494</f>
        <v/>
      </c>
      <c r="B498" s="25">
        <f>Catalog!D494</f>
        <v>0</v>
      </c>
      <c r="C498" s="25">
        <f>Catalog!F494</f>
        <v>0</v>
      </c>
      <c r="D498" s="32" t="str">
        <f>IF(Catalog!D494="","","{""item_id"":"&amp;Catalog!A494&amp;",""title"":"""&amp;SUBSTITUTE(Catalog!D494,"""","\""")&amp;""",""creator"":"""&amp;SUBSTITUTE(Catalog!F494,"""","\""")&amp;""",""language"":"""&amp;Catalog!N494&amp;""",""identifier"":"""&amp;Catalog!C494&amp;"""}")</f>
        <v/>
      </c>
    </row>
    <row r="499" spans="1:4" x14ac:dyDescent="0.25">
      <c r="A499" s="24" t="str">
        <f>Catalog!A495</f>
        <v/>
      </c>
      <c r="B499" s="25">
        <f>Catalog!D495</f>
        <v>0</v>
      </c>
      <c r="C499" s="25">
        <f>Catalog!F495</f>
        <v>0</v>
      </c>
      <c r="D499" s="32" t="str">
        <f>IF(Catalog!D495="","","{""item_id"":"&amp;Catalog!A495&amp;",""title"":"""&amp;SUBSTITUTE(Catalog!D495,"""","\""")&amp;""",""creator"":"""&amp;SUBSTITUTE(Catalog!F495,"""","\""")&amp;""",""language"":"""&amp;Catalog!N495&amp;""",""identifier"":"""&amp;Catalog!C495&amp;"""}")</f>
        <v/>
      </c>
    </row>
    <row r="500" spans="1:4" x14ac:dyDescent="0.25">
      <c r="A500" s="24" t="str">
        <f>Catalog!A496</f>
        <v/>
      </c>
      <c r="B500" s="25">
        <f>Catalog!D496</f>
        <v>0</v>
      </c>
      <c r="C500" s="25">
        <f>Catalog!F496</f>
        <v>0</v>
      </c>
      <c r="D500" s="32" t="str">
        <f>IF(Catalog!D496="","","{""item_id"":"&amp;Catalog!A496&amp;",""title"":"""&amp;SUBSTITUTE(Catalog!D496,"""","\""")&amp;""",""creator"":"""&amp;SUBSTITUTE(Catalog!F496,"""","\""")&amp;""",""language"":"""&amp;Catalog!N496&amp;""",""identifier"":"""&amp;Catalog!C496&amp;"""}")</f>
        <v/>
      </c>
    </row>
    <row r="501" spans="1:4" x14ac:dyDescent="0.25">
      <c r="A501" s="24" t="str">
        <f>Catalog!A497</f>
        <v/>
      </c>
      <c r="B501" s="25">
        <f>Catalog!D497</f>
        <v>0</v>
      </c>
      <c r="C501" s="25">
        <f>Catalog!F497</f>
        <v>0</v>
      </c>
      <c r="D501" s="32" t="str">
        <f>IF(Catalog!D497="","","{""item_id"":"&amp;Catalog!A497&amp;",""title"":"""&amp;SUBSTITUTE(Catalog!D497,"""","\""")&amp;""",""creator"":"""&amp;SUBSTITUTE(Catalog!F497,"""","\""")&amp;""",""language"":"""&amp;Catalog!N497&amp;""",""identifier"":"""&amp;Catalog!C497&amp;"""}")</f>
        <v/>
      </c>
    </row>
    <row r="502" spans="1:4" x14ac:dyDescent="0.25">
      <c r="A502" s="24" t="str">
        <f>Catalog!A498</f>
        <v/>
      </c>
      <c r="B502" s="25">
        <f>Catalog!D498</f>
        <v>0</v>
      </c>
      <c r="C502" s="25">
        <f>Catalog!F498</f>
        <v>0</v>
      </c>
      <c r="D502" s="32" t="str">
        <f>IF(Catalog!D498="","","{""item_id"":"&amp;Catalog!A498&amp;",""title"":"""&amp;SUBSTITUTE(Catalog!D498,"""","\""")&amp;""",""creator"":"""&amp;SUBSTITUTE(Catalog!F498,"""","\""")&amp;""",""language"":"""&amp;Catalog!N498&amp;""",""identifier"":"""&amp;Catalog!C498&amp;"""}")</f>
        <v/>
      </c>
    </row>
    <row r="503" spans="1:4" x14ac:dyDescent="0.25">
      <c r="A503" s="24" t="str">
        <f>Catalog!A499</f>
        <v/>
      </c>
      <c r="B503" s="25">
        <f>Catalog!D499</f>
        <v>0</v>
      </c>
      <c r="C503" s="25">
        <f>Catalog!F499</f>
        <v>0</v>
      </c>
      <c r="D503" s="32" t="str">
        <f>IF(Catalog!D499="","","{""item_id"":"&amp;Catalog!A499&amp;",""title"":"""&amp;SUBSTITUTE(Catalog!D499,"""","\""")&amp;""",""creator"":"""&amp;SUBSTITUTE(Catalog!F499,"""","\""")&amp;""",""language"":"""&amp;Catalog!N499&amp;""",""identifier"":"""&amp;Catalog!C499&amp;"""}")</f>
        <v/>
      </c>
    </row>
    <row r="504" spans="1:4" x14ac:dyDescent="0.25">
      <c r="A504" s="24" t="str">
        <f>Catalog!A500</f>
        <v/>
      </c>
      <c r="B504" s="25">
        <f>Catalog!D500</f>
        <v>0</v>
      </c>
      <c r="C504" s="25">
        <f>Catalog!F500</f>
        <v>0</v>
      </c>
      <c r="D504" s="32" t="str">
        <f>IF(Catalog!D500="","","{""item_id"":"&amp;Catalog!A500&amp;",""title"":"""&amp;SUBSTITUTE(Catalog!D500,"""","\""")&amp;""",""creator"":"""&amp;SUBSTITUTE(Catalog!F500,"""","\""")&amp;""",""language"":"""&amp;Catalog!N500&amp;""",""identifier"":"""&amp;Catalog!C500&amp;"""}")</f>
        <v/>
      </c>
    </row>
    <row r="505" spans="1:4" x14ac:dyDescent="0.25">
      <c r="A505" s="24" t="str">
        <f>Catalog!A501</f>
        <v/>
      </c>
      <c r="B505" s="25">
        <f>Catalog!D501</f>
        <v>0</v>
      </c>
      <c r="C505" s="25">
        <f>Catalog!F501</f>
        <v>0</v>
      </c>
      <c r="D505" s="32" t="str">
        <f>IF(Catalog!D501="","","{""item_id"":"&amp;Catalog!A501&amp;",""title"":"""&amp;SUBSTITUTE(Catalog!D501,"""","\""")&amp;""",""creator"":"""&amp;SUBSTITUTE(Catalog!F501,"""","\""")&amp;""",""language"":"""&amp;Catalog!N501&amp;""",""identifier"":"""&amp;Catalog!C501&amp;"""}")</f>
        <v/>
      </c>
    </row>
  </sheetData>
  <sheetProtection password="E720" sheet="1"/>
  <mergeCells count="2">
    <mergeCell ref="A1:D1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34</vt:i4>
      </vt:variant>
    </vt:vector>
  </HeadingPairs>
  <TitlesOfParts>
    <vt:vector size="48" baseType="lpstr">
      <vt:lpstr>README</vt:lpstr>
      <vt:lpstr>Settings</vt:lpstr>
      <vt:lpstr>Lookup_Codes</vt:lpstr>
      <vt:lpstr>Catalog</vt:lpstr>
      <vt:lpstr>Digital_Catalog</vt:lpstr>
      <vt:lpstr>Archive</vt:lpstr>
      <vt:lpstr>Circulation</vt:lpstr>
      <vt:lpstr>Members</vt:lpstr>
      <vt:lpstr>Spine_Labels</vt:lpstr>
      <vt:lpstr>Dublin_Core</vt:lpstr>
      <vt:lpstr>Data_Quality</vt:lpstr>
      <vt:lpstr>Dashboard</vt:lpstr>
      <vt:lpstr>Formulas</vt:lpstr>
      <vt:lpstr>JSON_Export</vt:lpstr>
      <vt:lpstr>AccessLevelList</vt:lpstr>
      <vt:lpstr>AccPrefix</vt:lpstr>
      <vt:lpstr>AcqTypeList</vt:lpstr>
      <vt:lpstr>ArcItemTypeList</vt:lpstr>
      <vt:lpstr>ArcItemTypeLookup</vt:lpstr>
      <vt:lpstr>AuthorCodeLen</vt:lpstr>
      <vt:lpstr>CatItemTypeList</vt:lpstr>
      <vt:lpstr>CatItemTypeLookup</vt:lpstr>
      <vt:lpstr>CirculationList</vt:lpstr>
      <vt:lpstr>CollectionList</vt:lpstr>
      <vt:lpstr>CollectionName</vt:lpstr>
      <vt:lpstr>ConditionList</vt:lpstr>
      <vt:lpstr>DefaultLang</vt:lpstr>
      <vt:lpstr>DigItemTypeList</vt:lpstr>
      <vt:lpstr>DigItemTypeLookup</vt:lpstr>
      <vt:lpstr>DigitisationList</vt:lpstr>
      <vt:lpstr>FormatList</vt:lpstr>
      <vt:lpstr>FrequencyList</vt:lpstr>
      <vt:lpstr>GenreList</vt:lpstr>
      <vt:lpstr>GenreLookup</vt:lpstr>
      <vt:lpstr>LanguageList</vt:lpstr>
      <vt:lpstr>LibraryName</vt:lpstr>
      <vt:lpstr>LoanPeriod</vt:lpstr>
      <vt:lpstr>LocationTypeList</vt:lpstr>
      <vt:lpstr>MediaTypeList</vt:lpstr>
      <vt:lpstr>MembershipList</vt:lpstr>
      <vt:lpstr>MemberStatusList</vt:lpstr>
      <vt:lpstr>OCRStatusList</vt:lpstr>
      <vt:lpstr>PhysDigiList</vt:lpstr>
      <vt:lpstr>PreservationList</vt:lpstr>
      <vt:lpstr>ReadingStatusList</vt:lpstr>
      <vt:lpstr>RightsList</vt:lpstr>
      <vt:lpstr>SubjectList</vt:lpstr>
      <vt:lpstr>SubjectLookup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Masud Rana Mondal</cp:lastModifiedBy>
  <dcterms:created xsi:type="dcterms:W3CDTF">2026-09-30T11:40:58Z</dcterms:created>
  <dcterms:modified xsi:type="dcterms:W3CDTF">2026-09-30T11:44:06Z</dcterms:modified>
</cp:coreProperties>
</file>